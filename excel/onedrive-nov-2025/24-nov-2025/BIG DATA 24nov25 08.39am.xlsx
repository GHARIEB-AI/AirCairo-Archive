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BIG_DATA\big_data_ksa_oct_9225\9225_OUTPUT\"/>
    </mc:Choice>
  </mc:AlternateContent>
  <xr:revisionPtr revIDLastSave="0" documentId="13_ncr:1_{29958CA2-82AC-4D20-8E3E-9E7B492A45E4}" xr6:coauthVersionLast="47" xr6:coauthVersionMax="47" xr10:uidLastSave="{00000000-0000-0000-0000-000000000000}"/>
  <bookViews>
    <workbookView xWindow="4044" yWindow="3360" windowWidth="17280" windowHeight="8880" xr2:uid="{00000000-000D-0000-FFFF-FFFF00000000}"/>
  </bookViews>
  <sheets>
    <sheet name="MED-CAI" sheetId="1" r:id="rId1"/>
    <sheet name="MED-CAI LF LEGACY" sheetId="2" r:id="rId2"/>
    <sheet name="MED-CAI — FOCUS MODE" sheetId="3" r:id="rId3"/>
    <sheet name="LF_ALL_ROUTES"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HBE" sheetId="14" r:id="rId14"/>
    <sheet name="JED-HBE LF LEGACY" sheetId="15" r:id="rId15"/>
    <sheet name="JED-HBE — FOCUS MODE" sheetId="16" r:id="rId16"/>
    <sheet name="JED-ATZ" sheetId="17" r:id="rId17"/>
    <sheet name="JED-ATZ LF LEGACY" sheetId="18" r:id="rId18"/>
    <sheet name="JED-ATZ — FOCUS MODE" sheetId="19" r:id="rId19"/>
    <sheet name="JED-LXR" sheetId="20" r:id="rId20"/>
    <sheet name="JED-LXR LF LEGACY" sheetId="21" r:id="rId21"/>
    <sheet name="JED-LXR — FOCUS MODE" sheetId="22" r:id="rId22"/>
    <sheet name="JED-ASW" sheetId="23" r:id="rId23"/>
    <sheet name="JED-ASW LF LEGACY" sheetId="24" r:id="rId24"/>
    <sheet name="JED-ASW — FOCUS MODE" sheetId="25" r:id="rId25"/>
    <sheet name="JED-SSH" sheetId="26" r:id="rId26"/>
    <sheet name="JED-SSH LF LEGACY" sheetId="27" r:id="rId27"/>
    <sheet name="JED-SSH — FOCUS MODE" sheetId="28" r:id="rId28"/>
    <sheet name="JED-HRG" sheetId="29" r:id="rId29"/>
    <sheet name="JED-HRG LF LEGACY" sheetId="30" r:id="rId30"/>
    <sheet name="JED-HRG — FOCUS MODE" sheetId="31" r:id="rId31"/>
    <sheet name="RUH-CAI" sheetId="32" r:id="rId32"/>
    <sheet name="RUH-CAI LF LEGACY" sheetId="33" r:id="rId33"/>
    <sheet name="RUH-CAI — FOCUS MODE" sheetId="34" r:id="rId34"/>
    <sheet name="RUH-ATZ" sheetId="35" r:id="rId35"/>
    <sheet name="RUH-ATZ LF LEGACY" sheetId="36" r:id="rId36"/>
    <sheet name="RUH-ATZ — FOCUS MODE" sheetId="37" r:id="rId37"/>
    <sheet name="DMM-CAI" sheetId="38" r:id="rId38"/>
    <sheet name="DMM-CAI LF LEGACY" sheetId="39" r:id="rId39"/>
    <sheet name="DMM-CAI — FOCUS MODE" sheetId="40" r:id="rId40"/>
    <sheet name="DMM-ATZ" sheetId="41" r:id="rId41"/>
    <sheet name="DMM-ATZ LF LEGACY" sheetId="42" r:id="rId42"/>
    <sheet name="DMM-ATZ — FOCUS MODE" sheetId="43" r:id="rId43"/>
    <sheet name="TUU-CAI" sheetId="44" r:id="rId44"/>
    <sheet name="TUU-CAI LF LEGACY" sheetId="45" r:id="rId45"/>
    <sheet name="TUU-CAI — FOCUS MODE" sheetId="46" r:id="rId46"/>
    <sheet name="TUU-ATZ" sheetId="47" r:id="rId47"/>
    <sheet name="TUU-ATZ LF LEGACY" sheetId="48" r:id="rId48"/>
    <sheet name="TUU-ATZ — FOCUS MODE" sheetId="49" r:id="rId49"/>
    <sheet name="AJF-CAI" sheetId="50" r:id="rId50"/>
    <sheet name="AJF-CAI LF LEGACY" sheetId="51" r:id="rId51"/>
    <sheet name="AJF-CAI — FOCUS MODE" sheetId="52" r:id="rId52"/>
    <sheet name="AJF-ATZ" sheetId="53" r:id="rId53"/>
    <sheet name="AJF-ATZ LF LEGACY" sheetId="54" r:id="rId54"/>
    <sheet name="AJF-ATZ — FOCUS MODE" sheetId="55" r:id="rId55"/>
    <sheet name="YNB-CAI" sheetId="56" r:id="rId56"/>
    <sheet name="YNB-CAI LF LEGACY" sheetId="57" r:id="rId57"/>
    <sheet name="YNB-CAI — FOCUS MODE" sheetId="58" r:id="rId58"/>
    <sheet name="AHB-CAI" sheetId="59" r:id="rId59"/>
    <sheet name="AHB-CAI LF LEGACY" sheetId="60" r:id="rId60"/>
    <sheet name="AHB-CAI — FOCUS MODE" sheetId="61" r:id="rId61"/>
    <sheet name="AHB-ATZ" sheetId="62" r:id="rId62"/>
    <sheet name="AHB-ATZ LF LEGACY" sheetId="63" r:id="rId63"/>
    <sheet name="AHB-ATZ — FOCUS MODE" sheetId="64" r:id="rId64"/>
    <sheet name="ELQ-CAI" sheetId="65" r:id="rId65"/>
    <sheet name="ELQ-CAI LF LEGACY" sheetId="66" r:id="rId66"/>
    <sheet name="ELQ-CAI — FOCUS MODE" sheetId="67" r:id="rId67"/>
    <sheet name="ELQ-ATZ" sheetId="68" r:id="rId68"/>
    <sheet name="ELQ-ATZ LF LEGACY" sheetId="69" r:id="rId69"/>
    <sheet name="ELQ-ATZ — FOCUS MODE" sheetId="70" r:id="rId70"/>
    <sheet name="GIZ-CAI" sheetId="71" r:id="rId71"/>
    <sheet name="GIZ-CAI LF LEGACY" sheetId="72" r:id="rId72"/>
    <sheet name="GIZ-CAI — FOCUS MODE" sheetId="73" r:id="rId73"/>
    <sheet name="LF_ALL_ROUTES1" sheetId="74" r:id="rId74"/>
  </sheets>
  <definedNames>
    <definedName name="_xlnm._FilterDatabase" localSheetId="62" hidden="1">'AHB-ATZ LF LEGACY'!$A$1:$AI$2</definedName>
    <definedName name="_xlnm._FilterDatabase" localSheetId="59" hidden="1">'AHB-CAI LF LEGACY'!$A$1:$AI$4</definedName>
    <definedName name="_xlnm._FilterDatabase" localSheetId="53" hidden="1">'AJF-ATZ LF LEGACY'!$A$1:$AI$2</definedName>
    <definedName name="_xlnm._FilterDatabase" localSheetId="50" hidden="1">'AJF-CAI LF LEGACY'!$A$1:$AI$4</definedName>
    <definedName name="_xlnm._FilterDatabase" localSheetId="41" hidden="1">'DMM-ATZ LF LEGACY'!$A$1:$AI$2</definedName>
    <definedName name="_xlnm._FilterDatabase" localSheetId="38" hidden="1">'DMM-CAI LF LEGACY'!$A$1:$AI$5</definedName>
    <definedName name="_xlnm._FilterDatabase" localSheetId="68" hidden="1">'ELQ-ATZ LF LEGACY'!$A$1:$AI$3</definedName>
    <definedName name="_xlnm._FilterDatabase" localSheetId="65" hidden="1">'ELQ-CAI LF LEGACY'!$A$1:$AI$4</definedName>
    <definedName name="_xlnm._FilterDatabase" localSheetId="71" hidden="1">'GIZ-CAI LF LEGACY'!$A$1:$AI$3</definedName>
    <definedName name="_xlnm._FilterDatabase" localSheetId="17" hidden="1">'JED-ATZ LF LEGACY'!$A$1:$AI$13</definedName>
    <definedName name="_xlnm._FilterDatabase" localSheetId="11" hidden="1">'JED-CAI LF LEGACY'!$A$1:$AI$31</definedName>
    <definedName name="_xlnm._FilterDatabase" localSheetId="14" hidden="1">'JED-HBE LF LEGACY'!$A$1:$AI$11</definedName>
    <definedName name="_xlnm._FilterDatabase" localSheetId="20" hidden="1">'JED-LXR LF LEGACY'!$A$1:$AI$5</definedName>
    <definedName name="_xlnm._FilterDatabase" localSheetId="3" hidden="1">LF_ALL_ROUTES!$A$1:$AI$7</definedName>
    <definedName name="_xlnm._FilterDatabase" localSheetId="73" hidden="1">LF_ALL_ROUTES1!$A$1:$AI$110</definedName>
    <definedName name="_xlnm._FilterDatabase" localSheetId="8" hidden="1">'MED-ATZ LF LEGACY'!$A$1:$AI$3</definedName>
    <definedName name="_xlnm._FilterDatabase" localSheetId="1" hidden="1">'MED-CAI LF LEGACY'!$A$1:$AI$7</definedName>
    <definedName name="_xlnm._FilterDatabase" localSheetId="5" hidden="1">'MED-HBE LF LEGACY'!$A$1:$AI$5</definedName>
    <definedName name="_xlnm._FilterDatabase" localSheetId="35" hidden="1">'RUH-ATZ LF LEGACY'!$A$1:$AI$4</definedName>
    <definedName name="_xlnm._FilterDatabase" localSheetId="32" hidden="1">'RUH-CAI LF LEGACY'!$A$1:$AI$9</definedName>
    <definedName name="_xlnm._FilterDatabase" localSheetId="47" hidden="1">'TUU-ATZ LF LEGACY'!$A$1:$AI$2</definedName>
    <definedName name="_xlnm._FilterDatabase" localSheetId="44" hidden="1">'TUU-CAI LF LEGACY'!$A$1:$AI$4</definedName>
    <definedName name="_xlnm._FilterDatabase" localSheetId="56" hidden="1">'YNB-CAI LF LEGACY'!$A$1:$AI$7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111" i="74" l="1"/>
  <c r="AH111" i="74"/>
  <c r="AG111" i="74"/>
  <c r="AF111" i="74"/>
  <c r="AE111" i="74"/>
  <c r="AD111" i="74"/>
  <c r="AC111" i="74"/>
  <c r="AB111" i="74"/>
  <c r="AA111" i="74"/>
  <c r="Z111" i="74"/>
  <c r="Y111" i="74"/>
  <c r="X111" i="74"/>
  <c r="W111" i="74"/>
  <c r="V111" i="74"/>
  <c r="U111" i="74"/>
  <c r="T111" i="74"/>
  <c r="S111" i="74"/>
  <c r="R111" i="74"/>
  <c r="Q111" i="74"/>
  <c r="P111" i="74"/>
  <c r="N111" i="74"/>
  <c r="M111" i="74"/>
  <c r="L111" i="74"/>
  <c r="J111" i="74"/>
  <c r="I111" i="74"/>
  <c r="H111" i="74"/>
  <c r="G111" i="74"/>
  <c r="C111" i="74"/>
  <c r="AI4" i="72"/>
  <c r="AH4" i="72"/>
  <c r="AG4" i="72"/>
  <c r="AF4" i="72"/>
  <c r="AE4" i="72"/>
  <c r="AD4" i="72"/>
  <c r="AC4" i="72"/>
  <c r="AB4" i="72"/>
  <c r="AA4" i="72"/>
  <c r="Z4" i="72"/>
  <c r="Y4" i="72"/>
  <c r="X4" i="72"/>
  <c r="W4" i="72"/>
  <c r="V4" i="72"/>
  <c r="U4" i="72"/>
  <c r="T4" i="72"/>
  <c r="S4" i="72"/>
  <c r="R4" i="72"/>
  <c r="Q4" i="72"/>
  <c r="P4" i="72"/>
  <c r="N4" i="72"/>
  <c r="M4" i="72"/>
  <c r="L4" i="72"/>
  <c r="J4" i="72"/>
  <c r="I4" i="72"/>
  <c r="H4" i="72"/>
  <c r="G4" i="72"/>
  <c r="C4" i="72"/>
  <c r="AI4" i="69"/>
  <c r="AH4" i="69"/>
  <c r="AG4" i="69"/>
  <c r="AF4" i="69"/>
  <c r="AE4" i="69"/>
  <c r="AD4" i="69"/>
  <c r="AC4" i="69"/>
  <c r="AB4" i="69"/>
  <c r="AA4" i="69"/>
  <c r="Z4" i="69"/>
  <c r="Y4" i="69"/>
  <c r="X4" i="69"/>
  <c r="W4" i="69"/>
  <c r="V4" i="69"/>
  <c r="U4" i="69"/>
  <c r="T4" i="69"/>
  <c r="S4" i="69"/>
  <c r="R4" i="69"/>
  <c r="Q4" i="69"/>
  <c r="P4" i="69"/>
  <c r="N4" i="69"/>
  <c r="M4" i="69"/>
  <c r="L4" i="69"/>
  <c r="J4" i="69"/>
  <c r="I4" i="69"/>
  <c r="H4" i="69"/>
  <c r="G4" i="69"/>
  <c r="C4" i="69"/>
  <c r="AI5" i="66"/>
  <c r="AH5" i="66"/>
  <c r="AG5" i="66"/>
  <c r="AF5" i="66"/>
  <c r="AE5" i="66"/>
  <c r="AD5" i="66"/>
  <c r="AC5" i="66"/>
  <c r="AB5" i="66"/>
  <c r="AA5" i="66"/>
  <c r="Z5" i="66"/>
  <c r="Y5" i="66"/>
  <c r="X5" i="66"/>
  <c r="W5" i="66"/>
  <c r="V5" i="66"/>
  <c r="U5" i="66"/>
  <c r="T5" i="66"/>
  <c r="S5" i="66"/>
  <c r="R5" i="66"/>
  <c r="Q5" i="66"/>
  <c r="P5" i="66"/>
  <c r="N5" i="66"/>
  <c r="M5" i="66"/>
  <c r="L5" i="66"/>
  <c r="J5" i="66"/>
  <c r="I5" i="66"/>
  <c r="H5" i="66"/>
  <c r="G5" i="66"/>
  <c r="C5" i="66"/>
  <c r="AI3" i="63"/>
  <c r="AH3" i="63"/>
  <c r="AG3" i="63"/>
  <c r="AF3" i="63"/>
  <c r="AE3" i="63"/>
  <c r="AD3" i="63"/>
  <c r="AC3" i="63"/>
  <c r="AB3" i="63"/>
  <c r="AA3" i="63"/>
  <c r="Z3" i="63"/>
  <c r="Y3" i="63"/>
  <c r="X3" i="63"/>
  <c r="W3" i="63"/>
  <c r="V3" i="63"/>
  <c r="U3" i="63"/>
  <c r="T3" i="63"/>
  <c r="S3" i="63"/>
  <c r="R3" i="63"/>
  <c r="Q3" i="63"/>
  <c r="P3" i="63"/>
  <c r="N3" i="63"/>
  <c r="M3" i="63"/>
  <c r="L3" i="63"/>
  <c r="J3" i="63"/>
  <c r="I3" i="63"/>
  <c r="H3" i="63"/>
  <c r="G3" i="63"/>
  <c r="C3" i="63"/>
  <c r="AI5" i="60"/>
  <c r="AH5" i="60"/>
  <c r="AG5" i="60"/>
  <c r="AF5" i="60"/>
  <c r="AE5" i="60"/>
  <c r="AD5" i="60"/>
  <c r="AC5" i="60"/>
  <c r="AB5" i="60"/>
  <c r="AA5" i="60"/>
  <c r="Z5" i="60"/>
  <c r="Y5" i="60"/>
  <c r="X5" i="60"/>
  <c r="W5" i="60"/>
  <c r="V5" i="60"/>
  <c r="U5" i="60"/>
  <c r="T5" i="60"/>
  <c r="S5" i="60"/>
  <c r="R5" i="60"/>
  <c r="Q5" i="60"/>
  <c r="P5" i="60"/>
  <c r="N5" i="60"/>
  <c r="M5" i="60"/>
  <c r="L5" i="60"/>
  <c r="J5" i="60"/>
  <c r="I5" i="60"/>
  <c r="H5" i="60"/>
  <c r="G5" i="60"/>
  <c r="C5" i="60"/>
  <c r="AI8" i="57"/>
  <c r="AH8" i="57"/>
  <c r="AG8" i="57"/>
  <c r="AF8" i="57"/>
  <c r="AE8" i="57"/>
  <c r="AD8" i="57"/>
  <c r="AC8" i="57"/>
  <c r="AB8" i="57"/>
  <c r="AA8" i="57"/>
  <c r="Z8" i="57"/>
  <c r="Y8" i="57"/>
  <c r="X8" i="57"/>
  <c r="W8" i="57"/>
  <c r="V8" i="57"/>
  <c r="U8" i="57"/>
  <c r="T8" i="57"/>
  <c r="S8" i="57"/>
  <c r="R8" i="57"/>
  <c r="Q8" i="57"/>
  <c r="P8" i="57"/>
  <c r="N8" i="57"/>
  <c r="M8" i="57"/>
  <c r="L8" i="57"/>
  <c r="J8" i="57"/>
  <c r="I8" i="57"/>
  <c r="H8" i="57"/>
  <c r="G8" i="57"/>
  <c r="C8" i="57"/>
  <c r="AI3" i="54"/>
  <c r="AH3" i="54"/>
  <c r="AG3" i="54"/>
  <c r="AF3" i="54"/>
  <c r="AE3" i="54"/>
  <c r="AD3" i="54"/>
  <c r="AC3" i="54"/>
  <c r="AB3" i="54"/>
  <c r="AA3" i="54"/>
  <c r="Z3" i="54"/>
  <c r="Y3" i="54"/>
  <c r="X3" i="54"/>
  <c r="W3" i="54"/>
  <c r="V3" i="54"/>
  <c r="U3" i="54"/>
  <c r="T3" i="54"/>
  <c r="S3" i="54"/>
  <c r="R3" i="54"/>
  <c r="Q3" i="54"/>
  <c r="P3" i="54"/>
  <c r="N3" i="54"/>
  <c r="M3" i="54"/>
  <c r="L3" i="54"/>
  <c r="J3" i="54"/>
  <c r="I3" i="54"/>
  <c r="H3" i="54"/>
  <c r="G3" i="54"/>
  <c r="C3" i="54"/>
  <c r="AI5" i="51"/>
  <c r="AH5" i="51"/>
  <c r="AG5" i="51"/>
  <c r="AF5" i="51"/>
  <c r="AE5" i="51"/>
  <c r="AD5" i="51"/>
  <c r="AC5" i="51"/>
  <c r="AB5" i="51"/>
  <c r="AA5" i="51"/>
  <c r="Z5" i="51"/>
  <c r="Y5" i="51"/>
  <c r="X5" i="51"/>
  <c r="W5" i="51"/>
  <c r="V5" i="51"/>
  <c r="U5" i="51"/>
  <c r="T5" i="51"/>
  <c r="S5" i="51"/>
  <c r="R5" i="51"/>
  <c r="Q5" i="51"/>
  <c r="P5" i="51"/>
  <c r="N5" i="51"/>
  <c r="M5" i="51"/>
  <c r="L5" i="51"/>
  <c r="J5" i="51"/>
  <c r="I5" i="51"/>
  <c r="H5" i="51"/>
  <c r="G5" i="51"/>
  <c r="C5" i="51"/>
  <c r="AI3" i="48"/>
  <c r="AH3" i="48"/>
  <c r="AG3" i="48"/>
  <c r="AF3" i="48"/>
  <c r="AE3" i="48"/>
  <c r="AD3" i="48"/>
  <c r="AC3" i="48"/>
  <c r="AB3" i="48"/>
  <c r="AA3" i="48"/>
  <c r="Z3" i="48"/>
  <c r="Y3" i="48"/>
  <c r="X3" i="48"/>
  <c r="W3" i="48"/>
  <c r="V3" i="48"/>
  <c r="U3" i="48"/>
  <c r="T3" i="48"/>
  <c r="S3" i="48"/>
  <c r="R3" i="48"/>
  <c r="Q3" i="48"/>
  <c r="P3" i="48"/>
  <c r="N3" i="48"/>
  <c r="M3" i="48"/>
  <c r="L3" i="48"/>
  <c r="J3" i="48"/>
  <c r="I3" i="48"/>
  <c r="H3" i="48"/>
  <c r="G3" i="48"/>
  <c r="C3" i="48"/>
  <c r="AI5" i="45"/>
  <c r="AH5" i="45"/>
  <c r="AG5" i="45"/>
  <c r="AF5" i="45"/>
  <c r="AE5" i="45"/>
  <c r="AD5" i="45"/>
  <c r="AC5" i="45"/>
  <c r="AB5" i="45"/>
  <c r="AA5" i="45"/>
  <c r="Z5" i="45"/>
  <c r="Y5" i="45"/>
  <c r="X5" i="45"/>
  <c r="W5" i="45"/>
  <c r="V5" i="45"/>
  <c r="U5" i="45"/>
  <c r="T5" i="45"/>
  <c r="S5" i="45"/>
  <c r="R5" i="45"/>
  <c r="Q5" i="45"/>
  <c r="P5" i="45"/>
  <c r="N5" i="45"/>
  <c r="M5" i="45"/>
  <c r="L5" i="45"/>
  <c r="J5" i="45"/>
  <c r="I5" i="45"/>
  <c r="H5" i="45"/>
  <c r="G5" i="45"/>
  <c r="C5" i="45"/>
  <c r="AI3" i="42"/>
  <c r="AH3" i="42"/>
  <c r="AG3" i="42"/>
  <c r="AF3" i="42"/>
  <c r="AE3" i="42"/>
  <c r="AD3" i="42"/>
  <c r="AC3" i="42"/>
  <c r="AB3" i="42"/>
  <c r="AA3" i="42"/>
  <c r="Z3" i="42"/>
  <c r="Y3" i="42"/>
  <c r="X3" i="42"/>
  <c r="W3" i="42"/>
  <c r="V3" i="42"/>
  <c r="U3" i="42"/>
  <c r="T3" i="42"/>
  <c r="S3" i="42"/>
  <c r="R3" i="42"/>
  <c r="Q3" i="42"/>
  <c r="P3" i="42"/>
  <c r="N3" i="42"/>
  <c r="M3" i="42"/>
  <c r="L3" i="42"/>
  <c r="J3" i="42"/>
  <c r="I3" i="42"/>
  <c r="H3" i="42"/>
  <c r="G3" i="42"/>
  <c r="C3" i="42"/>
  <c r="AI6" i="39"/>
  <c r="AH6" i="39"/>
  <c r="AG6" i="39"/>
  <c r="AF6" i="39"/>
  <c r="AE6" i="39"/>
  <c r="AD6" i="39"/>
  <c r="AC6" i="39"/>
  <c r="AB6" i="39"/>
  <c r="AA6" i="39"/>
  <c r="Z6" i="39"/>
  <c r="Y6" i="39"/>
  <c r="X6" i="39"/>
  <c r="W6" i="39"/>
  <c r="V6" i="39"/>
  <c r="U6" i="39"/>
  <c r="T6" i="39"/>
  <c r="S6" i="39"/>
  <c r="R6" i="39"/>
  <c r="Q6" i="39"/>
  <c r="P6" i="39"/>
  <c r="N6" i="39"/>
  <c r="M6" i="39"/>
  <c r="L6" i="39"/>
  <c r="J6" i="39"/>
  <c r="I6" i="39"/>
  <c r="H6" i="39"/>
  <c r="G6" i="39"/>
  <c r="C6" i="39"/>
  <c r="AI5" i="36"/>
  <c r="AH5" i="36"/>
  <c r="AG5" i="36"/>
  <c r="AF5" i="36"/>
  <c r="AE5" i="36"/>
  <c r="AD5" i="36"/>
  <c r="AC5" i="36"/>
  <c r="AB5" i="36"/>
  <c r="AA5" i="36"/>
  <c r="Z5" i="36"/>
  <c r="Y5" i="36"/>
  <c r="X5" i="36"/>
  <c r="W5" i="36"/>
  <c r="V5" i="36"/>
  <c r="U5" i="36"/>
  <c r="T5" i="36"/>
  <c r="S5" i="36"/>
  <c r="R5" i="36"/>
  <c r="Q5" i="36"/>
  <c r="P5" i="36"/>
  <c r="N5" i="36"/>
  <c r="M5" i="36"/>
  <c r="L5" i="36"/>
  <c r="J5" i="36"/>
  <c r="I5" i="36"/>
  <c r="H5" i="36"/>
  <c r="G5" i="36"/>
  <c r="C5" i="36"/>
  <c r="AI10" i="33"/>
  <c r="AH10" i="33"/>
  <c r="AG10" i="33"/>
  <c r="AF10" i="33"/>
  <c r="AE10" i="33"/>
  <c r="AD10" i="33"/>
  <c r="AC10" i="33"/>
  <c r="AB10" i="33"/>
  <c r="AA10" i="33"/>
  <c r="Z10" i="33"/>
  <c r="Y10" i="33"/>
  <c r="X10" i="33"/>
  <c r="W10" i="33"/>
  <c r="V10" i="33"/>
  <c r="U10" i="33"/>
  <c r="T10" i="33"/>
  <c r="S10" i="33"/>
  <c r="R10" i="33"/>
  <c r="Q10" i="33"/>
  <c r="P10" i="33"/>
  <c r="N10" i="33"/>
  <c r="M10" i="33"/>
  <c r="L10" i="33"/>
  <c r="J10" i="33"/>
  <c r="I10" i="33"/>
  <c r="H10" i="33"/>
  <c r="G10" i="33"/>
  <c r="C10" i="33"/>
  <c r="AI6" i="21"/>
  <c r="AH6" i="21"/>
  <c r="AG6" i="21"/>
  <c r="AF6" i="21"/>
  <c r="AE6" i="21"/>
  <c r="AD6" i="21"/>
  <c r="AC6" i="21"/>
  <c r="AB6" i="21"/>
  <c r="AA6" i="21"/>
  <c r="Z6" i="21"/>
  <c r="Y6" i="21"/>
  <c r="X6" i="21"/>
  <c r="W6" i="21"/>
  <c r="V6" i="21"/>
  <c r="U6" i="21"/>
  <c r="T6" i="21"/>
  <c r="S6" i="21"/>
  <c r="R6" i="21"/>
  <c r="Q6" i="21"/>
  <c r="P6" i="21"/>
  <c r="N6" i="21"/>
  <c r="M6" i="21"/>
  <c r="L6" i="21"/>
  <c r="J6" i="21"/>
  <c r="I6" i="21"/>
  <c r="H6" i="21"/>
  <c r="G6" i="21"/>
  <c r="C6" i="21"/>
  <c r="AI14" i="18"/>
  <c r="AH14" i="18"/>
  <c r="AG14" i="18"/>
  <c r="AF14" i="18"/>
  <c r="AE14" i="18"/>
  <c r="AD14" i="18"/>
  <c r="AC14" i="18"/>
  <c r="AB14" i="18"/>
  <c r="AA14" i="18"/>
  <c r="Z14" i="18"/>
  <c r="Y14" i="18"/>
  <c r="X14" i="18"/>
  <c r="W14" i="18"/>
  <c r="V14" i="18"/>
  <c r="U14" i="18"/>
  <c r="T14" i="18"/>
  <c r="S14" i="18"/>
  <c r="R14" i="18"/>
  <c r="Q14" i="18"/>
  <c r="P14" i="18"/>
  <c r="N14" i="18"/>
  <c r="M14" i="18"/>
  <c r="L14" i="18"/>
  <c r="J14" i="18"/>
  <c r="I14" i="18"/>
  <c r="H14" i="18"/>
  <c r="G14" i="18"/>
  <c r="C14" i="18"/>
  <c r="AI12" i="15"/>
  <c r="AH12" i="15"/>
  <c r="AG12" i="15"/>
  <c r="AF12" i="15"/>
  <c r="AE12" i="15"/>
  <c r="AD12" i="15"/>
  <c r="AC12" i="15"/>
  <c r="AB12" i="15"/>
  <c r="AA12" i="15"/>
  <c r="Z12" i="15"/>
  <c r="Y12" i="15"/>
  <c r="X12" i="15"/>
  <c r="W12" i="15"/>
  <c r="V12" i="15"/>
  <c r="U12" i="15"/>
  <c r="T12" i="15"/>
  <c r="S12" i="15"/>
  <c r="R12" i="15"/>
  <c r="Q12" i="15"/>
  <c r="P12" i="15"/>
  <c r="N12" i="15"/>
  <c r="M12" i="15"/>
  <c r="L12" i="15"/>
  <c r="J12" i="15"/>
  <c r="I12" i="15"/>
  <c r="H12" i="15"/>
  <c r="G12" i="15"/>
  <c r="C12" i="15"/>
  <c r="AI32" i="12"/>
  <c r="AH32" i="12"/>
  <c r="AG32" i="12"/>
  <c r="AF32" i="12"/>
  <c r="AE32" i="12"/>
  <c r="AD32" i="12"/>
  <c r="AC32" i="12"/>
  <c r="AB32" i="12"/>
  <c r="AA32" i="12"/>
  <c r="Z32" i="12"/>
  <c r="Y32" i="12"/>
  <c r="X32" i="12"/>
  <c r="W32" i="12"/>
  <c r="V32" i="12"/>
  <c r="U32" i="12"/>
  <c r="T32" i="12"/>
  <c r="S32" i="12"/>
  <c r="R32" i="12"/>
  <c r="Q32" i="12"/>
  <c r="P32" i="12"/>
  <c r="N32" i="12"/>
  <c r="M32" i="12"/>
  <c r="L32" i="12"/>
  <c r="J32" i="12"/>
  <c r="I32" i="12"/>
  <c r="H32" i="12"/>
  <c r="G32" i="12"/>
  <c r="C32" i="12"/>
  <c r="AI4" i="9"/>
  <c r="AH4" i="9"/>
  <c r="AG4" i="9"/>
  <c r="AF4" i="9"/>
  <c r="AE4" i="9"/>
  <c r="AD4" i="9"/>
  <c r="AC4" i="9"/>
  <c r="AB4" i="9"/>
  <c r="AA4" i="9"/>
  <c r="Z4" i="9"/>
  <c r="Y4" i="9"/>
  <c r="X4" i="9"/>
  <c r="W4" i="9"/>
  <c r="V4" i="9"/>
  <c r="U4" i="9"/>
  <c r="T4" i="9"/>
  <c r="S4" i="9"/>
  <c r="R4" i="9"/>
  <c r="Q4" i="9"/>
  <c r="P4" i="9"/>
  <c r="N4" i="9"/>
  <c r="M4" i="9"/>
  <c r="L4" i="9"/>
  <c r="J4" i="9"/>
  <c r="I4" i="9"/>
  <c r="H4" i="9"/>
  <c r="G4" i="9"/>
  <c r="C4" i="9"/>
  <c r="AI6" i="6"/>
  <c r="AH6" i="6"/>
  <c r="AG6" i="6"/>
  <c r="AF6" i="6"/>
  <c r="AE6" i="6"/>
  <c r="AD6" i="6"/>
  <c r="AC6" i="6"/>
  <c r="AB6" i="6"/>
  <c r="AA6" i="6"/>
  <c r="Z6" i="6"/>
  <c r="Y6" i="6"/>
  <c r="X6" i="6"/>
  <c r="W6" i="6"/>
  <c r="V6" i="6"/>
  <c r="U6" i="6"/>
  <c r="T6" i="6"/>
  <c r="S6" i="6"/>
  <c r="R6" i="6"/>
  <c r="Q6" i="6"/>
  <c r="P6" i="6"/>
  <c r="N6" i="6"/>
  <c r="M6" i="6"/>
  <c r="L6" i="6"/>
  <c r="J6" i="6"/>
  <c r="I6" i="6"/>
  <c r="H6" i="6"/>
  <c r="G6" i="6"/>
  <c r="C6" i="6"/>
  <c r="AI8" i="4"/>
  <c r="AH8" i="4"/>
  <c r="AG8" i="4"/>
  <c r="AF8" i="4"/>
  <c r="AE8" i="4"/>
  <c r="AD8" i="4"/>
  <c r="AC8" i="4"/>
  <c r="AB8" i="4"/>
  <c r="AA8" i="4"/>
  <c r="Z8" i="4"/>
  <c r="Y8" i="4"/>
  <c r="X8" i="4"/>
  <c r="W8" i="4"/>
  <c r="V8" i="4"/>
  <c r="U8" i="4"/>
  <c r="T8" i="4"/>
  <c r="S8" i="4"/>
  <c r="R8" i="4"/>
  <c r="Q8" i="4"/>
  <c r="P8" i="4"/>
  <c r="N8" i="4"/>
  <c r="M8" i="4"/>
  <c r="L8" i="4"/>
  <c r="J8" i="4"/>
  <c r="I8" i="4"/>
  <c r="H8" i="4"/>
  <c r="G8" i="4"/>
  <c r="C8" i="4"/>
  <c r="AI8" i="2"/>
  <c r="AH8" i="2"/>
  <c r="AG8" i="2"/>
  <c r="AF8" i="2"/>
  <c r="AE8" i="2"/>
  <c r="AD8" i="2"/>
  <c r="AC8" i="2"/>
  <c r="AB8" i="2"/>
  <c r="AA8" i="2"/>
  <c r="Z8" i="2"/>
  <c r="Y8" i="2"/>
  <c r="X8" i="2"/>
  <c r="W8" i="2"/>
  <c r="V8" i="2"/>
  <c r="U8" i="2"/>
  <c r="T8" i="2"/>
  <c r="S8" i="2"/>
  <c r="R8" i="2"/>
  <c r="Q8" i="2"/>
  <c r="P8" i="2"/>
  <c r="N8" i="2"/>
  <c r="M8" i="2"/>
  <c r="L8" i="2"/>
  <c r="J8" i="2"/>
  <c r="I8" i="2"/>
  <c r="H8" i="2"/>
  <c r="G8" i="2"/>
  <c r="C8" i="2"/>
</calcChain>
</file>

<file path=xl/sharedStrings.xml><?xml version="1.0" encoding="utf-8"?>
<sst xmlns="http://schemas.openxmlformats.org/spreadsheetml/2006/main" count="19258" uniqueCount="1156">
  <si>
    <t>COMPREHENSIVE REPORT</t>
  </si>
  <si>
    <t>MED-CAI</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</si>
  <si>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</si>
  <si>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</si>
  <si>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</si>
  <si>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</si>
  <si>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</si>
  <si>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</si>
  <si>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</si>
  <si>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</si>
  <si>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</si>
  <si>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</si>
  <si>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</si>
  <si>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</si>
  <si>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</si>
  <si>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</si>
  <si>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</si>
  <si>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</si>
  <si>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</si>
  <si>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</si>
  <si>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</si>
  <si>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</si>
  <si>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</si>
  <si>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</si>
  <si>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</si>
  <si>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</si>
  <si>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F3-769</t>
  </si>
  <si>
    <t>Check-in: 15 KG</t>
  </si>
  <si>
    <r>
      <rPr>
        <b/>
        <i/>
        <sz val="14"/>
        <color rgb="FFBC0000"/>
        <rFont val="Calibri"/>
      </rPr>
      <t>7</t>
    </r>
    <r>
      <rPr>
        <b/>
        <i/>
        <sz val="10"/>
        <color rgb="FFBC0000"/>
        <rFont val="Calibri"/>
      </rPr>
      <t xml:space="preserve"> FOR SAME CLASS</t>
    </r>
  </si>
  <si>
    <t>559 SAR</t>
  </si>
  <si>
    <t>Cabin: 10 KG / Check-in: 25 KG</t>
  </si>
  <si>
    <r>
      <rPr>
        <i/>
        <sz val="14"/>
        <rFont val="Calibri"/>
      </rPr>
      <t>7</t>
    </r>
    <r>
      <rPr>
        <i/>
        <sz val="10"/>
        <rFont val="Calibri"/>
      </rPr>
      <t xml:space="preserve"> FOR SAME CLASS</t>
    </r>
  </si>
  <si>
    <t>709 SAR</t>
  </si>
  <si>
    <t>Cabin: 10 KG / Check-in: 2 x 40 KG</t>
  </si>
  <si>
    <t>1,099 SAR</t>
  </si>
  <si>
    <t>Air Cairo</t>
  </si>
  <si>
    <t>SM-488</t>
  </si>
  <si>
    <t>Cabin: 7 KG | Check-in: 40 KG</t>
  </si>
  <si>
    <r>
      <rPr>
        <b/>
        <i/>
        <sz val="14"/>
        <color rgb="FFBC0000"/>
        <rFont val="Calibri"/>
      </rPr>
      <t>+9</t>
    </r>
    <r>
      <rPr>
        <b/>
        <i/>
        <sz val="10"/>
        <color rgb="FFBC0000"/>
        <rFont val="Calibri"/>
      </rPr>
      <t xml:space="preserve"> FOR SAME CLASS</t>
    </r>
  </si>
  <si>
    <t>620 SAR</t>
  </si>
  <si>
    <t>SM488</t>
  </si>
  <si>
    <t>W9</t>
  </si>
  <si>
    <t>L4 &amp; G19 &amp; S9 &amp; W13 &amp; T10 &amp; X10 &amp; U10 &amp; O10 &amp; I10</t>
  </si>
  <si>
    <t>SM-496</t>
  </si>
  <si>
    <r>
      <rPr>
        <b/>
        <i/>
        <sz val="14"/>
        <rFont val="Calibri"/>
      </rPr>
      <t>8</t>
    </r>
    <r>
      <rPr>
        <b/>
        <i/>
        <sz val="10"/>
        <rFont val="Calibri"/>
      </rPr>
      <t xml:space="preserve"> FOR SAME CLASS</t>
    </r>
  </si>
  <si>
    <t>914 SAR</t>
  </si>
  <si>
    <t>SM496</t>
  </si>
  <si>
    <t>V8</t>
  </si>
  <si>
    <t>L1 &amp; I4 &amp; E44 &amp; P114</t>
  </si>
  <si>
    <t>SM-494</t>
  </si>
  <si>
    <r>
      <rPr>
        <b/>
        <i/>
        <sz val="14"/>
        <rFont val="Calibri"/>
      </rPr>
      <t>2</t>
    </r>
    <r>
      <rPr>
        <b/>
        <i/>
        <sz val="10"/>
        <rFont val="Calibri"/>
      </rPr>
      <t xml:space="preserve"> FOR SAME CLASS</t>
    </r>
  </si>
  <si>
    <t>1,691 SAR</t>
  </si>
  <si>
    <t>SM494</t>
  </si>
  <si>
    <t>Y2</t>
  </si>
  <si>
    <t>Q2 &amp; K5 &amp; V4 &amp; S11 &amp; X3 &amp; U5 &amp; O8 &amp; I17 &amp; P122</t>
  </si>
  <si>
    <t>flynas</t>
  </si>
  <si>
    <t>XY-576</t>
  </si>
  <si>
    <t>Cabin: 7 KG | Check-in: 20 KG</t>
  </si>
  <si>
    <r>
      <rPr>
        <b/>
        <i/>
        <sz val="14"/>
        <color rgb="FFBC0000"/>
        <rFont val="Calibri"/>
      </rPr>
      <t>8</t>
    </r>
    <r>
      <rPr>
        <b/>
        <i/>
        <sz val="10"/>
        <color rgb="FFBC0000"/>
        <rFont val="Calibri"/>
      </rPr>
      <t xml:space="preserve"> FOR SAME CLASS</t>
    </r>
  </si>
  <si>
    <t>639 SAR</t>
  </si>
  <si>
    <t>Cabin: 7 KG / Check-in: 20 KG</t>
  </si>
  <si>
    <r>
      <rPr>
        <i/>
        <sz val="14"/>
        <rFont val="Calibri"/>
      </rPr>
      <t>8</t>
    </r>
    <r>
      <rPr>
        <i/>
        <sz val="10"/>
        <rFont val="Calibri"/>
      </rPr>
      <t xml:space="preserve"> FOR SAME CLASS</t>
    </r>
  </si>
  <si>
    <t>Cabin: 7 KG / Check-in: 30 KG</t>
  </si>
  <si>
    <t>739 SAR</t>
  </si>
  <si>
    <t>Cabin: 7 KG / Check-in: 2 x 40 KG</t>
  </si>
  <si>
    <t>829 SAR</t>
  </si>
  <si>
    <t>EgyptAir</t>
  </si>
  <si>
    <t>MS-676</t>
  </si>
  <si>
    <t>Cabin: 7 KG | Check-in: 2 PIECE</t>
  </si>
  <si>
    <t>866 SAR</t>
  </si>
  <si>
    <t>MS-640</t>
  </si>
  <si>
    <r>
      <rPr>
        <b/>
        <i/>
        <sz val="14"/>
        <rFont val="Calibri"/>
      </rPr>
      <t>6</t>
    </r>
    <r>
      <rPr>
        <b/>
        <i/>
        <sz val="10"/>
        <rFont val="Calibri"/>
      </rPr>
      <t xml:space="preserve"> FOR SAME CLASS</t>
    </r>
  </si>
  <si>
    <t>962 SAR</t>
  </si>
  <si>
    <t>MS-678</t>
  </si>
  <si>
    <r>
      <rPr>
        <b/>
        <i/>
        <sz val="14"/>
        <rFont val="Calibri"/>
      </rPr>
      <t>7</t>
    </r>
    <r>
      <rPr>
        <b/>
        <i/>
        <sz val="10"/>
        <rFont val="Calibri"/>
      </rPr>
      <t xml:space="preserve"> FOR SAME CLASS</t>
    </r>
  </si>
  <si>
    <t>MS-694</t>
  </si>
  <si>
    <r>
      <rPr>
        <b/>
        <i/>
        <sz val="14"/>
        <rFont val="Calibri"/>
      </rPr>
      <t>+9</t>
    </r>
    <r>
      <rPr>
        <b/>
        <i/>
        <sz val="10"/>
        <rFont val="Calibri"/>
      </rPr>
      <t xml:space="preserve"> FOR SAME CLASS</t>
    </r>
  </si>
  <si>
    <t>MS-696</t>
  </si>
  <si>
    <t>Saudia</t>
  </si>
  <si>
    <t>SV-6903</t>
  </si>
  <si>
    <r>
      <rPr>
        <b/>
        <i/>
        <sz val="14"/>
        <color rgb="FFBC0000"/>
        <rFont val="Calibri"/>
      </rPr>
      <t>4</t>
    </r>
    <r>
      <rPr>
        <b/>
        <i/>
        <sz val="10"/>
        <color rgb="FFBC0000"/>
        <rFont val="Calibri"/>
      </rPr>
      <t xml:space="preserve"> FOR SAME CLASS</t>
    </r>
  </si>
  <si>
    <t>1,651 SAR</t>
  </si>
  <si>
    <t>Cabin: 7 KG / Check-in: 2 x 46 KG</t>
  </si>
  <si>
    <r>
      <rPr>
        <i/>
        <sz val="14"/>
        <rFont val="Calibri"/>
      </rPr>
      <t>4</t>
    </r>
    <r>
      <rPr>
        <i/>
        <sz val="10"/>
        <rFont val="Calibri"/>
      </rPr>
      <t xml:space="preserve"> FOR SAME CLASS</t>
    </r>
  </si>
  <si>
    <t>SV-319</t>
  </si>
  <si>
    <t>Cabin: 7 KG | Check-in: 1 PIECE</t>
  </si>
  <si>
    <t>1,868 SAR</t>
  </si>
  <si>
    <t>Cabin: 7 KG / Check-in: 23 KG</t>
  </si>
  <si>
    <r>
      <rPr>
        <i/>
        <sz val="14"/>
        <rFont val="Calibri"/>
      </rPr>
      <t>+9</t>
    </r>
    <r>
      <rPr>
        <i/>
        <sz val="10"/>
        <rFont val="Calibri"/>
      </rPr>
      <t xml:space="preserve"> FOR SAME CLASS</t>
    </r>
  </si>
  <si>
    <t>2,009 SAR</t>
  </si>
  <si>
    <t>SV-381</t>
  </si>
  <si>
    <r>
      <rPr>
        <b/>
        <i/>
        <sz val="14"/>
        <rFont val="Calibri"/>
      </rPr>
      <t>5</t>
    </r>
    <r>
      <rPr>
        <b/>
        <i/>
        <sz val="10"/>
        <rFont val="Calibri"/>
      </rPr>
      <t xml:space="preserve"> FOR SAME CLASS</t>
    </r>
  </si>
  <si>
    <r>
      <rPr>
        <i/>
        <sz val="14"/>
        <rFont val="Calibri"/>
      </rPr>
      <t>5</t>
    </r>
    <r>
      <rPr>
        <i/>
        <sz val="10"/>
        <rFont val="Calibri"/>
      </rPr>
      <t xml:space="preserve"> FOR SAME CLASS</t>
    </r>
  </si>
  <si>
    <t>SV-391</t>
  </si>
  <si>
    <t>Cabin: 7 KG</t>
  </si>
  <si>
    <r>
      <rPr>
        <b/>
        <i/>
        <sz val="14"/>
        <color rgb="FFBC0000"/>
        <rFont val="Calibri"/>
      </rPr>
      <t>2</t>
    </r>
    <r>
      <rPr>
        <b/>
        <i/>
        <sz val="10"/>
        <color rgb="FFBC0000"/>
        <rFont val="Calibri"/>
      </rPr>
      <t xml:space="preserve"> FOR SAME CLASS</t>
    </r>
  </si>
  <si>
    <t>398 SAR</t>
  </si>
  <si>
    <r>
      <rPr>
        <i/>
        <sz val="14"/>
        <rFont val="Calibri"/>
      </rPr>
      <t>2</t>
    </r>
    <r>
      <rPr>
        <i/>
        <sz val="10"/>
        <rFont val="Calibri"/>
      </rPr>
      <t xml:space="preserve"> FOR SAME CLASS</t>
    </r>
  </si>
  <si>
    <t>490 SAR</t>
  </si>
  <si>
    <t>575 SAR</t>
  </si>
  <si>
    <t>1,385 SAR</t>
  </si>
  <si>
    <t>1,525 SAR</t>
  </si>
  <si>
    <r>
      <rPr>
        <b/>
        <i/>
        <sz val="14"/>
        <rFont val="Calibri"/>
      </rPr>
      <t>4</t>
    </r>
    <r>
      <rPr>
        <b/>
        <i/>
        <sz val="10"/>
        <rFont val="Calibri"/>
      </rPr>
      <t xml:space="preserve"> FOR SAME CLASS</t>
    </r>
  </si>
  <si>
    <r>
      <rPr>
        <b/>
        <i/>
        <sz val="14"/>
        <color rgb="FFBC0000"/>
        <rFont val="Calibri"/>
      </rPr>
      <t>14</t>
    </r>
    <r>
      <rPr>
        <b/>
        <i/>
        <sz val="10"/>
        <color rgb="FFBC0000"/>
        <rFont val="Calibri"/>
      </rPr>
      <t xml:space="preserve"> FOR SAME CLASS</t>
    </r>
  </si>
  <si>
    <t>619 SAR</t>
  </si>
  <si>
    <r>
      <rPr>
        <i/>
        <sz val="14"/>
        <rFont val="Calibri"/>
      </rPr>
      <t>14</t>
    </r>
    <r>
      <rPr>
        <i/>
        <sz val="10"/>
        <rFont val="Calibri"/>
      </rPr>
      <t xml:space="preserve"> FOR SAME CLASS</t>
    </r>
  </si>
  <si>
    <t>769 SAR</t>
  </si>
  <si>
    <t>799 SAR</t>
  </si>
  <si>
    <r>
      <rPr>
        <b/>
        <i/>
        <sz val="14"/>
        <color rgb="FFBC0000"/>
        <rFont val="Calibri"/>
      </rPr>
      <t>1</t>
    </r>
    <r>
      <rPr>
        <b/>
        <i/>
        <sz val="10"/>
        <color rgb="FFBC0000"/>
        <rFont val="Calibri"/>
      </rPr>
      <t xml:space="preserve"> FOR SAME CLASS</t>
    </r>
  </si>
  <si>
    <r>
      <rPr>
        <i/>
        <sz val="14"/>
        <rFont val="Calibri"/>
      </rPr>
      <t>1</t>
    </r>
    <r>
      <rPr>
        <i/>
        <sz val="10"/>
        <rFont val="Calibri"/>
      </rPr>
      <t xml:space="preserve"> FOR SAME CLASS</t>
    </r>
  </si>
  <si>
    <t>1,121 SAR</t>
  </si>
  <si>
    <t>1,654 SAR</t>
  </si>
  <si>
    <t>XY-793</t>
  </si>
  <si>
    <t>1,299 SAR</t>
  </si>
  <si>
    <t>1,399 SAR</t>
  </si>
  <si>
    <t>1,489 SAR</t>
  </si>
  <si>
    <r>
      <rPr>
        <b/>
        <i/>
        <sz val="14"/>
        <rFont val="Calibri"/>
      </rPr>
      <t>1</t>
    </r>
    <r>
      <rPr>
        <b/>
        <i/>
        <sz val="10"/>
        <rFont val="Calibri"/>
      </rPr>
      <t xml:space="preserve"> FOR SAME CLASS</t>
    </r>
  </si>
  <si>
    <t>1,020 SAR</t>
  </si>
  <si>
    <t>1,160 SAR</t>
  </si>
  <si>
    <t>1,472 SAR</t>
  </si>
  <si>
    <t>B4</t>
  </si>
  <si>
    <t>V7 &amp; L2 &amp; S1 &amp; U6 &amp; O9 &amp; I17 &amp; P128 &amp; N1</t>
  </si>
  <si>
    <r>
      <rPr>
        <b/>
        <i/>
        <sz val="14"/>
        <color rgb="FFBC0000"/>
        <rFont val="Calibri"/>
      </rPr>
      <t>5</t>
    </r>
    <r>
      <rPr>
        <b/>
        <i/>
        <sz val="10"/>
        <color rgb="FFBC0000"/>
        <rFont val="Calibri"/>
      </rPr>
      <t xml:space="preserve"> FOR SAME CLASS</t>
    </r>
  </si>
  <si>
    <t>682 SAR</t>
  </si>
  <si>
    <r>
      <rPr>
        <b/>
        <i/>
        <sz val="14"/>
        <color rgb="FFBC0000"/>
        <rFont val="Calibri"/>
      </rPr>
      <t>6</t>
    </r>
    <r>
      <rPr>
        <b/>
        <i/>
        <sz val="10"/>
        <color rgb="FFBC0000"/>
        <rFont val="Calibri"/>
      </rPr>
      <t xml:space="preserve"> FOR SAME CLASS</t>
    </r>
  </si>
  <si>
    <r>
      <rPr>
        <i/>
        <sz val="14"/>
        <rFont val="Calibri"/>
      </rPr>
      <t>6</t>
    </r>
    <r>
      <rPr>
        <i/>
        <sz val="10"/>
        <rFont val="Calibri"/>
      </rPr>
      <t xml:space="preserve"> FOR SAME CLASS</t>
    </r>
  </si>
  <si>
    <t>1,059 SAR</t>
  </si>
  <si>
    <t>1,159 SAR</t>
  </si>
  <si>
    <t>1,249 SAR</t>
  </si>
  <si>
    <t>2,165 SAR</t>
  </si>
  <si>
    <t>2,305 SAR</t>
  </si>
  <si>
    <t>20KG + 7KG CABIN</t>
  </si>
  <si>
    <t>FULLY BOOKED</t>
  </si>
  <si>
    <t>CLOSED</t>
  </si>
  <si>
    <t>G2 &amp; S12 &amp; I22 &amp; P133 &amp; N4</t>
  </si>
  <si>
    <r>
      <rPr>
        <b/>
        <i/>
        <sz val="14"/>
        <color rgb="FFBC0000"/>
        <rFont val="Calibri"/>
      </rPr>
      <t>3</t>
    </r>
    <r>
      <rPr>
        <b/>
        <i/>
        <sz val="10"/>
        <color rgb="FFBC0000"/>
        <rFont val="Calibri"/>
      </rPr>
      <t xml:space="preserve"> FOR SAME CLASS</t>
    </r>
  </si>
  <si>
    <r>
      <rPr>
        <i/>
        <sz val="14"/>
        <rFont val="Calibri"/>
      </rPr>
      <t>3</t>
    </r>
    <r>
      <rPr>
        <i/>
        <sz val="10"/>
        <rFont val="Calibri"/>
      </rPr>
      <t xml:space="preserve"> FOR SAME CLASS</t>
    </r>
  </si>
  <si>
    <t>749 SAR</t>
  </si>
  <si>
    <t>849 SAR</t>
  </si>
  <si>
    <t>939 SAR</t>
  </si>
  <si>
    <t>1,298 SAR</t>
  </si>
  <si>
    <t>M5</t>
  </si>
  <si>
    <t>L4 &amp; G3 &amp; S4 &amp; W4 &amp; T4 &amp; X4 &amp; U4 &amp; O4 &amp; I4 &amp; P133</t>
  </si>
  <si>
    <r>
      <rPr>
        <b/>
        <i/>
        <sz val="14"/>
        <rFont val="Calibri"/>
      </rPr>
      <t>3</t>
    </r>
    <r>
      <rPr>
        <b/>
        <i/>
        <sz val="10"/>
        <rFont val="Calibri"/>
      </rPr>
      <t xml:space="preserve"> FOR SAME CLASS</t>
    </r>
  </si>
  <si>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</si>
  <si>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</si>
  <si>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</si>
  <si>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</si>
  <si>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</si>
  <si>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</si>
  <si>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</si>
  <si>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</si>
  <si>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</si>
  <si>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</si>
  <si>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</si>
  <si>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</si>
  <si>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</si>
  <si>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</si>
  <si>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</si>
  <si>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</si>
  <si>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</si>
  <si>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</si>
  <si>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</si>
  <si>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</si>
  <si>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</si>
  <si>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</si>
  <si>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</si>
  <si>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</si>
  <si>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</si>
  <si>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</si>
  <si>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</si>
  <si>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</si>
  <si>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</si>
  <si>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TUESDAY</t>
  </si>
  <si>
    <t>320</t>
  </si>
  <si>
    <t>L1</t>
  </si>
  <si>
    <t>I4</t>
  </si>
  <si>
    <t>E44</t>
  </si>
  <si>
    <t>P114</t>
  </si>
  <si>
    <t>L4</t>
  </si>
  <si>
    <t>G19</t>
  </si>
  <si>
    <t>S9</t>
  </si>
  <si>
    <t>W13</t>
  </si>
  <si>
    <t>T10</t>
  </si>
  <si>
    <t>X10</t>
  </si>
  <si>
    <t>U10</t>
  </si>
  <si>
    <t>O10</t>
  </si>
  <si>
    <t>I10</t>
  </si>
  <si>
    <t>Q2</t>
  </si>
  <si>
    <t>K5</t>
  </si>
  <si>
    <t>V4</t>
  </si>
  <si>
    <t>S11</t>
  </si>
  <si>
    <t>X3</t>
  </si>
  <si>
    <t>U5</t>
  </si>
  <si>
    <t>O8</t>
  </si>
  <si>
    <t>I17</t>
  </si>
  <si>
    <t>P122</t>
  </si>
  <si>
    <t>THURSDAY</t>
  </si>
  <si>
    <t>V7</t>
  </si>
  <si>
    <t>L2</t>
  </si>
  <si>
    <t>S1</t>
  </si>
  <si>
    <t>U6</t>
  </si>
  <si>
    <t>O9</t>
  </si>
  <si>
    <t>P128</t>
  </si>
  <si>
    <t>N1</t>
  </si>
  <si>
    <t>SATURDAY</t>
  </si>
  <si>
    <t>G2</t>
  </si>
  <si>
    <t>S12</t>
  </si>
  <si>
    <t>I22</t>
  </si>
  <si>
    <t>P133</t>
  </si>
  <si>
    <t>N4</t>
  </si>
  <si>
    <t>SUNDAY</t>
  </si>
  <si>
    <t>G3</t>
  </si>
  <si>
    <t>S4</t>
  </si>
  <si>
    <t>W4</t>
  </si>
  <si>
    <t>T4</t>
  </si>
  <si>
    <t>X4</t>
  </si>
  <si>
    <t>U4</t>
  </si>
  <si>
    <t>O4</t>
  </si>
  <si>
    <t>TOTAL</t>
  </si>
  <si>
    <t>DATE</t>
  </si>
  <si>
    <t>ROUTE</t>
  </si>
  <si>
    <t>TUE</t>
  </si>
  <si>
    <t>THU</t>
  </si>
  <si>
    <t>SAT</t>
  </si>
  <si>
    <t>SUN</t>
  </si>
  <si>
    <t>MED-HBE</t>
  </si>
  <si>
    <t>SM-486</t>
  </si>
  <si>
    <t>SM486</t>
  </si>
  <si>
    <t>B1</t>
  </si>
  <si>
    <t>B1 &amp; H1 &amp; Q3 &amp; K4 &amp; V2 &amp; L6 &amp; X8 &amp; P153</t>
  </si>
  <si>
    <t>Indirect competition route MED – CAI - diversion ratio &amp; passenger leakage</t>
  </si>
  <si>
    <t>10:05</t>
  </si>
  <si>
    <t>7 FOR SAME CLASS</t>
  </si>
  <si>
    <t>06:40</t>
  </si>
  <si>
    <t>+9 FOR SAME CLASS</t>
  </si>
  <si>
    <t>18:10</t>
  </si>
  <si>
    <t>8 FOR SAME CLASS</t>
  </si>
  <si>
    <t>02:20</t>
  </si>
  <si>
    <t>01:10</t>
  </si>
  <si>
    <t>11:50</t>
  </si>
  <si>
    <t>6 FOR SAME CLASS</t>
  </si>
  <si>
    <t>1,184 SAR</t>
  </si>
  <si>
    <t>H5</t>
  </si>
  <si>
    <t>Q3 &amp; S2 &amp; X7 &amp; U8 &amp; O8 &amp; I6 &amp; P135</t>
  </si>
  <si>
    <t>14:30</t>
  </si>
  <si>
    <t>2 FOR SAME CLASS</t>
  </si>
  <si>
    <t>14 FOR SAME CLASS</t>
  </si>
  <si>
    <t>1 FOR SAME CLASS</t>
  </si>
  <si>
    <t>MS-680</t>
  </si>
  <si>
    <t>1,063 SAR</t>
  </si>
  <si>
    <t>M4</t>
  </si>
  <si>
    <t>V1 &amp; L6 &amp; S29 &amp; T8 &amp; X10 &amp; P121</t>
  </si>
  <si>
    <t>08:30</t>
  </si>
  <si>
    <t>4 FOR SAME CLASS</t>
  </si>
  <si>
    <t>10:20</t>
  </si>
  <si>
    <t>02:35</t>
  </si>
  <si>
    <t>05:20</t>
  </si>
  <si>
    <t>1,251 SAR</t>
  </si>
  <si>
    <t>5 FOR SAME CLASS</t>
  </si>
  <si>
    <t>02:05</t>
  </si>
  <si>
    <t>1,417 SAR</t>
  </si>
  <si>
    <t>B9</t>
  </si>
  <si>
    <t>H3 &amp; S14 &amp; X9 &amp; P144</t>
  </si>
  <si>
    <t>3 FOR SAME CLASS</t>
  </si>
  <si>
    <t>21:40</t>
  </si>
  <si>
    <t>H1</t>
  </si>
  <si>
    <t>Q3</t>
  </si>
  <si>
    <t>K4</t>
  </si>
  <si>
    <t>V2</t>
  </si>
  <si>
    <t>L6</t>
  </si>
  <si>
    <t>X8</t>
  </si>
  <si>
    <t>P153</t>
  </si>
  <si>
    <t>WEDNESDAY</t>
  </si>
  <si>
    <t>S2</t>
  </si>
  <si>
    <t>X7</t>
  </si>
  <si>
    <t>U8</t>
  </si>
  <si>
    <t>I6</t>
  </si>
  <si>
    <t>P135</t>
  </si>
  <si>
    <t>V1</t>
  </si>
  <si>
    <t>S29</t>
  </si>
  <si>
    <t>T8</t>
  </si>
  <si>
    <t>P121</t>
  </si>
  <si>
    <t>H3</t>
  </si>
  <si>
    <t>S14</t>
  </si>
  <si>
    <t>X9</t>
  </si>
  <si>
    <t>P144</t>
  </si>
  <si>
    <t>MED-CAI AS ALTERNATIVE ROUTE</t>
  </si>
  <si>
    <t>MED-ATZ</t>
  </si>
  <si>
    <t>SM-490</t>
  </si>
  <si>
    <t>500 SAR</t>
  </si>
  <si>
    <t>SM490</t>
  </si>
  <si>
    <t>S11 &amp; X11 &amp; U20 &amp; O25 &amp; I25 &amp; P50</t>
  </si>
  <si>
    <t>S8 &amp; X9 &amp; U32 &amp; O30 &amp; I18</t>
  </si>
  <si>
    <t>X11</t>
  </si>
  <si>
    <t>U20</t>
  </si>
  <si>
    <t>O25</t>
  </si>
  <si>
    <t>I25</t>
  </si>
  <si>
    <t>P50</t>
  </si>
  <si>
    <t>S8</t>
  </si>
  <si>
    <t>U32</t>
  </si>
  <si>
    <t>O30</t>
  </si>
  <si>
    <t>I18</t>
  </si>
  <si>
    <t>JED-CAI</t>
  </si>
  <si>
    <t>Nesma Airlines</t>
  </si>
  <si>
    <t>NE-171</t>
  </si>
  <si>
    <t>Cabin: 7 KG | Check-in: 30 KG</t>
  </si>
  <si>
    <t>400 SAR</t>
  </si>
  <si>
    <t>NE-173</t>
  </si>
  <si>
    <t>SM-472</t>
  </si>
  <si>
    <t>401 SAR</t>
  </si>
  <si>
    <t>SM472</t>
  </si>
  <si>
    <t>I1</t>
  </si>
  <si>
    <t>S13 &amp; X3 &amp; U14 &amp; O34 &amp; I59</t>
  </si>
  <si>
    <t>SM-476</t>
  </si>
  <si>
    <t>436 SAR</t>
  </si>
  <si>
    <t>SM476</t>
  </si>
  <si>
    <t>O7</t>
  </si>
  <si>
    <t>X1 &amp; U11 &amp; O39 &amp; I29 &amp; P46</t>
  </si>
  <si>
    <t>SM-424</t>
  </si>
  <si>
    <t>471 SAR</t>
  </si>
  <si>
    <t>SM424</t>
  </si>
  <si>
    <t>U9</t>
  </si>
  <si>
    <t>S2 &amp; X4 &amp; U7 &amp; O27 &amp; I15 &amp; P87</t>
  </si>
  <si>
    <t>SM-460</t>
  </si>
  <si>
    <t>856 SAR</t>
  </si>
  <si>
    <t>SM460</t>
  </si>
  <si>
    <t>L3</t>
  </si>
  <si>
    <t>S1 &amp; W2 &amp; X5 &amp; U18 &amp; O14 &amp; I9 &amp; P116</t>
  </si>
  <si>
    <t>SM480</t>
  </si>
  <si>
    <t>S2 &amp; X1 &amp; U15 &amp; O15 &amp; I15 &amp; P117 &amp; N3</t>
  </si>
  <si>
    <t>SM478</t>
  </si>
  <si>
    <t>S5 &amp; X7 &amp; U24 &amp; O35 &amp; I15 &amp; P82</t>
  </si>
  <si>
    <t>Nile Air</t>
  </si>
  <si>
    <t>NP-328</t>
  </si>
  <si>
    <t>NP-128</t>
  </si>
  <si>
    <t>599 SAR</t>
  </si>
  <si>
    <t>NP-228</t>
  </si>
  <si>
    <t>F3-755</t>
  </si>
  <si>
    <r>
      <rPr>
        <b/>
        <i/>
        <sz val="14"/>
        <color rgb="FFBC0000"/>
        <rFont val="Calibri"/>
      </rPr>
      <t>25</t>
    </r>
    <r>
      <rPr>
        <b/>
        <i/>
        <sz val="10"/>
        <color rgb="FFBC0000"/>
        <rFont val="Calibri"/>
      </rPr>
      <t xml:space="preserve"> FOR SAME CLASS</t>
    </r>
  </si>
  <si>
    <t>419 SAR</t>
  </si>
  <si>
    <r>
      <rPr>
        <i/>
        <sz val="14"/>
        <rFont val="Calibri"/>
      </rPr>
      <t>25</t>
    </r>
    <r>
      <rPr>
        <i/>
        <sz val="10"/>
        <rFont val="Calibri"/>
      </rPr>
      <t xml:space="preserve"> FOR SAME CLASS</t>
    </r>
  </si>
  <si>
    <t>569 SAR</t>
  </si>
  <si>
    <t>F3-763</t>
  </si>
  <si>
    <t>F3-753</t>
  </si>
  <si>
    <t>459 SAR</t>
  </si>
  <si>
    <t>609 SAR</t>
  </si>
  <si>
    <t>F3-761</t>
  </si>
  <si>
    <r>
      <rPr>
        <b/>
        <i/>
        <sz val="14"/>
        <rFont val="Calibri"/>
      </rPr>
      <t>14</t>
    </r>
    <r>
      <rPr>
        <b/>
        <i/>
        <sz val="10"/>
        <rFont val="Calibri"/>
      </rPr>
      <t xml:space="preserve"> FOR SAME CLASS</t>
    </r>
  </si>
  <si>
    <t>XY-573</t>
  </si>
  <si>
    <t>449 SAR</t>
  </si>
  <si>
    <t>549 SAR</t>
  </si>
  <si>
    <t>XY-567</t>
  </si>
  <si>
    <t>489 SAR</t>
  </si>
  <si>
    <t>589 SAR</t>
  </si>
  <si>
    <t>679 SAR</t>
  </si>
  <si>
    <t>XY-589</t>
  </si>
  <si>
    <t>XY-565</t>
  </si>
  <si>
    <r>
      <rPr>
        <b/>
        <i/>
        <sz val="14"/>
        <rFont val="Calibri"/>
      </rPr>
      <t>9</t>
    </r>
    <r>
      <rPr>
        <b/>
        <i/>
        <sz val="10"/>
        <rFont val="Calibri"/>
      </rPr>
      <t xml:space="preserve"> FOR SAME CLASS</t>
    </r>
  </si>
  <si>
    <t>529 SAR</t>
  </si>
  <si>
    <r>
      <rPr>
        <i/>
        <sz val="14"/>
        <rFont val="Calibri"/>
      </rPr>
      <t>9</t>
    </r>
    <r>
      <rPr>
        <i/>
        <sz val="10"/>
        <rFont val="Calibri"/>
      </rPr>
      <t xml:space="preserve"> FOR SAME CLASS</t>
    </r>
  </si>
  <si>
    <t>629 SAR</t>
  </si>
  <si>
    <t>719 SAR</t>
  </si>
  <si>
    <t>XY-569</t>
  </si>
  <si>
    <t>XY-571</t>
  </si>
  <si>
    <t>XY-583</t>
  </si>
  <si>
    <t>XY-577</t>
  </si>
  <si>
    <t>669 SAR</t>
  </si>
  <si>
    <t>759 SAR</t>
  </si>
  <si>
    <t>MS-662</t>
  </si>
  <si>
    <t>503 SAR</t>
  </si>
  <si>
    <t>MS-668</t>
  </si>
  <si>
    <t>537 SAR</t>
  </si>
  <si>
    <t>MS-644</t>
  </si>
  <si>
    <t>765 SAR</t>
  </si>
  <si>
    <t>MS-666</t>
  </si>
  <si>
    <t>MS-672</t>
  </si>
  <si>
    <t>MS-674</t>
  </si>
  <si>
    <t>Air Arabia Egypt</t>
  </si>
  <si>
    <t>E5-362</t>
  </si>
  <si>
    <t>Cabin: 10 KG / Check-in: 30 KG</t>
  </si>
  <si>
    <r>
      <rPr>
        <b/>
        <i/>
        <sz val="14"/>
        <color rgb="FFBC0000"/>
        <rFont val="Calibri"/>
      </rPr>
      <t>9</t>
    </r>
    <r>
      <rPr>
        <b/>
        <i/>
        <sz val="10"/>
        <color rgb="FFBC0000"/>
        <rFont val="Calibri"/>
      </rPr>
      <t xml:space="preserve"> FOR SAME CLASS</t>
    </r>
  </si>
  <si>
    <t>615 SAR</t>
  </si>
  <si>
    <t>738 SAR</t>
  </si>
  <si>
    <t>SV-301</t>
  </si>
  <si>
    <t>935 SAR</t>
  </si>
  <si>
    <t>980 SAR</t>
  </si>
  <si>
    <t>SV-335</t>
  </si>
  <si>
    <t>SV-383</t>
  </si>
  <si>
    <t>SV-309</t>
  </si>
  <si>
    <t>1,276 SAR</t>
  </si>
  <si>
    <t>1,321 SAR</t>
  </si>
  <si>
    <t>SV-387</t>
  </si>
  <si>
    <t>SV-6664</t>
  </si>
  <si>
    <t>1,349 SAR</t>
  </si>
  <si>
    <t>SV-6893</t>
  </si>
  <si>
    <t>SV-6895</t>
  </si>
  <si>
    <t>SV-303</t>
  </si>
  <si>
    <t>1,486 SAR</t>
  </si>
  <si>
    <t>1,531 SAR</t>
  </si>
  <si>
    <t>SV-305</t>
  </si>
  <si>
    <t>SV-389</t>
  </si>
  <si>
    <t>SV-6891</t>
  </si>
  <si>
    <t>1,524 SAR</t>
  </si>
  <si>
    <t>645 SAR</t>
  </si>
  <si>
    <r>
      <rPr>
        <b/>
        <i/>
        <sz val="14"/>
        <rFont val="Calibri"/>
      </rPr>
      <t>12</t>
    </r>
    <r>
      <rPr>
        <b/>
        <i/>
        <sz val="10"/>
        <rFont val="Calibri"/>
      </rPr>
      <t xml:space="preserve"> FOR SAME CLASS</t>
    </r>
  </si>
  <si>
    <r>
      <rPr>
        <i/>
        <sz val="14"/>
        <rFont val="Calibri"/>
      </rPr>
      <t>12</t>
    </r>
    <r>
      <rPr>
        <i/>
        <sz val="10"/>
        <rFont val="Calibri"/>
      </rPr>
      <t xml:space="preserve"> FOR SAME CLASS</t>
    </r>
  </si>
  <si>
    <r>
      <rPr>
        <b/>
        <i/>
        <sz val="14"/>
        <rFont val="Calibri"/>
      </rPr>
      <t>16</t>
    </r>
    <r>
      <rPr>
        <b/>
        <i/>
        <sz val="10"/>
        <rFont val="Calibri"/>
      </rPr>
      <t xml:space="preserve"> FOR SAME CLASS</t>
    </r>
  </si>
  <si>
    <r>
      <rPr>
        <i/>
        <sz val="14"/>
        <rFont val="Calibri"/>
      </rPr>
      <t>16</t>
    </r>
    <r>
      <rPr>
        <i/>
        <sz val="10"/>
        <rFont val="Calibri"/>
      </rPr>
      <t xml:space="preserve"> FOR SAME CLASS</t>
    </r>
  </si>
  <si>
    <r>
      <rPr>
        <b/>
        <i/>
        <sz val="14"/>
        <rFont val="Calibri"/>
      </rPr>
      <t>20</t>
    </r>
    <r>
      <rPr>
        <b/>
        <i/>
        <sz val="10"/>
        <rFont val="Calibri"/>
      </rPr>
      <t xml:space="preserve"> FOR SAME CLASS</t>
    </r>
  </si>
  <si>
    <r>
      <rPr>
        <i/>
        <sz val="14"/>
        <rFont val="Calibri"/>
      </rPr>
      <t>20</t>
    </r>
    <r>
      <rPr>
        <i/>
        <sz val="10"/>
        <rFont val="Calibri"/>
      </rPr>
      <t xml:space="preserve"> FOR SAME CLASS</t>
    </r>
  </si>
  <si>
    <t>S5 &amp; W1 &amp; U7 &amp; O25 &amp; I60 &amp; P48</t>
  </si>
  <si>
    <t>U2 &amp; O26 &amp; I64</t>
  </si>
  <si>
    <t>SM-478</t>
  </si>
  <si>
    <t>O2</t>
  </si>
  <si>
    <t>S2 &amp; X4 &amp; U18 &amp; O36 &amp; I25 &amp; P45 &amp; N2</t>
  </si>
  <si>
    <t>MS-664</t>
  </si>
  <si>
    <t>MS-670</t>
  </si>
  <si>
    <t>MS-1672</t>
  </si>
  <si>
    <t>1,407 SAR</t>
  </si>
  <si>
    <t>E5-328</t>
  </si>
  <si>
    <t>566 SAR</t>
  </si>
  <si>
    <t>690 SAR</t>
  </si>
  <si>
    <t>797 SAR</t>
  </si>
  <si>
    <t>842 SAR</t>
  </si>
  <si>
    <t>389 SAR</t>
  </si>
  <si>
    <t>539 SAR</t>
  </si>
  <si>
    <r>
      <rPr>
        <b/>
        <i/>
        <sz val="14"/>
        <rFont val="Calibri"/>
      </rPr>
      <t>10</t>
    </r>
    <r>
      <rPr>
        <b/>
        <i/>
        <sz val="10"/>
        <rFont val="Calibri"/>
      </rPr>
      <t xml:space="preserve"> FOR SAME CLASS</t>
    </r>
  </si>
  <si>
    <r>
      <rPr>
        <i/>
        <sz val="14"/>
        <rFont val="Calibri"/>
      </rPr>
      <t>10</t>
    </r>
    <r>
      <rPr>
        <i/>
        <sz val="10"/>
        <rFont val="Calibri"/>
      </rPr>
      <t xml:space="preserve"> FOR SAME CLASS</t>
    </r>
  </si>
  <si>
    <t>Cabin: 0 KG | Check-in: 15 KG</t>
  </si>
  <si>
    <t>SM-432</t>
  </si>
  <si>
    <t>SM432</t>
  </si>
  <si>
    <t>I9</t>
  </si>
  <si>
    <t>S1 &amp; O6 &amp; I51</t>
  </si>
  <si>
    <t>SM-450</t>
  </si>
  <si>
    <t>SM450</t>
  </si>
  <si>
    <t>I2</t>
  </si>
  <si>
    <t>I41 &amp; E28 &amp; N1</t>
  </si>
  <si>
    <t>X1 &amp; U1 &amp; O4 &amp; P84</t>
  </si>
  <si>
    <t>S5 &amp; U4 &amp; O14 &amp; I30</t>
  </si>
  <si>
    <t>O5</t>
  </si>
  <si>
    <t>S1 &amp; O2 &amp; I10 &amp; P132</t>
  </si>
  <si>
    <t>O3</t>
  </si>
  <si>
    <t>S4 &amp; U3 &amp; O22 &amp; I55 &amp; P89</t>
  </si>
  <si>
    <t>SM-480</t>
  </si>
  <si>
    <t>S1 &amp; U4 &amp; O30 &amp; I45 &amp; E44 &amp; N2</t>
  </si>
  <si>
    <t>409 SAR</t>
  </si>
  <si>
    <t>509 SAR</t>
  </si>
  <si>
    <t>480 SAR</t>
  </si>
  <si>
    <t>604 SAR</t>
  </si>
  <si>
    <t>673 SAR</t>
  </si>
  <si>
    <t>678 SAR</t>
  </si>
  <si>
    <t>723 SAR</t>
  </si>
  <si>
    <t>1,093 SAR</t>
  </si>
  <si>
    <t>1,138 SAR</t>
  </si>
  <si>
    <t>1,225 SAR</t>
  </si>
  <si>
    <t>1,270 SAR</t>
  </si>
  <si>
    <t>1,228 SAR</t>
  </si>
  <si>
    <t>1,618 SAR</t>
  </si>
  <si>
    <t>1,663 SAR</t>
  </si>
  <si>
    <t>B1 &amp; U4 &amp; O9 &amp; I50</t>
  </si>
  <si>
    <t>S3 &amp; O9 &amp; I50 &amp; P1</t>
  </si>
  <si>
    <t>S1 &amp; O18 &amp; I41 &amp; P39</t>
  </si>
  <si>
    <t>O1</t>
  </si>
  <si>
    <t>S4 &amp; U12 &amp; O46 &amp; I36 &amp; P2 &amp; N2</t>
  </si>
  <si>
    <t>L1 &amp; G1 &amp; S1 &amp; U3 &amp; O41 &amp; I25 &amp; P68</t>
  </si>
  <si>
    <t>S5 &amp; W3 &amp; U16 &amp; O20 &amp; I10 &amp; P114</t>
  </si>
  <si>
    <r>
      <rPr>
        <b/>
        <i/>
        <sz val="14"/>
        <rFont val="Calibri"/>
      </rPr>
      <t>11</t>
    </r>
    <r>
      <rPr>
        <b/>
        <i/>
        <sz val="10"/>
        <rFont val="Calibri"/>
      </rPr>
      <t xml:space="preserve"> FOR SAME CLASS</t>
    </r>
  </si>
  <si>
    <r>
      <rPr>
        <i/>
        <sz val="14"/>
        <rFont val="Calibri"/>
      </rPr>
      <t>11</t>
    </r>
    <r>
      <rPr>
        <i/>
        <sz val="10"/>
        <rFont val="Calibri"/>
      </rPr>
      <t xml:space="preserve"> FOR SAME CLASS</t>
    </r>
  </si>
  <si>
    <t>572 SAR</t>
  </si>
  <si>
    <t>E5-322</t>
  </si>
  <si>
    <t>456 SAR</t>
  </si>
  <si>
    <t>579 SAR</t>
  </si>
  <si>
    <t>970 SAR</t>
  </si>
  <si>
    <t>430 SAR</t>
  </si>
  <si>
    <t>553 SAR</t>
  </si>
  <si>
    <t>464 SAR</t>
  </si>
  <si>
    <t>587 SAR</t>
  </si>
  <si>
    <t>S2 &amp; W1 &amp; X3 &amp; U2 &amp; O42 &amp; I25 &amp; P73</t>
  </si>
  <si>
    <t>S3 &amp; X1 &amp; U10 &amp; O27 &amp; I25 &amp; E3 &amp; P95</t>
  </si>
  <si>
    <t>S1 &amp; T9 &amp; X9 &amp; U11 &amp; O20 &amp; P102 &amp; N10</t>
  </si>
  <si>
    <t>541 SAR</t>
  </si>
  <si>
    <t>1,728 SAR</t>
  </si>
  <si>
    <t>1,773 SAR</t>
  </si>
  <si>
    <t>NE-177</t>
  </si>
  <si>
    <t>745 SAR</t>
  </si>
  <si>
    <t>S2 &amp; W2 &amp; X3 &amp; U10 &amp; O8 &amp; I1 &amp; P95</t>
  </si>
  <si>
    <t>U4 &amp; O13 &amp; I5 &amp; P83</t>
  </si>
  <si>
    <t>O6</t>
  </si>
  <si>
    <t>S2 &amp; U4 &amp; O29 &amp; I55 &amp; P47</t>
  </si>
  <si>
    <t>526 SAR</t>
  </si>
  <si>
    <t>X1</t>
  </si>
  <si>
    <t>X2 &amp; O3 &amp; I5 &amp; P157</t>
  </si>
  <si>
    <t>K1 &amp; S4 &amp; X7 &amp; U8 &amp; O8 &amp; I8 &amp; E43 &amp; P92 &amp; N2</t>
  </si>
  <si>
    <t>1,411 SAR</t>
  </si>
  <si>
    <t>1,844 SAR</t>
  </si>
  <si>
    <t>1,848 SAR</t>
  </si>
  <si>
    <t>S13</t>
  </si>
  <si>
    <t>U14</t>
  </si>
  <si>
    <t>O34</t>
  </si>
  <si>
    <t>I59</t>
  </si>
  <si>
    <t>U15</t>
  </si>
  <si>
    <t>O15</t>
  </si>
  <si>
    <t>I15</t>
  </si>
  <si>
    <t>P117</t>
  </si>
  <si>
    <t>N3</t>
  </si>
  <si>
    <t>S5</t>
  </si>
  <si>
    <t>U24</t>
  </si>
  <si>
    <t>O35</t>
  </si>
  <si>
    <t>P82</t>
  </si>
  <si>
    <t>W2</t>
  </si>
  <si>
    <t>X5</t>
  </si>
  <si>
    <t>U18</t>
  </si>
  <si>
    <t>O14</t>
  </si>
  <si>
    <t>P116</t>
  </si>
  <si>
    <t>U7</t>
  </si>
  <si>
    <t>O27</t>
  </si>
  <si>
    <t>P87</t>
  </si>
  <si>
    <t>U11</t>
  </si>
  <si>
    <t>O39</t>
  </si>
  <si>
    <t>I29</t>
  </si>
  <si>
    <t>P46</t>
  </si>
  <si>
    <t>U2</t>
  </si>
  <si>
    <t>O26</t>
  </si>
  <si>
    <t>I64</t>
  </si>
  <si>
    <t>W1</t>
  </si>
  <si>
    <t>I60</t>
  </si>
  <si>
    <t>P48</t>
  </si>
  <si>
    <t>O36</t>
  </si>
  <si>
    <t>P45</t>
  </si>
  <si>
    <t>N2</t>
  </si>
  <si>
    <t>U1</t>
  </si>
  <si>
    <t>P84</t>
  </si>
  <si>
    <t>I30</t>
  </si>
  <si>
    <t>I41</t>
  </si>
  <si>
    <t>E28</t>
  </si>
  <si>
    <t>P132</t>
  </si>
  <si>
    <t>I51</t>
  </si>
  <si>
    <t>U3</t>
  </si>
  <si>
    <t>O22</t>
  </si>
  <si>
    <t>I55</t>
  </si>
  <si>
    <t>P89</t>
  </si>
  <si>
    <t>I45</t>
  </si>
  <si>
    <t>FRIDAY</t>
  </si>
  <si>
    <t>I50</t>
  </si>
  <si>
    <t>S3</t>
  </si>
  <si>
    <t>P1</t>
  </si>
  <si>
    <t>O18</t>
  </si>
  <si>
    <t>P39</t>
  </si>
  <si>
    <t>G1</t>
  </si>
  <si>
    <t>O41</t>
  </si>
  <si>
    <t>P68</t>
  </si>
  <si>
    <t>U12</t>
  </si>
  <si>
    <t>O46</t>
  </si>
  <si>
    <t>I36</t>
  </si>
  <si>
    <t>P2</t>
  </si>
  <si>
    <t>W3</t>
  </si>
  <si>
    <t>U16</t>
  </si>
  <si>
    <t>O20</t>
  </si>
  <si>
    <t>O42</t>
  </si>
  <si>
    <t>P73</t>
  </si>
  <si>
    <t>E3</t>
  </si>
  <si>
    <t>P95</t>
  </si>
  <si>
    <t>T9</t>
  </si>
  <si>
    <t>P102</t>
  </si>
  <si>
    <t>N10</t>
  </si>
  <si>
    <t>O29</t>
  </si>
  <si>
    <t>P47</t>
  </si>
  <si>
    <t>O13</t>
  </si>
  <si>
    <t>I5</t>
  </si>
  <si>
    <t>P83</t>
  </si>
  <si>
    <t>X2</t>
  </si>
  <si>
    <t>P157</t>
  </si>
  <si>
    <t>K1</t>
  </si>
  <si>
    <t>I8</t>
  </si>
  <si>
    <t>E43</t>
  </si>
  <si>
    <t>P92</t>
  </si>
  <si>
    <t>JED-HBE</t>
  </si>
  <si>
    <t>E5-392</t>
  </si>
  <si>
    <t>Cabin: 10 KG</t>
  </si>
  <si>
    <t>560 SAR</t>
  </si>
  <si>
    <t>Cabin: 10 KG / Check-in: 20 KG</t>
  </si>
  <si>
    <t>614 SAR</t>
  </si>
  <si>
    <t>683 SAR</t>
  </si>
  <si>
    <t>E5-326</t>
  </si>
  <si>
    <t>671 SAR</t>
  </si>
  <si>
    <t>737 SAR</t>
  </si>
  <si>
    <t>F3-773</t>
  </si>
  <si>
    <t>Hand baggage only</t>
  </si>
  <si>
    <t>628 SAR</t>
  </si>
  <si>
    <t>652 SAR</t>
  </si>
  <si>
    <t>Cabin: 10 KG / Check-in: 32 KG</t>
  </si>
  <si>
    <t>819 SAR</t>
  </si>
  <si>
    <t>SV-331</t>
  </si>
  <si>
    <t>2,044 SAR</t>
  </si>
  <si>
    <t>2,172 SAR</t>
  </si>
  <si>
    <t>SV-411</t>
  </si>
  <si>
    <t>SM452</t>
  </si>
  <si>
    <t>Q3 &amp; L5 &amp; S1 &amp; X11 &amp; P159</t>
  </si>
  <si>
    <t>Indirect competition route JED – CAI - diversion ratio &amp; passenger leakage</t>
  </si>
  <si>
    <t>06:35</t>
  </si>
  <si>
    <t>17:45</t>
  </si>
  <si>
    <t>05:30</t>
  </si>
  <si>
    <t>01:05</t>
  </si>
  <si>
    <t>03:05</t>
  </si>
  <si>
    <t>25 FOR SAME CLASS</t>
  </si>
  <si>
    <t>21:20</t>
  </si>
  <si>
    <t>23:15</t>
  </si>
  <si>
    <t>20:30</t>
  </si>
  <si>
    <t>07:15</t>
  </si>
  <si>
    <t>18:55</t>
  </si>
  <si>
    <t>598 SAR</t>
  </si>
  <si>
    <t>664 SAR</t>
  </si>
  <si>
    <t>721 SAR</t>
  </si>
  <si>
    <t>MS-656</t>
  </si>
  <si>
    <t>617 SAR</t>
  </si>
  <si>
    <t>SM474</t>
  </si>
  <si>
    <t>K5 &amp; L5 &amp; G5 &amp; S3 &amp; X2 &amp; P159</t>
  </si>
  <si>
    <t>G4 &amp; S5 &amp; W10 &amp; X7 &amp; U8 &amp; O10 &amp; I9 &amp; P126</t>
  </si>
  <si>
    <t>SM458</t>
  </si>
  <si>
    <t>S9 &amp; W15 &amp; X7 &amp; U6 &amp; O7 &amp; I6 &amp; P129</t>
  </si>
  <si>
    <t>06:30</t>
  </si>
  <si>
    <t>12 FOR SAME CLASS</t>
  </si>
  <si>
    <t>16 FOR SAME CLASS</t>
  </si>
  <si>
    <t>20 FOR SAME CLASS</t>
  </si>
  <si>
    <t>12:30</t>
  </si>
  <si>
    <t>12:25</t>
  </si>
  <si>
    <t>14:45</t>
  </si>
  <si>
    <t>06:10</t>
  </si>
  <si>
    <t>519 SAR</t>
  </si>
  <si>
    <t>573 SAR</t>
  </si>
  <si>
    <t>642 SAR</t>
  </si>
  <si>
    <t>E5-394</t>
  </si>
  <si>
    <t>530 SAR</t>
  </si>
  <si>
    <t>584 SAR</t>
  </si>
  <si>
    <t>653 SAR</t>
  </si>
  <si>
    <t>747 SAR</t>
  </si>
  <si>
    <t>901 SAR</t>
  </si>
  <si>
    <t>973 SAR</t>
  </si>
  <si>
    <t>L7 &amp; S1 &amp; X1 &amp; P170</t>
  </si>
  <si>
    <t>10 FOR SAME CLASS</t>
  </si>
  <si>
    <t>07:00</t>
  </si>
  <si>
    <t>14:15</t>
  </si>
  <si>
    <t>08:45</t>
  </si>
  <si>
    <t>06:05</t>
  </si>
  <si>
    <t>16:00</t>
  </si>
  <si>
    <t>9 FOR SAME CLASS</t>
  </si>
  <si>
    <t>446 SAR</t>
  </si>
  <si>
    <t>491 SAR</t>
  </si>
  <si>
    <t>SM-452</t>
  </si>
  <si>
    <t>L9</t>
  </si>
  <si>
    <t>L2 &amp; G15 &amp; S15 &amp; W21 &amp; T17 &amp; X27 &amp; U15</t>
  </si>
  <si>
    <t>02:45</t>
  </si>
  <si>
    <t>07:40</t>
  </si>
  <si>
    <t>11:00</t>
  </si>
  <si>
    <t>11 FOR SAME CLASS</t>
  </si>
  <si>
    <t>17:40</t>
  </si>
  <si>
    <t>592 SAR</t>
  </si>
  <si>
    <t>658 SAR</t>
  </si>
  <si>
    <t>716 SAR</t>
  </si>
  <si>
    <t>G8 &amp; S3 &amp; T1 &amp; X17 &amp; P139</t>
  </si>
  <si>
    <t>G10 &amp; S11 &amp; X7 &amp; U7 &amp; O6 &amp; I8 &amp; P119</t>
  </si>
  <si>
    <t>05:15</t>
  </si>
  <si>
    <t>05:10</t>
  </si>
  <si>
    <t>05:40</t>
  </si>
  <si>
    <t>08:00</t>
  </si>
  <si>
    <t>744 SAR</t>
  </si>
  <si>
    <t>806 SAR</t>
  </si>
  <si>
    <t>SM-458</t>
  </si>
  <si>
    <t>781 SAR</t>
  </si>
  <si>
    <t>G1 &amp; S1 &amp; X4 &amp; U7 &amp; O8 &amp; I8 &amp; P137 &amp; N1</t>
  </si>
  <si>
    <t>G1 &amp; S4 &amp; W6 &amp; T7 &amp; X10 &amp; P138 &amp; N2</t>
  </si>
  <si>
    <t>2,275 SAR</t>
  </si>
  <si>
    <t>2,403 SAR</t>
  </si>
  <si>
    <t>09:10</t>
  </si>
  <si>
    <t>15:30</t>
  </si>
  <si>
    <t>02:00</t>
  </si>
  <si>
    <t>L5</t>
  </si>
  <si>
    <t>P159</t>
  </si>
  <si>
    <t>G5</t>
  </si>
  <si>
    <t>G4</t>
  </si>
  <si>
    <t>W10</t>
  </si>
  <si>
    <t>P126</t>
  </si>
  <si>
    <t>W15</t>
  </si>
  <si>
    <t>P129</t>
  </si>
  <si>
    <t>L7</t>
  </si>
  <si>
    <t>P170</t>
  </si>
  <si>
    <t>G15</t>
  </si>
  <si>
    <t>S15</t>
  </si>
  <si>
    <t>W21</t>
  </si>
  <si>
    <t>T17</t>
  </si>
  <si>
    <t>X27</t>
  </si>
  <si>
    <t>G8</t>
  </si>
  <si>
    <t>T1</t>
  </si>
  <si>
    <t>X17</t>
  </si>
  <si>
    <t>P139</t>
  </si>
  <si>
    <t>G10</t>
  </si>
  <si>
    <t>P119</t>
  </si>
  <si>
    <t>P137</t>
  </si>
  <si>
    <t>W6</t>
  </si>
  <si>
    <t>T7</t>
  </si>
  <si>
    <t>P138</t>
  </si>
  <si>
    <t>JED-CAI AS ALTERNATIVE ROUTE</t>
  </si>
  <si>
    <t>JED-ATZ</t>
  </si>
  <si>
    <t>SM-454</t>
  </si>
  <si>
    <t>586 SAR</t>
  </si>
  <si>
    <t>SM454</t>
  </si>
  <si>
    <t>T2</t>
  </si>
  <si>
    <t>S4 &amp; T1 &amp; U8 &amp; P155</t>
  </si>
  <si>
    <t>SM-456</t>
  </si>
  <si>
    <t>SM456</t>
  </si>
  <si>
    <t>L1 &amp; S1 &amp; X3 &amp; I3 &amp; P164</t>
  </si>
  <si>
    <t>MS-8224</t>
  </si>
  <si>
    <t>715 SAR</t>
  </si>
  <si>
    <t>F3-777</t>
  </si>
  <si>
    <t>299 SAR</t>
  </si>
  <si>
    <t>358 SAR</t>
  </si>
  <si>
    <t>382 SAR</t>
  </si>
  <si>
    <t>U3 &amp; O12 &amp; I30 &amp; E43 &amp; P41</t>
  </si>
  <si>
    <t>SM-492</t>
  </si>
  <si>
    <t>SM492</t>
  </si>
  <si>
    <t>S4 &amp; U7 &amp; O13 &amp; I30 &amp; E30 &amp; P78</t>
  </si>
  <si>
    <t>640 SAR</t>
  </si>
  <si>
    <t>SM-422</t>
  </si>
  <si>
    <t>SM422</t>
  </si>
  <si>
    <t>S1 &amp; U6 &amp; O2 &amp; I20</t>
  </si>
  <si>
    <t>T2 &amp; X2 &amp; U9 &amp; O11 &amp; I35 &amp; P44</t>
  </si>
  <si>
    <t>U1 &amp; O12 &amp; I23 &amp; E1 &amp; P95</t>
  </si>
  <si>
    <t>S3 &amp; W1 &amp; X6 &amp; U13 &amp; O26 &amp; I49 &amp; P2</t>
  </si>
  <si>
    <t>S8 &amp; W1 &amp; X12 &amp; U8 &amp; O2 &amp; I4 &amp; P95</t>
  </si>
  <si>
    <t>S1 &amp; W1 &amp; T2 &amp; X4 &amp; U12 &amp; I4 &amp; P135</t>
  </si>
  <si>
    <r>
      <rPr>
        <b/>
        <i/>
        <sz val="14"/>
        <color rgb="FFBC0000"/>
        <rFont val="Calibri"/>
      </rPr>
      <t>11</t>
    </r>
    <r>
      <rPr>
        <b/>
        <i/>
        <sz val="10"/>
        <color rgb="FFBC0000"/>
        <rFont val="Calibri"/>
      </rPr>
      <t xml:space="preserve"> FOR SAME CLASS</t>
    </r>
  </si>
  <si>
    <t>329 SAR</t>
  </si>
  <si>
    <t>388 SAR</t>
  </si>
  <si>
    <t>412 SAR</t>
  </si>
  <si>
    <t>S7 &amp; X4 &amp; U14 &amp; O15 &amp; I20 &amp; P75</t>
  </si>
  <si>
    <t>S1 &amp; W2 &amp; X5 &amp; U8 &amp; O9 &amp; I36 &amp; E45</t>
  </si>
  <si>
    <t>P155</t>
  </si>
  <si>
    <t>I3</t>
  </si>
  <si>
    <t>P164</t>
  </si>
  <si>
    <t>O12</t>
  </si>
  <si>
    <t>P41</t>
  </si>
  <si>
    <t>E30</t>
  </si>
  <si>
    <t>P78</t>
  </si>
  <si>
    <t>I20</t>
  </si>
  <si>
    <t>I23</t>
  </si>
  <si>
    <t>E1</t>
  </si>
  <si>
    <t>O11</t>
  </si>
  <si>
    <t>I35</t>
  </si>
  <si>
    <t>P44</t>
  </si>
  <si>
    <t>X6</t>
  </si>
  <si>
    <t>U13</t>
  </si>
  <si>
    <t>I49</t>
  </si>
  <si>
    <t>X12</t>
  </si>
  <si>
    <t>S7</t>
  </si>
  <si>
    <t>P75</t>
  </si>
  <si>
    <t>E45</t>
  </si>
  <si>
    <t>JED-LXR</t>
  </si>
  <si>
    <t>SM482</t>
  </si>
  <si>
    <t>X83 &amp; U97</t>
  </si>
  <si>
    <t>SM430</t>
  </si>
  <si>
    <t>X45 &amp; U135</t>
  </si>
  <si>
    <t>SM982</t>
  </si>
  <si>
    <t>X1 &amp; U179</t>
  </si>
  <si>
    <t>SM484</t>
  </si>
  <si>
    <t>NE-678</t>
  </si>
  <si>
    <t>835 SAR</t>
  </si>
  <si>
    <t>NE-676</t>
  </si>
  <si>
    <t>X83</t>
  </si>
  <si>
    <t>U97</t>
  </si>
  <si>
    <t>X45</t>
  </si>
  <si>
    <t>U135</t>
  </si>
  <si>
    <t>U179</t>
  </si>
  <si>
    <t>JED-ASW</t>
  </si>
  <si>
    <t>JED-SSH</t>
  </si>
  <si>
    <t>SV-325</t>
  </si>
  <si>
    <t>1,267 SAR</t>
  </si>
  <si>
    <t>1,395 SAR</t>
  </si>
  <si>
    <t>756 SAR</t>
  </si>
  <si>
    <t>1,034 SAR</t>
  </si>
  <si>
    <t>1,106 SAR</t>
  </si>
  <si>
    <t>551 SAR</t>
  </si>
  <si>
    <t>647 SAR</t>
  </si>
  <si>
    <t>925 SAR</t>
  </si>
  <si>
    <t>997 SAR</t>
  </si>
  <si>
    <t>JED-HRG</t>
  </si>
  <si>
    <t>RUH-CAI</t>
  </si>
  <si>
    <t>F3-615</t>
  </si>
  <si>
    <t>309 SAR</t>
  </si>
  <si>
    <t>F3-611</t>
  </si>
  <si>
    <t>339 SAR</t>
  </si>
  <si>
    <t>899 SAR</t>
  </si>
  <si>
    <t>F3-605</t>
  </si>
  <si>
    <t>369 SAR</t>
  </si>
  <si>
    <t>F3-607</t>
  </si>
  <si>
    <t>NE-161</t>
  </si>
  <si>
    <t>350 SAR</t>
  </si>
  <si>
    <t>XY-269</t>
  </si>
  <si>
    <t>469 SAR</t>
  </si>
  <si>
    <t>XY-263</t>
  </si>
  <si>
    <t>XY-267</t>
  </si>
  <si>
    <t>XY-271</t>
  </si>
  <si>
    <t>XY-273</t>
  </si>
  <si>
    <t>XY-265</t>
  </si>
  <si>
    <t>XY-275</t>
  </si>
  <si>
    <t>SM-470</t>
  </si>
  <si>
    <t>397 SAR</t>
  </si>
  <si>
    <t>SM470</t>
  </si>
  <si>
    <t>S1 &amp; U4 &amp; O52 &amp; I78</t>
  </si>
  <si>
    <t>E5-411</t>
  </si>
  <si>
    <t>417 SAR</t>
  </si>
  <si>
    <t>540 SAR</t>
  </si>
  <si>
    <t>MS-650</t>
  </si>
  <si>
    <t>437 SAR</t>
  </si>
  <si>
    <t>MS-652</t>
  </si>
  <si>
    <t>MS-648</t>
  </si>
  <si>
    <t>441 SAR</t>
  </si>
  <si>
    <t>SV-311</t>
  </si>
  <si>
    <t>661 SAR</t>
  </si>
  <si>
    <t>711 SAR</t>
  </si>
  <si>
    <t>SV-323</t>
  </si>
  <si>
    <t>SV-417</t>
  </si>
  <si>
    <t>SV-313</t>
  </si>
  <si>
    <t>774 SAR</t>
  </si>
  <si>
    <t>824 SAR</t>
  </si>
  <si>
    <t>SV-321</t>
  </si>
  <si>
    <t>SV-6749</t>
  </si>
  <si>
    <t>1,213 SAR</t>
  </si>
  <si>
    <t>SV-6595</t>
  </si>
  <si>
    <t>1,265 SAR</t>
  </si>
  <si>
    <t>SV-6676</t>
  </si>
  <si>
    <t>259 SAR</t>
  </si>
  <si>
    <t>279 SAR</t>
  </si>
  <si>
    <t>429 SAR</t>
  </si>
  <si>
    <r>
      <rPr>
        <b/>
        <i/>
        <sz val="14"/>
        <rFont val="Calibri"/>
      </rPr>
      <t>19</t>
    </r>
    <r>
      <rPr>
        <b/>
        <i/>
        <sz val="10"/>
        <rFont val="Calibri"/>
      </rPr>
      <t xml:space="preserve"> FOR SAME CLASS</t>
    </r>
  </si>
  <si>
    <r>
      <rPr>
        <i/>
        <sz val="14"/>
        <rFont val="Calibri"/>
      </rPr>
      <t>19</t>
    </r>
    <r>
      <rPr>
        <i/>
        <sz val="10"/>
        <rFont val="Calibri"/>
      </rPr>
      <t xml:space="preserve"> FOR SAME CLASS</t>
    </r>
  </si>
  <si>
    <t>E5-416</t>
  </si>
  <si>
    <t>316 SAR</t>
  </si>
  <si>
    <t>439 SAR</t>
  </si>
  <si>
    <t>355 SAR</t>
  </si>
  <si>
    <t>Q2 &amp; K1 &amp; S1 &amp; W1 &amp; O14 &amp; I80</t>
  </si>
  <si>
    <t>SM-462</t>
  </si>
  <si>
    <t>SM462</t>
  </si>
  <si>
    <t>U3 &amp; O56 &amp; I58</t>
  </si>
  <si>
    <t>NP-252</t>
  </si>
  <si>
    <t>357 SAR</t>
  </si>
  <si>
    <t>736 SAR</t>
  </si>
  <si>
    <t>786 SAR</t>
  </si>
  <si>
    <t>1,161 SAR</t>
  </si>
  <si>
    <r>
      <rPr>
        <b/>
        <i/>
        <sz val="14"/>
        <color rgb="FFBC0000"/>
        <rFont val="Calibri"/>
      </rPr>
      <t>15</t>
    </r>
    <r>
      <rPr>
        <b/>
        <i/>
        <sz val="10"/>
        <color rgb="FFBC0000"/>
        <rFont val="Calibri"/>
      </rPr>
      <t xml:space="preserve"> FOR SAME CLASS</t>
    </r>
  </si>
  <si>
    <r>
      <rPr>
        <i/>
        <sz val="14"/>
        <rFont val="Calibri"/>
      </rPr>
      <t>15</t>
    </r>
    <r>
      <rPr>
        <i/>
        <sz val="10"/>
        <rFont val="Calibri"/>
      </rPr>
      <t xml:space="preserve"> FOR SAME CLASS</t>
    </r>
  </si>
  <si>
    <t>659 SAR</t>
  </si>
  <si>
    <t>289 SAR</t>
  </si>
  <si>
    <t>479 SAR</t>
  </si>
  <si>
    <t>729 SAR</t>
  </si>
  <si>
    <t>NE-165</t>
  </si>
  <si>
    <t>NP-152</t>
  </si>
  <si>
    <t>416 SAR</t>
  </si>
  <si>
    <t>K2 &amp; S2 &amp; W3 &amp; X3 &amp; U24 &amp; O10 &amp; I60</t>
  </si>
  <si>
    <t>406 SAR</t>
  </si>
  <si>
    <t>527 SAR</t>
  </si>
  <si>
    <t>531 SAR</t>
  </si>
  <si>
    <t>728 SAR</t>
  </si>
  <si>
    <t>778 SAR</t>
  </si>
  <si>
    <t>1,717 SAR</t>
  </si>
  <si>
    <t>2,405 SAR</t>
  </si>
  <si>
    <t>2,533 SAR</t>
  </si>
  <si>
    <t>290 SAR</t>
  </si>
  <si>
    <t>K1 &amp; S1 &amp; U3 &amp; O38 &amp; I50</t>
  </si>
  <si>
    <t>W4 &amp; O2 &amp; I70</t>
  </si>
  <si>
    <t>462 SAR</t>
  </si>
  <si>
    <r>
      <rPr>
        <b/>
        <i/>
        <sz val="14"/>
        <color rgb="FFBC0000"/>
        <rFont val="Calibri"/>
      </rPr>
      <t>10</t>
    </r>
    <r>
      <rPr>
        <b/>
        <i/>
        <sz val="10"/>
        <color rgb="FFBC0000"/>
        <rFont val="Calibri"/>
      </rPr>
      <t xml:space="preserve"> FOR SAME CLASS</t>
    </r>
  </si>
  <si>
    <r>
      <rPr>
        <b/>
        <i/>
        <sz val="14"/>
        <rFont val="Calibri"/>
      </rPr>
      <t>17</t>
    </r>
    <r>
      <rPr>
        <b/>
        <i/>
        <sz val="10"/>
        <rFont val="Calibri"/>
      </rPr>
      <t xml:space="preserve"> FOR SAME CLASS</t>
    </r>
  </si>
  <si>
    <r>
      <rPr>
        <i/>
        <sz val="14"/>
        <rFont val="Calibri"/>
      </rPr>
      <t>17</t>
    </r>
    <r>
      <rPr>
        <i/>
        <sz val="10"/>
        <rFont val="Calibri"/>
      </rPr>
      <t xml:space="preserve"> FOR SAME CLASS</t>
    </r>
  </si>
  <si>
    <r>
      <rPr>
        <b/>
        <i/>
        <sz val="14"/>
        <rFont val="Calibri"/>
      </rPr>
      <t>25</t>
    </r>
    <r>
      <rPr>
        <b/>
        <i/>
        <sz val="10"/>
        <rFont val="Calibri"/>
      </rPr>
      <t xml:space="preserve"> FOR SAME CLASS</t>
    </r>
  </si>
  <si>
    <t>354 SAR</t>
  </si>
  <si>
    <t>K1 &amp; S1 &amp; W1 &amp; U2 &amp; O26 &amp; I60</t>
  </si>
  <si>
    <t>NP-154</t>
  </si>
  <si>
    <t>NP-352</t>
  </si>
  <si>
    <t>366 SAR</t>
  </si>
  <si>
    <r>
      <rPr>
        <b/>
        <i/>
        <sz val="14"/>
        <color rgb="FFBC0000"/>
        <rFont val="Calibri"/>
      </rPr>
      <t>20</t>
    </r>
    <r>
      <rPr>
        <b/>
        <i/>
        <sz val="10"/>
        <color rgb="FFBC0000"/>
        <rFont val="Calibri"/>
      </rPr>
      <t xml:space="preserve"> FOR SAME CLASS</t>
    </r>
  </si>
  <si>
    <r>
      <rPr>
        <b/>
        <i/>
        <sz val="14"/>
        <rFont val="Calibri"/>
      </rPr>
      <t>23</t>
    </r>
    <r>
      <rPr>
        <b/>
        <i/>
        <sz val="10"/>
        <rFont val="Calibri"/>
      </rPr>
      <t xml:space="preserve"> FOR SAME CLASS</t>
    </r>
  </si>
  <si>
    <r>
      <rPr>
        <i/>
        <sz val="14"/>
        <rFont val="Calibri"/>
      </rPr>
      <t>23</t>
    </r>
    <r>
      <rPr>
        <i/>
        <sz val="10"/>
        <rFont val="Calibri"/>
      </rPr>
      <t xml:space="preserve"> FOR SAME CLASS</t>
    </r>
  </si>
  <si>
    <t>359 SAR</t>
  </si>
  <si>
    <t>NE-163</t>
  </si>
  <si>
    <t>K1 &amp; S1 &amp; W1 &amp; U1 &amp; O28 &amp; I50</t>
  </si>
  <si>
    <t>NP-354</t>
  </si>
  <si>
    <t>495 SAR</t>
  </si>
  <si>
    <t>545 SAR</t>
  </si>
  <si>
    <t>O52</t>
  </si>
  <si>
    <t>I78</t>
  </si>
  <si>
    <t>O56</t>
  </si>
  <si>
    <t>I58</t>
  </si>
  <si>
    <t>I80</t>
  </si>
  <si>
    <t>K2</t>
  </si>
  <si>
    <t>O38</t>
  </si>
  <si>
    <t>I70</t>
  </si>
  <si>
    <t>O28</t>
  </si>
  <si>
    <t>RUH-ATZ</t>
  </si>
  <si>
    <t>SM-464</t>
  </si>
  <si>
    <t>596 SAR</t>
  </si>
  <si>
    <t>SM464</t>
  </si>
  <si>
    <t>S3 &amp; W2 &amp; T2 &amp; X2 &amp; U25 &amp; O45 &amp; I20</t>
  </si>
  <si>
    <t>MS-8246</t>
  </si>
  <si>
    <t>Indirect competition route RUH – CAI - diversion ratio &amp; passenger leakage</t>
  </si>
  <si>
    <t>19:35</t>
  </si>
  <si>
    <t>18:15</t>
  </si>
  <si>
    <t>10:45</t>
  </si>
  <si>
    <t>12:00</t>
  </si>
  <si>
    <t>10:15</t>
  </si>
  <si>
    <t>21:55</t>
  </si>
  <si>
    <t>07:20</t>
  </si>
  <si>
    <t>16:30</t>
  </si>
  <si>
    <t>SM-466</t>
  </si>
  <si>
    <t>SM466</t>
  </si>
  <si>
    <t>S5 &amp; W4 &amp; T1 &amp; U7 &amp; O66 &amp; I12</t>
  </si>
  <si>
    <t>MS-8240</t>
  </si>
  <si>
    <t>19 FOR SAME CLASS</t>
  </si>
  <si>
    <t>09:00</t>
  </si>
  <si>
    <t>22:10</t>
  </si>
  <si>
    <t>S5 &amp; W3 &amp; X9 &amp; U22 &amp; O49 &amp; I1</t>
  </si>
  <si>
    <t>23 FOR SAME CLASS</t>
  </si>
  <si>
    <t>19:50</t>
  </si>
  <si>
    <t>U25</t>
  </si>
  <si>
    <t>O45</t>
  </si>
  <si>
    <t>O66</t>
  </si>
  <si>
    <t>I12</t>
  </si>
  <si>
    <t>U22</t>
  </si>
  <si>
    <t>O49</t>
  </si>
  <si>
    <t>RUH-CAI AS ALTERNATIVE ROUTE</t>
  </si>
  <si>
    <t>DMM-CAI</t>
  </si>
  <si>
    <t>F3-911</t>
  </si>
  <si>
    <t>XY-854</t>
  </si>
  <si>
    <t>379 SAR</t>
  </si>
  <si>
    <t>XY-894</t>
  </si>
  <si>
    <t>SM-434</t>
  </si>
  <si>
    <t>425 SAR</t>
  </si>
  <si>
    <t>SM434</t>
  </si>
  <si>
    <t>S8 &amp; W4 &amp; X1 &amp; U2 &amp; O8 &amp; I48</t>
  </si>
  <si>
    <t>NP-132</t>
  </si>
  <si>
    <t>MS-684</t>
  </si>
  <si>
    <t>547 SAR</t>
  </si>
  <si>
    <t>MS-688</t>
  </si>
  <si>
    <t>MS-682</t>
  </si>
  <si>
    <t>862 SAR</t>
  </si>
  <si>
    <t>SV-6446</t>
  </si>
  <si>
    <t>1,231 SAR</t>
  </si>
  <si>
    <t>NE-155</t>
  </si>
  <si>
    <t>371 SAR</t>
  </si>
  <si>
    <t>NP-232</t>
  </si>
  <si>
    <t>1,183 SAR</t>
  </si>
  <si>
    <t>349 SAR</t>
  </si>
  <si>
    <t>NE-153</t>
  </si>
  <si>
    <t>415 SAR</t>
  </si>
  <si>
    <t>583 SAR</t>
  </si>
  <si>
    <t>NP-332</t>
  </si>
  <si>
    <t>L1 &amp; S2 &amp; W4 &amp; X1 &amp; U4 &amp; O1 &amp; I33</t>
  </si>
  <si>
    <t>1,126 SAR</t>
  </si>
  <si>
    <t>NE-151</t>
  </si>
  <si>
    <t>411 SAR</t>
  </si>
  <si>
    <t>686 SAR</t>
  </si>
  <si>
    <t>G3 &amp; S10 &amp; W1 &amp; O7 &amp; I35</t>
  </si>
  <si>
    <r>
      <rPr>
        <b/>
        <i/>
        <sz val="14"/>
        <color rgb="FFBC0000"/>
        <rFont val="Calibri"/>
      </rPr>
      <t>12</t>
    </r>
    <r>
      <rPr>
        <b/>
        <i/>
        <sz val="10"/>
        <color rgb="FFBC0000"/>
        <rFont val="Calibri"/>
      </rPr>
      <t xml:space="preserve"> FOR SAME CLASS</t>
    </r>
  </si>
  <si>
    <t>E5-316</t>
  </si>
  <si>
    <t>477 SAR</t>
  </si>
  <si>
    <t>L2 &amp; G1 &amp; S7 &amp; W6 &amp; U1 &amp; I14</t>
  </si>
  <si>
    <t>1,085 SAR</t>
  </si>
  <si>
    <t>NP-134</t>
  </si>
  <si>
    <t>NP-234</t>
  </si>
  <si>
    <t>I48</t>
  </si>
  <si>
    <t>I33</t>
  </si>
  <si>
    <t>S10</t>
  </si>
  <si>
    <t>I14</t>
  </si>
  <si>
    <t>DMM-ATZ</t>
  </si>
  <si>
    <t>SM-438</t>
  </si>
  <si>
    <t>506 SAR</t>
  </si>
  <si>
    <t>SM438</t>
  </si>
  <si>
    <t>S2 &amp; W2 &amp; T1 &amp; X3 &amp; U41 &amp; O18 &amp; I10</t>
  </si>
  <si>
    <t>Indirect competition route DMM – CAI - diversion ratio &amp; passenger leakage</t>
  </si>
  <si>
    <t>04:10</t>
  </si>
  <si>
    <t>20:00</t>
  </si>
  <si>
    <t>04:05</t>
  </si>
  <si>
    <t>20:45</t>
  </si>
  <si>
    <t>23:00</t>
  </si>
  <si>
    <t>13:55</t>
  </si>
  <si>
    <t>U41</t>
  </si>
  <si>
    <t>DMM-CAI AS ALTERNATIVE ROUTE</t>
  </si>
  <si>
    <t>TUU-CAI</t>
  </si>
  <si>
    <t>NE-121</t>
  </si>
  <si>
    <t>MS-812</t>
  </si>
  <si>
    <t>404 SAR</t>
  </si>
  <si>
    <t>E5-590</t>
  </si>
  <si>
    <t>472 SAR</t>
  </si>
  <si>
    <t>NP-118</t>
  </si>
  <si>
    <t>SM-326</t>
  </si>
  <si>
    <t>385 SAR</t>
  </si>
  <si>
    <t>SM326</t>
  </si>
  <si>
    <t>G1 &amp; O11 &amp; I18</t>
  </si>
  <si>
    <t>320 SAR</t>
  </si>
  <si>
    <t>344 SAR</t>
  </si>
  <si>
    <t>NP-108</t>
  </si>
  <si>
    <t>X1 &amp; U3 &amp; O37 &amp; I18</t>
  </si>
  <si>
    <t>381 SAR</t>
  </si>
  <si>
    <t>504 SAR</t>
  </si>
  <si>
    <t>O13 &amp; I15</t>
  </si>
  <si>
    <t>325 SAR</t>
  </si>
  <si>
    <t>448 SAR</t>
  </si>
  <si>
    <t>NP-308</t>
  </si>
  <si>
    <t>O37</t>
  </si>
  <si>
    <t>TUU-ATZ</t>
  </si>
  <si>
    <t>SM-328</t>
  </si>
  <si>
    <t>SM328</t>
  </si>
  <si>
    <t>U3 &amp; O61 &amp; I10</t>
  </si>
  <si>
    <t>Indirect competition route TUU – CAI - diversion ratio &amp; passenger leakage</t>
  </si>
  <si>
    <t>21:45</t>
  </si>
  <si>
    <t>15:15</t>
  </si>
  <si>
    <t>O61</t>
  </si>
  <si>
    <t>TUU-CAI AS ALTERNATIVE ROUTE</t>
  </si>
  <si>
    <t>AJF-CAI</t>
  </si>
  <si>
    <t>SM-322</t>
  </si>
  <si>
    <t>668 SAR</t>
  </si>
  <si>
    <t>SM322</t>
  </si>
  <si>
    <t>G1 &amp; S1 &amp; W4 &amp; T20 &amp; X48 &amp; U20 &amp; O25 &amp; I35</t>
  </si>
  <si>
    <t>420 SAR</t>
  </si>
  <si>
    <t>S1 &amp; T4 &amp; X1 &amp; O36 &amp; I37</t>
  </si>
  <si>
    <t>NP-120</t>
  </si>
  <si>
    <t>421 SAR</t>
  </si>
  <si>
    <t>NP-110</t>
  </si>
  <si>
    <t>W1 &amp; O50 &amp; I1</t>
  </si>
  <si>
    <t>T20</t>
  </si>
  <si>
    <t>X48</t>
  </si>
  <si>
    <t>I37</t>
  </si>
  <si>
    <t>O50</t>
  </si>
  <si>
    <t>AJF-ATZ</t>
  </si>
  <si>
    <t>SM-324</t>
  </si>
  <si>
    <t>538 SAR</t>
  </si>
  <si>
    <t>SM324</t>
  </si>
  <si>
    <t>X5 &amp; U40 &amp; O49 &amp; I1</t>
  </si>
  <si>
    <t>Indirect competition route AJF – CAI - diversion ratio &amp; passenger leakage</t>
  </si>
  <si>
    <t>U40</t>
  </si>
  <si>
    <t>AJF-CAI AS ALTERNATIVE ROUTE</t>
  </si>
  <si>
    <t>YNB-CAI</t>
  </si>
  <si>
    <t>NP-104</t>
  </si>
  <si>
    <t>521 SAR</t>
  </si>
  <si>
    <t>SM-442</t>
  </si>
  <si>
    <t>748 SAR</t>
  </si>
  <si>
    <t>SM442</t>
  </si>
  <si>
    <t>S6</t>
  </si>
  <si>
    <t>L2 &amp; S7 &amp; X5 &amp; P159</t>
  </si>
  <si>
    <t>NE-181</t>
  </si>
  <si>
    <t>S4 &amp; W1 &amp; T12 &amp; X3 &amp; U4 &amp; O1 &amp; I14 &amp; P117</t>
  </si>
  <si>
    <t>1,108 SAR</t>
  </si>
  <si>
    <t>V6</t>
  </si>
  <si>
    <t>K4 &amp; V4 &amp; W6 &amp; T1 &amp; X21 &amp; P137</t>
  </si>
  <si>
    <t>V2 &amp; S1 &amp; W8 &amp; T24 &amp; X10 &amp; U31 &amp; O9 &amp; I28 &amp; P40</t>
  </si>
  <si>
    <t>868 SAR</t>
  </si>
  <si>
    <t>Y1 &amp; L3 &amp; G12 &amp; W1 &amp; X7 &amp; U1 &amp; O6 &amp; I4 &amp; P137</t>
  </si>
  <si>
    <t>S2 &amp; W2 &amp; T6 &amp; X7 &amp; U18 &amp; O20 &amp; I29 &amp; P89</t>
  </si>
  <si>
    <t>T12</t>
  </si>
  <si>
    <t>X21</t>
  </si>
  <si>
    <t>W8</t>
  </si>
  <si>
    <t>T24</t>
  </si>
  <si>
    <t>U31</t>
  </si>
  <si>
    <t>I28</t>
  </si>
  <si>
    <t>P40</t>
  </si>
  <si>
    <t>Y1</t>
  </si>
  <si>
    <t>G12</t>
  </si>
  <si>
    <t>T6</t>
  </si>
  <si>
    <t>AHB-CAI</t>
  </si>
  <si>
    <t>NP-144</t>
  </si>
  <si>
    <t>863 SAR</t>
  </si>
  <si>
    <t>E5-512</t>
  </si>
  <si>
    <t>1,000 SAR</t>
  </si>
  <si>
    <t>1,134 SAR</t>
  </si>
  <si>
    <t>SM-448</t>
  </si>
  <si>
    <t>591 SAR</t>
  </si>
  <si>
    <t>SM448</t>
  </si>
  <si>
    <t>S4 &amp; W9 &amp; T9 &amp; X67 &amp; O1</t>
  </si>
  <si>
    <t>SM-444</t>
  </si>
  <si>
    <t>564 SAR</t>
  </si>
  <si>
    <t>SM444</t>
  </si>
  <si>
    <t>W6 &amp; T16 &amp; X55 &amp; U9 &amp; O9</t>
  </si>
  <si>
    <t>625 SAR</t>
  </si>
  <si>
    <t>753 SAR</t>
  </si>
  <si>
    <t>NP-244</t>
  </si>
  <si>
    <t>550 SAR</t>
  </si>
  <si>
    <t>S1 &amp; W2 &amp; T1 &amp; X38 &amp; U5 &amp; O9 &amp; I8</t>
  </si>
  <si>
    <t>571 SAR</t>
  </si>
  <si>
    <t>X67</t>
  </si>
  <si>
    <t>T16</t>
  </si>
  <si>
    <t>X55</t>
  </si>
  <si>
    <t>X38</t>
  </si>
  <si>
    <t>AHB-ATZ</t>
  </si>
  <si>
    <t>SM-446</t>
  </si>
  <si>
    <t>SM446</t>
  </si>
  <si>
    <t>G9</t>
  </si>
  <si>
    <t>L3 &amp; G26 &amp; S14 &amp; W10</t>
  </si>
  <si>
    <t>Indirect competition route AHB – CAI - diversion ratio &amp; passenger leakage</t>
  </si>
  <si>
    <t>00:05</t>
  </si>
  <si>
    <t>22:00</t>
  </si>
  <si>
    <t>G26</t>
  </si>
  <si>
    <t>AHB-CAI AS ALTERNATIVE ROUTE</t>
  </si>
  <si>
    <t>ELQ-CAI</t>
  </si>
  <si>
    <t>NE-141</t>
  </si>
  <si>
    <t>NP-106</t>
  </si>
  <si>
    <t>MS-634</t>
  </si>
  <si>
    <t>1,023 SAR</t>
  </si>
  <si>
    <t>E5-592</t>
  </si>
  <si>
    <t>324 SAR</t>
  </si>
  <si>
    <t>447 SAR</t>
  </si>
  <si>
    <t>305 SAR</t>
  </si>
  <si>
    <t>SM-428</t>
  </si>
  <si>
    <t>SM428</t>
  </si>
  <si>
    <t>S2 &amp; W2 &amp; O14 &amp; I46</t>
  </si>
  <si>
    <t>300 SAR</t>
  </si>
  <si>
    <t>451 SAR</t>
  </si>
  <si>
    <t>NP-116</t>
  </si>
  <si>
    <t>S2 &amp; W4 &amp; O12</t>
  </si>
  <si>
    <t>372 SAR</t>
  </si>
  <si>
    <t>S8 &amp; W4 &amp; O65</t>
  </si>
  <si>
    <t>I46</t>
  </si>
  <si>
    <t>O65</t>
  </si>
  <si>
    <t>ELQ-ATZ</t>
  </si>
  <si>
    <t>SM-436</t>
  </si>
  <si>
    <t>413 SAR</t>
  </si>
  <si>
    <t>SM436</t>
  </si>
  <si>
    <t>W1 &amp; X3 &amp; U21 &amp; O68</t>
  </si>
  <si>
    <t>Indirect competition route ELQ – CAI - diversion ratio &amp; passenger leakage</t>
  </si>
  <si>
    <t>22:30</t>
  </si>
  <si>
    <t>15:00</t>
  </si>
  <si>
    <t>15:45</t>
  </si>
  <si>
    <t>W1 &amp; X1 &amp; U20 &amp; O30</t>
  </si>
  <si>
    <t>23:30</t>
  </si>
  <si>
    <t>00:01</t>
  </si>
  <si>
    <t>00:50</t>
  </si>
  <si>
    <t>U21</t>
  </si>
  <si>
    <t>O68</t>
  </si>
  <si>
    <t>ELQ-CAI AS ALTERNATIVE ROUTE</t>
  </si>
  <si>
    <t>GIZ-CAI</t>
  </si>
  <si>
    <t>NP-142</t>
  </si>
  <si>
    <t>730 SAR</t>
  </si>
  <si>
    <t>558 SAR</t>
  </si>
  <si>
    <t>E5-586</t>
  </si>
  <si>
    <t>712 SAR</t>
  </si>
  <si>
    <t>534 SAR</t>
  </si>
  <si>
    <t>SM-330</t>
  </si>
  <si>
    <t>578 SAR</t>
  </si>
  <si>
    <t>SM330</t>
  </si>
  <si>
    <t>S1 &amp; W5 &amp; X16 &amp; U35</t>
  </si>
  <si>
    <t>621 SAR</t>
  </si>
  <si>
    <t>X5 &amp; U31 &amp; O5 &amp; I5</t>
  </si>
  <si>
    <t>W5</t>
  </si>
  <si>
    <t>X16</t>
  </si>
  <si>
    <t>U35</t>
  </si>
  <si>
    <t>WED</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</si>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</sst>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7" formatCode="dddd\,\ mmmm\ dd\,\ yyyy"/>
    <numFmt numFmtId="168" formatCode="0.0%"/>
    <numFmt numFmtId="170" formatCode="h:mm;@"/>
    <numFmt numFmtId="171" formatCode="[$-409]d\-mmm"/>
    <numFmt numFmtId="172" formatCode="[$-409]dddd"/>
    <numFmt numFmtId="173" formatCode="dd\-mmm\-yy"/>
    <numFmt numFmtId="174" formatCode="hh:mm"/>
    <numFmt numFmtId="175" formatCode="#,##0\ &quot;SAR&quot;"/>
  </numFmts>
  <fonts count="34" x14ac:knownFonts="1">
    <font>
      <sz val="11"/>
      <color theme="1"/>
      <name val="Calibri"/>
      <family val="2"/>
      <scheme val="minor"/>
    </font>
    <font>
      <i/>
      <sz val="11"/>
      <name val="Calibri"/>
    </font>
    <font>
      <b/>
      <i/>
      <sz val="22"/>
      <color rgb="FFFFFFFF"/>
      <name val="Calibri"/>
    </font>
    <font>
      <b/>
      <i/>
      <sz val="16"/>
      <color rgb="FFED7D31"/>
      <name val="Calibri"/>
    </font>
    <font>
      <b/>
      <i/>
      <sz val="18"/>
      <name val="Calibri"/>
    </font>
    <font>
      <b/>
      <i/>
      <sz val="18"/>
      <color rgb="FFFFFFFF"/>
      <name val="Calibri"/>
    </font>
    <font>
      <b/>
      <i/>
      <sz val="14"/>
      <color rgb="FF000000"/>
      <name val="Calibri"/>
    </font>
    <font>
      <b/>
      <i/>
      <sz val="15"/>
      <color rgb="FF000000"/>
      <name val="Century Gothic"/>
    </font>
    <font>
      <b/>
      <i/>
      <sz val="14"/>
      <name val="Calibri"/>
    </font>
    <font>
      <b/>
      <i/>
      <sz val="13"/>
      <name val="Calibri"/>
    </font>
    <font>
      <b/>
      <i/>
      <sz val="14"/>
      <color rgb="FFBC0000"/>
      <name val="Calibri"/>
    </font>
    <font>
      <i/>
      <sz val="14"/>
      <name val="Calibri"/>
    </font>
    <font>
      <b/>
      <i/>
      <u/>
      <sz val="18"/>
      <name val="Calibri"/>
    </font>
    <font>
      <b/>
      <i/>
      <sz val="20"/>
      <color rgb="FFFFFFFF"/>
      <name val="Calibri"/>
    </font>
    <font>
      <sz val="20"/>
      <color theme="1"/>
      <name val="Calibri"/>
    </font>
    <font>
      <b/>
      <i/>
      <sz val="12"/>
      <color rgb="FFBC0000"/>
      <name val="Calibri"/>
    </font>
    <font>
      <b/>
      <sz val="13"/>
      <color theme="1"/>
      <name val="Calibri"/>
    </font>
    <font>
      <b/>
      <sz val="14"/>
      <color theme="1"/>
      <name val="Calibri"/>
    </font>
    <font>
      <i/>
      <sz val="12"/>
      <name val="Calibri"/>
    </font>
    <font>
      <b/>
      <i/>
      <sz val="12"/>
      <name val="Calibri"/>
    </font>
    <font>
      <b/>
      <i/>
      <sz val="13"/>
      <color rgb="FF006100"/>
      <name val="Calibri"/>
    </font>
    <font>
      <sz val="12"/>
      <color theme="1"/>
      <name val="Calibri"/>
    </font>
    <font>
      <b/>
      <i/>
      <sz val="18"/>
      <color rgb="FFFF0000"/>
      <name val="Calibri"/>
    </font>
    <font>
      <b/>
      <i/>
      <sz val="20"/>
      <color theme="1"/>
      <name val="Calibri"/>
    </font>
    <font>
      <b/>
      <sz val="11"/>
      <color rgb="FFFFFFFF"/>
      <name val="Calibri"/>
    </font>
    <font>
      <b/>
      <sz val="11"/>
      <name val="Calibri"/>
    </font>
    <font>
      <b/>
      <i/>
      <sz val="14"/>
      <color rgb="FF8B0000"/>
      <name val="Calibri"/>
    </font>
    <font>
      <b/>
      <sz val="11"/>
      <name val="Calibri"/>
    </font>
    <font>
      <b/>
      <i/>
      <sz val="12"/>
      <color rgb="FFFF0000"/>
      <name val="Calibri"/>
    </font>
    <font>
      <b/>
      <i/>
      <sz val="13"/>
      <color rgb="FF9C0006"/>
      <name val="Calibri"/>
    </font>
    <font>
      <b/>
      <i/>
      <sz val="20"/>
      <name val="Calibri"/>
    </font>
    <font>
      <b/>
      <i/>
      <sz val="10"/>
      <color rgb="FFBC0000"/>
      <name val="Calibri"/>
    </font>
    <font>
      <i/>
      <sz val="10"/>
      <name val="Calibri"/>
    </font>
    <font>
      <b/>
      <i/>
      <sz val="10"/>
      <name val="Calibri"/>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FFCC"/>
      </patternFill>
    </fill>
    <fill>
      <patternFill patternType="solid">
        <fgColor rgb="FFF2CA93"/>
      </patternFill>
    </fill>
    <fill>
      <patternFill patternType="solid">
        <fgColor rgb="FFC7FFFF"/>
      </patternFill>
    </fill>
    <fill>
      <patternFill patternType="solid">
        <fgColor rgb="FF808080"/>
      </patternFill>
    </fill>
    <fill>
      <patternFill patternType="solid">
        <fgColor rgb="FFD8E4BC"/>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
      <patternFill patternType="solid">
        <fgColor rgb="FFC5D9F1"/>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309">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7"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6" xfId="0" applyNumberFormat="1" applyFont="1" applyBorder="1" applyAlignment="1">
      <alignment horizontal="center" vertical="center"/>
    </xf>
    <xf numFmtId="170" fontId="15" fillId="0" borderId="16"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7" xfId="0" applyNumberFormat="1" applyFont="1" applyBorder="1" applyAlignment="1">
      <alignment horizontal="center" vertical="center"/>
    </xf>
    <xf numFmtId="170" fontId="18" fillId="0" borderId="17" xfId="0" applyNumberFormat="1" applyFont="1" applyBorder="1" applyAlignment="1">
      <alignment horizontal="center" vertical="center"/>
    </xf>
    <xf numFmtId="49" fontId="15" fillId="8" borderId="3" xfId="0" applyNumberFormat="1" applyFont="1" applyFill="1" applyBorder="1" applyAlignment="1">
      <alignment horizontal="center" vertical="center"/>
    </xf>
    <xf numFmtId="170" fontId="15" fillId="8" borderId="3" xfId="0" applyNumberFormat="1" applyFont="1" applyFill="1" applyBorder="1" applyAlignment="1">
      <alignment horizontal="center" vertical="center"/>
    </xf>
    <xf numFmtId="49" fontId="9" fillId="8" borderId="10" xfId="0" applyNumberFormat="1" applyFont="1" applyFill="1" applyBorder="1" applyAlignment="1">
      <alignment horizontal="center" vertical="center"/>
    </xf>
    <xf numFmtId="168" fontId="9" fillId="8" borderId="11" xfId="0" applyNumberFormat="1" applyFont="1" applyFill="1" applyBorder="1" applyAlignment="1">
      <alignment horizontal="center" vertical="center"/>
    </xf>
    <xf numFmtId="1" fontId="9" fillId="8" borderId="11" xfId="0" applyNumberFormat="1" applyFont="1" applyFill="1" applyBorder="1" applyAlignment="1">
      <alignment horizontal="center" vertical="center"/>
    </xf>
    <xf numFmtId="171" fontId="9" fillId="8" borderId="11" xfId="0" applyNumberFormat="1" applyFont="1" applyFill="1" applyBorder="1" applyAlignment="1">
      <alignment horizontal="center" vertical="center"/>
    </xf>
    <xf numFmtId="49" fontId="8" fillId="8" borderId="11" xfId="0" applyNumberFormat="1" applyFont="1" applyFill="1" applyBorder="1" applyAlignment="1">
      <alignment horizontal="center" vertical="center"/>
    </xf>
    <xf numFmtId="170" fontId="9" fillId="8" borderId="11" xfId="0" applyNumberFormat="1" applyFont="1" applyFill="1" applyBorder="1" applyAlignment="1">
      <alignment horizontal="center" vertical="center"/>
    </xf>
    <xf numFmtId="49" fontId="9" fillId="8" borderId="12" xfId="0" applyNumberFormat="1" applyFont="1" applyFill="1" applyBorder="1" applyAlignment="1">
      <alignment horizontal="center" vertical="center"/>
    </xf>
    <xf numFmtId="49" fontId="19" fillId="9" borderId="3" xfId="0" applyNumberFormat="1" applyFont="1" applyFill="1" applyBorder="1" applyAlignment="1">
      <alignment horizontal="center" vertical="center"/>
    </xf>
    <xf numFmtId="170" fontId="19" fillId="9" borderId="3" xfId="0" applyNumberFormat="1" applyFont="1" applyFill="1" applyBorder="1" applyAlignment="1">
      <alignment horizontal="center" vertical="center"/>
    </xf>
    <xf numFmtId="49" fontId="9" fillId="9" borderId="10" xfId="0" applyNumberFormat="1" applyFont="1" applyFill="1" applyBorder="1" applyAlignment="1">
      <alignment horizontal="center" vertical="center"/>
    </xf>
    <xf numFmtId="168" fontId="20" fillId="9" borderId="11" xfId="0" applyNumberFormat="1" applyFont="1" applyFill="1" applyBorder="1" applyAlignment="1">
      <alignment horizontal="center" vertical="center"/>
    </xf>
    <xf numFmtId="1" fontId="9" fillId="9" borderId="11" xfId="0" applyNumberFormat="1" applyFont="1" applyFill="1" applyBorder="1" applyAlignment="1">
      <alignment horizontal="center" vertical="center"/>
    </xf>
    <xf numFmtId="171" fontId="9" fillId="9" borderId="11" xfId="0" applyNumberFormat="1" applyFont="1" applyFill="1" applyBorder="1" applyAlignment="1">
      <alignment horizontal="center" vertical="center"/>
    </xf>
    <xf numFmtId="49" fontId="8" fillId="9" borderId="11" xfId="0" applyNumberFormat="1" applyFont="1" applyFill="1" applyBorder="1" applyAlignment="1">
      <alignment horizontal="center" vertical="center"/>
    </xf>
    <xf numFmtId="170" fontId="9" fillId="9" borderId="11" xfId="0" applyNumberFormat="1" applyFont="1" applyFill="1" applyBorder="1" applyAlignment="1">
      <alignment horizontal="center" vertical="center"/>
    </xf>
    <xf numFmtId="49" fontId="9" fillId="9" borderId="12" xfId="0" applyNumberFormat="1" applyFont="1" applyFill="1" applyBorder="1" applyAlignment="1">
      <alignment horizontal="center" vertical="center"/>
    </xf>
    <xf numFmtId="49" fontId="19" fillId="10" borderId="3" xfId="0" applyNumberFormat="1" applyFont="1" applyFill="1" applyBorder="1" applyAlignment="1">
      <alignment horizontal="center" vertical="center"/>
    </xf>
    <xf numFmtId="170" fontId="19" fillId="10" borderId="3" xfId="0" applyNumberFormat="1" applyFont="1" applyFill="1" applyBorder="1" applyAlignment="1">
      <alignment horizontal="center" vertical="center"/>
    </xf>
    <xf numFmtId="49" fontId="9" fillId="10" borderId="10" xfId="0" applyNumberFormat="1" applyFont="1" applyFill="1" applyBorder="1" applyAlignment="1">
      <alignment horizontal="center" vertical="center"/>
    </xf>
    <xf numFmtId="168" fontId="20" fillId="10" borderId="11" xfId="0" applyNumberFormat="1" applyFont="1" applyFill="1" applyBorder="1" applyAlignment="1">
      <alignment horizontal="center" vertical="center"/>
    </xf>
    <xf numFmtId="1" fontId="9" fillId="10" borderId="11" xfId="0" applyNumberFormat="1" applyFont="1" applyFill="1" applyBorder="1" applyAlignment="1">
      <alignment horizontal="center" vertical="center"/>
    </xf>
    <xf numFmtId="171" fontId="9" fillId="10" borderId="11" xfId="0" applyNumberFormat="1" applyFont="1" applyFill="1" applyBorder="1" applyAlignment="1">
      <alignment horizontal="center" vertical="center"/>
    </xf>
    <xf numFmtId="49" fontId="8" fillId="10" borderId="11" xfId="0" applyNumberFormat="1" applyFont="1" applyFill="1" applyBorder="1" applyAlignment="1">
      <alignment horizontal="center" vertical="center"/>
    </xf>
    <xf numFmtId="170" fontId="9" fillId="10" borderId="11" xfId="0" applyNumberFormat="1" applyFont="1" applyFill="1" applyBorder="1" applyAlignment="1">
      <alignment horizontal="center" vertical="center"/>
    </xf>
    <xf numFmtId="49" fontId="9" fillId="10" borderId="12" xfId="0" applyNumberFormat="1" applyFont="1" applyFill="1" applyBorder="1" applyAlignment="1">
      <alignment horizontal="center" vertical="center"/>
    </xf>
    <xf numFmtId="49" fontId="15" fillId="0" borderId="17" xfId="0" applyNumberFormat="1" applyFont="1" applyBorder="1" applyAlignment="1">
      <alignment horizontal="center" vertical="center"/>
    </xf>
    <xf numFmtId="170" fontId="15" fillId="0" borderId="17" xfId="0" applyNumberFormat="1" applyFont="1" applyBorder="1" applyAlignment="1">
      <alignment horizontal="center" vertical="center"/>
    </xf>
    <xf numFmtId="49" fontId="19" fillId="0" borderId="17" xfId="0" applyNumberFormat="1" applyFont="1" applyBorder="1" applyAlignment="1">
      <alignment horizontal="center" vertical="center"/>
    </xf>
    <xf numFmtId="170" fontId="19" fillId="0" borderId="17" xfId="0" applyNumberFormat="1" applyFont="1" applyBorder="1" applyAlignment="1">
      <alignment horizontal="center" vertical="center"/>
    </xf>
    <xf numFmtId="49" fontId="18" fillId="0" borderId="18" xfId="0" applyNumberFormat="1" applyFont="1" applyBorder="1" applyAlignment="1">
      <alignment horizontal="center" vertical="center"/>
    </xf>
    <xf numFmtId="170" fontId="18" fillId="0" borderId="18" xfId="0" applyNumberFormat="1"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6" fillId="6" borderId="3" xfId="0" applyNumberFormat="1" applyFont="1" applyFill="1" applyBorder="1" applyAlignment="1">
      <alignment horizontal="center" vertical="center"/>
    </xf>
    <xf numFmtId="170"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71" fontId="6" fillId="6" borderId="3" xfId="0" applyNumberFormat="1" applyFont="1" applyFill="1" applyBorder="1" applyAlignment="1">
      <alignment horizontal="center" vertical="center"/>
    </xf>
    <xf numFmtId="49" fontId="19" fillId="0" borderId="18" xfId="0" applyNumberFormat="1" applyFont="1" applyBorder="1" applyAlignment="1">
      <alignment horizontal="center" vertical="center"/>
    </xf>
    <xf numFmtId="170" fontId="19" fillId="0" borderId="18" xfId="0" applyNumberFormat="1" applyFont="1" applyBorder="1" applyAlignment="1">
      <alignment horizontal="center" vertical="center"/>
    </xf>
    <xf numFmtId="49" fontId="15" fillId="12" borderId="18" xfId="0" applyNumberFormat="1" applyFont="1" applyFill="1" applyBorder="1" applyAlignment="1">
      <alignment horizontal="center" vertical="center"/>
    </xf>
    <xf numFmtId="170" fontId="15" fillId="12" borderId="18" xfId="0" applyNumberFormat="1" applyFont="1" applyFill="1" applyBorder="1" applyAlignment="1">
      <alignment horizontal="center" vertical="center"/>
    </xf>
    <xf numFmtId="49" fontId="9" fillId="12" borderId="19" xfId="0" applyNumberFormat="1" applyFont="1" applyFill="1" applyBorder="1" applyAlignment="1">
      <alignment horizontal="center" vertical="center"/>
    </xf>
    <xf numFmtId="168" fontId="20" fillId="12" borderId="20" xfId="0" applyNumberFormat="1" applyFont="1" applyFill="1" applyBorder="1" applyAlignment="1">
      <alignment horizontal="center" vertical="center"/>
    </xf>
    <xf numFmtId="1" fontId="9" fillId="12" borderId="20" xfId="0" applyNumberFormat="1" applyFont="1" applyFill="1" applyBorder="1" applyAlignment="1">
      <alignment horizontal="center" vertical="center"/>
    </xf>
    <xf numFmtId="171" fontId="9" fillId="12" borderId="20" xfId="0" applyNumberFormat="1" applyFont="1" applyFill="1" applyBorder="1" applyAlignment="1">
      <alignment horizontal="center" vertical="center"/>
    </xf>
    <xf numFmtId="49" fontId="8" fillId="12" borderId="20" xfId="0" applyNumberFormat="1" applyFont="1" applyFill="1" applyBorder="1" applyAlignment="1">
      <alignment horizontal="center" vertical="center"/>
    </xf>
    <xf numFmtId="170" fontId="9" fillId="12" borderId="20" xfId="0" applyNumberFormat="1" applyFont="1" applyFill="1" applyBorder="1" applyAlignment="1">
      <alignment horizontal="center" vertical="center"/>
    </xf>
    <xf numFmtId="49" fontId="9" fillId="12" borderId="21" xfId="0" applyNumberFormat="1" applyFont="1" applyFill="1" applyBorder="1" applyAlignment="1">
      <alignment horizontal="center" vertical="center"/>
    </xf>
    <xf numFmtId="49" fontId="15" fillId="10" borderId="18" xfId="0" applyNumberFormat="1" applyFont="1" applyFill="1" applyBorder="1" applyAlignment="1">
      <alignment horizontal="center" vertical="center"/>
    </xf>
    <xf numFmtId="170" fontId="15" fillId="10" borderId="18" xfId="0" applyNumberFormat="1" applyFont="1" applyFill="1" applyBorder="1" applyAlignment="1">
      <alignment horizontal="center" vertical="center"/>
    </xf>
    <xf numFmtId="0" fontId="15" fillId="10" borderId="18" xfId="0" applyFont="1" applyFill="1" applyBorder="1" applyAlignment="1">
      <alignment horizontal="center" vertical="center"/>
    </xf>
    <xf numFmtId="49" fontId="9" fillId="10" borderId="19" xfId="0" applyNumberFormat="1" applyFont="1" applyFill="1" applyBorder="1" applyAlignment="1">
      <alignment horizontal="center" vertical="center"/>
    </xf>
    <xf numFmtId="168" fontId="20" fillId="10" borderId="20" xfId="0" applyNumberFormat="1" applyFont="1" applyFill="1" applyBorder="1" applyAlignment="1">
      <alignment horizontal="center" vertical="center"/>
    </xf>
    <xf numFmtId="1" fontId="9" fillId="10" borderId="20" xfId="0" applyNumberFormat="1" applyFont="1" applyFill="1" applyBorder="1" applyAlignment="1">
      <alignment horizontal="center" vertical="center"/>
    </xf>
    <xf numFmtId="171" fontId="9" fillId="10" borderId="20" xfId="0" applyNumberFormat="1" applyFont="1" applyFill="1" applyBorder="1" applyAlignment="1">
      <alignment horizontal="center" vertical="center"/>
    </xf>
    <xf numFmtId="49" fontId="8" fillId="10" borderId="20" xfId="0" applyNumberFormat="1" applyFont="1" applyFill="1" applyBorder="1" applyAlignment="1">
      <alignment horizontal="center" vertical="center"/>
    </xf>
    <xf numFmtId="170" fontId="9" fillId="10" borderId="20" xfId="0" applyNumberFormat="1" applyFont="1" applyFill="1" applyBorder="1" applyAlignment="1">
      <alignment horizontal="center" vertical="center"/>
    </xf>
    <xf numFmtId="49" fontId="9" fillId="10" borderId="21" xfId="0" applyNumberFormat="1" applyFont="1" applyFill="1" applyBorder="1" applyAlignment="1">
      <alignment horizontal="center" vertical="center"/>
    </xf>
    <xf numFmtId="49" fontId="15" fillId="12" borderId="3" xfId="0" applyNumberFormat="1" applyFont="1" applyFill="1" applyBorder="1" applyAlignment="1">
      <alignment horizontal="center" vertical="center"/>
    </xf>
    <xf numFmtId="170" fontId="15" fillId="12" borderId="3" xfId="0" applyNumberFormat="1" applyFont="1" applyFill="1" applyBorder="1" applyAlignment="1">
      <alignment horizontal="center" vertical="center"/>
    </xf>
    <xf numFmtId="49" fontId="9" fillId="12" borderId="10" xfId="0" applyNumberFormat="1" applyFont="1" applyFill="1" applyBorder="1" applyAlignment="1">
      <alignment horizontal="center" vertical="center"/>
    </xf>
    <xf numFmtId="168" fontId="20" fillId="12" borderId="11" xfId="0" applyNumberFormat="1" applyFont="1" applyFill="1" applyBorder="1" applyAlignment="1">
      <alignment horizontal="center" vertical="center"/>
    </xf>
    <xf numFmtId="1" fontId="9" fillId="12" borderId="11" xfId="0" applyNumberFormat="1" applyFont="1" applyFill="1" applyBorder="1" applyAlignment="1">
      <alignment horizontal="center" vertical="center"/>
    </xf>
    <xf numFmtId="171" fontId="9" fillId="12" borderId="11" xfId="0" applyNumberFormat="1" applyFont="1" applyFill="1" applyBorder="1" applyAlignment="1">
      <alignment horizontal="center" vertical="center"/>
    </xf>
    <xf numFmtId="49" fontId="8" fillId="12" borderId="11" xfId="0" applyNumberFormat="1" applyFont="1" applyFill="1" applyBorder="1" applyAlignment="1">
      <alignment horizontal="center" vertical="center"/>
    </xf>
    <xf numFmtId="170" fontId="9" fillId="12" borderId="11" xfId="0" applyNumberFormat="1" applyFont="1" applyFill="1" applyBorder="1" applyAlignment="1">
      <alignment horizontal="center" vertical="center"/>
    </xf>
    <xf numFmtId="49" fontId="9" fillId="12" borderId="12" xfId="0" applyNumberFormat="1" applyFont="1" applyFill="1" applyBorder="1" applyAlignment="1">
      <alignment horizontal="center" vertical="center"/>
    </xf>
    <xf numFmtId="0" fontId="24" fillId="13" borderId="25" xfId="0" applyFont="1" applyFill="1" applyBorder="1" applyAlignment="1">
      <alignment horizontal="center" vertical="center"/>
    </xf>
    <xf numFmtId="172" fontId="8" fillId="14" borderId="25" xfId="0" applyNumberFormat="1" applyFont="1" applyFill="1" applyBorder="1" applyAlignment="1">
      <alignment horizontal="center" vertical="center"/>
    </xf>
    <xf numFmtId="171" fontId="8" fillId="14" borderId="25" xfId="0" applyNumberFormat="1" applyFont="1" applyFill="1" applyBorder="1" applyAlignment="1">
      <alignment horizontal="center" vertical="center"/>
    </xf>
    <xf numFmtId="49" fontId="8" fillId="14" borderId="25" xfId="0" applyNumberFormat="1" applyFont="1" applyFill="1" applyBorder="1" applyAlignment="1">
      <alignment horizontal="center" vertical="center"/>
    </xf>
    <xf numFmtId="170" fontId="8" fillId="14" borderId="25" xfId="0" applyNumberFormat="1" applyFont="1" applyFill="1" applyBorder="1" applyAlignment="1">
      <alignment horizontal="center" vertical="center"/>
    </xf>
    <xf numFmtId="168" fontId="8" fillId="14" borderId="25" xfId="0" applyNumberFormat="1" applyFont="1" applyFill="1" applyBorder="1" applyAlignment="1">
      <alignment horizontal="center" vertical="center"/>
    </xf>
    <xf numFmtId="1" fontId="8" fillId="14" borderId="25" xfId="0" applyNumberFormat="1" applyFont="1" applyFill="1" applyBorder="1" applyAlignment="1">
      <alignment horizontal="center" vertical="center"/>
    </xf>
    <xf numFmtId="0" fontId="8" fillId="14" borderId="25" xfId="0" applyFont="1" applyFill="1" applyBorder="1" applyAlignment="1">
      <alignment horizontal="center" vertical="center"/>
    </xf>
    <xf numFmtId="172" fontId="8" fillId="15" borderId="25" xfId="0" applyNumberFormat="1" applyFont="1" applyFill="1" applyBorder="1" applyAlignment="1">
      <alignment horizontal="center" vertical="center"/>
    </xf>
    <xf numFmtId="171" fontId="8" fillId="15" borderId="25" xfId="0" applyNumberFormat="1" applyFont="1" applyFill="1" applyBorder="1" applyAlignment="1">
      <alignment horizontal="center" vertical="center"/>
    </xf>
    <xf numFmtId="49" fontId="8" fillId="15" borderId="25" xfId="0" applyNumberFormat="1" applyFont="1" applyFill="1" applyBorder="1" applyAlignment="1">
      <alignment horizontal="center" vertical="center"/>
    </xf>
    <xf numFmtId="170" fontId="8" fillId="15" borderId="25" xfId="0" applyNumberFormat="1" applyFont="1" applyFill="1" applyBorder="1" applyAlignment="1">
      <alignment horizontal="center" vertical="center"/>
    </xf>
    <xf numFmtId="168" fontId="8" fillId="15" borderId="25" xfId="0" applyNumberFormat="1" applyFont="1" applyFill="1" applyBorder="1" applyAlignment="1">
      <alignment horizontal="center" vertical="center"/>
    </xf>
    <xf numFmtId="1" fontId="8" fillId="15" borderId="25" xfId="0" applyNumberFormat="1" applyFont="1" applyFill="1" applyBorder="1" applyAlignment="1">
      <alignment horizontal="center" vertical="center"/>
    </xf>
    <xf numFmtId="0" fontId="8" fillId="15" borderId="25" xfId="0" applyFont="1" applyFill="1" applyBorder="1" applyAlignment="1">
      <alignment horizontal="center" vertical="center"/>
    </xf>
    <xf numFmtId="172" fontId="8" fillId="16" borderId="25" xfId="0" applyNumberFormat="1" applyFont="1" applyFill="1" applyBorder="1" applyAlignment="1">
      <alignment horizontal="center" vertical="center"/>
    </xf>
    <xf numFmtId="0" fontId="8" fillId="16" borderId="25" xfId="0" applyFont="1" applyFill="1" applyBorder="1" applyAlignment="1">
      <alignment horizontal="center" vertical="center"/>
    </xf>
    <xf numFmtId="49" fontId="8" fillId="16" borderId="25" xfId="0" applyNumberFormat="1" applyFont="1" applyFill="1" applyBorder="1" applyAlignment="1">
      <alignment horizontal="center" vertical="center"/>
    </xf>
    <xf numFmtId="168" fontId="8" fillId="16" borderId="25" xfId="0" applyNumberFormat="1" applyFont="1" applyFill="1" applyBorder="1" applyAlignment="1">
      <alignment horizontal="center" vertical="center"/>
    </xf>
    <xf numFmtId="1" fontId="8" fillId="16" borderId="25" xfId="0" applyNumberFormat="1" applyFont="1" applyFill="1" applyBorder="1" applyAlignment="1">
      <alignment horizontal="center" vertical="center"/>
    </xf>
    <xf numFmtId="0" fontId="25" fillId="17" borderId="25" xfId="0" applyFont="1" applyFill="1" applyBorder="1" applyAlignment="1">
      <alignment horizontal="center" vertical="center"/>
    </xf>
    <xf numFmtId="173" fontId="10" fillId="0" borderId="26" xfId="0" applyNumberFormat="1" applyFont="1" applyBorder="1" applyAlignment="1">
      <alignment horizontal="center" vertical="center"/>
    </xf>
    <xf numFmtId="0" fontId="10" fillId="0" borderId="25" xfId="0" applyFont="1" applyBorder="1" applyAlignment="1">
      <alignment horizontal="center" vertical="center"/>
    </xf>
    <xf numFmtId="49" fontId="10" fillId="0" borderId="25" xfId="0" applyNumberFormat="1" applyFont="1" applyBorder="1" applyAlignment="1">
      <alignment horizontal="center" vertical="center"/>
    </xf>
    <xf numFmtId="174" fontId="10" fillId="0" borderId="25" xfId="0" applyNumberFormat="1" applyFont="1" applyBorder="1" applyAlignment="1">
      <alignment horizontal="center" vertical="center"/>
    </xf>
    <xf numFmtId="1" fontId="10" fillId="0" borderId="25" xfId="0" applyNumberFormat="1" applyFont="1" applyBorder="1" applyAlignment="1">
      <alignment horizontal="center" vertical="center"/>
    </xf>
    <xf numFmtId="175" fontId="10" fillId="0" borderId="26" xfId="0" applyNumberFormat="1" applyFont="1" applyBorder="1" applyAlignment="1">
      <alignment horizontal="center" vertical="center"/>
    </xf>
    <xf numFmtId="173" fontId="11" fillId="0" borderId="25" xfId="0" applyNumberFormat="1" applyFont="1" applyBorder="1" applyAlignment="1">
      <alignment horizontal="center" vertical="center"/>
    </xf>
    <xf numFmtId="0" fontId="11" fillId="0" borderId="25" xfId="0" applyFont="1" applyBorder="1" applyAlignment="1">
      <alignment horizontal="center" vertical="center"/>
    </xf>
    <xf numFmtId="49" fontId="11" fillId="0" borderId="25" xfId="0" applyNumberFormat="1" applyFont="1" applyBorder="1" applyAlignment="1">
      <alignment horizontal="center" vertical="center"/>
    </xf>
    <xf numFmtId="174" fontId="11" fillId="0" borderId="25" xfId="0" applyNumberFormat="1" applyFont="1" applyBorder="1" applyAlignment="1">
      <alignment horizontal="center" vertical="center"/>
    </xf>
    <xf numFmtId="1" fontId="11" fillId="0" borderId="25" xfId="0" applyNumberFormat="1" applyFont="1" applyBorder="1" applyAlignment="1">
      <alignment horizontal="center" vertical="center"/>
    </xf>
    <xf numFmtId="175" fontId="11" fillId="0" borderId="25" xfId="0" applyNumberFormat="1" applyFont="1" applyBorder="1" applyAlignment="1">
      <alignment horizontal="center" vertical="center"/>
    </xf>
    <xf numFmtId="173" fontId="10" fillId="18" borderId="25" xfId="0" applyNumberFormat="1" applyFont="1" applyFill="1" applyBorder="1" applyAlignment="1">
      <alignment horizontal="center" vertical="center"/>
    </xf>
    <xf numFmtId="0" fontId="10" fillId="18" borderId="25" xfId="0" applyFont="1" applyFill="1" applyBorder="1" applyAlignment="1">
      <alignment horizontal="center" vertical="center"/>
    </xf>
    <xf numFmtId="49" fontId="26" fillId="18" borderId="25" xfId="0" applyNumberFormat="1" applyFont="1" applyFill="1" applyBorder="1" applyAlignment="1">
      <alignment horizontal="center" vertical="center"/>
    </xf>
    <xf numFmtId="174" fontId="10" fillId="18" borderId="25" xfId="0" applyNumberFormat="1" applyFont="1" applyFill="1" applyBorder="1" applyAlignment="1">
      <alignment horizontal="center" vertical="center"/>
    </xf>
    <xf numFmtId="1" fontId="10" fillId="18" borderId="25" xfId="0" applyNumberFormat="1" applyFont="1" applyFill="1" applyBorder="1" applyAlignment="1">
      <alignment horizontal="center" vertical="center"/>
    </xf>
    <xf numFmtId="175" fontId="10" fillId="18" borderId="25" xfId="0" applyNumberFormat="1" applyFont="1" applyFill="1" applyBorder="1" applyAlignment="1">
      <alignment horizontal="center" vertical="center"/>
    </xf>
    <xf numFmtId="173" fontId="8" fillId="18" borderId="25" xfId="0" applyNumberFormat="1" applyFont="1" applyFill="1" applyBorder="1" applyAlignment="1">
      <alignment horizontal="center" vertical="center"/>
    </xf>
    <xf numFmtId="0" fontId="8" fillId="18" borderId="25" xfId="0" applyFont="1" applyFill="1" applyBorder="1" applyAlignment="1">
      <alignment horizontal="center" vertical="center"/>
    </xf>
    <xf numFmtId="49" fontId="6" fillId="18" borderId="25" xfId="0" applyNumberFormat="1" applyFont="1" applyFill="1" applyBorder="1" applyAlignment="1">
      <alignment horizontal="center" vertical="center"/>
    </xf>
    <xf numFmtId="174" fontId="8" fillId="18" borderId="25" xfId="0" applyNumberFormat="1" applyFont="1" applyFill="1" applyBorder="1" applyAlignment="1">
      <alignment horizontal="center" vertical="center"/>
    </xf>
    <xf numFmtId="1" fontId="8" fillId="18" borderId="25" xfId="0" applyNumberFormat="1" applyFont="1" applyFill="1" applyBorder="1" applyAlignment="1">
      <alignment horizontal="center" vertical="center"/>
    </xf>
    <xf numFmtId="175" fontId="8" fillId="18" borderId="25" xfId="0" applyNumberFormat="1" applyFont="1" applyFill="1" applyBorder="1" applyAlignment="1">
      <alignment horizontal="center" vertical="center"/>
    </xf>
    <xf numFmtId="173" fontId="10" fillId="0" borderId="25" xfId="0" applyNumberFormat="1" applyFont="1" applyBorder="1" applyAlignment="1">
      <alignment horizontal="center" vertical="center"/>
    </xf>
    <xf numFmtId="175" fontId="10" fillId="0" borderId="25" xfId="0" applyNumberFormat="1" applyFont="1" applyBorder="1" applyAlignment="1">
      <alignment horizontal="center" vertical="center"/>
    </xf>
    <xf numFmtId="173" fontId="8" fillId="0" borderId="25" xfId="0" applyNumberFormat="1" applyFont="1" applyBorder="1" applyAlignment="1">
      <alignment horizontal="center" vertical="center"/>
    </xf>
    <xf numFmtId="0" fontId="8" fillId="0" borderId="25" xfId="0" applyFont="1" applyBorder="1" applyAlignment="1">
      <alignment horizontal="center" vertical="center"/>
    </xf>
    <xf numFmtId="49" fontId="8" fillId="0" borderId="25" xfId="0" applyNumberFormat="1" applyFont="1" applyBorder="1" applyAlignment="1">
      <alignment horizontal="center" vertical="center"/>
    </xf>
    <xf numFmtId="174" fontId="8" fillId="0" borderId="25" xfId="0" applyNumberFormat="1" applyFont="1" applyBorder="1" applyAlignment="1">
      <alignment horizontal="center" vertical="center"/>
    </xf>
    <xf numFmtId="1" fontId="8" fillId="0" borderId="25" xfId="0" applyNumberFormat="1" applyFont="1" applyBorder="1" applyAlignment="1">
      <alignment horizontal="center" vertical="center"/>
    </xf>
    <xf numFmtId="175" fontId="8" fillId="0" borderId="25" xfId="0" applyNumberFormat="1" applyFont="1" applyBorder="1" applyAlignment="1">
      <alignment horizontal="center" vertical="center"/>
    </xf>
    <xf numFmtId="173" fontId="11" fillId="0" borderId="27" xfId="0" applyNumberFormat="1" applyFont="1" applyBorder="1" applyAlignment="1">
      <alignment horizontal="center" vertical="center"/>
    </xf>
    <xf numFmtId="0" fontId="11" fillId="0" borderId="27" xfId="0" applyFont="1" applyBorder="1" applyAlignment="1">
      <alignment horizontal="center" vertical="center"/>
    </xf>
    <xf numFmtId="49" fontId="11" fillId="0" borderId="27" xfId="0" applyNumberFormat="1" applyFont="1" applyBorder="1" applyAlignment="1">
      <alignment horizontal="center" vertical="center"/>
    </xf>
    <xf numFmtId="174" fontId="11" fillId="0" borderId="27" xfId="0" applyNumberFormat="1" applyFont="1" applyBorder="1" applyAlignment="1">
      <alignment horizontal="center" vertical="center"/>
    </xf>
    <xf numFmtId="1" fontId="11" fillId="0" borderId="27" xfId="0" applyNumberFormat="1" applyFont="1" applyBorder="1" applyAlignment="1">
      <alignment horizontal="center" vertical="center"/>
    </xf>
    <xf numFmtId="173" fontId="8" fillId="0" borderId="27" xfId="0" applyNumberFormat="1" applyFont="1" applyBorder="1" applyAlignment="1">
      <alignment horizontal="center" vertical="center"/>
    </xf>
    <xf numFmtId="0" fontId="8" fillId="0" borderId="27" xfId="0" applyFont="1" applyBorder="1" applyAlignment="1">
      <alignment horizontal="center" vertical="center"/>
    </xf>
    <xf numFmtId="49" fontId="8" fillId="0" borderId="27" xfId="0" applyNumberFormat="1" applyFont="1" applyBorder="1" applyAlignment="1">
      <alignment horizontal="center" vertical="center"/>
    </xf>
    <xf numFmtId="174" fontId="8" fillId="0" borderId="27" xfId="0" applyNumberFormat="1" applyFont="1" applyBorder="1" applyAlignment="1">
      <alignment horizontal="center" vertical="center"/>
    </xf>
    <xf numFmtId="1" fontId="8" fillId="0" borderId="27" xfId="0" applyNumberFormat="1" applyFont="1" applyBorder="1" applyAlignment="1">
      <alignment horizontal="center" vertical="center"/>
    </xf>
    <xf numFmtId="173" fontId="10" fillId="18" borderId="27" xfId="0" applyNumberFormat="1" applyFont="1" applyFill="1" applyBorder="1" applyAlignment="1">
      <alignment horizontal="center" vertical="center"/>
    </xf>
    <xf numFmtId="0" fontId="10" fillId="18" borderId="27" xfId="0" applyFont="1" applyFill="1" applyBorder="1" applyAlignment="1">
      <alignment horizontal="center" vertical="center"/>
    </xf>
    <xf numFmtId="49" fontId="26" fillId="18" borderId="27" xfId="0" applyNumberFormat="1" applyFont="1" applyFill="1" applyBorder="1" applyAlignment="1">
      <alignment horizontal="center" vertical="center"/>
    </xf>
    <xf numFmtId="174" fontId="10" fillId="18" borderId="27" xfId="0" applyNumberFormat="1" applyFont="1" applyFill="1" applyBorder="1" applyAlignment="1">
      <alignment horizontal="center" vertical="center"/>
    </xf>
    <xf numFmtId="1" fontId="10" fillId="18" borderId="27" xfId="0" applyNumberFormat="1" applyFont="1" applyFill="1" applyBorder="1" applyAlignment="1">
      <alignment horizontal="center" vertical="center"/>
    </xf>
    <xf numFmtId="0" fontId="27" fillId="19" borderId="25" xfId="0" applyFont="1" applyFill="1" applyBorder="1" applyAlignment="1">
      <alignment horizontal="center" vertical="center"/>
    </xf>
    <xf numFmtId="172" fontId="8" fillId="0" borderId="25" xfId="0" applyNumberFormat="1" applyFont="1" applyBorder="1" applyAlignment="1">
      <alignment horizontal="center" vertical="center"/>
    </xf>
    <xf numFmtId="171" fontId="8" fillId="0" borderId="25" xfId="0" applyNumberFormat="1" applyFont="1" applyBorder="1" applyAlignment="1">
      <alignment horizontal="center" vertical="center"/>
    </xf>
    <xf numFmtId="170" fontId="8" fillId="0" borderId="25" xfId="0" applyNumberFormat="1" applyFont="1" applyBorder="1" applyAlignment="1">
      <alignment horizontal="center" vertical="center"/>
    </xf>
    <xf numFmtId="168" fontId="8" fillId="0" borderId="25" xfId="0" applyNumberFormat="1" applyFont="1" applyBorder="1" applyAlignment="1">
      <alignment horizontal="center" vertical="center"/>
    </xf>
    <xf numFmtId="172" fontId="27" fillId="16" borderId="25" xfId="0" applyNumberFormat="1" applyFont="1" applyFill="1" applyBorder="1" applyAlignment="1">
      <alignment horizontal="center" vertical="center"/>
    </xf>
    <xf numFmtId="0" fontId="27" fillId="16" borderId="25" xfId="0" applyFont="1" applyFill="1" applyBorder="1" applyAlignment="1">
      <alignment horizontal="center" vertical="center"/>
    </xf>
    <xf numFmtId="49" fontId="27" fillId="16" borderId="25" xfId="0" applyNumberFormat="1" applyFont="1" applyFill="1" applyBorder="1" applyAlignment="1">
      <alignment horizontal="center" vertical="center"/>
    </xf>
    <xf numFmtId="168" fontId="27" fillId="16" borderId="25" xfId="0" applyNumberFormat="1" applyFont="1" applyFill="1" applyBorder="1" applyAlignment="1">
      <alignment horizontal="center" vertical="center"/>
    </xf>
    <xf numFmtId="1" fontId="27" fillId="16" borderId="25" xfId="0" applyNumberFormat="1" applyFont="1" applyFill="1" applyBorder="1" applyAlignment="1">
      <alignment horizontal="center" vertical="center"/>
    </xf>
    <xf numFmtId="49" fontId="15" fillId="9" borderId="3" xfId="0" applyNumberFormat="1" applyFont="1" applyFill="1" applyBorder="1" applyAlignment="1">
      <alignment horizontal="center" vertical="center"/>
    </xf>
    <xf numFmtId="170" fontId="15" fillId="9" borderId="3" xfId="0" applyNumberFormat="1"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20" xfId="0" applyFont="1" applyBorder="1" applyAlignment="1">
      <alignment horizontal="center" vertical="center"/>
    </xf>
    <xf numFmtId="0" fontId="17" fillId="0" borderId="20" xfId="0" applyFont="1" applyBorder="1" applyAlignment="1">
      <alignment horizontal="center" vertical="center"/>
    </xf>
    <xf numFmtId="0" fontId="0" fillId="0" borderId="20" xfId="0" applyBorder="1" applyAlignment="1">
      <alignment horizontal="center" vertical="center"/>
    </xf>
    <xf numFmtId="49" fontId="15" fillId="20" borderId="3" xfId="0" applyNumberFormat="1" applyFont="1" applyFill="1" applyBorder="1" applyAlignment="1">
      <alignment horizontal="center" vertical="center"/>
    </xf>
    <xf numFmtId="170" fontId="15" fillId="20" borderId="3" xfId="0" applyNumberFormat="1" applyFont="1" applyFill="1" applyBorder="1" applyAlignment="1">
      <alignment horizontal="center" vertical="center"/>
    </xf>
    <xf numFmtId="49" fontId="9" fillId="20" borderId="10" xfId="0" applyNumberFormat="1" applyFont="1" applyFill="1" applyBorder="1" applyAlignment="1">
      <alignment horizontal="center" vertical="center"/>
    </xf>
    <xf numFmtId="168" fontId="20" fillId="20" borderId="11" xfId="0" applyNumberFormat="1" applyFont="1" applyFill="1" applyBorder="1" applyAlignment="1">
      <alignment horizontal="center" vertical="center"/>
    </xf>
    <xf numFmtId="1" fontId="9" fillId="20" borderId="11" xfId="0" applyNumberFormat="1" applyFont="1" applyFill="1" applyBorder="1" applyAlignment="1">
      <alignment horizontal="center" vertical="center"/>
    </xf>
    <xf numFmtId="171" fontId="9" fillId="20" borderId="11" xfId="0" applyNumberFormat="1" applyFont="1" applyFill="1" applyBorder="1" applyAlignment="1">
      <alignment horizontal="center" vertical="center"/>
    </xf>
    <xf numFmtId="49" fontId="8" fillId="20" borderId="11" xfId="0" applyNumberFormat="1" applyFont="1" applyFill="1" applyBorder="1" applyAlignment="1">
      <alignment horizontal="center" vertical="center"/>
    </xf>
    <xf numFmtId="170" fontId="9" fillId="20" borderId="11" xfId="0" applyNumberFormat="1" applyFont="1" applyFill="1" applyBorder="1" applyAlignment="1">
      <alignment horizontal="center" vertical="center"/>
    </xf>
    <xf numFmtId="49" fontId="9" fillId="20" borderId="12" xfId="0" applyNumberFormat="1" applyFont="1" applyFill="1" applyBorder="1" applyAlignment="1">
      <alignment horizontal="center" vertical="center"/>
    </xf>
    <xf numFmtId="168" fontId="20" fillId="8" borderId="11" xfId="0" applyNumberFormat="1" applyFont="1" applyFill="1" applyBorder="1" applyAlignment="1">
      <alignment horizontal="center" vertical="center"/>
    </xf>
    <xf numFmtId="173" fontId="10" fillId="18" borderId="26" xfId="0" applyNumberFormat="1" applyFont="1" applyFill="1" applyBorder="1" applyAlignment="1">
      <alignment horizontal="center" vertical="center"/>
    </xf>
    <xf numFmtId="0" fontId="10" fillId="18" borderId="26" xfId="0" applyFont="1" applyFill="1" applyBorder="1" applyAlignment="1">
      <alignment horizontal="center" vertical="center"/>
    </xf>
    <xf numFmtId="0" fontId="0" fillId="0" borderId="25" xfId="0" applyBorder="1" applyAlignment="1">
      <alignment vertical="center"/>
    </xf>
    <xf numFmtId="0" fontId="28" fillId="0" borderId="25" xfId="0" applyFont="1" applyBorder="1" applyAlignment="1">
      <alignment horizontal="center" vertical="center"/>
    </xf>
    <xf numFmtId="175" fontId="8" fillId="0" borderId="27" xfId="0" applyNumberFormat="1" applyFont="1" applyBorder="1" applyAlignment="1">
      <alignment horizontal="center" vertical="center"/>
    </xf>
    <xf numFmtId="175" fontId="11" fillId="0" borderId="27" xfId="0" applyNumberFormat="1" applyFont="1" applyBorder="1" applyAlignment="1">
      <alignment horizontal="center" vertical="center"/>
    </xf>
    <xf numFmtId="0" fontId="10" fillId="0" borderId="26" xfId="0" applyFont="1" applyBorder="1" applyAlignment="1">
      <alignment horizontal="center" vertical="center"/>
    </xf>
    <xf numFmtId="173" fontId="10" fillId="0" borderId="27" xfId="0" applyNumberFormat="1" applyFont="1" applyBorder="1" applyAlignment="1">
      <alignment horizontal="center" vertical="center"/>
    </xf>
    <xf numFmtId="0" fontId="10" fillId="0" borderId="27" xfId="0" applyFont="1" applyBorder="1" applyAlignment="1">
      <alignment horizontal="center" vertical="center"/>
    </xf>
    <xf numFmtId="49" fontId="10" fillId="0" borderId="27" xfId="0" applyNumberFormat="1" applyFont="1" applyBorder="1" applyAlignment="1">
      <alignment horizontal="center" vertical="center"/>
    </xf>
    <xf numFmtId="174" fontId="10" fillId="0" borderId="27" xfId="0" applyNumberFormat="1" applyFont="1" applyBorder="1" applyAlignment="1">
      <alignment horizontal="center" vertical="center"/>
    </xf>
    <xf numFmtId="1" fontId="10" fillId="0" borderId="27" xfId="0" applyNumberFormat="1" applyFont="1" applyBorder="1" applyAlignment="1">
      <alignment horizontal="center" vertical="center"/>
    </xf>
    <xf numFmtId="168" fontId="9" fillId="9" borderId="11" xfId="0" applyNumberFormat="1" applyFont="1" applyFill="1" applyBorder="1" applyAlignment="1">
      <alignment horizontal="center" vertical="center"/>
    </xf>
    <xf numFmtId="175" fontId="10" fillId="18" borderId="26" xfId="0" applyNumberFormat="1" applyFont="1" applyFill="1" applyBorder="1" applyAlignment="1">
      <alignment horizontal="center" vertical="center"/>
    </xf>
    <xf numFmtId="168" fontId="9" fillId="10" borderId="11" xfId="0" applyNumberFormat="1" applyFont="1" applyFill="1" applyBorder="1" applyAlignment="1">
      <alignment horizontal="center" vertical="center"/>
    </xf>
    <xf numFmtId="49" fontId="19" fillId="20" borderId="3" xfId="0" applyNumberFormat="1" applyFont="1" applyFill="1" applyBorder="1" applyAlignment="1">
      <alignment horizontal="center" vertical="center"/>
    </xf>
    <xf numFmtId="170" fontId="19" fillId="20" borderId="3" xfId="0" applyNumberFormat="1" applyFont="1" applyFill="1" applyBorder="1" applyAlignment="1">
      <alignment horizontal="center" vertical="center"/>
    </xf>
    <xf numFmtId="168" fontId="9" fillId="20" borderId="11" xfId="0" applyNumberFormat="1" applyFont="1" applyFill="1" applyBorder="1" applyAlignment="1">
      <alignment horizontal="center" vertical="center"/>
    </xf>
    <xf numFmtId="49" fontId="19" fillId="8" borderId="3" xfId="0" applyNumberFormat="1" applyFont="1" applyFill="1" applyBorder="1" applyAlignment="1">
      <alignment horizontal="center" vertical="center"/>
    </xf>
    <xf numFmtId="170" fontId="19" fillId="8" borderId="3" xfId="0" applyNumberFormat="1" applyFont="1" applyFill="1" applyBorder="1" applyAlignment="1">
      <alignment horizontal="center" vertical="center"/>
    </xf>
    <xf numFmtId="0" fontId="19" fillId="10" borderId="3" xfId="0" applyFont="1" applyFill="1" applyBorder="1" applyAlignment="1">
      <alignment horizontal="center" vertical="center"/>
    </xf>
    <xf numFmtId="49" fontId="19" fillId="12" borderId="3" xfId="0" applyNumberFormat="1" applyFont="1" applyFill="1" applyBorder="1" applyAlignment="1">
      <alignment horizontal="center" vertical="center"/>
    </xf>
    <xf numFmtId="170" fontId="19" fillId="12" borderId="3" xfId="0" applyNumberFormat="1" applyFont="1" applyFill="1" applyBorder="1" applyAlignment="1">
      <alignment horizontal="center" vertical="center"/>
    </xf>
    <xf numFmtId="0" fontId="19" fillId="12" borderId="3" xfId="0" applyFont="1" applyFill="1" applyBorder="1" applyAlignment="1">
      <alignment horizontal="center" vertical="center"/>
    </xf>
    <xf numFmtId="49" fontId="15" fillId="10" borderId="3" xfId="0" applyNumberFormat="1" applyFont="1" applyFill="1" applyBorder="1" applyAlignment="1">
      <alignment horizontal="center" vertical="center"/>
    </xf>
    <xf numFmtId="170" fontId="15" fillId="10" borderId="3" xfId="0" applyNumberFormat="1" applyFont="1" applyFill="1" applyBorder="1" applyAlignment="1">
      <alignment horizontal="center" vertical="center"/>
    </xf>
    <xf numFmtId="168" fontId="29" fillId="20" borderId="11" xfId="0" applyNumberFormat="1" applyFont="1" applyFill="1" applyBorder="1" applyAlignment="1">
      <alignment horizontal="center" vertical="center"/>
    </xf>
    <xf numFmtId="168" fontId="29" fillId="10" borderId="11" xfId="0" applyNumberFormat="1" applyFont="1" applyFill="1" applyBorder="1" applyAlignment="1">
      <alignment horizontal="center" vertical="center"/>
    </xf>
    <xf numFmtId="168" fontId="29" fillId="12" borderId="11" xfId="0" applyNumberFormat="1" applyFont="1" applyFill="1" applyBorder="1" applyAlignment="1">
      <alignment horizontal="center" vertical="center"/>
    </xf>
    <xf numFmtId="168" fontId="29" fillId="9" borderId="11" xfId="0" applyNumberFormat="1" applyFont="1" applyFill="1" applyBorder="1" applyAlignment="1">
      <alignment horizontal="center" vertical="center"/>
    </xf>
    <xf numFmtId="168" fontId="29" fillId="8" borderId="11" xfId="0" applyNumberFormat="1" applyFont="1" applyFill="1" applyBorder="1" applyAlignment="1">
      <alignment horizontal="center" vertical="center"/>
    </xf>
    <xf numFmtId="0" fontId="19" fillId="20" borderId="3" xfId="0" applyFont="1" applyFill="1" applyBorder="1" applyAlignment="1">
      <alignment horizontal="center" vertical="center"/>
    </xf>
    <xf numFmtId="0" fontId="15" fillId="9" borderId="3" xfId="0" applyFont="1" applyFill="1" applyBorder="1" applyAlignment="1">
      <alignment horizontal="center" vertical="center"/>
    </xf>
    <xf numFmtId="0" fontId="15" fillId="10" borderId="3" xfId="0" applyFont="1" applyFill="1" applyBorder="1" applyAlignment="1">
      <alignment horizontal="center" vertical="center"/>
    </xf>
    <xf numFmtId="0" fontId="19" fillId="9" borderId="3" xfId="0" applyFont="1" applyFill="1" applyBorder="1" applyAlignment="1">
      <alignment horizontal="center" vertical="center"/>
    </xf>
    <xf numFmtId="0" fontId="19" fillId="8" borderId="3" xfId="0" applyFont="1" applyFill="1" applyBorder="1" applyAlignment="1">
      <alignment horizontal="center" vertical="center"/>
    </xf>
    <xf numFmtId="175" fontId="10" fillId="0" borderId="27" xfId="0" applyNumberFormat="1" applyFont="1" applyBorder="1" applyAlignment="1">
      <alignment horizontal="center" vertical="center"/>
    </xf>
    <xf numFmtId="173" fontId="8" fillId="18" borderId="27" xfId="0" applyNumberFormat="1" applyFont="1" applyFill="1" applyBorder="1" applyAlignment="1">
      <alignment horizontal="center" vertical="center"/>
    </xf>
    <xf numFmtId="0" fontId="8" fillId="18" borderId="27" xfId="0" applyFont="1" applyFill="1" applyBorder="1" applyAlignment="1">
      <alignment horizontal="center" vertical="center"/>
    </xf>
    <xf numFmtId="49" fontId="6" fillId="18" borderId="27" xfId="0" applyNumberFormat="1" applyFont="1" applyFill="1" applyBorder="1" applyAlignment="1">
      <alignment horizontal="center" vertical="center"/>
    </xf>
    <xf numFmtId="174" fontId="8" fillId="18" borderId="27" xfId="0" applyNumberFormat="1" applyFont="1" applyFill="1" applyBorder="1" applyAlignment="1">
      <alignment horizontal="center" vertical="center"/>
    </xf>
    <xf numFmtId="1" fontId="8" fillId="18" borderId="27" xfId="0" applyNumberFormat="1" applyFont="1" applyFill="1" applyBorder="1" applyAlignment="1">
      <alignment horizontal="center" vertical="center"/>
    </xf>
    <xf numFmtId="175" fontId="8" fillId="18" borderId="27" xfId="0" applyNumberFormat="1" applyFont="1" applyFill="1" applyBorder="1" applyAlignment="1">
      <alignment horizontal="center" vertical="center"/>
    </xf>
    <xf numFmtId="168" fontId="9" fillId="12" borderId="11" xfId="0" applyNumberFormat="1" applyFont="1" applyFill="1" applyBorder="1" applyAlignment="1">
      <alignment horizontal="center" vertical="center"/>
    </xf>
    <xf numFmtId="0" fontId="15" fillId="12" borderId="3" xfId="0" applyFont="1" applyFill="1" applyBorder="1" applyAlignment="1">
      <alignment horizontal="center" vertical="center"/>
    </xf>
    <xf numFmtId="49" fontId="19" fillId="10" borderId="18" xfId="0" applyNumberFormat="1" applyFont="1" applyFill="1" applyBorder="1" applyAlignment="1">
      <alignment horizontal="center" vertical="center"/>
    </xf>
    <xf numFmtId="170" fontId="19" fillId="10" borderId="18" xfId="0" applyNumberFormat="1" applyFont="1" applyFill="1" applyBorder="1" applyAlignment="1">
      <alignment horizontal="center" vertical="center"/>
    </xf>
    <xf numFmtId="0" fontId="19" fillId="10" borderId="18" xfId="0" applyFont="1" applyFill="1" applyBorder="1" applyAlignment="1">
      <alignment horizontal="center" vertical="center"/>
    </xf>
    <xf numFmtId="49" fontId="15" fillId="0" borderId="3" xfId="0" applyNumberFormat="1" applyFont="1" applyBorder="1" applyAlignment="1">
      <alignment horizontal="center" vertical="center"/>
    </xf>
    <xf numFmtId="170" fontId="15" fillId="0" borderId="3" xfId="0" applyNumberFormat="1" applyFont="1" applyBorder="1" applyAlignment="1">
      <alignment horizontal="center" vertical="center"/>
    </xf>
    <xf numFmtId="173" fontId="10" fillId="0" borderId="29" xfId="0" applyNumberFormat="1" applyFont="1" applyBorder="1" applyAlignment="1">
      <alignment horizontal="center" vertical="center"/>
    </xf>
    <xf numFmtId="175" fontId="10" fillId="0" borderId="29" xfId="0" applyNumberFormat="1" applyFont="1" applyBorder="1" applyAlignment="1">
      <alignment horizontal="center" vertical="center"/>
    </xf>
    <xf numFmtId="0" fontId="30"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175" fontId="10" fillId="18" borderId="27" xfId="0" applyNumberFormat="1" applyFont="1" applyFill="1" applyBorder="1" applyAlignment="1">
      <alignment horizontal="center" vertical="center"/>
    </xf>
    <xf numFmtId="49" fontId="15" fillId="0" borderId="18" xfId="0" applyNumberFormat="1" applyFont="1" applyBorder="1" applyAlignment="1">
      <alignment horizontal="center" vertical="center"/>
    </xf>
    <xf numFmtId="170" fontId="15" fillId="0" borderId="18" xfId="0" applyNumberFormat="1" applyFont="1" applyBorder="1" applyAlignment="1">
      <alignment horizontal="center" vertical="center"/>
    </xf>
    <xf numFmtId="168" fontId="29" fillId="12" borderId="20" xfId="0" applyNumberFormat="1" applyFont="1" applyFill="1" applyBorder="1" applyAlignment="1">
      <alignment horizontal="center" vertical="center"/>
    </xf>
    <xf numFmtId="49" fontId="15" fillId="8" borderId="18" xfId="0" applyNumberFormat="1" applyFont="1" applyFill="1" applyBorder="1" applyAlignment="1">
      <alignment horizontal="center" vertical="center"/>
    </xf>
    <xf numFmtId="170" fontId="15" fillId="8" borderId="18" xfId="0" applyNumberFormat="1" applyFont="1" applyFill="1" applyBorder="1" applyAlignment="1">
      <alignment horizontal="center" vertical="center"/>
    </xf>
    <xf numFmtId="49" fontId="9" fillId="8" borderId="19" xfId="0" applyNumberFormat="1" applyFont="1" applyFill="1" applyBorder="1" applyAlignment="1">
      <alignment horizontal="center" vertical="center"/>
    </xf>
    <xf numFmtId="168" fontId="29" fillId="8" borderId="20" xfId="0" applyNumberFormat="1" applyFont="1" applyFill="1" applyBorder="1" applyAlignment="1">
      <alignment horizontal="center" vertical="center"/>
    </xf>
    <xf numFmtId="1" fontId="9" fillId="8" borderId="20" xfId="0" applyNumberFormat="1" applyFont="1" applyFill="1" applyBorder="1" applyAlignment="1">
      <alignment horizontal="center" vertical="center"/>
    </xf>
    <xf numFmtId="171" fontId="9" fillId="8" borderId="20" xfId="0" applyNumberFormat="1" applyFont="1" applyFill="1" applyBorder="1" applyAlignment="1">
      <alignment horizontal="center" vertical="center"/>
    </xf>
    <xf numFmtId="49" fontId="8" fillId="8" borderId="20" xfId="0" applyNumberFormat="1" applyFont="1" applyFill="1" applyBorder="1" applyAlignment="1">
      <alignment horizontal="center" vertical="center"/>
    </xf>
    <xf numFmtId="170" fontId="9" fillId="8" borderId="20" xfId="0" applyNumberFormat="1" applyFont="1" applyFill="1" applyBorder="1" applyAlignment="1">
      <alignment horizontal="center" vertical="center"/>
    </xf>
    <xf numFmtId="49" fontId="9" fillId="8" borderId="21" xfId="0" applyNumberFormat="1" applyFont="1" applyFill="1" applyBorder="1" applyAlignment="1">
      <alignment horizontal="center" vertical="center"/>
    </xf>
    <xf numFmtId="49" fontId="9" fillId="20" borderId="19" xfId="0" applyNumberFormat="1" applyFont="1" applyFill="1" applyBorder="1" applyAlignment="1">
      <alignment horizontal="center" vertical="center"/>
    </xf>
    <xf numFmtId="168" fontId="29" fillId="20" borderId="20" xfId="0" applyNumberFormat="1" applyFont="1" applyFill="1" applyBorder="1" applyAlignment="1">
      <alignment horizontal="center" vertical="center"/>
    </xf>
    <xf numFmtId="1" fontId="9" fillId="20" borderId="20" xfId="0" applyNumberFormat="1" applyFont="1" applyFill="1" applyBorder="1" applyAlignment="1">
      <alignment horizontal="center" vertical="center"/>
    </xf>
    <xf numFmtId="171" fontId="9" fillId="20" borderId="20" xfId="0" applyNumberFormat="1" applyFont="1" applyFill="1" applyBorder="1" applyAlignment="1">
      <alignment horizontal="center" vertical="center"/>
    </xf>
    <xf numFmtId="49" fontId="8" fillId="20" borderId="20" xfId="0" applyNumberFormat="1" applyFont="1" applyFill="1" applyBorder="1" applyAlignment="1">
      <alignment horizontal="center" vertical="center"/>
    </xf>
    <xf numFmtId="170" fontId="9" fillId="20" borderId="20" xfId="0" applyNumberFormat="1" applyFont="1" applyFill="1" applyBorder="1" applyAlignment="1">
      <alignment horizontal="center" vertical="center"/>
    </xf>
    <xf numFmtId="49" fontId="9" fillId="20" borderId="21" xfId="0" applyNumberFormat="1" applyFont="1" applyFill="1" applyBorder="1" applyAlignment="1">
      <alignment horizontal="center" vertical="center"/>
    </xf>
    <xf numFmtId="173" fontId="10" fillId="18" borderId="29" xfId="0" applyNumberFormat="1" applyFont="1" applyFill="1" applyBorder="1" applyAlignment="1">
      <alignment horizontal="center" vertical="center"/>
    </xf>
    <xf numFmtId="175" fontId="10" fillId="18" borderId="29" xfId="0" applyNumberFormat="1" applyFont="1" applyFill="1" applyBorder="1" applyAlignment="1">
      <alignment horizontal="center" vertical="center"/>
    </xf>
    <xf numFmtId="49" fontId="15" fillId="20" borderId="18" xfId="0" applyNumberFormat="1" applyFont="1" applyFill="1" applyBorder="1" applyAlignment="1">
      <alignment horizontal="center" vertical="center"/>
    </xf>
    <xf numFmtId="170" fontId="15" fillId="20" borderId="18" xfId="0" applyNumberFormat="1" applyFont="1" applyFill="1" applyBorder="1" applyAlignment="1">
      <alignment horizontal="center" vertical="center"/>
    </xf>
    <xf numFmtId="168" fontId="20" fillId="20" borderId="20" xfId="0" applyNumberFormat="1" applyFont="1" applyFill="1" applyBorder="1" applyAlignment="1">
      <alignment horizontal="center" vertical="center"/>
    </xf>
    <xf numFmtId="168" fontId="20" fillId="8" borderId="20" xfId="0" applyNumberFormat="1" applyFont="1" applyFill="1" applyBorder="1" applyAlignment="1">
      <alignment horizontal="center" vertical="center"/>
    </xf>
    <xf numFmtId="49" fontId="9" fillId="9" borderId="19" xfId="0" applyNumberFormat="1" applyFont="1" applyFill="1" applyBorder="1" applyAlignment="1">
      <alignment horizontal="center" vertical="center"/>
    </xf>
    <xf numFmtId="168" fontId="20" fillId="9" borderId="20" xfId="0" applyNumberFormat="1" applyFont="1" applyFill="1" applyBorder="1" applyAlignment="1">
      <alignment horizontal="center" vertical="center"/>
    </xf>
    <xf numFmtId="1" fontId="9" fillId="9" borderId="20" xfId="0" applyNumberFormat="1" applyFont="1" applyFill="1" applyBorder="1" applyAlignment="1">
      <alignment horizontal="center" vertical="center"/>
    </xf>
    <xf numFmtId="171" fontId="9" fillId="9" borderId="20" xfId="0" applyNumberFormat="1" applyFont="1" applyFill="1" applyBorder="1" applyAlignment="1">
      <alignment horizontal="center" vertical="center"/>
    </xf>
    <xf numFmtId="49" fontId="8" fillId="9" borderId="20" xfId="0" applyNumberFormat="1" applyFont="1" applyFill="1" applyBorder="1" applyAlignment="1">
      <alignment horizontal="center" vertical="center"/>
    </xf>
    <xf numFmtId="170" fontId="9" fillId="9" borderId="20" xfId="0" applyNumberFormat="1" applyFont="1" applyFill="1" applyBorder="1" applyAlignment="1">
      <alignment horizontal="center" vertical="center"/>
    </xf>
    <xf numFmtId="49" fontId="9" fillId="9" borderId="21" xfId="0" applyNumberFormat="1" applyFont="1" applyFill="1" applyBorder="1" applyAlignment="1">
      <alignment horizontal="center" vertical="center"/>
    </xf>
    <xf numFmtId="0" fontId="10" fillId="18" borderId="29" xfId="0" applyFont="1" applyFill="1" applyBorder="1" applyAlignment="1">
      <alignment horizontal="center" vertical="center"/>
    </xf>
    <xf numFmtId="168" fontId="29" fillId="10" borderId="20" xfId="0" applyNumberFormat="1" applyFont="1" applyFill="1" applyBorder="1" applyAlignment="1">
      <alignment horizontal="center" vertical="center"/>
    </xf>
    <xf numFmtId="168" fontId="29" fillId="9" borderId="20" xfId="0" applyNumberFormat="1" applyFont="1" applyFill="1" applyBorder="1" applyAlignment="1">
      <alignment horizontal="center"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165" fontId="3" fillId="2" borderId="0" xfId="0" applyNumberFormat="1" applyFont="1" applyFill="1" applyAlignment="1">
      <alignment horizontal="left" vertical="center"/>
    </xf>
    <xf numFmtId="0" fontId="0" fillId="2" borderId="0" xfId="0" applyFill="1" applyAlignment="1">
      <alignment horizontal="center"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0" fontId="22" fillId="0" borderId="22" xfId="0" applyFont="1" applyBorder="1" applyAlignment="1">
      <alignment horizontal="center" vertical="center"/>
    </xf>
    <xf numFmtId="0" fontId="0" fillId="0" borderId="23" xfId="0" applyBorder="1" applyAlignment="1">
      <alignment vertical="center"/>
    </xf>
    <xf numFmtId="0" fontId="0" fillId="0" borderId="24" xfId="0" applyBorder="1" applyAlignment="1">
      <alignment vertical="center"/>
    </xf>
    <xf numFmtId="0" fontId="5" fillId="4" borderId="3" xfId="0" applyFont="1" applyFill="1" applyBorder="1" applyAlignment="1">
      <alignment horizontal="center" vertical="center"/>
    </xf>
    <xf numFmtId="0" fontId="0" fillId="11" borderId="7" xfId="0" applyFill="1"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12" fillId="3" borderId="0" xfId="0" applyFont="1" applyFill="1" applyAlignment="1">
      <alignment horizontal="right" vertical="center"/>
    </xf>
    <xf numFmtId="0" fontId="12" fillId="3" borderId="0" xfId="0" applyFont="1" applyFill="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21" fillId="11" borderId="7" xfId="0" applyFont="1" applyFill="1" applyBorder="1" applyAlignment="1">
      <alignment horizontal="center" vertical="center"/>
    </xf>
    <xf numFmtId="0" fontId="21" fillId="0" borderId="8" xfId="0" applyFont="1" applyBorder="1" applyAlignment="1">
      <alignment vertical="center"/>
    </xf>
    <xf numFmtId="0" fontId="16" fillId="0" borderId="8" xfId="0" applyFont="1" applyBorder="1" applyAlignment="1">
      <alignment vertical="center"/>
    </xf>
    <xf numFmtId="0" fontId="17" fillId="0" borderId="8" xfId="0" applyFont="1" applyBorder="1" applyAlignment="1">
      <alignment vertical="center"/>
    </xf>
    <xf numFmtId="167" fontId="12" fillId="3" borderId="0" xfId="0" applyNumberFormat="1" applyFont="1" applyFill="1" applyAlignment="1">
      <alignment horizontal="left" vertical="center"/>
    </xf>
    <xf numFmtId="0" fontId="13" fillId="4" borderId="3" xfId="0" applyFont="1" applyFill="1" applyBorder="1" applyAlignment="1">
      <alignment horizontal="center" vertical="center"/>
    </xf>
    <xf numFmtId="0" fontId="23" fillId="0" borderId="3" xfId="0" applyFont="1" applyBorder="1" applyAlignment="1">
      <alignment vertical="center"/>
    </xf>
    <xf numFmtId="165" fontId="3" fillId="2" borderId="0" xfId="0" applyNumberFormat="1" applyFont="1" applyFill="1" applyAlignment="1">
      <alignment horizontal="center"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0" fontId="2" fillId="2" borderId="0" xfId="0" applyFont="1" applyFill="1" applyAlignment="1">
      <alignment horizontal="center" vertical="center"/>
    </xf>
    <xf numFmtId="49" fontId="28" fillId="0" borderId="17" xfId="0" applyNumberFormat="1" applyFont="1" applyBorder="1" applyAlignment="1">
      <alignment horizontal="center" vertical="center"/>
    </xf>
    <xf numFmtId="0" fontId="21" fillId="0" borderId="17" xfId="0" applyFont="1" applyBorder="1" applyAlignment="1">
      <alignment vertical="center"/>
    </xf>
    <xf numFmtId="0" fontId="22" fillId="0" borderId="2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MED_CAI" displayName="FocusMode_MED_CAI" ref="A1:H122">
  <autoFilter ref="A1:H122"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HBE" displayName="FocusMode_MED_HBE" ref="A1:H74">
  <autoFilter ref="A1:H74"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MED_ATZ" displayName="FocusMode_MED_ATZ" ref="A1:H69">
  <autoFilter ref="A1:H6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JED_CAI" displayName="FocusMode_JED_CAI" ref="A1:H451">
  <autoFilter ref="A1:H451"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127">
  <autoFilter ref="A1:H127"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JED_ATZ" displayName="FocusMode_JED_ATZ" ref="A1:H90">
  <autoFilter ref="A1:H90"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JED_LXR" displayName="FocusMode_JED_LXR" ref="A1:H7">
  <autoFilter ref="A1:H7"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JED_SSH" displayName="FocusMode_JED_SSH" ref="A1:H12">
  <autoFilter ref="A1:H12"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RUH_CAI" displayName="FocusMode_RUH_CAI" ref="A1:H319">
  <autoFilter ref="A1:H319"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RUH_ATZ" displayName="FocusMode_RUH_ATZ" ref="A1:H73">
  <autoFilter ref="A1:H73"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DMM_CAI" displayName="FocusMode_DMM_CAI" ref="A1:H91">
  <autoFilter ref="A1:H91"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DMM_ATZ" displayName="FocusMode_DMM_ATZ" ref="A1:H68">
  <autoFilter ref="A1:H68"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TUU_CAI" displayName="FocusMode_TUU_CAI" ref="A1:H23">
  <autoFilter ref="A1:H23"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TUU_ATZ" displayName="FocusMode_TUU_ATZ" ref="A1:H30">
  <autoFilter ref="A1:H30"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AJF_CAI" displayName="FocusMode_AJF_CAI" ref="A1:H7">
  <autoFilter ref="A1:H7"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AJF_ATZ" displayName="FocusMode_AJF_ATZ" ref="A1:H13">
  <autoFilter ref="A1:H13"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YNB_CAI" displayName="FocusMode_YNB_CAI" ref="A1:H10">
  <autoFilter ref="A1:H10"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AHB_CAI" displayName="FocusMode_AHB_CAI" ref="A1:H12">
  <autoFilter ref="A1:H12"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HB_ATZ" displayName="FocusMode_AHB_ATZ" ref="A1:H18">
  <autoFilter ref="A1:H18"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ELQ_CAI" displayName="FocusMode_ELQ_CAI" ref="A1:H24">
  <autoFilter ref="A1:H24"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ELQ_ATZ" displayName="FocusMode_ELQ_ATZ" ref="A1:H32">
  <autoFilter ref="A1:H32"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GIZ_CAI" displayName="FocusMode_GIZ_CAI" ref="A1:H10">
  <autoFilter ref="A1:H10"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42"/>
  <sheetViews>
    <sheetView tabSelected="1"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8.109375" bestFit="1" customWidth="1"/>
  </cols>
  <sheetData>
    <row r="1" spans="1:92" ht="28.8" customHeight="1" x14ac:dyDescent="0.3">
      <c r="A1" s="305" t="s">
        <v>0</v>
      </c>
      <c r="B1" s="281"/>
      <c r="C1" s="281"/>
      <c r="D1" s="305" t="s">
        <v>1</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45985.360305568342</v>
      </c>
      <c r="H2" s="292"/>
      <c r="I2" s="292"/>
      <c r="J2" s="292"/>
      <c r="K2" s="303">
        <v>45985.360305568647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26</v>
      </c>
      <c r="C6" s="9">
        <v>0.4201388888888889</v>
      </c>
      <c r="D6" s="8" t="s">
        <v>27</v>
      </c>
      <c r="E6" s="8" t="s">
        <v>28</v>
      </c>
      <c r="F6" s="8" t="s">
        <v>29</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26</v>
      </c>
      <c r="C7" s="16">
        <v>0.4201388888888889</v>
      </c>
      <c r="D7" s="15" t="s">
        <v>30</v>
      </c>
      <c r="E7" s="15" t="s">
        <v>31</v>
      </c>
      <c r="F7" s="15" t="s">
        <v>32</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26</v>
      </c>
      <c r="C8" s="16">
        <v>0.4201388888888889</v>
      </c>
      <c r="D8" s="15" t="s">
        <v>33</v>
      </c>
      <c r="E8" s="15" t="s">
        <v>31</v>
      </c>
      <c r="F8" s="15" t="s">
        <v>34</v>
      </c>
      <c r="G8" s="285"/>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35</v>
      </c>
      <c r="B9" s="17" t="s">
        <v>36</v>
      </c>
      <c r="C9" s="18">
        <v>0.27777777777777779</v>
      </c>
      <c r="D9" s="17" t="s">
        <v>37</v>
      </c>
      <c r="E9" s="17" t="s">
        <v>38</v>
      </c>
      <c r="F9" s="17" t="s">
        <v>39</v>
      </c>
      <c r="G9" s="285"/>
      <c r="H9" s="19" t="s">
        <v>40</v>
      </c>
      <c r="I9" s="20">
        <v>0.5655</v>
      </c>
      <c r="J9" s="21">
        <v>95</v>
      </c>
      <c r="K9" s="22">
        <v>45984</v>
      </c>
      <c r="L9" s="21">
        <v>13</v>
      </c>
      <c r="M9" s="21">
        <v>0</v>
      </c>
      <c r="N9" s="21">
        <v>3</v>
      </c>
      <c r="O9" s="23" t="s">
        <v>41</v>
      </c>
      <c r="P9" s="24">
        <v>0.27777777777777779</v>
      </c>
      <c r="Q9" s="21">
        <v>168</v>
      </c>
      <c r="R9" s="25" t="s">
        <v>42</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26" t="s">
        <v>35</v>
      </c>
      <c r="B10" s="26" t="s">
        <v>43</v>
      </c>
      <c r="C10" s="27">
        <v>4.8611111111111112E-2</v>
      </c>
      <c r="D10" s="26" t="s">
        <v>37</v>
      </c>
      <c r="E10" s="26" t="s">
        <v>44</v>
      </c>
      <c r="F10" s="26" t="s">
        <v>45</v>
      </c>
      <c r="G10" s="285"/>
      <c r="H10" s="28" t="s">
        <v>46</v>
      </c>
      <c r="I10" s="29">
        <v>0.91059999999999997</v>
      </c>
      <c r="J10" s="30">
        <v>163</v>
      </c>
      <c r="K10" s="31">
        <v>45965</v>
      </c>
      <c r="L10" s="30">
        <v>0</v>
      </c>
      <c r="M10" s="30">
        <v>0</v>
      </c>
      <c r="N10" s="30">
        <v>0</v>
      </c>
      <c r="O10" s="32" t="s">
        <v>47</v>
      </c>
      <c r="P10" s="33">
        <v>4.8611111111111112E-2</v>
      </c>
      <c r="Q10" s="30">
        <v>179</v>
      </c>
      <c r="R10" s="34" t="s">
        <v>48</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5" t="s">
        <v>35</v>
      </c>
      <c r="B11" s="35" t="s">
        <v>49</v>
      </c>
      <c r="C11" s="36">
        <v>0.97916666666666663</v>
      </c>
      <c r="D11" s="35" t="s">
        <v>37</v>
      </c>
      <c r="E11" s="35" t="s">
        <v>50</v>
      </c>
      <c r="F11" s="35" t="s">
        <v>51</v>
      </c>
      <c r="G11" s="285"/>
      <c r="H11" s="37" t="s">
        <v>52</v>
      </c>
      <c r="I11" s="38">
        <v>0.98880000000000001</v>
      </c>
      <c r="J11" s="39">
        <v>177</v>
      </c>
      <c r="K11" s="40">
        <v>45980</v>
      </c>
      <c r="L11" s="39">
        <v>1</v>
      </c>
      <c r="M11" s="39">
        <v>0</v>
      </c>
      <c r="N11" s="39">
        <v>0</v>
      </c>
      <c r="O11" s="41" t="s">
        <v>53</v>
      </c>
      <c r="P11" s="42">
        <v>0.97916666666666663</v>
      </c>
      <c r="Q11" s="39">
        <v>179</v>
      </c>
      <c r="R11" s="43" t="s">
        <v>54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4" t="s">
        <v>55</v>
      </c>
      <c r="B12" s="44" t="s">
        <v>56</v>
      </c>
      <c r="C12" s="45">
        <v>0.75694444444444453</v>
      </c>
      <c r="D12" s="44" t="s">
        <v>57</v>
      </c>
      <c r="E12" s="44" t="s">
        <v>58</v>
      </c>
      <c r="F12" s="44" t="s">
        <v>59</v>
      </c>
      <c r="G12" s="285"/>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55</v>
      </c>
      <c r="B13" s="15" t="s">
        <v>56</v>
      </c>
      <c r="C13" s="16">
        <v>0.75694444444444453</v>
      </c>
      <c r="D13" s="15" t="s">
        <v>60</v>
      </c>
      <c r="E13" s="15" t="s">
        <v>61</v>
      </c>
      <c r="F13" s="15" t="s">
        <v>59</v>
      </c>
      <c r="G13" s="285"/>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55</v>
      </c>
      <c r="B14" s="15" t="s">
        <v>56</v>
      </c>
      <c r="C14" s="16">
        <v>0.75694444444444453</v>
      </c>
      <c r="D14" s="15" t="s">
        <v>62</v>
      </c>
      <c r="E14" s="15" t="s">
        <v>61</v>
      </c>
      <c r="F14" s="15" t="s">
        <v>63</v>
      </c>
      <c r="G14" s="285"/>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55</v>
      </c>
      <c r="B15" s="15" t="s">
        <v>56</v>
      </c>
      <c r="C15" s="16">
        <v>0.75694444444444453</v>
      </c>
      <c r="D15" s="15" t="s">
        <v>64</v>
      </c>
      <c r="E15" s="15" t="s">
        <v>61</v>
      </c>
      <c r="F15" s="15" t="s">
        <v>65</v>
      </c>
      <c r="G15" s="285"/>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4" t="s">
        <v>66</v>
      </c>
      <c r="B16" s="44" t="s">
        <v>67</v>
      </c>
      <c r="C16" s="45">
        <v>9.7222222222222224E-2</v>
      </c>
      <c r="D16" s="44" t="s">
        <v>68</v>
      </c>
      <c r="E16" s="44" t="s">
        <v>38</v>
      </c>
      <c r="F16" s="44" t="s">
        <v>69</v>
      </c>
      <c r="G16" s="285"/>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6" t="s">
        <v>66</v>
      </c>
      <c r="B17" s="46" t="s">
        <v>70</v>
      </c>
      <c r="C17" s="47">
        <v>0.49305555555555558</v>
      </c>
      <c r="D17" s="46" t="s">
        <v>68</v>
      </c>
      <c r="E17" s="46" t="s">
        <v>71</v>
      </c>
      <c r="F17" s="46" t="s">
        <v>72</v>
      </c>
      <c r="G17" s="285"/>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46" t="s">
        <v>66</v>
      </c>
      <c r="B18" s="46" t="s">
        <v>73</v>
      </c>
      <c r="C18" s="47">
        <v>0.85416666666666663</v>
      </c>
      <c r="D18" s="46" t="s">
        <v>68</v>
      </c>
      <c r="E18" s="46" t="s">
        <v>74</v>
      </c>
      <c r="F18" s="46" t="s">
        <v>72</v>
      </c>
      <c r="G18" s="285"/>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46" t="s">
        <v>66</v>
      </c>
      <c r="B19" s="46" t="s">
        <v>75</v>
      </c>
      <c r="C19" s="47">
        <v>0.22222222222222221</v>
      </c>
      <c r="D19" s="46" t="s">
        <v>68</v>
      </c>
      <c r="E19" s="46" t="s">
        <v>76</v>
      </c>
      <c r="F19" s="46" t="s">
        <v>72</v>
      </c>
      <c r="G19" s="285"/>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46" t="s">
        <v>66</v>
      </c>
      <c r="B20" s="46" t="s">
        <v>77</v>
      </c>
      <c r="C20" s="47">
        <v>0.44444444444444442</v>
      </c>
      <c r="D20" s="46" t="s">
        <v>68</v>
      </c>
      <c r="E20" s="46" t="s">
        <v>74</v>
      </c>
      <c r="F20" s="46" t="s">
        <v>72</v>
      </c>
      <c r="G20" s="285"/>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44" t="s">
        <v>78</v>
      </c>
      <c r="B21" s="44" t="s">
        <v>79</v>
      </c>
      <c r="C21" s="45">
        <v>0.4201388888888889</v>
      </c>
      <c r="D21" s="44" t="s">
        <v>68</v>
      </c>
      <c r="E21" s="44" t="s">
        <v>80</v>
      </c>
      <c r="F21" s="44" t="s">
        <v>81</v>
      </c>
      <c r="G21" s="285"/>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78</v>
      </c>
      <c r="B22" s="15" t="s">
        <v>79</v>
      </c>
      <c r="C22" s="16">
        <v>0.4201388888888889</v>
      </c>
      <c r="D22" s="15" t="s">
        <v>82</v>
      </c>
      <c r="E22" s="15" t="s">
        <v>83</v>
      </c>
      <c r="F22" s="15" t="s">
        <v>81</v>
      </c>
      <c r="G22" s="285"/>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46" t="s">
        <v>78</v>
      </c>
      <c r="B23" s="46" t="s">
        <v>84</v>
      </c>
      <c r="C23" s="47">
        <v>0.60416666666666663</v>
      </c>
      <c r="D23" s="46" t="s">
        <v>85</v>
      </c>
      <c r="E23" s="46" t="s">
        <v>76</v>
      </c>
      <c r="F23" s="46" t="s">
        <v>86</v>
      </c>
      <c r="G23" s="285"/>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5" t="s">
        <v>78</v>
      </c>
      <c r="B24" s="15" t="s">
        <v>84</v>
      </c>
      <c r="C24" s="16">
        <v>0.60416666666666663</v>
      </c>
      <c r="D24" s="15" t="s">
        <v>87</v>
      </c>
      <c r="E24" s="15" t="s">
        <v>88</v>
      </c>
      <c r="F24" s="15" t="s">
        <v>86</v>
      </c>
      <c r="G24" s="285"/>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78</v>
      </c>
      <c r="B25" s="15" t="s">
        <v>84</v>
      </c>
      <c r="C25" s="16">
        <v>0.60416666666666663</v>
      </c>
      <c r="D25" s="15" t="s">
        <v>82</v>
      </c>
      <c r="E25" s="15" t="s">
        <v>88</v>
      </c>
      <c r="F25" s="15" t="s">
        <v>89</v>
      </c>
      <c r="G25" s="285"/>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46" t="s">
        <v>78</v>
      </c>
      <c r="B26" s="46" t="s">
        <v>90</v>
      </c>
      <c r="C26" s="47">
        <v>0.79513888888888884</v>
      </c>
      <c r="D26" s="46" t="s">
        <v>85</v>
      </c>
      <c r="E26" s="46" t="s">
        <v>91</v>
      </c>
      <c r="F26" s="46" t="s">
        <v>86</v>
      </c>
      <c r="G26" s="285"/>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5" t="s">
        <v>78</v>
      </c>
      <c r="B27" s="15" t="s">
        <v>90</v>
      </c>
      <c r="C27" s="16">
        <v>0.79513888888888884</v>
      </c>
      <c r="D27" s="15" t="s">
        <v>87</v>
      </c>
      <c r="E27" s="15" t="s">
        <v>92</v>
      </c>
      <c r="F27" s="15" t="s">
        <v>86</v>
      </c>
      <c r="G27" s="285"/>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78</v>
      </c>
      <c r="B28" s="15" t="s">
        <v>90</v>
      </c>
      <c r="C28" s="16">
        <v>0.79513888888888884</v>
      </c>
      <c r="D28" s="15" t="s">
        <v>82</v>
      </c>
      <c r="E28" s="15" t="s">
        <v>92</v>
      </c>
      <c r="F28" s="15" t="s">
        <v>89</v>
      </c>
      <c r="G28" s="285"/>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6" t="s">
        <v>78</v>
      </c>
      <c r="B29" s="46" t="s">
        <v>93</v>
      </c>
      <c r="C29" s="47">
        <v>8.6805555555555566E-2</v>
      </c>
      <c r="D29" s="46" t="s">
        <v>85</v>
      </c>
      <c r="E29" s="46" t="s">
        <v>76</v>
      </c>
      <c r="F29" s="46" t="s">
        <v>86</v>
      </c>
      <c r="G29" s="285"/>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78</v>
      </c>
      <c r="B30" s="15" t="s">
        <v>93</v>
      </c>
      <c r="C30" s="16">
        <v>8.6805555555555566E-2</v>
      </c>
      <c r="D30" s="15" t="s">
        <v>87</v>
      </c>
      <c r="E30" s="15" t="s">
        <v>88</v>
      </c>
      <c r="F30" s="15" t="s">
        <v>86</v>
      </c>
      <c r="G30" s="285"/>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48" t="s">
        <v>78</v>
      </c>
      <c r="B31" s="48" t="s">
        <v>93</v>
      </c>
      <c r="C31" s="49">
        <v>8.6805555555555566E-2</v>
      </c>
      <c r="D31" s="48" t="s">
        <v>82</v>
      </c>
      <c r="E31" s="48" t="s">
        <v>88</v>
      </c>
      <c r="F31" s="48" t="s">
        <v>89</v>
      </c>
      <c r="G31" s="286"/>
      <c r="H31" s="50"/>
      <c r="I31" s="51"/>
      <c r="J31" s="51"/>
      <c r="K31" s="51"/>
      <c r="L31" s="51"/>
      <c r="M31" s="51"/>
      <c r="N31" s="51"/>
      <c r="O31" s="52"/>
      <c r="P31" s="51"/>
      <c r="Q31" s="53"/>
      <c r="R31" s="5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295"/>
      <c r="B32" s="296"/>
      <c r="C32" s="296"/>
      <c r="D32" s="296"/>
      <c r="E32" s="296"/>
      <c r="F32" s="296"/>
      <c r="G32" s="289"/>
      <c r="H32" s="297"/>
      <c r="I32" s="297"/>
      <c r="J32" s="297"/>
      <c r="K32" s="297"/>
      <c r="L32" s="297"/>
      <c r="M32" s="297"/>
      <c r="N32" s="297"/>
      <c r="O32" s="298"/>
      <c r="P32" s="297"/>
      <c r="Q32" s="289"/>
      <c r="R32" s="29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05" customHeight="1" x14ac:dyDescent="0.3">
      <c r="A33" s="282" t="s">
        <v>5</v>
      </c>
      <c r="B33" s="283"/>
      <c r="C33" s="283"/>
      <c r="D33" s="283"/>
      <c r="E33" s="283"/>
      <c r="F33" s="283"/>
      <c r="G33" s="5">
        <v>45987</v>
      </c>
      <c r="H33" s="278" t="s">
        <v>6</v>
      </c>
      <c r="I33" s="279"/>
      <c r="J33" s="279"/>
      <c r="K33" s="279"/>
      <c r="L33" s="279"/>
      <c r="M33" s="279"/>
      <c r="N33" s="279"/>
      <c r="O33" s="279"/>
      <c r="P33" s="279"/>
      <c r="Q33" s="279"/>
      <c r="R33" s="27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x14ac:dyDescent="0.3">
      <c r="A34" s="55" t="s">
        <v>7</v>
      </c>
      <c r="B34" s="55" t="s">
        <v>8</v>
      </c>
      <c r="C34" s="56" t="s">
        <v>9</v>
      </c>
      <c r="D34" s="55" t="s">
        <v>10</v>
      </c>
      <c r="E34" s="55" t="s">
        <v>11</v>
      </c>
      <c r="F34" s="55" t="s">
        <v>12</v>
      </c>
      <c r="G34" s="57" t="s">
        <v>13</v>
      </c>
      <c r="H34" s="55" t="s">
        <v>14</v>
      </c>
      <c r="I34" s="58" t="s">
        <v>15</v>
      </c>
      <c r="J34" s="59" t="s">
        <v>16</v>
      </c>
      <c r="K34" s="60" t="s">
        <v>17</v>
      </c>
      <c r="L34" s="59" t="s">
        <v>18</v>
      </c>
      <c r="M34" s="59" t="s">
        <v>19</v>
      </c>
      <c r="N34" s="59" t="s">
        <v>20</v>
      </c>
      <c r="O34" s="55" t="s">
        <v>21</v>
      </c>
      <c r="P34" s="56" t="s">
        <v>22</v>
      </c>
      <c r="Q34" s="59" t="s">
        <v>23</v>
      </c>
      <c r="R34" s="55"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8" t="s">
        <v>78</v>
      </c>
      <c r="B35" s="8" t="s">
        <v>84</v>
      </c>
      <c r="C35" s="9">
        <v>0.60416666666666663</v>
      </c>
      <c r="D35" s="8" t="s">
        <v>94</v>
      </c>
      <c r="E35" s="8" t="s">
        <v>95</v>
      </c>
      <c r="F35" s="8" t="s">
        <v>96</v>
      </c>
      <c r="G35" s="284"/>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78</v>
      </c>
      <c r="B36" s="15" t="s">
        <v>84</v>
      </c>
      <c r="C36" s="16">
        <v>0.60416666666666663</v>
      </c>
      <c r="D36" s="15" t="s">
        <v>87</v>
      </c>
      <c r="E36" s="15" t="s">
        <v>97</v>
      </c>
      <c r="F36" s="15" t="s">
        <v>98</v>
      </c>
      <c r="G36" s="285"/>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78</v>
      </c>
      <c r="B37" s="15" t="s">
        <v>84</v>
      </c>
      <c r="C37" s="16">
        <v>0.60416666666666663</v>
      </c>
      <c r="D37" s="15" t="s">
        <v>82</v>
      </c>
      <c r="E37" s="15" t="s">
        <v>97</v>
      </c>
      <c r="F37" s="15" t="s">
        <v>99</v>
      </c>
      <c r="G37" s="285"/>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46" t="s">
        <v>78</v>
      </c>
      <c r="B38" s="46" t="s">
        <v>90</v>
      </c>
      <c r="C38" s="47">
        <v>0.79513888888888884</v>
      </c>
      <c r="D38" s="46" t="s">
        <v>85</v>
      </c>
      <c r="E38" s="46" t="s">
        <v>76</v>
      </c>
      <c r="F38" s="46" t="s">
        <v>100</v>
      </c>
      <c r="G38" s="285"/>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78</v>
      </c>
      <c r="B39" s="15" t="s">
        <v>90</v>
      </c>
      <c r="C39" s="16">
        <v>0.79513888888888884</v>
      </c>
      <c r="D39" s="15" t="s">
        <v>87</v>
      </c>
      <c r="E39" s="15" t="s">
        <v>88</v>
      </c>
      <c r="F39" s="15" t="s">
        <v>100</v>
      </c>
      <c r="G39" s="285"/>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78</v>
      </c>
      <c r="B40" s="15" t="s">
        <v>90</v>
      </c>
      <c r="C40" s="16">
        <v>0.79513888888888884</v>
      </c>
      <c r="D40" s="15" t="s">
        <v>82</v>
      </c>
      <c r="E40" s="15" t="s">
        <v>88</v>
      </c>
      <c r="F40" s="15" t="s">
        <v>101</v>
      </c>
      <c r="G40" s="285"/>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46" t="s">
        <v>78</v>
      </c>
      <c r="B41" s="46" t="s">
        <v>93</v>
      </c>
      <c r="C41" s="47">
        <v>8.6805555555555566E-2</v>
      </c>
      <c r="D41" s="46" t="s">
        <v>85</v>
      </c>
      <c r="E41" s="46" t="s">
        <v>76</v>
      </c>
      <c r="F41" s="46" t="s">
        <v>100</v>
      </c>
      <c r="G41" s="28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78</v>
      </c>
      <c r="B42" s="15" t="s">
        <v>93</v>
      </c>
      <c r="C42" s="16">
        <v>8.6805555555555566E-2</v>
      </c>
      <c r="D42" s="15" t="s">
        <v>87</v>
      </c>
      <c r="E42" s="15" t="s">
        <v>88</v>
      </c>
      <c r="F42" s="15" t="s">
        <v>100</v>
      </c>
      <c r="G42" s="285"/>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78</v>
      </c>
      <c r="B43" s="15" t="s">
        <v>93</v>
      </c>
      <c r="C43" s="16">
        <v>8.6805555555555566E-2</v>
      </c>
      <c r="D43" s="15" t="s">
        <v>82</v>
      </c>
      <c r="E43" s="15" t="s">
        <v>88</v>
      </c>
      <c r="F43" s="15" t="s">
        <v>101</v>
      </c>
      <c r="G43" s="285"/>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46" t="s">
        <v>78</v>
      </c>
      <c r="B44" s="46" t="s">
        <v>79</v>
      </c>
      <c r="C44" s="47">
        <v>0.4201388888888889</v>
      </c>
      <c r="D44" s="46" t="s">
        <v>68</v>
      </c>
      <c r="E44" s="46" t="s">
        <v>102</v>
      </c>
      <c r="F44" s="46" t="s">
        <v>81</v>
      </c>
      <c r="G44" s="285"/>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78</v>
      </c>
      <c r="B45" s="15" t="s">
        <v>79</v>
      </c>
      <c r="C45" s="16">
        <v>0.4201388888888889</v>
      </c>
      <c r="D45" s="15" t="s">
        <v>82</v>
      </c>
      <c r="E45" s="15" t="s">
        <v>83</v>
      </c>
      <c r="F45" s="15" t="s">
        <v>81</v>
      </c>
      <c r="G45" s="285"/>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44" t="s">
        <v>25</v>
      </c>
      <c r="B46" s="44" t="s">
        <v>26</v>
      </c>
      <c r="C46" s="45">
        <v>0.4201388888888889</v>
      </c>
      <c r="D46" s="44" t="s">
        <v>27</v>
      </c>
      <c r="E46" s="44" t="s">
        <v>103</v>
      </c>
      <c r="F46" s="44" t="s">
        <v>104</v>
      </c>
      <c r="G46" s="285"/>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5" t="s">
        <v>25</v>
      </c>
      <c r="B47" s="15" t="s">
        <v>26</v>
      </c>
      <c r="C47" s="16">
        <v>0.4201388888888889</v>
      </c>
      <c r="D47" s="15" t="s">
        <v>30</v>
      </c>
      <c r="E47" s="15" t="s">
        <v>105</v>
      </c>
      <c r="F47" s="15" t="s">
        <v>106</v>
      </c>
      <c r="G47" s="285"/>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25</v>
      </c>
      <c r="B48" s="15" t="s">
        <v>26</v>
      </c>
      <c r="C48" s="16">
        <v>0.4201388888888889</v>
      </c>
      <c r="D48" s="15" t="s">
        <v>33</v>
      </c>
      <c r="E48" s="15" t="s">
        <v>105</v>
      </c>
      <c r="F48" s="15" t="s">
        <v>107</v>
      </c>
      <c r="G48" s="285"/>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44" t="s">
        <v>55</v>
      </c>
      <c r="B49" s="44" t="s">
        <v>56</v>
      </c>
      <c r="C49" s="45">
        <v>0.75694444444444453</v>
      </c>
      <c r="D49" s="44" t="s">
        <v>57</v>
      </c>
      <c r="E49" s="44" t="s">
        <v>108</v>
      </c>
      <c r="F49" s="44" t="s">
        <v>59</v>
      </c>
      <c r="G49" s="285"/>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55</v>
      </c>
      <c r="B50" s="15" t="s">
        <v>56</v>
      </c>
      <c r="C50" s="16">
        <v>0.75694444444444453</v>
      </c>
      <c r="D50" s="15" t="s">
        <v>60</v>
      </c>
      <c r="E50" s="15" t="s">
        <v>109</v>
      </c>
      <c r="F50" s="15" t="s">
        <v>59</v>
      </c>
      <c r="G50" s="285"/>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55</v>
      </c>
      <c r="B51" s="15" t="s">
        <v>56</v>
      </c>
      <c r="C51" s="16">
        <v>0.75694444444444453</v>
      </c>
      <c r="D51" s="15" t="s">
        <v>62</v>
      </c>
      <c r="E51" s="15" t="s">
        <v>109</v>
      </c>
      <c r="F51" s="15" t="s">
        <v>63</v>
      </c>
      <c r="G51" s="285"/>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55</v>
      </c>
      <c r="B52" s="15" t="s">
        <v>56</v>
      </c>
      <c r="C52" s="16">
        <v>0.75694444444444453</v>
      </c>
      <c r="D52" s="15" t="s">
        <v>64</v>
      </c>
      <c r="E52" s="15" t="s">
        <v>109</v>
      </c>
      <c r="F52" s="15" t="s">
        <v>65</v>
      </c>
      <c r="G52" s="285"/>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44" t="s">
        <v>66</v>
      </c>
      <c r="B53" s="44" t="s">
        <v>77</v>
      </c>
      <c r="C53" s="45">
        <v>0.44444444444444442</v>
      </c>
      <c r="D53" s="44" t="s">
        <v>68</v>
      </c>
      <c r="E53" s="44" t="s">
        <v>28</v>
      </c>
      <c r="F53" s="44" t="s">
        <v>69</v>
      </c>
      <c r="G53" s="285"/>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46" t="s">
        <v>66</v>
      </c>
      <c r="B54" s="46" t="s">
        <v>75</v>
      </c>
      <c r="C54" s="47">
        <v>0.22222222222222221</v>
      </c>
      <c r="D54" s="46" t="s">
        <v>68</v>
      </c>
      <c r="E54" s="46" t="s">
        <v>76</v>
      </c>
      <c r="F54" s="46" t="s">
        <v>72</v>
      </c>
      <c r="G54" s="285"/>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46" t="s">
        <v>66</v>
      </c>
      <c r="B55" s="46" t="s">
        <v>73</v>
      </c>
      <c r="C55" s="47">
        <v>0.84722222222222221</v>
      </c>
      <c r="D55" s="46" t="s">
        <v>68</v>
      </c>
      <c r="E55" s="46" t="s">
        <v>50</v>
      </c>
      <c r="F55" s="46" t="s">
        <v>110</v>
      </c>
      <c r="G55" s="285"/>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61" t="s">
        <v>66</v>
      </c>
      <c r="B56" s="61" t="s">
        <v>70</v>
      </c>
      <c r="C56" s="62">
        <v>0.49305555555555558</v>
      </c>
      <c r="D56" s="61" t="s">
        <v>68</v>
      </c>
      <c r="E56" s="61" t="s">
        <v>76</v>
      </c>
      <c r="F56" s="61" t="s">
        <v>111</v>
      </c>
      <c r="G56" s="286"/>
      <c r="H56" s="50"/>
      <c r="I56" s="51"/>
      <c r="J56" s="51"/>
      <c r="K56" s="51"/>
      <c r="L56" s="51"/>
      <c r="M56" s="51"/>
      <c r="N56" s="51"/>
      <c r="O56" s="52"/>
      <c r="P56" s="51"/>
      <c r="Q56" s="53"/>
      <c r="R56" s="5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95"/>
      <c r="B57" s="296"/>
      <c r="C57" s="296"/>
      <c r="D57" s="296"/>
      <c r="E57" s="296"/>
      <c r="F57" s="296"/>
      <c r="G57" s="289"/>
      <c r="H57" s="297"/>
      <c r="I57" s="297"/>
      <c r="J57" s="297"/>
      <c r="K57" s="297"/>
      <c r="L57" s="297"/>
      <c r="M57" s="297"/>
      <c r="N57" s="297"/>
      <c r="O57" s="298"/>
      <c r="P57" s="297"/>
      <c r="Q57" s="289"/>
      <c r="R57" s="29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82" t="s">
        <v>5</v>
      </c>
      <c r="B58" s="283"/>
      <c r="C58" s="283"/>
      <c r="D58" s="283"/>
      <c r="E58" s="283"/>
      <c r="F58" s="283"/>
      <c r="G58" s="5">
        <v>45988</v>
      </c>
      <c r="H58" s="278" t="s">
        <v>6</v>
      </c>
      <c r="I58" s="279"/>
      <c r="J58" s="279"/>
      <c r="K58" s="279"/>
      <c r="L58" s="279"/>
      <c r="M58" s="279"/>
      <c r="N58" s="279"/>
      <c r="O58" s="279"/>
      <c r="P58" s="279"/>
      <c r="Q58" s="279"/>
      <c r="R58" s="27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55" t="s">
        <v>7</v>
      </c>
      <c r="B59" s="55" t="s">
        <v>8</v>
      </c>
      <c r="C59" s="56" t="s">
        <v>9</v>
      </c>
      <c r="D59" s="55" t="s">
        <v>10</v>
      </c>
      <c r="E59" s="55" t="s">
        <v>11</v>
      </c>
      <c r="F59" s="55" t="s">
        <v>12</v>
      </c>
      <c r="G59" s="57" t="s">
        <v>13</v>
      </c>
      <c r="H59" s="55" t="s">
        <v>14</v>
      </c>
      <c r="I59" s="58" t="s">
        <v>15</v>
      </c>
      <c r="J59" s="59" t="s">
        <v>16</v>
      </c>
      <c r="K59" s="60" t="s">
        <v>17</v>
      </c>
      <c r="L59" s="59" t="s">
        <v>18</v>
      </c>
      <c r="M59" s="59" t="s">
        <v>19</v>
      </c>
      <c r="N59" s="59" t="s">
        <v>20</v>
      </c>
      <c r="O59" s="55" t="s">
        <v>21</v>
      </c>
      <c r="P59" s="56" t="s">
        <v>22</v>
      </c>
      <c r="Q59" s="59" t="s">
        <v>23</v>
      </c>
      <c r="R59" s="55"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8" t="s">
        <v>25</v>
      </c>
      <c r="B60" s="8" t="s">
        <v>26</v>
      </c>
      <c r="C60" s="9">
        <v>0.4201388888888889</v>
      </c>
      <c r="D60" s="8" t="s">
        <v>27</v>
      </c>
      <c r="E60" s="8" t="s">
        <v>28</v>
      </c>
      <c r="F60" s="8" t="s">
        <v>29</v>
      </c>
      <c r="G60" s="284"/>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5" t="s">
        <v>25</v>
      </c>
      <c r="B61" s="15" t="s">
        <v>26</v>
      </c>
      <c r="C61" s="16">
        <v>0.4201388888888889</v>
      </c>
      <c r="D61" s="15" t="s">
        <v>30</v>
      </c>
      <c r="E61" s="15" t="s">
        <v>31</v>
      </c>
      <c r="F61" s="15" t="s">
        <v>32</v>
      </c>
      <c r="G61" s="285"/>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25</v>
      </c>
      <c r="B62" s="15" t="s">
        <v>26</v>
      </c>
      <c r="C62" s="16">
        <v>0.4201388888888889</v>
      </c>
      <c r="D62" s="15" t="s">
        <v>33</v>
      </c>
      <c r="E62" s="15" t="s">
        <v>31</v>
      </c>
      <c r="F62" s="15" t="s">
        <v>34</v>
      </c>
      <c r="G62" s="285"/>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44" t="s">
        <v>55</v>
      </c>
      <c r="B63" s="44" t="s">
        <v>112</v>
      </c>
      <c r="C63" s="45">
        <v>0.35416666666666669</v>
      </c>
      <c r="D63" s="44" t="s">
        <v>57</v>
      </c>
      <c r="E63" s="44" t="s">
        <v>80</v>
      </c>
      <c r="F63" s="44" t="s">
        <v>59</v>
      </c>
      <c r="G63" s="285"/>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55</v>
      </c>
      <c r="B64" s="15" t="s">
        <v>112</v>
      </c>
      <c r="C64" s="16">
        <v>0.35416666666666669</v>
      </c>
      <c r="D64" s="15" t="s">
        <v>60</v>
      </c>
      <c r="E64" s="15" t="s">
        <v>83</v>
      </c>
      <c r="F64" s="15" t="s">
        <v>59</v>
      </c>
      <c r="G64" s="285"/>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55</v>
      </c>
      <c r="B65" s="15" t="s">
        <v>112</v>
      </c>
      <c r="C65" s="16">
        <v>0.35416666666666669</v>
      </c>
      <c r="D65" s="15" t="s">
        <v>62</v>
      </c>
      <c r="E65" s="15" t="s">
        <v>83</v>
      </c>
      <c r="F65" s="15" t="s">
        <v>63</v>
      </c>
      <c r="G65" s="285"/>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55</v>
      </c>
      <c r="B66" s="15" t="s">
        <v>112</v>
      </c>
      <c r="C66" s="16">
        <v>0.35416666666666669</v>
      </c>
      <c r="D66" s="15" t="s">
        <v>64</v>
      </c>
      <c r="E66" s="15" t="s">
        <v>83</v>
      </c>
      <c r="F66" s="15" t="s">
        <v>65</v>
      </c>
      <c r="G66" s="285"/>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46" t="s">
        <v>55</v>
      </c>
      <c r="B67" s="46" t="s">
        <v>56</v>
      </c>
      <c r="C67" s="47">
        <v>0.75694444444444453</v>
      </c>
      <c r="D67" s="46" t="s">
        <v>57</v>
      </c>
      <c r="E67" s="46" t="s">
        <v>102</v>
      </c>
      <c r="F67" s="46" t="s">
        <v>113</v>
      </c>
      <c r="G67" s="285"/>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55</v>
      </c>
      <c r="B68" s="15" t="s">
        <v>56</v>
      </c>
      <c r="C68" s="16">
        <v>0.75694444444444453</v>
      </c>
      <c r="D68" s="15" t="s">
        <v>60</v>
      </c>
      <c r="E68" s="15" t="s">
        <v>83</v>
      </c>
      <c r="F68" s="15" t="s">
        <v>113</v>
      </c>
      <c r="G68" s="285"/>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5" t="s">
        <v>55</v>
      </c>
      <c r="B69" s="15" t="s">
        <v>56</v>
      </c>
      <c r="C69" s="16">
        <v>0.75694444444444453</v>
      </c>
      <c r="D69" s="15" t="s">
        <v>62</v>
      </c>
      <c r="E69" s="15" t="s">
        <v>83</v>
      </c>
      <c r="F69" s="15" t="s">
        <v>114</v>
      </c>
      <c r="G69" s="285"/>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55</v>
      </c>
      <c r="B70" s="15" t="s">
        <v>56</v>
      </c>
      <c r="C70" s="16">
        <v>0.75694444444444453</v>
      </c>
      <c r="D70" s="15" t="s">
        <v>64</v>
      </c>
      <c r="E70" s="15" t="s">
        <v>83</v>
      </c>
      <c r="F70" s="15" t="s">
        <v>115</v>
      </c>
      <c r="G70" s="285"/>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4" t="s">
        <v>66</v>
      </c>
      <c r="B71" s="44" t="s">
        <v>77</v>
      </c>
      <c r="C71" s="45">
        <v>0.43055555555555558</v>
      </c>
      <c r="D71" s="44" t="s">
        <v>68</v>
      </c>
      <c r="E71" s="44" t="s">
        <v>38</v>
      </c>
      <c r="F71" s="44" t="s">
        <v>69</v>
      </c>
      <c r="G71" s="285"/>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6" t="s">
        <v>66</v>
      </c>
      <c r="B72" s="46" t="s">
        <v>70</v>
      </c>
      <c r="C72" s="47">
        <v>0.49305555555555558</v>
      </c>
      <c r="D72" s="46" t="s">
        <v>68</v>
      </c>
      <c r="E72" s="46" t="s">
        <v>76</v>
      </c>
      <c r="F72" s="46" t="s">
        <v>72</v>
      </c>
      <c r="G72" s="285"/>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46" t="s">
        <v>66</v>
      </c>
      <c r="B73" s="46" t="s">
        <v>67</v>
      </c>
      <c r="C73" s="47">
        <v>0.1076388888888889</v>
      </c>
      <c r="D73" s="46" t="s">
        <v>68</v>
      </c>
      <c r="E73" s="46" t="s">
        <v>116</v>
      </c>
      <c r="F73" s="46" t="s">
        <v>72</v>
      </c>
      <c r="G73" s="285"/>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46" t="s">
        <v>66</v>
      </c>
      <c r="B74" s="46" t="s">
        <v>75</v>
      </c>
      <c r="C74" s="47">
        <v>0.22222222222222221</v>
      </c>
      <c r="D74" s="46" t="s">
        <v>68</v>
      </c>
      <c r="E74" s="46" t="s">
        <v>76</v>
      </c>
      <c r="F74" s="46" t="s">
        <v>72</v>
      </c>
      <c r="G74" s="285"/>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46" t="s">
        <v>66</v>
      </c>
      <c r="B75" s="46" t="s">
        <v>73</v>
      </c>
      <c r="C75" s="47">
        <v>0.85416666666666663</v>
      </c>
      <c r="D75" s="46" t="s">
        <v>68</v>
      </c>
      <c r="E75" s="46" t="s">
        <v>50</v>
      </c>
      <c r="F75" s="46" t="s">
        <v>111</v>
      </c>
      <c r="G75" s="285"/>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44" t="s">
        <v>78</v>
      </c>
      <c r="B76" s="44" t="s">
        <v>90</v>
      </c>
      <c r="C76" s="45">
        <v>0.79513888888888884</v>
      </c>
      <c r="D76" s="44" t="s">
        <v>85</v>
      </c>
      <c r="E76" s="44" t="s">
        <v>108</v>
      </c>
      <c r="F76" s="44" t="s">
        <v>117</v>
      </c>
      <c r="G76" s="285"/>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78</v>
      </c>
      <c r="B77" s="15" t="s">
        <v>90</v>
      </c>
      <c r="C77" s="16">
        <v>0.79513888888888884</v>
      </c>
      <c r="D77" s="15" t="s">
        <v>87</v>
      </c>
      <c r="E77" s="15" t="s">
        <v>109</v>
      </c>
      <c r="F77" s="15" t="s">
        <v>117</v>
      </c>
      <c r="G77" s="285"/>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78</v>
      </c>
      <c r="B78" s="15" t="s">
        <v>90</v>
      </c>
      <c r="C78" s="16">
        <v>0.79513888888888884</v>
      </c>
      <c r="D78" s="15" t="s">
        <v>82</v>
      </c>
      <c r="E78" s="15" t="s">
        <v>109</v>
      </c>
      <c r="F78" s="15" t="s">
        <v>118</v>
      </c>
      <c r="G78" s="285"/>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46" t="s">
        <v>78</v>
      </c>
      <c r="B79" s="46" t="s">
        <v>84</v>
      </c>
      <c r="C79" s="47">
        <v>0.60416666666666663</v>
      </c>
      <c r="D79" s="46" t="s">
        <v>85</v>
      </c>
      <c r="E79" s="46" t="s">
        <v>76</v>
      </c>
      <c r="F79" s="46" t="s">
        <v>100</v>
      </c>
      <c r="G79" s="285"/>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78</v>
      </c>
      <c r="B80" s="15" t="s">
        <v>84</v>
      </c>
      <c r="C80" s="16">
        <v>0.60416666666666663</v>
      </c>
      <c r="D80" s="15" t="s">
        <v>87</v>
      </c>
      <c r="E80" s="15" t="s">
        <v>88</v>
      </c>
      <c r="F80" s="15" t="s">
        <v>100</v>
      </c>
      <c r="G80" s="285"/>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78</v>
      </c>
      <c r="B81" s="15" t="s">
        <v>84</v>
      </c>
      <c r="C81" s="16">
        <v>0.60416666666666663</v>
      </c>
      <c r="D81" s="15" t="s">
        <v>82</v>
      </c>
      <c r="E81" s="15" t="s">
        <v>88</v>
      </c>
      <c r="F81" s="15" t="s">
        <v>101</v>
      </c>
      <c r="G81" s="285"/>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46" t="s">
        <v>78</v>
      </c>
      <c r="B82" s="46" t="s">
        <v>93</v>
      </c>
      <c r="C82" s="47">
        <v>8.6805555555555566E-2</v>
      </c>
      <c r="D82" s="46" t="s">
        <v>85</v>
      </c>
      <c r="E82" s="46" t="s">
        <v>76</v>
      </c>
      <c r="F82" s="46" t="s">
        <v>100</v>
      </c>
      <c r="G82" s="285"/>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78</v>
      </c>
      <c r="B83" s="15" t="s">
        <v>93</v>
      </c>
      <c r="C83" s="16">
        <v>8.6805555555555566E-2</v>
      </c>
      <c r="D83" s="15" t="s">
        <v>87</v>
      </c>
      <c r="E83" s="15" t="s">
        <v>88</v>
      </c>
      <c r="F83" s="15" t="s">
        <v>100</v>
      </c>
      <c r="G83" s="285"/>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78</v>
      </c>
      <c r="B84" s="15" t="s">
        <v>93</v>
      </c>
      <c r="C84" s="16">
        <v>8.6805555555555566E-2</v>
      </c>
      <c r="D84" s="15" t="s">
        <v>82</v>
      </c>
      <c r="E84" s="15" t="s">
        <v>88</v>
      </c>
      <c r="F84" s="15" t="s">
        <v>101</v>
      </c>
      <c r="G84" s="285"/>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46" t="s">
        <v>78</v>
      </c>
      <c r="B85" s="46" t="s">
        <v>79</v>
      </c>
      <c r="C85" s="47">
        <v>0.4201388888888889</v>
      </c>
      <c r="D85" s="46" t="s">
        <v>68</v>
      </c>
      <c r="E85" s="46" t="s">
        <v>102</v>
      </c>
      <c r="F85" s="46" t="s">
        <v>81</v>
      </c>
      <c r="G85" s="285"/>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78</v>
      </c>
      <c r="B86" s="15" t="s">
        <v>79</v>
      </c>
      <c r="C86" s="16">
        <v>0.4201388888888889</v>
      </c>
      <c r="D86" s="15" t="s">
        <v>82</v>
      </c>
      <c r="E86" s="15" t="s">
        <v>83</v>
      </c>
      <c r="F86" s="15" t="s">
        <v>81</v>
      </c>
      <c r="G86" s="285"/>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63" t="s">
        <v>35</v>
      </c>
      <c r="B87" s="63" t="s">
        <v>49</v>
      </c>
      <c r="C87" s="64">
        <v>0.53819444444444442</v>
      </c>
      <c r="D87" s="63" t="s">
        <v>37</v>
      </c>
      <c r="E87" s="63" t="s">
        <v>80</v>
      </c>
      <c r="F87" s="63" t="s">
        <v>119</v>
      </c>
      <c r="G87" s="286"/>
      <c r="H87" s="65" t="s">
        <v>52</v>
      </c>
      <c r="I87" s="66">
        <v>0.98280000000000001</v>
      </c>
      <c r="J87" s="67">
        <v>171</v>
      </c>
      <c r="K87" s="68">
        <v>45981</v>
      </c>
      <c r="L87" s="67">
        <v>4</v>
      </c>
      <c r="M87" s="67">
        <v>0</v>
      </c>
      <c r="N87" s="67">
        <v>0</v>
      </c>
      <c r="O87" s="69" t="s">
        <v>120</v>
      </c>
      <c r="P87" s="70">
        <v>0.53819444444444442</v>
      </c>
      <c r="Q87" s="67">
        <v>174</v>
      </c>
      <c r="R87" s="71" t="s">
        <v>121</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 customHeight="1" x14ac:dyDescent="0.3">
      <c r="A88" s="295"/>
      <c r="B88" s="296"/>
      <c r="C88" s="296"/>
      <c r="D88" s="296"/>
      <c r="E88" s="296"/>
      <c r="F88" s="296"/>
      <c r="G88" s="289"/>
      <c r="H88" s="297"/>
      <c r="I88" s="297"/>
      <c r="J88" s="297"/>
      <c r="K88" s="297"/>
      <c r="L88" s="297"/>
      <c r="M88" s="297"/>
      <c r="N88" s="297"/>
      <c r="O88" s="298"/>
      <c r="P88" s="297"/>
      <c r="Q88" s="289"/>
      <c r="R88" s="29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05" customHeight="1" x14ac:dyDescent="0.3">
      <c r="A89" s="282" t="s">
        <v>5</v>
      </c>
      <c r="B89" s="283"/>
      <c r="C89" s="283"/>
      <c r="D89" s="283"/>
      <c r="E89" s="283"/>
      <c r="F89" s="283"/>
      <c r="G89" s="5">
        <v>45989</v>
      </c>
      <c r="H89" s="278" t="s">
        <v>6</v>
      </c>
      <c r="I89" s="279"/>
      <c r="J89" s="279"/>
      <c r="K89" s="279"/>
      <c r="L89" s="279"/>
      <c r="M89" s="279"/>
      <c r="N89" s="279"/>
      <c r="O89" s="279"/>
      <c r="P89" s="279"/>
      <c r="Q89" s="279"/>
      <c r="R89" s="279"/>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x14ac:dyDescent="0.3">
      <c r="A90" s="55" t="s">
        <v>7</v>
      </c>
      <c r="B90" s="55" t="s">
        <v>8</v>
      </c>
      <c r="C90" s="56" t="s">
        <v>9</v>
      </c>
      <c r="D90" s="55" t="s">
        <v>10</v>
      </c>
      <c r="E90" s="55" t="s">
        <v>11</v>
      </c>
      <c r="F90" s="55" t="s">
        <v>12</v>
      </c>
      <c r="G90" s="57" t="s">
        <v>13</v>
      </c>
      <c r="H90" s="55" t="s">
        <v>14</v>
      </c>
      <c r="I90" s="58" t="s">
        <v>15</v>
      </c>
      <c r="J90" s="59" t="s">
        <v>16</v>
      </c>
      <c r="K90" s="60" t="s">
        <v>17</v>
      </c>
      <c r="L90" s="59" t="s">
        <v>18</v>
      </c>
      <c r="M90" s="59" t="s">
        <v>19</v>
      </c>
      <c r="N90" s="59" t="s">
        <v>20</v>
      </c>
      <c r="O90" s="55" t="s">
        <v>21</v>
      </c>
      <c r="P90" s="56" t="s">
        <v>22</v>
      </c>
      <c r="Q90" s="59" t="s">
        <v>23</v>
      </c>
      <c r="R90" s="55"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8" t="s">
        <v>25</v>
      </c>
      <c r="B91" s="8" t="s">
        <v>26</v>
      </c>
      <c r="C91" s="9">
        <v>0.4201388888888889</v>
      </c>
      <c r="D91" s="8" t="s">
        <v>27</v>
      </c>
      <c r="E91" s="8" t="s">
        <v>108</v>
      </c>
      <c r="F91" s="8" t="s">
        <v>29</v>
      </c>
      <c r="G91" s="284"/>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5" t="s">
        <v>25</v>
      </c>
      <c r="B92" s="15" t="s">
        <v>26</v>
      </c>
      <c r="C92" s="16">
        <v>0.4201388888888889</v>
      </c>
      <c r="D92" s="15" t="s">
        <v>30</v>
      </c>
      <c r="E92" s="15" t="s">
        <v>109</v>
      </c>
      <c r="F92" s="15" t="s">
        <v>32</v>
      </c>
      <c r="G92" s="285"/>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25</v>
      </c>
      <c r="B93" s="15" t="s">
        <v>26</v>
      </c>
      <c r="C93" s="16">
        <v>0.4201388888888889</v>
      </c>
      <c r="D93" s="15" t="s">
        <v>33</v>
      </c>
      <c r="E93" s="15" t="s">
        <v>109</v>
      </c>
      <c r="F93" s="15" t="s">
        <v>34</v>
      </c>
      <c r="G93" s="285"/>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44" t="s">
        <v>55</v>
      </c>
      <c r="B94" s="44" t="s">
        <v>56</v>
      </c>
      <c r="C94" s="45">
        <v>0.75694444444444453</v>
      </c>
      <c r="D94" s="44" t="s">
        <v>60</v>
      </c>
      <c r="E94" s="44" t="s">
        <v>122</v>
      </c>
      <c r="F94" s="44" t="s">
        <v>59</v>
      </c>
      <c r="G94" s="285"/>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55</v>
      </c>
      <c r="B95" s="15" t="s">
        <v>56</v>
      </c>
      <c r="C95" s="16">
        <v>0.75694444444444453</v>
      </c>
      <c r="D95" s="15" t="s">
        <v>62</v>
      </c>
      <c r="E95" s="15" t="s">
        <v>92</v>
      </c>
      <c r="F95" s="15" t="s">
        <v>63</v>
      </c>
      <c r="G95" s="285"/>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55</v>
      </c>
      <c r="B96" s="15" t="s">
        <v>56</v>
      </c>
      <c r="C96" s="16">
        <v>0.75694444444444453</v>
      </c>
      <c r="D96" s="15" t="s">
        <v>64</v>
      </c>
      <c r="E96" s="15" t="s">
        <v>92</v>
      </c>
      <c r="F96" s="15" t="s">
        <v>65</v>
      </c>
      <c r="G96" s="285"/>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44" t="s">
        <v>66</v>
      </c>
      <c r="B97" s="44" t="s">
        <v>67</v>
      </c>
      <c r="C97" s="45">
        <v>0.1076388888888889</v>
      </c>
      <c r="D97" s="44" t="s">
        <v>68</v>
      </c>
      <c r="E97" s="44" t="s">
        <v>38</v>
      </c>
      <c r="F97" s="44" t="s">
        <v>123</v>
      </c>
      <c r="G97" s="285"/>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46" t="s">
        <v>66</v>
      </c>
      <c r="B98" s="46" t="s">
        <v>70</v>
      </c>
      <c r="C98" s="47">
        <v>0.49305555555555558</v>
      </c>
      <c r="D98" s="46" t="s">
        <v>68</v>
      </c>
      <c r="E98" s="46" t="s">
        <v>116</v>
      </c>
      <c r="F98" s="46" t="s">
        <v>111</v>
      </c>
      <c r="G98" s="285"/>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46" t="s">
        <v>66</v>
      </c>
      <c r="B99" s="46" t="s">
        <v>75</v>
      </c>
      <c r="C99" s="47">
        <v>0.22222222222222221</v>
      </c>
      <c r="D99" s="46" t="s">
        <v>68</v>
      </c>
      <c r="E99" s="46" t="s">
        <v>76</v>
      </c>
      <c r="F99" s="46" t="s">
        <v>111</v>
      </c>
      <c r="G99" s="285"/>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44" t="s">
        <v>78</v>
      </c>
      <c r="B100" s="44" t="s">
        <v>84</v>
      </c>
      <c r="C100" s="45">
        <v>0.60416666666666663</v>
      </c>
      <c r="D100" s="44" t="s">
        <v>87</v>
      </c>
      <c r="E100" s="44" t="s">
        <v>38</v>
      </c>
      <c r="F100" s="44" t="s">
        <v>100</v>
      </c>
      <c r="G100" s="285"/>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5" t="s">
        <v>78</v>
      </c>
      <c r="B101" s="15" t="s">
        <v>84</v>
      </c>
      <c r="C101" s="16">
        <v>0.60416666666666663</v>
      </c>
      <c r="D101" s="15" t="s">
        <v>82</v>
      </c>
      <c r="E101" s="15" t="s">
        <v>88</v>
      </c>
      <c r="F101" s="15" t="s">
        <v>101</v>
      </c>
      <c r="G101" s="285"/>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46" t="s">
        <v>78</v>
      </c>
      <c r="B102" s="46" t="s">
        <v>93</v>
      </c>
      <c r="C102" s="47">
        <v>8.6805555555555566E-2</v>
      </c>
      <c r="D102" s="46" t="s">
        <v>87</v>
      </c>
      <c r="E102" s="46" t="s">
        <v>76</v>
      </c>
      <c r="F102" s="46" t="s">
        <v>100</v>
      </c>
      <c r="G102" s="285"/>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78</v>
      </c>
      <c r="B103" s="15" t="s">
        <v>93</v>
      </c>
      <c r="C103" s="16">
        <v>8.6805555555555566E-2</v>
      </c>
      <c r="D103" s="15" t="s">
        <v>82</v>
      </c>
      <c r="E103" s="15" t="s">
        <v>88</v>
      </c>
      <c r="F103" s="15" t="s">
        <v>101</v>
      </c>
      <c r="G103" s="285"/>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61" t="s">
        <v>78</v>
      </c>
      <c r="B104" s="61" t="s">
        <v>79</v>
      </c>
      <c r="C104" s="62">
        <v>0.4201388888888889</v>
      </c>
      <c r="D104" s="61" t="s">
        <v>82</v>
      </c>
      <c r="E104" s="61" t="s">
        <v>102</v>
      </c>
      <c r="F104" s="61" t="s">
        <v>81</v>
      </c>
      <c r="G104" s="286"/>
      <c r="H104" s="50"/>
      <c r="I104" s="51"/>
      <c r="J104" s="51"/>
      <c r="K104" s="51"/>
      <c r="L104" s="51"/>
      <c r="M104" s="51"/>
      <c r="N104" s="51"/>
      <c r="O104" s="52"/>
      <c r="P104" s="51"/>
      <c r="Q104" s="53"/>
      <c r="R104" s="5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4.4" customHeight="1" x14ac:dyDescent="0.3">
      <c r="A105" s="288"/>
      <c r="B105" s="289"/>
      <c r="C105" s="289"/>
      <c r="D105" s="289"/>
      <c r="E105" s="289"/>
      <c r="F105" s="289"/>
      <c r="G105" s="289"/>
      <c r="H105" s="289"/>
      <c r="I105" s="289"/>
      <c r="J105" s="289"/>
      <c r="K105" s="289"/>
      <c r="L105" s="289"/>
      <c r="M105" s="289"/>
      <c r="N105" s="289"/>
      <c r="O105" s="289"/>
      <c r="P105" s="289"/>
      <c r="Q105" s="289"/>
      <c r="R105" s="29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2.05" customHeight="1" x14ac:dyDescent="0.3">
      <c r="A106" s="282" t="s">
        <v>5</v>
      </c>
      <c r="B106" s="283"/>
      <c r="C106" s="283"/>
      <c r="D106" s="283"/>
      <c r="E106" s="283"/>
      <c r="F106" s="283"/>
      <c r="G106" s="5">
        <v>45990</v>
      </c>
      <c r="H106" s="278" t="s">
        <v>6</v>
      </c>
      <c r="I106" s="279"/>
      <c r="J106" s="279"/>
      <c r="K106" s="279"/>
      <c r="L106" s="279"/>
      <c r="M106" s="279"/>
      <c r="N106" s="279"/>
      <c r="O106" s="279"/>
      <c r="P106" s="279"/>
      <c r="Q106" s="279"/>
      <c r="R106" s="279"/>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4" customHeight="1" x14ac:dyDescent="0.3">
      <c r="A107" s="55" t="s">
        <v>7</v>
      </c>
      <c r="B107" s="55" t="s">
        <v>8</v>
      </c>
      <c r="C107" s="56" t="s">
        <v>9</v>
      </c>
      <c r="D107" s="55" t="s">
        <v>10</v>
      </c>
      <c r="E107" s="55" t="s">
        <v>11</v>
      </c>
      <c r="F107" s="55" t="s">
        <v>12</v>
      </c>
      <c r="G107" s="57" t="s">
        <v>13</v>
      </c>
      <c r="H107" s="55" t="s">
        <v>14</v>
      </c>
      <c r="I107" s="58" t="s">
        <v>15</v>
      </c>
      <c r="J107" s="59" t="s">
        <v>16</v>
      </c>
      <c r="K107" s="60" t="s">
        <v>17</v>
      </c>
      <c r="L107" s="59" t="s">
        <v>18</v>
      </c>
      <c r="M107" s="59" t="s">
        <v>19</v>
      </c>
      <c r="N107" s="59" t="s">
        <v>20</v>
      </c>
      <c r="O107" s="55" t="s">
        <v>21</v>
      </c>
      <c r="P107" s="56" t="s">
        <v>22</v>
      </c>
      <c r="Q107" s="59" t="s">
        <v>23</v>
      </c>
      <c r="R107" s="55" t="s">
        <v>24</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8" t="s">
        <v>25</v>
      </c>
      <c r="B108" s="8" t="s">
        <v>26</v>
      </c>
      <c r="C108" s="9">
        <v>0.4201388888888889</v>
      </c>
      <c r="D108" s="8" t="s">
        <v>27</v>
      </c>
      <c r="E108" s="8" t="s">
        <v>58</v>
      </c>
      <c r="F108" s="8" t="s">
        <v>104</v>
      </c>
      <c r="G108" s="284"/>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25</v>
      </c>
      <c r="B109" s="15" t="s">
        <v>26</v>
      </c>
      <c r="C109" s="16">
        <v>0.4201388888888889</v>
      </c>
      <c r="D109" s="15" t="s">
        <v>30</v>
      </c>
      <c r="E109" s="15" t="s">
        <v>61</v>
      </c>
      <c r="F109" s="15" t="s">
        <v>106</v>
      </c>
      <c r="G109" s="285"/>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26</v>
      </c>
      <c r="C110" s="16">
        <v>0.4201388888888889</v>
      </c>
      <c r="D110" s="15" t="s">
        <v>33</v>
      </c>
      <c r="E110" s="15" t="s">
        <v>61</v>
      </c>
      <c r="F110" s="15" t="s">
        <v>34</v>
      </c>
      <c r="G110" s="285"/>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44" t="s">
        <v>55</v>
      </c>
      <c r="B111" s="44" t="s">
        <v>112</v>
      </c>
      <c r="C111" s="45">
        <v>0.35416666666666669</v>
      </c>
      <c r="D111" s="44" t="s">
        <v>60</v>
      </c>
      <c r="E111" s="44" t="s">
        <v>124</v>
      </c>
      <c r="F111" s="44" t="s">
        <v>59</v>
      </c>
      <c r="G111" s="285"/>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55</v>
      </c>
      <c r="B112" s="15" t="s">
        <v>112</v>
      </c>
      <c r="C112" s="16">
        <v>0.35416666666666669</v>
      </c>
      <c r="D112" s="15" t="s">
        <v>62</v>
      </c>
      <c r="E112" s="15" t="s">
        <v>125</v>
      </c>
      <c r="F112" s="15" t="s">
        <v>63</v>
      </c>
      <c r="G112" s="285"/>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55</v>
      </c>
      <c r="B113" s="15" t="s">
        <v>112</v>
      </c>
      <c r="C113" s="16">
        <v>0.35416666666666669</v>
      </c>
      <c r="D113" s="15" t="s">
        <v>64</v>
      </c>
      <c r="E113" s="15" t="s">
        <v>125</v>
      </c>
      <c r="F113" s="15" t="s">
        <v>65</v>
      </c>
      <c r="G113" s="285"/>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46" t="s">
        <v>55</v>
      </c>
      <c r="B114" s="46" t="s">
        <v>56</v>
      </c>
      <c r="C114" s="47">
        <v>0.75694444444444453</v>
      </c>
      <c r="D114" s="46" t="s">
        <v>60</v>
      </c>
      <c r="E114" s="46" t="s">
        <v>74</v>
      </c>
      <c r="F114" s="46" t="s">
        <v>126</v>
      </c>
      <c r="G114" s="285"/>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55</v>
      </c>
      <c r="B115" s="15" t="s">
        <v>56</v>
      </c>
      <c r="C115" s="16">
        <v>0.75694444444444453</v>
      </c>
      <c r="D115" s="15" t="s">
        <v>62</v>
      </c>
      <c r="E115" s="15" t="s">
        <v>31</v>
      </c>
      <c r="F115" s="15" t="s">
        <v>127</v>
      </c>
      <c r="G115" s="285"/>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55</v>
      </c>
      <c r="B116" s="15" t="s">
        <v>56</v>
      </c>
      <c r="C116" s="16">
        <v>0.75694444444444453</v>
      </c>
      <c r="D116" s="15" t="s">
        <v>64</v>
      </c>
      <c r="E116" s="15" t="s">
        <v>31</v>
      </c>
      <c r="F116" s="15" t="s">
        <v>128</v>
      </c>
      <c r="G116" s="285"/>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44" t="s">
        <v>78</v>
      </c>
      <c r="B117" s="44" t="s">
        <v>79</v>
      </c>
      <c r="C117" s="45">
        <v>0.4201388888888889</v>
      </c>
      <c r="D117" s="44" t="s">
        <v>82</v>
      </c>
      <c r="E117" s="44" t="s">
        <v>80</v>
      </c>
      <c r="F117" s="44" t="s">
        <v>81</v>
      </c>
      <c r="G117" s="285"/>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46" t="s">
        <v>78</v>
      </c>
      <c r="B118" s="46" t="s">
        <v>90</v>
      </c>
      <c r="C118" s="47">
        <v>0.79513888888888884</v>
      </c>
      <c r="D118" s="46" t="s">
        <v>87</v>
      </c>
      <c r="E118" s="46" t="s">
        <v>116</v>
      </c>
      <c r="F118" s="46" t="s">
        <v>86</v>
      </c>
      <c r="G118" s="285"/>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78</v>
      </c>
      <c r="B119" s="15" t="s">
        <v>90</v>
      </c>
      <c r="C119" s="16">
        <v>0.79513888888888884</v>
      </c>
      <c r="D119" s="15" t="s">
        <v>82</v>
      </c>
      <c r="E119" s="15" t="s">
        <v>109</v>
      </c>
      <c r="F119" s="15" t="s">
        <v>89</v>
      </c>
      <c r="G119" s="285"/>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46" t="s">
        <v>78</v>
      </c>
      <c r="B120" s="46" t="s">
        <v>93</v>
      </c>
      <c r="C120" s="47">
        <v>8.6805555555555566E-2</v>
      </c>
      <c r="D120" s="46" t="s">
        <v>87</v>
      </c>
      <c r="E120" s="46" t="s">
        <v>76</v>
      </c>
      <c r="F120" s="46" t="s">
        <v>86</v>
      </c>
      <c r="G120" s="285"/>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78</v>
      </c>
      <c r="B121" s="15" t="s">
        <v>93</v>
      </c>
      <c r="C121" s="16">
        <v>8.6805555555555566E-2</v>
      </c>
      <c r="D121" s="15" t="s">
        <v>82</v>
      </c>
      <c r="E121" s="15" t="s">
        <v>88</v>
      </c>
      <c r="F121" s="15" t="s">
        <v>89</v>
      </c>
      <c r="G121" s="285"/>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46" t="s">
        <v>78</v>
      </c>
      <c r="B122" s="46" t="s">
        <v>84</v>
      </c>
      <c r="C122" s="47">
        <v>0.60416666666666663</v>
      </c>
      <c r="D122" s="46" t="s">
        <v>87</v>
      </c>
      <c r="E122" s="46" t="s">
        <v>50</v>
      </c>
      <c r="F122" s="46" t="s">
        <v>129</v>
      </c>
      <c r="G122" s="285"/>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78</v>
      </c>
      <c r="B123" s="15" t="s">
        <v>84</v>
      </c>
      <c r="C123" s="16">
        <v>0.60416666666666663</v>
      </c>
      <c r="D123" s="15" t="s">
        <v>82</v>
      </c>
      <c r="E123" s="15" t="s">
        <v>97</v>
      </c>
      <c r="F123" s="15" t="s">
        <v>130</v>
      </c>
      <c r="G123" s="285"/>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72" t="s">
        <v>35</v>
      </c>
      <c r="B124" s="72" t="s">
        <v>52</v>
      </c>
      <c r="C124" s="73">
        <v>0.39583333333333331</v>
      </c>
      <c r="D124" s="72" t="s">
        <v>131</v>
      </c>
      <c r="E124" s="74"/>
      <c r="F124" s="72" t="s">
        <v>132</v>
      </c>
      <c r="G124" s="286"/>
      <c r="H124" s="75" t="s">
        <v>52</v>
      </c>
      <c r="I124" s="76">
        <v>1.0298</v>
      </c>
      <c r="J124" s="77">
        <v>173</v>
      </c>
      <c r="K124" s="78">
        <v>45970</v>
      </c>
      <c r="L124" s="77">
        <v>0</v>
      </c>
      <c r="M124" s="77">
        <v>0</v>
      </c>
      <c r="N124" s="77">
        <v>0</v>
      </c>
      <c r="O124" s="79" t="s">
        <v>133</v>
      </c>
      <c r="P124" s="80">
        <v>0.39583333333333331</v>
      </c>
      <c r="Q124" s="77">
        <v>168</v>
      </c>
      <c r="R124" s="81" t="s">
        <v>134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4.4" customHeight="1" x14ac:dyDescent="0.3">
      <c r="A125" s="288"/>
      <c r="B125" s="289"/>
      <c r="C125" s="289"/>
      <c r="D125" s="289"/>
      <c r="E125" s="289"/>
      <c r="F125" s="289"/>
      <c r="G125" s="289"/>
      <c r="H125" s="289"/>
      <c r="I125" s="289"/>
      <c r="J125" s="289"/>
      <c r="K125" s="289"/>
      <c r="L125" s="289"/>
      <c r="M125" s="289"/>
      <c r="N125" s="289"/>
      <c r="O125" s="289"/>
      <c r="P125" s="289"/>
      <c r="Q125" s="289"/>
      <c r="R125" s="29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2.05" customHeight="1" x14ac:dyDescent="0.3">
      <c r="A126" s="282" t="s">
        <v>5</v>
      </c>
      <c r="B126" s="283"/>
      <c r="C126" s="283"/>
      <c r="D126" s="283"/>
      <c r="E126" s="283"/>
      <c r="F126" s="283"/>
      <c r="G126" s="5">
        <v>45991</v>
      </c>
      <c r="H126" s="278" t="s">
        <v>6</v>
      </c>
      <c r="I126" s="279"/>
      <c r="J126" s="279"/>
      <c r="K126" s="279"/>
      <c r="L126" s="279"/>
      <c r="M126" s="279"/>
      <c r="N126" s="279"/>
      <c r="O126" s="279"/>
      <c r="P126" s="279"/>
      <c r="Q126" s="279"/>
      <c r="R126" s="279"/>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4" customHeight="1" x14ac:dyDescent="0.3">
      <c r="A127" s="55" t="s">
        <v>7</v>
      </c>
      <c r="B127" s="55" t="s">
        <v>8</v>
      </c>
      <c r="C127" s="56" t="s">
        <v>9</v>
      </c>
      <c r="D127" s="55" t="s">
        <v>10</v>
      </c>
      <c r="E127" s="55" t="s">
        <v>11</v>
      </c>
      <c r="F127" s="55" t="s">
        <v>12</v>
      </c>
      <c r="G127" s="57" t="s">
        <v>13</v>
      </c>
      <c r="H127" s="55" t="s">
        <v>14</v>
      </c>
      <c r="I127" s="58" t="s">
        <v>15</v>
      </c>
      <c r="J127" s="59" t="s">
        <v>16</v>
      </c>
      <c r="K127" s="60" t="s">
        <v>17</v>
      </c>
      <c r="L127" s="59" t="s">
        <v>18</v>
      </c>
      <c r="M127" s="59" t="s">
        <v>19</v>
      </c>
      <c r="N127" s="59" t="s">
        <v>20</v>
      </c>
      <c r="O127" s="55" t="s">
        <v>21</v>
      </c>
      <c r="P127" s="56" t="s">
        <v>22</v>
      </c>
      <c r="Q127" s="59" t="s">
        <v>23</v>
      </c>
      <c r="R127" s="55" t="s">
        <v>24</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8" t="s">
        <v>25</v>
      </c>
      <c r="B128" s="8" t="s">
        <v>26</v>
      </c>
      <c r="C128" s="9">
        <v>0.4201388888888889</v>
      </c>
      <c r="D128" s="8" t="s">
        <v>27</v>
      </c>
      <c r="E128" s="8" t="s">
        <v>135</v>
      </c>
      <c r="F128" s="8" t="s">
        <v>104</v>
      </c>
      <c r="G128" s="284"/>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25</v>
      </c>
      <c r="B129" s="15" t="s">
        <v>26</v>
      </c>
      <c r="C129" s="16">
        <v>0.4201388888888889</v>
      </c>
      <c r="D129" s="15" t="s">
        <v>30</v>
      </c>
      <c r="E129" s="15" t="s">
        <v>136</v>
      </c>
      <c r="F129" s="15" t="s">
        <v>106</v>
      </c>
      <c r="G129" s="285"/>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5" t="s">
        <v>25</v>
      </c>
      <c r="B130" s="15" t="s">
        <v>26</v>
      </c>
      <c r="C130" s="16">
        <v>0.4201388888888889</v>
      </c>
      <c r="D130" s="15" t="s">
        <v>33</v>
      </c>
      <c r="E130" s="15" t="s">
        <v>136</v>
      </c>
      <c r="F130" s="15" t="s">
        <v>34</v>
      </c>
      <c r="G130" s="285"/>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44" t="s">
        <v>55</v>
      </c>
      <c r="B131" s="44" t="s">
        <v>56</v>
      </c>
      <c r="C131" s="45">
        <v>0.75694444444444453</v>
      </c>
      <c r="D131" s="44" t="s">
        <v>60</v>
      </c>
      <c r="E131" s="44" t="s">
        <v>108</v>
      </c>
      <c r="F131" s="44" t="s">
        <v>137</v>
      </c>
      <c r="G131" s="285"/>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55</v>
      </c>
      <c r="B132" s="15" t="s">
        <v>56</v>
      </c>
      <c r="C132" s="16">
        <v>0.75694444444444453</v>
      </c>
      <c r="D132" s="15" t="s">
        <v>62</v>
      </c>
      <c r="E132" s="15" t="s">
        <v>109</v>
      </c>
      <c r="F132" s="15" t="s">
        <v>138</v>
      </c>
      <c r="G132" s="285"/>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55</v>
      </c>
      <c r="B133" s="15" t="s">
        <v>56</v>
      </c>
      <c r="C133" s="16">
        <v>0.75694444444444453</v>
      </c>
      <c r="D133" s="15" t="s">
        <v>64</v>
      </c>
      <c r="E133" s="15" t="s">
        <v>109</v>
      </c>
      <c r="F133" s="15" t="s">
        <v>139</v>
      </c>
      <c r="G133" s="285"/>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82" t="s">
        <v>35</v>
      </c>
      <c r="B134" s="82" t="s">
        <v>49</v>
      </c>
      <c r="C134" s="83">
        <v>0.90277777777777779</v>
      </c>
      <c r="D134" s="82" t="s">
        <v>37</v>
      </c>
      <c r="E134" s="82" t="s">
        <v>122</v>
      </c>
      <c r="F134" s="82" t="s">
        <v>140</v>
      </c>
      <c r="G134" s="285"/>
      <c r="H134" s="84" t="s">
        <v>52</v>
      </c>
      <c r="I134" s="85">
        <v>0.96550000000000002</v>
      </c>
      <c r="J134" s="86">
        <v>168</v>
      </c>
      <c r="K134" s="87">
        <v>45975</v>
      </c>
      <c r="L134" s="86">
        <v>0</v>
      </c>
      <c r="M134" s="86">
        <v>0</v>
      </c>
      <c r="N134" s="86">
        <v>0</v>
      </c>
      <c r="O134" s="88" t="s">
        <v>141</v>
      </c>
      <c r="P134" s="89">
        <v>0.90277777777777779</v>
      </c>
      <c r="Q134" s="86">
        <v>174</v>
      </c>
      <c r="R134" s="90" t="s">
        <v>142</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44" t="s">
        <v>78</v>
      </c>
      <c r="B135" s="44" t="s">
        <v>84</v>
      </c>
      <c r="C135" s="45">
        <v>0.60416666666666663</v>
      </c>
      <c r="D135" s="44" t="s">
        <v>87</v>
      </c>
      <c r="E135" s="44" t="s">
        <v>38</v>
      </c>
      <c r="F135" s="44" t="s">
        <v>100</v>
      </c>
      <c r="G135" s="285"/>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5" t="s">
        <v>78</v>
      </c>
      <c r="B136" s="15" t="s">
        <v>84</v>
      </c>
      <c r="C136" s="16">
        <v>0.60416666666666663</v>
      </c>
      <c r="D136" s="15" t="s">
        <v>82</v>
      </c>
      <c r="E136" s="15" t="s">
        <v>88</v>
      </c>
      <c r="F136" s="15" t="s">
        <v>101</v>
      </c>
      <c r="G136" s="285"/>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46" t="s">
        <v>78</v>
      </c>
      <c r="B137" s="46" t="s">
        <v>79</v>
      </c>
      <c r="C137" s="47">
        <v>0.4201388888888889</v>
      </c>
      <c r="D137" s="46" t="s">
        <v>82</v>
      </c>
      <c r="E137" s="46" t="s">
        <v>102</v>
      </c>
      <c r="F137" s="46" t="s">
        <v>81</v>
      </c>
      <c r="G137" s="285"/>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46" t="s">
        <v>78</v>
      </c>
      <c r="B138" s="46" t="s">
        <v>90</v>
      </c>
      <c r="C138" s="47">
        <v>0.79513888888888884</v>
      </c>
      <c r="D138" s="46" t="s">
        <v>87</v>
      </c>
      <c r="E138" s="46" t="s">
        <v>143</v>
      </c>
      <c r="F138" s="46" t="s">
        <v>86</v>
      </c>
      <c r="G138" s="285"/>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78</v>
      </c>
      <c r="B139" s="15" t="s">
        <v>90</v>
      </c>
      <c r="C139" s="16">
        <v>0.79513888888888884</v>
      </c>
      <c r="D139" s="15" t="s">
        <v>82</v>
      </c>
      <c r="E139" s="15" t="s">
        <v>136</v>
      </c>
      <c r="F139" s="15" t="s">
        <v>89</v>
      </c>
      <c r="G139" s="285"/>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46" t="s">
        <v>78</v>
      </c>
      <c r="B140" s="46" t="s">
        <v>93</v>
      </c>
      <c r="C140" s="47">
        <v>8.6805555555555566E-2</v>
      </c>
      <c r="D140" s="46" t="s">
        <v>87</v>
      </c>
      <c r="E140" s="46" t="s">
        <v>76</v>
      </c>
      <c r="F140" s="46" t="s">
        <v>86</v>
      </c>
      <c r="G140" s="285"/>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48" t="s">
        <v>78</v>
      </c>
      <c r="B141" s="48" t="s">
        <v>93</v>
      </c>
      <c r="C141" s="49">
        <v>8.6805555555555566E-2</v>
      </c>
      <c r="D141" s="48" t="s">
        <v>82</v>
      </c>
      <c r="E141" s="48" t="s">
        <v>88</v>
      </c>
      <c r="F141" s="48" t="s">
        <v>89</v>
      </c>
      <c r="G141" s="286"/>
      <c r="H141" s="50"/>
      <c r="I141" s="51"/>
      <c r="J141" s="51"/>
      <c r="K141" s="51"/>
      <c r="L141" s="51"/>
      <c r="M141" s="51"/>
      <c r="N141" s="51"/>
      <c r="O141" s="52"/>
      <c r="P141" s="51"/>
      <c r="Q141" s="53"/>
      <c r="R141" s="5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4.4" customHeight="1" x14ac:dyDescent="0.3">
      <c r="A142" s="288"/>
      <c r="B142" s="289"/>
      <c r="C142" s="289"/>
      <c r="D142" s="289"/>
      <c r="E142" s="289"/>
      <c r="F142" s="289"/>
      <c r="G142" s="289"/>
      <c r="H142" s="289"/>
      <c r="I142" s="289"/>
      <c r="J142" s="289"/>
      <c r="K142" s="289"/>
      <c r="L142" s="289"/>
      <c r="M142" s="289"/>
      <c r="N142" s="289"/>
      <c r="O142" s="289"/>
      <c r="P142" s="289"/>
      <c r="Q142" s="289"/>
      <c r="R142" s="29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sheetData>
  <mergeCells count="33">
    <mergeCell ref="G128:G141"/>
    <mergeCell ref="A1:C1"/>
    <mergeCell ref="A142:R142"/>
    <mergeCell ref="G1:H1"/>
    <mergeCell ref="G60:G87"/>
    <mergeCell ref="H33:R33"/>
    <mergeCell ref="A88:R88"/>
    <mergeCell ref="A125:R125"/>
    <mergeCell ref="A58:F58"/>
    <mergeCell ref="K2:R2"/>
    <mergeCell ref="G108:G124"/>
    <mergeCell ref="D1:F1"/>
    <mergeCell ref="A4:F4"/>
    <mergeCell ref="G6:G31"/>
    <mergeCell ref="H89:R89"/>
    <mergeCell ref="J1:M1"/>
    <mergeCell ref="G35:G56"/>
    <mergeCell ref="H126:R126"/>
    <mergeCell ref="H106:R106"/>
    <mergeCell ref="O1:Q1"/>
    <mergeCell ref="A89:F89"/>
    <mergeCell ref="G91:G104"/>
    <mergeCell ref="H4:R4"/>
    <mergeCell ref="A105:R105"/>
    <mergeCell ref="H58:R58"/>
    <mergeCell ref="A2:F2"/>
    <mergeCell ref="A3:R3"/>
    <mergeCell ref="A33:F33"/>
    <mergeCell ref="A57:R57"/>
    <mergeCell ref="A126:F126"/>
    <mergeCell ref="A32:R32"/>
    <mergeCell ref="A106:F106"/>
    <mergeCell ref="G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8"/>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46</v>
      </c>
      <c r="D2" s="95">
        <v>4.8611111111111112E-2</v>
      </c>
      <c r="E2" s="94" t="s">
        <v>1</v>
      </c>
      <c r="F2" s="94" t="s">
        <v>174</v>
      </c>
      <c r="G2" s="96">
        <v>0.91059999999999997</v>
      </c>
      <c r="H2" s="97">
        <v>179</v>
      </c>
      <c r="I2" s="97">
        <v>163</v>
      </c>
      <c r="J2" s="97">
        <v>158</v>
      </c>
      <c r="K2" s="93">
        <v>45965</v>
      </c>
      <c r="L2" s="97">
        <v>0</v>
      </c>
      <c r="M2" s="97">
        <v>0</v>
      </c>
      <c r="N2" s="97">
        <v>0</v>
      </c>
      <c r="O2" s="94" t="s">
        <v>47</v>
      </c>
      <c r="P2" s="98"/>
      <c r="Q2" s="98"/>
      <c r="R2" s="98"/>
      <c r="S2" s="98"/>
      <c r="T2" s="98"/>
      <c r="U2" s="98"/>
      <c r="V2" s="98"/>
      <c r="W2" s="97" t="s">
        <v>175</v>
      </c>
      <c r="X2" s="98"/>
      <c r="Y2" s="98"/>
      <c r="Z2" s="98"/>
      <c r="AA2" s="98"/>
      <c r="AB2" s="98"/>
      <c r="AC2" s="98"/>
      <c r="AD2" s="98"/>
      <c r="AE2" s="97" t="s">
        <v>176</v>
      </c>
      <c r="AF2" s="97" t="s">
        <v>177</v>
      </c>
      <c r="AG2" s="98"/>
      <c r="AH2" s="97" t="s">
        <v>178</v>
      </c>
      <c r="AI2" s="98"/>
    </row>
    <row r="3" spans="1:35" ht="18" x14ac:dyDescent="0.3">
      <c r="A3" s="99" t="s">
        <v>173</v>
      </c>
      <c r="B3" s="100">
        <v>45986</v>
      </c>
      <c r="C3" s="101" t="s">
        <v>40</v>
      </c>
      <c r="D3" s="102">
        <v>0.27777777777777779</v>
      </c>
      <c r="E3" s="101" t="s">
        <v>1</v>
      </c>
      <c r="F3" s="101" t="s">
        <v>174</v>
      </c>
      <c r="G3" s="103">
        <v>0.5655</v>
      </c>
      <c r="H3" s="104">
        <v>168</v>
      </c>
      <c r="I3" s="104">
        <v>95</v>
      </c>
      <c r="J3" s="104">
        <v>0</v>
      </c>
      <c r="K3" s="100">
        <v>45984</v>
      </c>
      <c r="L3" s="104">
        <v>0</v>
      </c>
      <c r="M3" s="104">
        <v>3</v>
      </c>
      <c r="N3" s="104">
        <v>13</v>
      </c>
      <c r="O3" s="101" t="s">
        <v>41</v>
      </c>
      <c r="P3" s="105"/>
      <c r="Q3" s="105"/>
      <c r="R3" s="105"/>
      <c r="S3" s="105"/>
      <c r="T3" s="105"/>
      <c r="U3" s="105"/>
      <c r="V3" s="105"/>
      <c r="W3" s="104" t="s">
        <v>179</v>
      </c>
      <c r="X3" s="104" t="s">
        <v>180</v>
      </c>
      <c r="Y3" s="104" t="s">
        <v>181</v>
      </c>
      <c r="Z3" s="104" t="s">
        <v>182</v>
      </c>
      <c r="AA3" s="104" t="s">
        <v>183</v>
      </c>
      <c r="AB3" s="104" t="s">
        <v>184</v>
      </c>
      <c r="AC3" s="104" t="s">
        <v>185</v>
      </c>
      <c r="AD3" s="104" t="s">
        <v>186</v>
      </c>
      <c r="AE3" s="104" t="s">
        <v>187</v>
      </c>
      <c r="AF3" s="105"/>
      <c r="AG3" s="105"/>
      <c r="AH3" s="105"/>
      <c r="AI3" s="105"/>
    </row>
    <row r="4" spans="1:35" ht="18" x14ac:dyDescent="0.3">
      <c r="A4" s="92" t="s">
        <v>173</v>
      </c>
      <c r="B4" s="93">
        <v>45986</v>
      </c>
      <c r="C4" s="94" t="s">
        <v>52</v>
      </c>
      <c r="D4" s="95">
        <v>0.97916666666666663</v>
      </c>
      <c r="E4" s="94" t="s">
        <v>1</v>
      </c>
      <c r="F4" s="94" t="s">
        <v>174</v>
      </c>
      <c r="G4" s="96">
        <v>0.98880000000000001</v>
      </c>
      <c r="H4" s="97">
        <v>179</v>
      </c>
      <c r="I4" s="97">
        <v>177</v>
      </c>
      <c r="J4" s="97">
        <v>122</v>
      </c>
      <c r="K4" s="93">
        <v>45980</v>
      </c>
      <c r="L4" s="97">
        <v>0</v>
      </c>
      <c r="M4" s="97">
        <v>0</v>
      </c>
      <c r="N4" s="97">
        <v>1</v>
      </c>
      <c r="O4" s="94" t="s">
        <v>53</v>
      </c>
      <c r="P4" s="98"/>
      <c r="Q4" s="98"/>
      <c r="R4" s="98"/>
      <c r="S4" s="98"/>
      <c r="T4" s="97" t="s">
        <v>188</v>
      </c>
      <c r="U4" s="97" t="s">
        <v>189</v>
      </c>
      <c r="V4" s="97" t="s">
        <v>190</v>
      </c>
      <c r="W4" s="98"/>
      <c r="X4" s="98"/>
      <c r="Y4" s="97" t="s">
        <v>191</v>
      </c>
      <c r="Z4" s="98"/>
      <c r="AA4" s="98"/>
      <c r="AB4" s="97" t="s">
        <v>192</v>
      </c>
      <c r="AC4" s="97" t="s">
        <v>193</v>
      </c>
      <c r="AD4" s="97" t="s">
        <v>194</v>
      </c>
      <c r="AE4" s="97" t="s">
        <v>195</v>
      </c>
      <c r="AF4" s="98"/>
      <c r="AG4" s="98"/>
      <c r="AH4" s="97" t="s">
        <v>196</v>
      </c>
      <c r="AI4" s="98"/>
    </row>
    <row r="5" spans="1:35" ht="18" x14ac:dyDescent="0.3">
      <c r="A5" s="99" t="s">
        <v>197</v>
      </c>
      <c r="B5" s="100">
        <v>45988</v>
      </c>
      <c r="C5" s="101" t="s">
        <v>52</v>
      </c>
      <c r="D5" s="102">
        <v>0.53819444444444442</v>
      </c>
      <c r="E5" s="101" t="s">
        <v>1</v>
      </c>
      <c r="F5" s="101" t="s">
        <v>174</v>
      </c>
      <c r="G5" s="103">
        <v>0.98280000000000001</v>
      </c>
      <c r="H5" s="104">
        <v>174</v>
      </c>
      <c r="I5" s="104">
        <v>171</v>
      </c>
      <c r="J5" s="104">
        <v>128</v>
      </c>
      <c r="K5" s="100">
        <v>45981</v>
      </c>
      <c r="L5" s="104">
        <v>0</v>
      </c>
      <c r="M5" s="104">
        <v>0</v>
      </c>
      <c r="N5" s="104">
        <v>4</v>
      </c>
      <c r="O5" s="101" t="s">
        <v>120</v>
      </c>
      <c r="P5" s="105"/>
      <c r="Q5" s="105"/>
      <c r="R5" s="105"/>
      <c r="S5" s="105"/>
      <c r="T5" s="105"/>
      <c r="U5" s="105"/>
      <c r="V5" s="104" t="s">
        <v>198</v>
      </c>
      <c r="W5" s="104" t="s">
        <v>199</v>
      </c>
      <c r="X5" s="105"/>
      <c r="Y5" s="104" t="s">
        <v>200</v>
      </c>
      <c r="Z5" s="105"/>
      <c r="AA5" s="105"/>
      <c r="AB5" s="105"/>
      <c r="AC5" s="104" t="s">
        <v>201</v>
      </c>
      <c r="AD5" s="104" t="s">
        <v>202</v>
      </c>
      <c r="AE5" s="104" t="s">
        <v>195</v>
      </c>
      <c r="AF5" s="105"/>
      <c r="AG5" s="105"/>
      <c r="AH5" s="104" t="s">
        <v>203</v>
      </c>
      <c r="AI5" s="104" t="s">
        <v>204</v>
      </c>
    </row>
    <row r="6" spans="1:35" ht="18" x14ac:dyDescent="0.3">
      <c r="A6" s="92" t="s">
        <v>205</v>
      </c>
      <c r="B6" s="93">
        <v>45990</v>
      </c>
      <c r="C6" s="94" t="s">
        <v>52</v>
      </c>
      <c r="D6" s="95">
        <v>0.39583333333333331</v>
      </c>
      <c r="E6" s="94" t="s">
        <v>1</v>
      </c>
      <c r="F6" s="94" t="s">
        <v>174</v>
      </c>
      <c r="G6" s="96">
        <v>1.0298</v>
      </c>
      <c r="H6" s="97">
        <v>168</v>
      </c>
      <c r="I6" s="97">
        <v>173</v>
      </c>
      <c r="J6" s="97">
        <v>131</v>
      </c>
      <c r="K6" s="93">
        <v>45970</v>
      </c>
      <c r="L6" s="97">
        <v>0</v>
      </c>
      <c r="M6" s="97">
        <v>0</v>
      </c>
      <c r="N6" s="97">
        <v>0</v>
      </c>
      <c r="O6" s="94" t="s">
        <v>133</v>
      </c>
      <c r="P6" s="98"/>
      <c r="Q6" s="98"/>
      <c r="R6" s="98"/>
      <c r="S6" s="98"/>
      <c r="T6" s="98"/>
      <c r="U6" s="98"/>
      <c r="V6" s="98"/>
      <c r="W6" s="98"/>
      <c r="X6" s="97" t="s">
        <v>206</v>
      </c>
      <c r="Y6" s="97" t="s">
        <v>207</v>
      </c>
      <c r="Z6" s="98"/>
      <c r="AA6" s="98"/>
      <c r="AB6" s="98"/>
      <c r="AC6" s="98"/>
      <c r="AD6" s="98"/>
      <c r="AE6" s="97" t="s">
        <v>208</v>
      </c>
      <c r="AF6" s="98"/>
      <c r="AG6" s="98"/>
      <c r="AH6" s="97" t="s">
        <v>209</v>
      </c>
      <c r="AI6" s="97" t="s">
        <v>210</v>
      </c>
    </row>
    <row r="7" spans="1:35" ht="18" x14ac:dyDescent="0.3">
      <c r="A7" s="99" t="s">
        <v>211</v>
      </c>
      <c r="B7" s="100">
        <v>45991</v>
      </c>
      <c r="C7" s="101" t="s">
        <v>52</v>
      </c>
      <c r="D7" s="102">
        <v>0.90277777777777779</v>
      </c>
      <c r="E7" s="101" t="s">
        <v>1</v>
      </c>
      <c r="F7" s="101" t="s">
        <v>174</v>
      </c>
      <c r="G7" s="103">
        <v>0.96550000000000002</v>
      </c>
      <c r="H7" s="104">
        <v>174</v>
      </c>
      <c r="I7" s="104">
        <v>168</v>
      </c>
      <c r="J7" s="104">
        <v>133</v>
      </c>
      <c r="K7" s="100">
        <v>45975</v>
      </c>
      <c r="L7" s="104">
        <v>0</v>
      </c>
      <c r="M7" s="104">
        <v>0</v>
      </c>
      <c r="N7" s="104">
        <v>0</v>
      </c>
      <c r="O7" s="101" t="s">
        <v>141</v>
      </c>
      <c r="P7" s="105"/>
      <c r="Q7" s="105"/>
      <c r="R7" s="105"/>
      <c r="S7" s="105"/>
      <c r="T7" s="105"/>
      <c r="U7" s="105"/>
      <c r="V7" s="105"/>
      <c r="W7" s="104" t="s">
        <v>179</v>
      </c>
      <c r="X7" s="104" t="s">
        <v>212</v>
      </c>
      <c r="Y7" s="104" t="s">
        <v>213</v>
      </c>
      <c r="Z7" s="104" t="s">
        <v>214</v>
      </c>
      <c r="AA7" s="104" t="s">
        <v>215</v>
      </c>
      <c r="AB7" s="104" t="s">
        <v>216</v>
      </c>
      <c r="AC7" s="104" t="s">
        <v>217</v>
      </c>
      <c r="AD7" s="104" t="s">
        <v>218</v>
      </c>
      <c r="AE7" s="104" t="s">
        <v>176</v>
      </c>
      <c r="AF7" s="105"/>
      <c r="AG7" s="105"/>
      <c r="AH7" s="104" t="s">
        <v>209</v>
      </c>
      <c r="AI7" s="105"/>
    </row>
    <row r="8" spans="1:35" ht="18" x14ac:dyDescent="0.3">
      <c r="A8" s="106" t="s">
        <v>219</v>
      </c>
      <c r="B8" s="107"/>
      <c r="C8" s="108">
        <f>COUNTA(C2:C7)</f>
        <v>6</v>
      </c>
      <c r="D8" s="107"/>
      <c r="E8" s="107"/>
      <c r="F8" s="107"/>
      <c r="G8" s="109">
        <f>AVERAGE(G2:G7)</f>
        <v>0.90716666666666657</v>
      </c>
      <c r="H8" s="110">
        <f>SUM(H2:H7)</f>
        <v>1042</v>
      </c>
      <c r="I8" s="110">
        <f>SUM(I2:I7)</f>
        <v>947</v>
      </c>
      <c r="J8" s="110">
        <f>SUM(J2:J7)</f>
        <v>672</v>
      </c>
      <c r="K8" s="107"/>
      <c r="L8" s="110">
        <f>SUM(L2:L7)</f>
        <v>0</v>
      </c>
      <c r="M8" s="110">
        <f>SUM(M2:M7)</f>
        <v>3</v>
      </c>
      <c r="N8" s="110">
        <f>SUM(N2:N7)</f>
        <v>18</v>
      </c>
      <c r="O8" s="107"/>
      <c r="P8" s="110">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10">
        <f t="shared" si="0"/>
        <v>0</v>
      </c>
      <c r="R8" s="110">
        <f t="shared" si="0"/>
        <v>0</v>
      </c>
      <c r="S8" s="110">
        <f t="shared" si="0"/>
        <v>0</v>
      </c>
      <c r="T8" s="110">
        <f t="shared" si="0"/>
        <v>0</v>
      </c>
      <c r="U8" s="110">
        <f t="shared" si="0"/>
        <v>0</v>
      </c>
      <c r="V8" s="110">
        <f t="shared" si="0"/>
        <v>0</v>
      </c>
      <c r="W8" s="110">
        <f t="shared" si="0"/>
        <v>0</v>
      </c>
      <c r="X8" s="110">
        <f t="shared" si="0"/>
        <v>0</v>
      </c>
      <c r="Y8" s="110">
        <f t="shared" si="0"/>
        <v>0</v>
      </c>
      <c r="Z8" s="110">
        <f t="shared" si="0"/>
        <v>0</v>
      </c>
      <c r="AA8" s="110">
        <f t="shared" si="0"/>
        <v>0</v>
      </c>
      <c r="AB8" s="110">
        <f t="shared" si="0"/>
        <v>0</v>
      </c>
      <c r="AC8" s="110">
        <f t="shared" si="0"/>
        <v>0</v>
      </c>
      <c r="AD8" s="110">
        <f t="shared" si="0"/>
        <v>0</v>
      </c>
      <c r="AE8" s="110">
        <f t="shared" si="0"/>
        <v>0</v>
      </c>
      <c r="AF8" s="110">
        <f t="shared" si="0"/>
        <v>0</v>
      </c>
      <c r="AG8" s="110">
        <f t="shared" si="0"/>
        <v>0</v>
      </c>
      <c r="AH8" s="110">
        <f t="shared" si="0"/>
        <v>0</v>
      </c>
      <c r="AI8" s="110">
        <f t="shared" si="0"/>
        <v>0</v>
      </c>
    </row>
  </sheetData>
  <autoFilter ref="A1:AI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2"/>
  <sheetViews>
    <sheetView workbookViewId="0"/>
  </sheetViews>
  <sheetFormatPr defaultRowHeight="14.4" x14ac:dyDescent="0.3"/>
  <cols>
    <col min="1" max="1" width="13" bestFit="1" customWidth="1"/>
    <col min="2" max="2" width="12.109375" bestFit="1" customWidth="1"/>
    <col min="3" max="3" width="16.109375" bestFit="1" customWidth="1"/>
    <col min="4" max="4" width="11.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25</v>
      </c>
      <c r="C2" s="114" t="s">
        <v>26</v>
      </c>
      <c r="D2" s="113" t="s">
        <v>1</v>
      </c>
      <c r="E2" s="115">
        <v>1.4201388888888891</v>
      </c>
      <c r="F2" s="113" t="s">
        <v>27</v>
      </c>
      <c r="G2" s="116">
        <v>7</v>
      </c>
      <c r="H2" s="117">
        <v>559</v>
      </c>
    </row>
    <row r="3" spans="1:8" ht="18" x14ac:dyDescent="0.3">
      <c r="A3" s="118">
        <v>45986</v>
      </c>
      <c r="B3" s="119" t="s">
        <v>25</v>
      </c>
      <c r="C3" s="120" t="s">
        <v>26</v>
      </c>
      <c r="D3" s="119" t="s">
        <v>1</v>
      </c>
      <c r="E3" s="121">
        <v>1.4201388888888891</v>
      </c>
      <c r="F3" s="119" t="s">
        <v>30</v>
      </c>
      <c r="G3" s="122">
        <v>7</v>
      </c>
      <c r="H3" s="123">
        <v>709</v>
      </c>
    </row>
    <row r="4" spans="1:8" ht="18" x14ac:dyDescent="0.3">
      <c r="A4" s="118">
        <v>45986</v>
      </c>
      <c r="B4" s="119" t="s">
        <v>25</v>
      </c>
      <c r="C4" s="120" t="s">
        <v>26</v>
      </c>
      <c r="D4" s="119" t="s">
        <v>1</v>
      </c>
      <c r="E4" s="121">
        <v>1.4201388888888891</v>
      </c>
      <c r="F4" s="119" t="s">
        <v>33</v>
      </c>
      <c r="G4" s="122">
        <v>7</v>
      </c>
      <c r="H4" s="119" t="s">
        <v>34</v>
      </c>
    </row>
    <row r="5" spans="1:8" ht="18" x14ac:dyDescent="0.3">
      <c r="A5" s="124">
        <v>45986</v>
      </c>
      <c r="B5" s="125" t="s">
        <v>35</v>
      </c>
      <c r="C5" s="126" t="s">
        <v>36</v>
      </c>
      <c r="D5" s="125" t="s">
        <v>1</v>
      </c>
      <c r="E5" s="127">
        <v>1.2777777777777779</v>
      </c>
      <c r="F5" s="125" t="s">
        <v>37</v>
      </c>
      <c r="G5" s="128">
        <v>9</v>
      </c>
      <c r="H5" s="129">
        <v>620</v>
      </c>
    </row>
    <row r="6" spans="1:8" ht="18" x14ac:dyDescent="0.3">
      <c r="A6" s="130">
        <v>45986</v>
      </c>
      <c r="B6" s="131" t="s">
        <v>35</v>
      </c>
      <c r="C6" s="132" t="s">
        <v>43</v>
      </c>
      <c r="D6" s="131" t="s">
        <v>1</v>
      </c>
      <c r="E6" s="133">
        <v>1.0486111111111109</v>
      </c>
      <c r="F6" s="131" t="s">
        <v>37</v>
      </c>
      <c r="G6" s="134">
        <v>8</v>
      </c>
      <c r="H6" s="135">
        <v>914</v>
      </c>
    </row>
    <row r="7" spans="1:8" ht="18" x14ac:dyDescent="0.3">
      <c r="A7" s="130">
        <v>45986</v>
      </c>
      <c r="B7" s="131" t="s">
        <v>35</v>
      </c>
      <c r="C7" s="132" t="s">
        <v>49</v>
      </c>
      <c r="D7" s="131" t="s">
        <v>1</v>
      </c>
      <c r="E7" s="133">
        <v>1.979166666666667</v>
      </c>
      <c r="F7" s="131" t="s">
        <v>37</v>
      </c>
      <c r="G7" s="134">
        <v>2</v>
      </c>
      <c r="H7" s="131" t="s">
        <v>51</v>
      </c>
    </row>
    <row r="8" spans="1:8" ht="18" x14ac:dyDescent="0.3">
      <c r="A8" s="136">
        <v>45986</v>
      </c>
      <c r="B8" s="113" t="s">
        <v>55</v>
      </c>
      <c r="C8" s="114" t="s">
        <v>56</v>
      </c>
      <c r="D8" s="113" t="s">
        <v>1</v>
      </c>
      <c r="E8" s="115">
        <v>1.756944444444444</v>
      </c>
      <c r="F8" s="113" t="s">
        <v>57</v>
      </c>
      <c r="G8" s="116">
        <v>8</v>
      </c>
      <c r="H8" s="137">
        <v>639</v>
      </c>
    </row>
    <row r="9" spans="1:8" ht="18" x14ac:dyDescent="0.3">
      <c r="A9" s="118">
        <v>45986</v>
      </c>
      <c r="B9" s="119" t="s">
        <v>55</v>
      </c>
      <c r="C9" s="120" t="s">
        <v>56</v>
      </c>
      <c r="D9" s="119" t="s">
        <v>1</v>
      </c>
      <c r="E9" s="121">
        <v>1.756944444444444</v>
      </c>
      <c r="F9" s="119" t="s">
        <v>60</v>
      </c>
      <c r="G9" s="122">
        <v>8</v>
      </c>
      <c r="H9" s="123">
        <v>639</v>
      </c>
    </row>
    <row r="10" spans="1:8" ht="18" x14ac:dyDescent="0.3">
      <c r="A10" s="118">
        <v>45986</v>
      </c>
      <c r="B10" s="119" t="s">
        <v>55</v>
      </c>
      <c r="C10" s="120" t="s">
        <v>56</v>
      </c>
      <c r="D10" s="119" t="s">
        <v>1</v>
      </c>
      <c r="E10" s="121">
        <v>1.756944444444444</v>
      </c>
      <c r="F10" s="119" t="s">
        <v>62</v>
      </c>
      <c r="G10" s="122">
        <v>8</v>
      </c>
      <c r="H10" s="123">
        <v>739</v>
      </c>
    </row>
    <row r="11" spans="1:8" ht="18" x14ac:dyDescent="0.3">
      <c r="A11" s="118">
        <v>45986</v>
      </c>
      <c r="B11" s="119" t="s">
        <v>55</v>
      </c>
      <c r="C11" s="120" t="s">
        <v>56</v>
      </c>
      <c r="D11" s="119" t="s">
        <v>1</v>
      </c>
      <c r="E11" s="121">
        <v>1.756944444444444</v>
      </c>
      <c r="F11" s="119" t="s">
        <v>64</v>
      </c>
      <c r="G11" s="122">
        <v>8</v>
      </c>
      <c r="H11" s="123">
        <v>829</v>
      </c>
    </row>
    <row r="12" spans="1:8" ht="18" x14ac:dyDescent="0.3">
      <c r="A12" s="136">
        <v>45986</v>
      </c>
      <c r="B12" s="113" t="s">
        <v>66</v>
      </c>
      <c r="C12" s="114" t="s">
        <v>67</v>
      </c>
      <c r="D12" s="113" t="s">
        <v>1</v>
      </c>
      <c r="E12" s="115">
        <v>1.0972222222222221</v>
      </c>
      <c r="F12" s="113" t="s">
        <v>68</v>
      </c>
      <c r="G12" s="116">
        <v>9</v>
      </c>
      <c r="H12" s="137">
        <v>866</v>
      </c>
    </row>
    <row r="13" spans="1:8" ht="18" x14ac:dyDescent="0.3">
      <c r="A13" s="138">
        <v>45986</v>
      </c>
      <c r="B13" s="139" t="s">
        <v>66</v>
      </c>
      <c r="C13" s="140" t="s">
        <v>70</v>
      </c>
      <c r="D13" s="139" t="s">
        <v>1</v>
      </c>
      <c r="E13" s="141">
        <v>1.493055555555556</v>
      </c>
      <c r="F13" s="139" t="s">
        <v>68</v>
      </c>
      <c r="G13" s="142">
        <v>6</v>
      </c>
      <c r="H13" s="143">
        <v>962</v>
      </c>
    </row>
    <row r="14" spans="1:8" ht="18" x14ac:dyDescent="0.3">
      <c r="A14" s="138">
        <v>45986</v>
      </c>
      <c r="B14" s="139" t="s">
        <v>66</v>
      </c>
      <c r="C14" s="140" t="s">
        <v>73</v>
      </c>
      <c r="D14" s="139" t="s">
        <v>1</v>
      </c>
      <c r="E14" s="141">
        <v>1.854166666666667</v>
      </c>
      <c r="F14" s="139" t="s">
        <v>68</v>
      </c>
      <c r="G14" s="142">
        <v>7</v>
      </c>
      <c r="H14" s="143">
        <v>962</v>
      </c>
    </row>
    <row r="15" spans="1:8" ht="18" x14ac:dyDescent="0.3">
      <c r="A15" s="138">
        <v>45986</v>
      </c>
      <c r="B15" s="139" t="s">
        <v>66</v>
      </c>
      <c r="C15" s="140" t="s">
        <v>75</v>
      </c>
      <c r="D15" s="139" t="s">
        <v>1</v>
      </c>
      <c r="E15" s="141">
        <v>1.2222222222222221</v>
      </c>
      <c r="F15" s="139" t="s">
        <v>68</v>
      </c>
      <c r="G15" s="142">
        <v>9</v>
      </c>
      <c r="H15" s="143">
        <v>962</v>
      </c>
    </row>
    <row r="16" spans="1:8" ht="18" x14ac:dyDescent="0.3">
      <c r="A16" s="138">
        <v>45986</v>
      </c>
      <c r="B16" s="139" t="s">
        <v>66</v>
      </c>
      <c r="C16" s="140" t="s">
        <v>77</v>
      </c>
      <c r="D16" s="139" t="s">
        <v>1</v>
      </c>
      <c r="E16" s="141">
        <v>1.444444444444444</v>
      </c>
      <c r="F16" s="139" t="s">
        <v>68</v>
      </c>
      <c r="G16" s="142">
        <v>7</v>
      </c>
      <c r="H16" s="143">
        <v>962</v>
      </c>
    </row>
    <row r="17" spans="1:8" ht="18" x14ac:dyDescent="0.3">
      <c r="A17" s="136">
        <v>45986</v>
      </c>
      <c r="B17" s="113" t="s">
        <v>78</v>
      </c>
      <c r="C17" s="114" t="s">
        <v>79</v>
      </c>
      <c r="D17" s="113" t="s">
        <v>1</v>
      </c>
      <c r="E17" s="115">
        <v>1.4201388888888891</v>
      </c>
      <c r="F17" s="113" t="s">
        <v>68</v>
      </c>
      <c r="G17" s="116">
        <v>4</v>
      </c>
      <c r="H17" s="113" t="s">
        <v>81</v>
      </c>
    </row>
    <row r="18" spans="1:8" ht="18" x14ac:dyDescent="0.3">
      <c r="A18" s="118">
        <v>45986</v>
      </c>
      <c r="B18" s="119" t="s">
        <v>78</v>
      </c>
      <c r="C18" s="120" t="s">
        <v>79</v>
      </c>
      <c r="D18" s="119" t="s">
        <v>1</v>
      </c>
      <c r="E18" s="121">
        <v>1.4201388888888891</v>
      </c>
      <c r="F18" s="119" t="s">
        <v>82</v>
      </c>
      <c r="G18" s="122">
        <v>4</v>
      </c>
      <c r="H18" s="119" t="s">
        <v>81</v>
      </c>
    </row>
    <row r="19" spans="1:8" ht="18" x14ac:dyDescent="0.3">
      <c r="A19" s="138">
        <v>45986</v>
      </c>
      <c r="B19" s="139" t="s">
        <v>78</v>
      </c>
      <c r="C19" s="140" t="s">
        <v>84</v>
      </c>
      <c r="D19" s="139" t="s">
        <v>1</v>
      </c>
      <c r="E19" s="141">
        <v>1.604166666666667</v>
      </c>
      <c r="F19" s="139" t="s">
        <v>85</v>
      </c>
      <c r="G19" s="142">
        <v>9</v>
      </c>
      <c r="H19" s="139" t="s">
        <v>86</v>
      </c>
    </row>
    <row r="20" spans="1:8" ht="18" x14ac:dyDescent="0.3">
      <c r="A20" s="118">
        <v>45986</v>
      </c>
      <c r="B20" s="119" t="s">
        <v>78</v>
      </c>
      <c r="C20" s="120" t="s">
        <v>84</v>
      </c>
      <c r="D20" s="119" t="s">
        <v>1</v>
      </c>
      <c r="E20" s="121">
        <v>1.604166666666667</v>
      </c>
      <c r="F20" s="119" t="s">
        <v>87</v>
      </c>
      <c r="G20" s="122">
        <v>9</v>
      </c>
      <c r="H20" s="119" t="s">
        <v>86</v>
      </c>
    </row>
    <row r="21" spans="1:8" ht="18" x14ac:dyDescent="0.3">
      <c r="A21" s="118">
        <v>45986</v>
      </c>
      <c r="B21" s="119" t="s">
        <v>78</v>
      </c>
      <c r="C21" s="120" t="s">
        <v>84</v>
      </c>
      <c r="D21" s="119" t="s">
        <v>1</v>
      </c>
      <c r="E21" s="121">
        <v>1.604166666666667</v>
      </c>
      <c r="F21" s="119" t="s">
        <v>82</v>
      </c>
      <c r="G21" s="122">
        <v>9</v>
      </c>
      <c r="H21" s="119" t="s">
        <v>89</v>
      </c>
    </row>
    <row r="22" spans="1:8" ht="18" x14ac:dyDescent="0.3">
      <c r="A22" s="138">
        <v>45986</v>
      </c>
      <c r="B22" s="139" t="s">
        <v>78</v>
      </c>
      <c r="C22" s="140" t="s">
        <v>90</v>
      </c>
      <c r="D22" s="139" t="s">
        <v>1</v>
      </c>
      <c r="E22" s="141">
        <v>1.7951388888888891</v>
      </c>
      <c r="F22" s="139" t="s">
        <v>85</v>
      </c>
      <c r="G22" s="142">
        <v>5</v>
      </c>
      <c r="H22" s="139" t="s">
        <v>86</v>
      </c>
    </row>
    <row r="23" spans="1:8" ht="18" x14ac:dyDescent="0.3">
      <c r="A23" s="118">
        <v>45986</v>
      </c>
      <c r="B23" s="119" t="s">
        <v>78</v>
      </c>
      <c r="C23" s="120" t="s">
        <v>90</v>
      </c>
      <c r="D23" s="119" t="s">
        <v>1</v>
      </c>
      <c r="E23" s="121">
        <v>1.7951388888888891</v>
      </c>
      <c r="F23" s="119" t="s">
        <v>87</v>
      </c>
      <c r="G23" s="122">
        <v>5</v>
      </c>
      <c r="H23" s="119" t="s">
        <v>86</v>
      </c>
    </row>
    <row r="24" spans="1:8" ht="18" x14ac:dyDescent="0.3">
      <c r="A24" s="118">
        <v>45986</v>
      </c>
      <c r="B24" s="119" t="s">
        <v>78</v>
      </c>
      <c r="C24" s="120" t="s">
        <v>90</v>
      </c>
      <c r="D24" s="119" t="s">
        <v>1</v>
      </c>
      <c r="E24" s="121">
        <v>1.7951388888888891</v>
      </c>
      <c r="F24" s="119" t="s">
        <v>82</v>
      </c>
      <c r="G24" s="122">
        <v>5</v>
      </c>
      <c r="H24" s="119" t="s">
        <v>89</v>
      </c>
    </row>
    <row r="25" spans="1:8" ht="18" x14ac:dyDescent="0.3">
      <c r="A25" s="138">
        <v>45986</v>
      </c>
      <c r="B25" s="139" t="s">
        <v>78</v>
      </c>
      <c r="C25" s="140" t="s">
        <v>93</v>
      </c>
      <c r="D25" s="139" t="s">
        <v>1</v>
      </c>
      <c r="E25" s="141">
        <v>1.086805555555556</v>
      </c>
      <c r="F25" s="139" t="s">
        <v>85</v>
      </c>
      <c r="G25" s="142">
        <v>9</v>
      </c>
      <c r="H25" s="139" t="s">
        <v>86</v>
      </c>
    </row>
    <row r="26" spans="1:8" ht="18" x14ac:dyDescent="0.3">
      <c r="A26" s="118">
        <v>45986</v>
      </c>
      <c r="B26" s="119" t="s">
        <v>78</v>
      </c>
      <c r="C26" s="120" t="s">
        <v>93</v>
      </c>
      <c r="D26" s="119" t="s">
        <v>1</v>
      </c>
      <c r="E26" s="121">
        <v>1.086805555555556</v>
      </c>
      <c r="F26" s="119" t="s">
        <v>87</v>
      </c>
      <c r="G26" s="122">
        <v>9</v>
      </c>
      <c r="H26" s="119" t="s">
        <v>86</v>
      </c>
    </row>
    <row r="27" spans="1:8" ht="18" x14ac:dyDescent="0.3">
      <c r="A27" s="144">
        <v>45986</v>
      </c>
      <c r="B27" s="145" t="s">
        <v>78</v>
      </c>
      <c r="C27" s="146" t="s">
        <v>93</v>
      </c>
      <c r="D27" s="145" t="s">
        <v>1</v>
      </c>
      <c r="E27" s="147">
        <v>1.086805555555556</v>
      </c>
      <c r="F27" s="145" t="s">
        <v>82</v>
      </c>
      <c r="G27" s="148">
        <v>9</v>
      </c>
      <c r="H27" s="145" t="s">
        <v>89</v>
      </c>
    </row>
    <row r="28" spans="1:8" ht="18" x14ac:dyDescent="0.3">
      <c r="A28" s="112">
        <v>45987</v>
      </c>
      <c r="B28" s="113" t="s">
        <v>78</v>
      </c>
      <c r="C28" s="114" t="s">
        <v>84</v>
      </c>
      <c r="D28" s="113" t="s">
        <v>1</v>
      </c>
      <c r="E28" s="115">
        <v>1.604166666666667</v>
      </c>
      <c r="F28" s="113" t="s">
        <v>94</v>
      </c>
      <c r="G28" s="116">
        <v>2</v>
      </c>
      <c r="H28" s="117">
        <v>398</v>
      </c>
    </row>
    <row r="29" spans="1:8" ht="18" x14ac:dyDescent="0.3">
      <c r="A29" s="118">
        <v>45987</v>
      </c>
      <c r="B29" s="119" t="s">
        <v>78</v>
      </c>
      <c r="C29" s="120" t="s">
        <v>84</v>
      </c>
      <c r="D29" s="119" t="s">
        <v>1</v>
      </c>
      <c r="E29" s="121">
        <v>1.604166666666667</v>
      </c>
      <c r="F29" s="119" t="s">
        <v>87</v>
      </c>
      <c r="G29" s="122">
        <v>2</v>
      </c>
      <c r="H29" s="123">
        <v>490</v>
      </c>
    </row>
    <row r="30" spans="1:8" ht="18" x14ac:dyDescent="0.3">
      <c r="A30" s="118">
        <v>45987</v>
      </c>
      <c r="B30" s="119" t="s">
        <v>78</v>
      </c>
      <c r="C30" s="120" t="s">
        <v>84</v>
      </c>
      <c r="D30" s="119" t="s">
        <v>1</v>
      </c>
      <c r="E30" s="121">
        <v>1.604166666666667</v>
      </c>
      <c r="F30" s="119" t="s">
        <v>82</v>
      </c>
      <c r="G30" s="122">
        <v>2</v>
      </c>
      <c r="H30" s="123">
        <v>575</v>
      </c>
    </row>
    <row r="31" spans="1:8" ht="18" x14ac:dyDescent="0.3">
      <c r="A31" s="138">
        <v>45987</v>
      </c>
      <c r="B31" s="139" t="s">
        <v>78</v>
      </c>
      <c r="C31" s="140" t="s">
        <v>90</v>
      </c>
      <c r="D31" s="139" t="s">
        <v>1</v>
      </c>
      <c r="E31" s="141">
        <v>1.7951388888888891</v>
      </c>
      <c r="F31" s="139" t="s">
        <v>85</v>
      </c>
      <c r="G31" s="142">
        <v>9</v>
      </c>
      <c r="H31" s="139" t="s">
        <v>100</v>
      </c>
    </row>
    <row r="32" spans="1:8" ht="18" x14ac:dyDescent="0.3">
      <c r="A32" s="118">
        <v>45987</v>
      </c>
      <c r="B32" s="119" t="s">
        <v>78</v>
      </c>
      <c r="C32" s="120" t="s">
        <v>90</v>
      </c>
      <c r="D32" s="119" t="s">
        <v>1</v>
      </c>
      <c r="E32" s="121">
        <v>1.7951388888888891</v>
      </c>
      <c r="F32" s="119" t="s">
        <v>87</v>
      </c>
      <c r="G32" s="122">
        <v>9</v>
      </c>
      <c r="H32" s="119" t="s">
        <v>100</v>
      </c>
    </row>
    <row r="33" spans="1:8" ht="18" x14ac:dyDescent="0.3">
      <c r="A33" s="118">
        <v>45987</v>
      </c>
      <c r="B33" s="119" t="s">
        <v>78</v>
      </c>
      <c r="C33" s="120" t="s">
        <v>90</v>
      </c>
      <c r="D33" s="119" t="s">
        <v>1</v>
      </c>
      <c r="E33" s="121">
        <v>1.7951388888888891</v>
      </c>
      <c r="F33" s="119" t="s">
        <v>82</v>
      </c>
      <c r="G33" s="122">
        <v>9</v>
      </c>
      <c r="H33" s="119" t="s">
        <v>101</v>
      </c>
    </row>
    <row r="34" spans="1:8" ht="18" x14ac:dyDescent="0.3">
      <c r="A34" s="138">
        <v>45987</v>
      </c>
      <c r="B34" s="139" t="s">
        <v>78</v>
      </c>
      <c r="C34" s="140" t="s">
        <v>93</v>
      </c>
      <c r="D34" s="139" t="s">
        <v>1</v>
      </c>
      <c r="E34" s="141">
        <v>1.086805555555556</v>
      </c>
      <c r="F34" s="139" t="s">
        <v>85</v>
      </c>
      <c r="G34" s="142">
        <v>9</v>
      </c>
      <c r="H34" s="139" t="s">
        <v>100</v>
      </c>
    </row>
    <row r="35" spans="1:8" ht="18" x14ac:dyDescent="0.3">
      <c r="A35" s="118">
        <v>45987</v>
      </c>
      <c r="B35" s="119" t="s">
        <v>78</v>
      </c>
      <c r="C35" s="120" t="s">
        <v>93</v>
      </c>
      <c r="D35" s="119" t="s">
        <v>1</v>
      </c>
      <c r="E35" s="121">
        <v>1.086805555555556</v>
      </c>
      <c r="F35" s="119" t="s">
        <v>87</v>
      </c>
      <c r="G35" s="122">
        <v>9</v>
      </c>
      <c r="H35" s="119" t="s">
        <v>100</v>
      </c>
    </row>
    <row r="36" spans="1:8" ht="18" x14ac:dyDescent="0.3">
      <c r="A36" s="118">
        <v>45987</v>
      </c>
      <c r="B36" s="119" t="s">
        <v>78</v>
      </c>
      <c r="C36" s="120" t="s">
        <v>93</v>
      </c>
      <c r="D36" s="119" t="s">
        <v>1</v>
      </c>
      <c r="E36" s="121">
        <v>1.086805555555556</v>
      </c>
      <c r="F36" s="119" t="s">
        <v>82</v>
      </c>
      <c r="G36" s="122">
        <v>9</v>
      </c>
      <c r="H36" s="119" t="s">
        <v>101</v>
      </c>
    </row>
    <row r="37" spans="1:8" ht="18" x14ac:dyDescent="0.3">
      <c r="A37" s="138">
        <v>45987</v>
      </c>
      <c r="B37" s="139" t="s">
        <v>78</v>
      </c>
      <c r="C37" s="140" t="s">
        <v>79</v>
      </c>
      <c r="D37" s="139" t="s">
        <v>1</v>
      </c>
      <c r="E37" s="141">
        <v>1.4201388888888891</v>
      </c>
      <c r="F37" s="139" t="s">
        <v>68</v>
      </c>
      <c r="G37" s="142">
        <v>4</v>
      </c>
      <c r="H37" s="139" t="s">
        <v>81</v>
      </c>
    </row>
    <row r="38" spans="1:8" ht="18" x14ac:dyDescent="0.3">
      <c r="A38" s="118">
        <v>45987</v>
      </c>
      <c r="B38" s="119" t="s">
        <v>78</v>
      </c>
      <c r="C38" s="120" t="s">
        <v>79</v>
      </c>
      <c r="D38" s="119" t="s">
        <v>1</v>
      </c>
      <c r="E38" s="121">
        <v>1.4201388888888891</v>
      </c>
      <c r="F38" s="119" t="s">
        <v>82</v>
      </c>
      <c r="G38" s="122">
        <v>4</v>
      </c>
      <c r="H38" s="119" t="s">
        <v>81</v>
      </c>
    </row>
    <row r="39" spans="1:8" ht="18" x14ac:dyDescent="0.3">
      <c r="A39" s="136">
        <v>45987</v>
      </c>
      <c r="B39" s="113" t="s">
        <v>25</v>
      </c>
      <c r="C39" s="114" t="s">
        <v>26</v>
      </c>
      <c r="D39" s="113" t="s">
        <v>1</v>
      </c>
      <c r="E39" s="115">
        <v>1.4201388888888891</v>
      </c>
      <c r="F39" s="113" t="s">
        <v>27</v>
      </c>
      <c r="G39" s="116">
        <v>14</v>
      </c>
      <c r="H39" s="137">
        <v>619</v>
      </c>
    </row>
    <row r="40" spans="1:8" ht="18" x14ac:dyDescent="0.3">
      <c r="A40" s="118">
        <v>45987</v>
      </c>
      <c r="B40" s="119" t="s">
        <v>25</v>
      </c>
      <c r="C40" s="120" t="s">
        <v>26</v>
      </c>
      <c r="D40" s="119" t="s">
        <v>1</v>
      </c>
      <c r="E40" s="121">
        <v>1.4201388888888891</v>
      </c>
      <c r="F40" s="119" t="s">
        <v>30</v>
      </c>
      <c r="G40" s="122">
        <v>14</v>
      </c>
      <c r="H40" s="123">
        <v>769</v>
      </c>
    </row>
    <row r="41" spans="1:8" ht="18" x14ac:dyDescent="0.3">
      <c r="A41" s="118">
        <v>45987</v>
      </c>
      <c r="B41" s="119" t="s">
        <v>25</v>
      </c>
      <c r="C41" s="120" t="s">
        <v>26</v>
      </c>
      <c r="D41" s="119" t="s">
        <v>1</v>
      </c>
      <c r="E41" s="121">
        <v>1.4201388888888891</v>
      </c>
      <c r="F41" s="119" t="s">
        <v>33</v>
      </c>
      <c r="G41" s="122">
        <v>14</v>
      </c>
      <c r="H41" s="123">
        <v>799</v>
      </c>
    </row>
    <row r="42" spans="1:8" ht="18" x14ac:dyDescent="0.3">
      <c r="A42" s="136">
        <v>45987</v>
      </c>
      <c r="B42" s="113" t="s">
        <v>55</v>
      </c>
      <c r="C42" s="114" t="s">
        <v>56</v>
      </c>
      <c r="D42" s="113" t="s">
        <v>1</v>
      </c>
      <c r="E42" s="115">
        <v>1.756944444444444</v>
      </c>
      <c r="F42" s="113" t="s">
        <v>57</v>
      </c>
      <c r="G42" s="116">
        <v>1</v>
      </c>
      <c r="H42" s="137">
        <v>639</v>
      </c>
    </row>
    <row r="43" spans="1:8" ht="18" x14ac:dyDescent="0.3">
      <c r="A43" s="118">
        <v>45987</v>
      </c>
      <c r="B43" s="119" t="s">
        <v>55</v>
      </c>
      <c r="C43" s="120" t="s">
        <v>56</v>
      </c>
      <c r="D43" s="119" t="s">
        <v>1</v>
      </c>
      <c r="E43" s="121">
        <v>1.756944444444444</v>
      </c>
      <c r="F43" s="119" t="s">
        <v>60</v>
      </c>
      <c r="G43" s="122">
        <v>1</v>
      </c>
      <c r="H43" s="123">
        <v>639</v>
      </c>
    </row>
    <row r="44" spans="1:8" ht="18" x14ac:dyDescent="0.3">
      <c r="A44" s="118">
        <v>45987</v>
      </c>
      <c r="B44" s="119" t="s">
        <v>55</v>
      </c>
      <c r="C44" s="120" t="s">
        <v>56</v>
      </c>
      <c r="D44" s="119" t="s">
        <v>1</v>
      </c>
      <c r="E44" s="121">
        <v>1.756944444444444</v>
      </c>
      <c r="F44" s="119" t="s">
        <v>62</v>
      </c>
      <c r="G44" s="122">
        <v>1</v>
      </c>
      <c r="H44" s="123">
        <v>739</v>
      </c>
    </row>
    <row r="45" spans="1:8" ht="18" x14ac:dyDescent="0.3">
      <c r="A45" s="118">
        <v>45987</v>
      </c>
      <c r="B45" s="119" t="s">
        <v>55</v>
      </c>
      <c r="C45" s="120" t="s">
        <v>56</v>
      </c>
      <c r="D45" s="119" t="s">
        <v>1</v>
      </c>
      <c r="E45" s="121">
        <v>1.756944444444444</v>
      </c>
      <c r="F45" s="119" t="s">
        <v>64</v>
      </c>
      <c r="G45" s="122">
        <v>1</v>
      </c>
      <c r="H45" s="123">
        <v>829</v>
      </c>
    </row>
    <row r="46" spans="1:8" ht="18" x14ac:dyDescent="0.3">
      <c r="A46" s="136">
        <v>45987</v>
      </c>
      <c r="B46" s="113" t="s">
        <v>66</v>
      </c>
      <c r="C46" s="114" t="s">
        <v>77</v>
      </c>
      <c r="D46" s="113" t="s">
        <v>1</v>
      </c>
      <c r="E46" s="115">
        <v>1.444444444444444</v>
      </c>
      <c r="F46" s="113" t="s">
        <v>68</v>
      </c>
      <c r="G46" s="116">
        <v>7</v>
      </c>
      <c r="H46" s="137">
        <v>866</v>
      </c>
    </row>
    <row r="47" spans="1:8" ht="18" x14ac:dyDescent="0.3">
      <c r="A47" s="138">
        <v>45987</v>
      </c>
      <c r="B47" s="139" t="s">
        <v>66</v>
      </c>
      <c r="C47" s="140" t="s">
        <v>75</v>
      </c>
      <c r="D47" s="139" t="s">
        <v>1</v>
      </c>
      <c r="E47" s="141">
        <v>1.2222222222222221</v>
      </c>
      <c r="F47" s="139" t="s">
        <v>68</v>
      </c>
      <c r="G47" s="142">
        <v>9</v>
      </c>
      <c r="H47" s="143">
        <v>962</v>
      </c>
    </row>
    <row r="48" spans="1:8" ht="18" x14ac:dyDescent="0.3">
      <c r="A48" s="138">
        <v>45987</v>
      </c>
      <c r="B48" s="139" t="s">
        <v>66</v>
      </c>
      <c r="C48" s="140" t="s">
        <v>73</v>
      </c>
      <c r="D48" s="139" t="s">
        <v>1</v>
      </c>
      <c r="E48" s="141">
        <v>1.8472222222222221</v>
      </c>
      <c r="F48" s="139" t="s">
        <v>68</v>
      </c>
      <c r="G48" s="142">
        <v>2</v>
      </c>
      <c r="H48" s="139" t="s">
        <v>110</v>
      </c>
    </row>
    <row r="49" spans="1:8" ht="18" x14ac:dyDescent="0.3">
      <c r="A49" s="149">
        <v>45987</v>
      </c>
      <c r="B49" s="150" t="s">
        <v>66</v>
      </c>
      <c r="C49" s="151" t="s">
        <v>70</v>
      </c>
      <c r="D49" s="150" t="s">
        <v>1</v>
      </c>
      <c r="E49" s="152">
        <v>1.493055555555556</v>
      </c>
      <c r="F49" s="150" t="s">
        <v>68</v>
      </c>
      <c r="G49" s="153">
        <v>9</v>
      </c>
      <c r="H49" s="150" t="s">
        <v>111</v>
      </c>
    </row>
    <row r="50" spans="1:8" ht="18" x14ac:dyDescent="0.3">
      <c r="A50" s="112">
        <v>45988</v>
      </c>
      <c r="B50" s="113" t="s">
        <v>25</v>
      </c>
      <c r="C50" s="114" t="s">
        <v>26</v>
      </c>
      <c r="D50" s="113" t="s">
        <v>1</v>
      </c>
      <c r="E50" s="115">
        <v>1.4201388888888891</v>
      </c>
      <c r="F50" s="113" t="s">
        <v>27</v>
      </c>
      <c r="G50" s="116">
        <v>7</v>
      </c>
      <c r="H50" s="117">
        <v>559</v>
      </c>
    </row>
    <row r="51" spans="1:8" ht="18" x14ac:dyDescent="0.3">
      <c r="A51" s="118">
        <v>45988</v>
      </c>
      <c r="B51" s="119" t="s">
        <v>25</v>
      </c>
      <c r="C51" s="120" t="s">
        <v>26</v>
      </c>
      <c r="D51" s="119" t="s">
        <v>1</v>
      </c>
      <c r="E51" s="121">
        <v>1.4201388888888891</v>
      </c>
      <c r="F51" s="119" t="s">
        <v>30</v>
      </c>
      <c r="G51" s="122">
        <v>7</v>
      </c>
      <c r="H51" s="123">
        <v>709</v>
      </c>
    </row>
    <row r="52" spans="1:8" ht="18" x14ac:dyDescent="0.3">
      <c r="A52" s="118">
        <v>45988</v>
      </c>
      <c r="B52" s="119" t="s">
        <v>25</v>
      </c>
      <c r="C52" s="120" t="s">
        <v>26</v>
      </c>
      <c r="D52" s="119" t="s">
        <v>1</v>
      </c>
      <c r="E52" s="121">
        <v>1.4201388888888891</v>
      </c>
      <c r="F52" s="119" t="s">
        <v>33</v>
      </c>
      <c r="G52" s="122">
        <v>7</v>
      </c>
      <c r="H52" s="119" t="s">
        <v>34</v>
      </c>
    </row>
    <row r="53" spans="1:8" ht="18" x14ac:dyDescent="0.3">
      <c r="A53" s="136">
        <v>45988</v>
      </c>
      <c r="B53" s="113" t="s">
        <v>55</v>
      </c>
      <c r="C53" s="114" t="s">
        <v>112</v>
      </c>
      <c r="D53" s="113" t="s">
        <v>1</v>
      </c>
      <c r="E53" s="115">
        <v>1.354166666666667</v>
      </c>
      <c r="F53" s="113" t="s">
        <v>57</v>
      </c>
      <c r="G53" s="116">
        <v>4</v>
      </c>
      <c r="H53" s="137">
        <v>639</v>
      </c>
    </row>
    <row r="54" spans="1:8" ht="18" x14ac:dyDescent="0.3">
      <c r="A54" s="118">
        <v>45988</v>
      </c>
      <c r="B54" s="119" t="s">
        <v>55</v>
      </c>
      <c r="C54" s="120" t="s">
        <v>112</v>
      </c>
      <c r="D54" s="119" t="s">
        <v>1</v>
      </c>
      <c r="E54" s="121">
        <v>1.354166666666667</v>
      </c>
      <c r="F54" s="119" t="s">
        <v>60</v>
      </c>
      <c r="G54" s="122">
        <v>4</v>
      </c>
      <c r="H54" s="123">
        <v>639</v>
      </c>
    </row>
    <row r="55" spans="1:8" ht="18" x14ac:dyDescent="0.3">
      <c r="A55" s="118">
        <v>45988</v>
      </c>
      <c r="B55" s="119" t="s">
        <v>55</v>
      </c>
      <c r="C55" s="120" t="s">
        <v>112</v>
      </c>
      <c r="D55" s="119" t="s">
        <v>1</v>
      </c>
      <c r="E55" s="121">
        <v>1.354166666666667</v>
      </c>
      <c r="F55" s="119" t="s">
        <v>62</v>
      </c>
      <c r="G55" s="122">
        <v>4</v>
      </c>
      <c r="H55" s="123">
        <v>739</v>
      </c>
    </row>
    <row r="56" spans="1:8" ht="18" x14ac:dyDescent="0.3">
      <c r="A56" s="118">
        <v>45988</v>
      </c>
      <c r="B56" s="119" t="s">
        <v>55</v>
      </c>
      <c r="C56" s="120" t="s">
        <v>112</v>
      </c>
      <c r="D56" s="119" t="s">
        <v>1</v>
      </c>
      <c r="E56" s="121">
        <v>1.354166666666667</v>
      </c>
      <c r="F56" s="119" t="s">
        <v>64</v>
      </c>
      <c r="G56" s="122">
        <v>4</v>
      </c>
      <c r="H56" s="123">
        <v>829</v>
      </c>
    </row>
    <row r="57" spans="1:8" ht="18" x14ac:dyDescent="0.3">
      <c r="A57" s="138">
        <v>45988</v>
      </c>
      <c r="B57" s="139" t="s">
        <v>55</v>
      </c>
      <c r="C57" s="140" t="s">
        <v>56</v>
      </c>
      <c r="D57" s="139" t="s">
        <v>1</v>
      </c>
      <c r="E57" s="141">
        <v>1.756944444444444</v>
      </c>
      <c r="F57" s="139" t="s">
        <v>57</v>
      </c>
      <c r="G57" s="142">
        <v>4</v>
      </c>
      <c r="H57" s="139" t="s">
        <v>113</v>
      </c>
    </row>
    <row r="58" spans="1:8" ht="18" x14ac:dyDescent="0.3">
      <c r="A58" s="118">
        <v>45988</v>
      </c>
      <c r="B58" s="119" t="s">
        <v>55</v>
      </c>
      <c r="C58" s="120" t="s">
        <v>56</v>
      </c>
      <c r="D58" s="119" t="s">
        <v>1</v>
      </c>
      <c r="E58" s="121">
        <v>1.756944444444444</v>
      </c>
      <c r="F58" s="119" t="s">
        <v>60</v>
      </c>
      <c r="G58" s="122">
        <v>4</v>
      </c>
      <c r="H58" s="119" t="s">
        <v>113</v>
      </c>
    </row>
    <row r="59" spans="1:8" ht="18" x14ac:dyDescent="0.3">
      <c r="A59" s="118">
        <v>45988</v>
      </c>
      <c r="B59" s="119" t="s">
        <v>55</v>
      </c>
      <c r="C59" s="120" t="s">
        <v>56</v>
      </c>
      <c r="D59" s="119" t="s">
        <v>1</v>
      </c>
      <c r="E59" s="121">
        <v>1.756944444444444</v>
      </c>
      <c r="F59" s="119" t="s">
        <v>62</v>
      </c>
      <c r="G59" s="122">
        <v>4</v>
      </c>
      <c r="H59" s="119" t="s">
        <v>114</v>
      </c>
    </row>
    <row r="60" spans="1:8" ht="18" x14ac:dyDescent="0.3">
      <c r="A60" s="118">
        <v>45988</v>
      </c>
      <c r="B60" s="119" t="s">
        <v>55</v>
      </c>
      <c r="C60" s="120" t="s">
        <v>56</v>
      </c>
      <c r="D60" s="119" t="s">
        <v>1</v>
      </c>
      <c r="E60" s="121">
        <v>1.756944444444444</v>
      </c>
      <c r="F60" s="119" t="s">
        <v>64</v>
      </c>
      <c r="G60" s="122">
        <v>4</v>
      </c>
      <c r="H60" s="119" t="s">
        <v>115</v>
      </c>
    </row>
    <row r="61" spans="1:8" ht="18" x14ac:dyDescent="0.3">
      <c r="A61" s="136">
        <v>45988</v>
      </c>
      <c r="B61" s="113" t="s">
        <v>66</v>
      </c>
      <c r="C61" s="114" t="s">
        <v>77</v>
      </c>
      <c r="D61" s="113" t="s">
        <v>1</v>
      </c>
      <c r="E61" s="115">
        <v>1.430555555555556</v>
      </c>
      <c r="F61" s="113" t="s">
        <v>68</v>
      </c>
      <c r="G61" s="116">
        <v>9</v>
      </c>
      <c r="H61" s="137">
        <v>866</v>
      </c>
    </row>
    <row r="62" spans="1:8" ht="18" x14ac:dyDescent="0.3">
      <c r="A62" s="138">
        <v>45988</v>
      </c>
      <c r="B62" s="139" t="s">
        <v>66</v>
      </c>
      <c r="C62" s="140" t="s">
        <v>70</v>
      </c>
      <c r="D62" s="139" t="s">
        <v>1</v>
      </c>
      <c r="E62" s="141">
        <v>1.493055555555556</v>
      </c>
      <c r="F62" s="139" t="s">
        <v>68</v>
      </c>
      <c r="G62" s="142">
        <v>9</v>
      </c>
      <c r="H62" s="143">
        <v>962</v>
      </c>
    </row>
    <row r="63" spans="1:8" ht="18" x14ac:dyDescent="0.3">
      <c r="A63" s="138">
        <v>45988</v>
      </c>
      <c r="B63" s="139" t="s">
        <v>66</v>
      </c>
      <c r="C63" s="140" t="s">
        <v>67</v>
      </c>
      <c r="D63" s="139" t="s">
        <v>1</v>
      </c>
      <c r="E63" s="141">
        <v>1.1076388888888891</v>
      </c>
      <c r="F63" s="139" t="s">
        <v>68</v>
      </c>
      <c r="G63" s="142">
        <v>1</v>
      </c>
      <c r="H63" s="143">
        <v>962</v>
      </c>
    </row>
    <row r="64" spans="1:8" ht="18" x14ac:dyDescent="0.3">
      <c r="A64" s="138">
        <v>45988</v>
      </c>
      <c r="B64" s="139" t="s">
        <v>66</v>
      </c>
      <c r="C64" s="140" t="s">
        <v>75</v>
      </c>
      <c r="D64" s="139" t="s">
        <v>1</v>
      </c>
      <c r="E64" s="141">
        <v>1.2222222222222221</v>
      </c>
      <c r="F64" s="139" t="s">
        <v>68</v>
      </c>
      <c r="G64" s="142">
        <v>9</v>
      </c>
      <c r="H64" s="143">
        <v>962</v>
      </c>
    </row>
    <row r="65" spans="1:8" ht="18" x14ac:dyDescent="0.3">
      <c r="A65" s="138">
        <v>45988</v>
      </c>
      <c r="B65" s="139" t="s">
        <v>66</v>
      </c>
      <c r="C65" s="140" t="s">
        <v>73</v>
      </c>
      <c r="D65" s="139" t="s">
        <v>1</v>
      </c>
      <c r="E65" s="141">
        <v>1.854166666666667</v>
      </c>
      <c r="F65" s="139" t="s">
        <v>68</v>
      </c>
      <c r="G65" s="142">
        <v>2</v>
      </c>
      <c r="H65" s="139" t="s">
        <v>111</v>
      </c>
    </row>
    <row r="66" spans="1:8" ht="18" x14ac:dyDescent="0.3">
      <c r="A66" s="136">
        <v>45988</v>
      </c>
      <c r="B66" s="113" t="s">
        <v>78</v>
      </c>
      <c r="C66" s="114" t="s">
        <v>90</v>
      </c>
      <c r="D66" s="113" t="s">
        <v>1</v>
      </c>
      <c r="E66" s="115">
        <v>1.7951388888888891</v>
      </c>
      <c r="F66" s="113" t="s">
        <v>85</v>
      </c>
      <c r="G66" s="116">
        <v>1</v>
      </c>
      <c r="H66" s="113" t="s">
        <v>117</v>
      </c>
    </row>
    <row r="67" spans="1:8" ht="18" x14ac:dyDescent="0.3">
      <c r="A67" s="118">
        <v>45988</v>
      </c>
      <c r="B67" s="119" t="s">
        <v>78</v>
      </c>
      <c r="C67" s="120" t="s">
        <v>90</v>
      </c>
      <c r="D67" s="119" t="s">
        <v>1</v>
      </c>
      <c r="E67" s="121">
        <v>1.7951388888888891</v>
      </c>
      <c r="F67" s="119" t="s">
        <v>87</v>
      </c>
      <c r="G67" s="122">
        <v>1</v>
      </c>
      <c r="H67" s="119" t="s">
        <v>117</v>
      </c>
    </row>
    <row r="68" spans="1:8" ht="18" x14ac:dyDescent="0.3">
      <c r="A68" s="118">
        <v>45988</v>
      </c>
      <c r="B68" s="119" t="s">
        <v>78</v>
      </c>
      <c r="C68" s="120" t="s">
        <v>90</v>
      </c>
      <c r="D68" s="119" t="s">
        <v>1</v>
      </c>
      <c r="E68" s="121">
        <v>1.7951388888888891</v>
      </c>
      <c r="F68" s="119" t="s">
        <v>82</v>
      </c>
      <c r="G68" s="122">
        <v>1</v>
      </c>
      <c r="H68" s="119" t="s">
        <v>118</v>
      </c>
    </row>
    <row r="69" spans="1:8" ht="18" x14ac:dyDescent="0.3">
      <c r="A69" s="138">
        <v>45988</v>
      </c>
      <c r="B69" s="139" t="s">
        <v>78</v>
      </c>
      <c r="C69" s="140" t="s">
        <v>84</v>
      </c>
      <c r="D69" s="139" t="s">
        <v>1</v>
      </c>
      <c r="E69" s="141">
        <v>1.604166666666667</v>
      </c>
      <c r="F69" s="139" t="s">
        <v>85</v>
      </c>
      <c r="G69" s="142">
        <v>9</v>
      </c>
      <c r="H69" s="139" t="s">
        <v>100</v>
      </c>
    </row>
    <row r="70" spans="1:8" ht="18" x14ac:dyDescent="0.3">
      <c r="A70" s="118">
        <v>45988</v>
      </c>
      <c r="B70" s="119" t="s">
        <v>78</v>
      </c>
      <c r="C70" s="120" t="s">
        <v>84</v>
      </c>
      <c r="D70" s="119" t="s">
        <v>1</v>
      </c>
      <c r="E70" s="121">
        <v>1.604166666666667</v>
      </c>
      <c r="F70" s="119" t="s">
        <v>87</v>
      </c>
      <c r="G70" s="122">
        <v>9</v>
      </c>
      <c r="H70" s="119" t="s">
        <v>100</v>
      </c>
    </row>
    <row r="71" spans="1:8" ht="18" x14ac:dyDescent="0.3">
      <c r="A71" s="118">
        <v>45988</v>
      </c>
      <c r="B71" s="119" t="s">
        <v>78</v>
      </c>
      <c r="C71" s="120" t="s">
        <v>84</v>
      </c>
      <c r="D71" s="119" t="s">
        <v>1</v>
      </c>
      <c r="E71" s="121">
        <v>1.604166666666667</v>
      </c>
      <c r="F71" s="119" t="s">
        <v>82</v>
      </c>
      <c r="G71" s="122">
        <v>9</v>
      </c>
      <c r="H71" s="119" t="s">
        <v>101</v>
      </c>
    </row>
    <row r="72" spans="1:8" ht="18" x14ac:dyDescent="0.3">
      <c r="A72" s="138">
        <v>45988</v>
      </c>
      <c r="B72" s="139" t="s">
        <v>78</v>
      </c>
      <c r="C72" s="140" t="s">
        <v>93</v>
      </c>
      <c r="D72" s="139" t="s">
        <v>1</v>
      </c>
      <c r="E72" s="141">
        <v>1.086805555555556</v>
      </c>
      <c r="F72" s="139" t="s">
        <v>85</v>
      </c>
      <c r="G72" s="142">
        <v>9</v>
      </c>
      <c r="H72" s="139" t="s">
        <v>100</v>
      </c>
    </row>
    <row r="73" spans="1:8" ht="18" x14ac:dyDescent="0.3">
      <c r="A73" s="118">
        <v>45988</v>
      </c>
      <c r="B73" s="119" t="s">
        <v>78</v>
      </c>
      <c r="C73" s="120" t="s">
        <v>93</v>
      </c>
      <c r="D73" s="119" t="s">
        <v>1</v>
      </c>
      <c r="E73" s="121">
        <v>1.086805555555556</v>
      </c>
      <c r="F73" s="119" t="s">
        <v>87</v>
      </c>
      <c r="G73" s="122">
        <v>9</v>
      </c>
      <c r="H73" s="119" t="s">
        <v>100</v>
      </c>
    </row>
    <row r="74" spans="1:8" ht="18" x14ac:dyDescent="0.3">
      <c r="A74" s="118">
        <v>45988</v>
      </c>
      <c r="B74" s="119" t="s">
        <v>78</v>
      </c>
      <c r="C74" s="120" t="s">
        <v>93</v>
      </c>
      <c r="D74" s="119" t="s">
        <v>1</v>
      </c>
      <c r="E74" s="121">
        <v>1.086805555555556</v>
      </c>
      <c r="F74" s="119" t="s">
        <v>82</v>
      </c>
      <c r="G74" s="122">
        <v>9</v>
      </c>
      <c r="H74" s="119" t="s">
        <v>101</v>
      </c>
    </row>
    <row r="75" spans="1:8" ht="18" x14ac:dyDescent="0.3">
      <c r="A75" s="138">
        <v>45988</v>
      </c>
      <c r="B75" s="139" t="s">
        <v>78</v>
      </c>
      <c r="C75" s="140" t="s">
        <v>79</v>
      </c>
      <c r="D75" s="139" t="s">
        <v>1</v>
      </c>
      <c r="E75" s="141">
        <v>1.4201388888888891</v>
      </c>
      <c r="F75" s="139" t="s">
        <v>68</v>
      </c>
      <c r="G75" s="142">
        <v>4</v>
      </c>
      <c r="H75" s="139" t="s">
        <v>81</v>
      </c>
    </row>
    <row r="76" spans="1:8" ht="18" x14ac:dyDescent="0.3">
      <c r="A76" s="118">
        <v>45988</v>
      </c>
      <c r="B76" s="119" t="s">
        <v>78</v>
      </c>
      <c r="C76" s="120" t="s">
        <v>79</v>
      </c>
      <c r="D76" s="119" t="s">
        <v>1</v>
      </c>
      <c r="E76" s="121">
        <v>1.4201388888888891</v>
      </c>
      <c r="F76" s="119" t="s">
        <v>82</v>
      </c>
      <c r="G76" s="122">
        <v>4</v>
      </c>
      <c r="H76" s="119" t="s">
        <v>81</v>
      </c>
    </row>
    <row r="77" spans="1:8" ht="18" x14ac:dyDescent="0.3">
      <c r="A77" s="154">
        <v>45988</v>
      </c>
      <c r="B77" s="155" t="s">
        <v>35</v>
      </c>
      <c r="C77" s="156" t="s">
        <v>49</v>
      </c>
      <c r="D77" s="155" t="s">
        <v>1</v>
      </c>
      <c r="E77" s="157">
        <v>1.538194444444444</v>
      </c>
      <c r="F77" s="155" t="s">
        <v>37</v>
      </c>
      <c r="G77" s="158">
        <v>4</v>
      </c>
      <c r="H77" s="155" t="s">
        <v>119</v>
      </c>
    </row>
    <row r="78" spans="1:8" ht="18" x14ac:dyDescent="0.3">
      <c r="A78" s="112">
        <v>45989</v>
      </c>
      <c r="B78" s="113" t="s">
        <v>25</v>
      </c>
      <c r="C78" s="114" t="s">
        <v>26</v>
      </c>
      <c r="D78" s="113" t="s">
        <v>1</v>
      </c>
      <c r="E78" s="115">
        <v>1.4201388888888891</v>
      </c>
      <c r="F78" s="113" t="s">
        <v>27</v>
      </c>
      <c r="G78" s="116">
        <v>1</v>
      </c>
      <c r="H78" s="117">
        <v>559</v>
      </c>
    </row>
    <row r="79" spans="1:8" ht="18" x14ac:dyDescent="0.3">
      <c r="A79" s="118">
        <v>45989</v>
      </c>
      <c r="B79" s="119" t="s">
        <v>25</v>
      </c>
      <c r="C79" s="120" t="s">
        <v>26</v>
      </c>
      <c r="D79" s="119" t="s">
        <v>1</v>
      </c>
      <c r="E79" s="121">
        <v>1.4201388888888891</v>
      </c>
      <c r="F79" s="119" t="s">
        <v>30</v>
      </c>
      <c r="G79" s="122">
        <v>1</v>
      </c>
      <c r="H79" s="123">
        <v>709</v>
      </c>
    </row>
    <row r="80" spans="1:8" ht="18" x14ac:dyDescent="0.3">
      <c r="A80" s="118">
        <v>45989</v>
      </c>
      <c r="B80" s="119" t="s">
        <v>25</v>
      </c>
      <c r="C80" s="120" t="s">
        <v>26</v>
      </c>
      <c r="D80" s="119" t="s">
        <v>1</v>
      </c>
      <c r="E80" s="121">
        <v>1.4201388888888891</v>
      </c>
      <c r="F80" s="119" t="s">
        <v>33</v>
      </c>
      <c r="G80" s="122">
        <v>1</v>
      </c>
      <c r="H80" s="119" t="s">
        <v>34</v>
      </c>
    </row>
    <row r="81" spans="1:8" ht="18" x14ac:dyDescent="0.3">
      <c r="A81" s="136">
        <v>45989</v>
      </c>
      <c r="B81" s="113" t="s">
        <v>55</v>
      </c>
      <c r="C81" s="114" t="s">
        <v>56</v>
      </c>
      <c r="D81" s="113" t="s">
        <v>1</v>
      </c>
      <c r="E81" s="115">
        <v>1.756944444444444</v>
      </c>
      <c r="F81" s="113" t="s">
        <v>60</v>
      </c>
      <c r="G81" s="116">
        <v>5</v>
      </c>
      <c r="H81" s="137">
        <v>639</v>
      </c>
    </row>
    <row r="82" spans="1:8" ht="18" x14ac:dyDescent="0.3">
      <c r="A82" s="118">
        <v>45989</v>
      </c>
      <c r="B82" s="119" t="s">
        <v>55</v>
      </c>
      <c r="C82" s="120" t="s">
        <v>56</v>
      </c>
      <c r="D82" s="119" t="s">
        <v>1</v>
      </c>
      <c r="E82" s="121">
        <v>1.756944444444444</v>
      </c>
      <c r="F82" s="119" t="s">
        <v>62</v>
      </c>
      <c r="G82" s="122">
        <v>5</v>
      </c>
      <c r="H82" s="123">
        <v>739</v>
      </c>
    </row>
    <row r="83" spans="1:8" ht="18" x14ac:dyDescent="0.3">
      <c r="A83" s="118">
        <v>45989</v>
      </c>
      <c r="B83" s="119" t="s">
        <v>55</v>
      </c>
      <c r="C83" s="120" t="s">
        <v>56</v>
      </c>
      <c r="D83" s="119" t="s">
        <v>1</v>
      </c>
      <c r="E83" s="121">
        <v>1.756944444444444</v>
      </c>
      <c r="F83" s="119" t="s">
        <v>64</v>
      </c>
      <c r="G83" s="122">
        <v>5</v>
      </c>
      <c r="H83" s="123">
        <v>829</v>
      </c>
    </row>
    <row r="84" spans="1:8" ht="18" x14ac:dyDescent="0.3">
      <c r="A84" s="136">
        <v>45989</v>
      </c>
      <c r="B84" s="113" t="s">
        <v>66</v>
      </c>
      <c r="C84" s="114" t="s">
        <v>67</v>
      </c>
      <c r="D84" s="113" t="s">
        <v>1</v>
      </c>
      <c r="E84" s="115">
        <v>1.1076388888888891</v>
      </c>
      <c r="F84" s="113" t="s">
        <v>68</v>
      </c>
      <c r="G84" s="116">
        <v>9</v>
      </c>
      <c r="H84" s="137">
        <v>682</v>
      </c>
    </row>
    <row r="85" spans="1:8" ht="18" x14ac:dyDescent="0.3">
      <c r="A85" s="138">
        <v>45989</v>
      </c>
      <c r="B85" s="139" t="s">
        <v>66</v>
      </c>
      <c r="C85" s="140" t="s">
        <v>70</v>
      </c>
      <c r="D85" s="139" t="s">
        <v>1</v>
      </c>
      <c r="E85" s="141">
        <v>1.493055555555556</v>
      </c>
      <c r="F85" s="139" t="s">
        <v>68</v>
      </c>
      <c r="G85" s="142">
        <v>1</v>
      </c>
      <c r="H85" s="139" t="s">
        <v>111</v>
      </c>
    </row>
    <row r="86" spans="1:8" ht="18" x14ac:dyDescent="0.3">
      <c r="A86" s="138">
        <v>45989</v>
      </c>
      <c r="B86" s="139" t="s">
        <v>66</v>
      </c>
      <c r="C86" s="140" t="s">
        <v>75</v>
      </c>
      <c r="D86" s="139" t="s">
        <v>1</v>
      </c>
      <c r="E86" s="141">
        <v>1.2222222222222221</v>
      </c>
      <c r="F86" s="139" t="s">
        <v>68</v>
      </c>
      <c r="G86" s="142">
        <v>9</v>
      </c>
      <c r="H86" s="139" t="s">
        <v>111</v>
      </c>
    </row>
    <row r="87" spans="1:8" ht="18" x14ac:dyDescent="0.3">
      <c r="A87" s="136">
        <v>45989</v>
      </c>
      <c r="B87" s="113" t="s">
        <v>78</v>
      </c>
      <c r="C87" s="114" t="s">
        <v>84</v>
      </c>
      <c r="D87" s="113" t="s">
        <v>1</v>
      </c>
      <c r="E87" s="115">
        <v>1.604166666666667</v>
      </c>
      <c r="F87" s="113" t="s">
        <v>87</v>
      </c>
      <c r="G87" s="116">
        <v>9</v>
      </c>
      <c r="H87" s="113" t="s">
        <v>100</v>
      </c>
    </row>
    <row r="88" spans="1:8" ht="18" x14ac:dyDescent="0.3">
      <c r="A88" s="118">
        <v>45989</v>
      </c>
      <c r="B88" s="119" t="s">
        <v>78</v>
      </c>
      <c r="C88" s="120" t="s">
        <v>84</v>
      </c>
      <c r="D88" s="119" t="s">
        <v>1</v>
      </c>
      <c r="E88" s="121">
        <v>1.604166666666667</v>
      </c>
      <c r="F88" s="119" t="s">
        <v>82</v>
      </c>
      <c r="G88" s="122">
        <v>9</v>
      </c>
      <c r="H88" s="119" t="s">
        <v>101</v>
      </c>
    </row>
    <row r="89" spans="1:8" ht="18" x14ac:dyDescent="0.3">
      <c r="A89" s="138">
        <v>45989</v>
      </c>
      <c r="B89" s="139" t="s">
        <v>78</v>
      </c>
      <c r="C89" s="140" t="s">
        <v>93</v>
      </c>
      <c r="D89" s="139" t="s">
        <v>1</v>
      </c>
      <c r="E89" s="141">
        <v>1.086805555555556</v>
      </c>
      <c r="F89" s="139" t="s">
        <v>87</v>
      </c>
      <c r="G89" s="142">
        <v>9</v>
      </c>
      <c r="H89" s="139" t="s">
        <v>100</v>
      </c>
    </row>
    <row r="90" spans="1:8" ht="18" x14ac:dyDescent="0.3">
      <c r="A90" s="118">
        <v>45989</v>
      </c>
      <c r="B90" s="119" t="s">
        <v>78</v>
      </c>
      <c r="C90" s="120" t="s">
        <v>93</v>
      </c>
      <c r="D90" s="119" t="s">
        <v>1</v>
      </c>
      <c r="E90" s="121">
        <v>1.086805555555556</v>
      </c>
      <c r="F90" s="119" t="s">
        <v>82</v>
      </c>
      <c r="G90" s="122">
        <v>9</v>
      </c>
      <c r="H90" s="119" t="s">
        <v>101</v>
      </c>
    </row>
    <row r="91" spans="1:8" ht="18" x14ac:dyDescent="0.3">
      <c r="A91" s="149">
        <v>45989</v>
      </c>
      <c r="B91" s="150" t="s">
        <v>78</v>
      </c>
      <c r="C91" s="151" t="s">
        <v>79</v>
      </c>
      <c r="D91" s="150" t="s">
        <v>1</v>
      </c>
      <c r="E91" s="152">
        <v>1.4201388888888891</v>
      </c>
      <c r="F91" s="150" t="s">
        <v>82</v>
      </c>
      <c r="G91" s="153">
        <v>4</v>
      </c>
      <c r="H91" s="150" t="s">
        <v>81</v>
      </c>
    </row>
    <row r="92" spans="1:8" ht="18" x14ac:dyDescent="0.3">
      <c r="A92" s="112">
        <v>45990</v>
      </c>
      <c r="B92" s="113" t="s">
        <v>25</v>
      </c>
      <c r="C92" s="114" t="s">
        <v>26</v>
      </c>
      <c r="D92" s="113" t="s">
        <v>1</v>
      </c>
      <c r="E92" s="115">
        <v>1.4201388888888891</v>
      </c>
      <c r="F92" s="113" t="s">
        <v>27</v>
      </c>
      <c r="G92" s="116">
        <v>8</v>
      </c>
      <c r="H92" s="117">
        <v>619</v>
      </c>
    </row>
    <row r="93" spans="1:8" ht="18" x14ac:dyDescent="0.3">
      <c r="A93" s="118">
        <v>45990</v>
      </c>
      <c r="B93" s="119" t="s">
        <v>25</v>
      </c>
      <c r="C93" s="120" t="s">
        <v>26</v>
      </c>
      <c r="D93" s="119" t="s">
        <v>1</v>
      </c>
      <c r="E93" s="121">
        <v>1.4201388888888891</v>
      </c>
      <c r="F93" s="119" t="s">
        <v>30</v>
      </c>
      <c r="G93" s="122">
        <v>8</v>
      </c>
      <c r="H93" s="123">
        <v>769</v>
      </c>
    </row>
    <row r="94" spans="1:8" ht="18" x14ac:dyDescent="0.3">
      <c r="A94" s="118">
        <v>45990</v>
      </c>
      <c r="B94" s="119" t="s">
        <v>25</v>
      </c>
      <c r="C94" s="120" t="s">
        <v>26</v>
      </c>
      <c r="D94" s="119" t="s">
        <v>1</v>
      </c>
      <c r="E94" s="121">
        <v>1.4201388888888891</v>
      </c>
      <c r="F94" s="119" t="s">
        <v>33</v>
      </c>
      <c r="G94" s="122">
        <v>8</v>
      </c>
      <c r="H94" s="119" t="s">
        <v>34</v>
      </c>
    </row>
    <row r="95" spans="1:8" ht="18" x14ac:dyDescent="0.3">
      <c r="A95" s="136">
        <v>45990</v>
      </c>
      <c r="B95" s="113" t="s">
        <v>55</v>
      </c>
      <c r="C95" s="114" t="s">
        <v>112</v>
      </c>
      <c r="D95" s="113" t="s">
        <v>1</v>
      </c>
      <c r="E95" s="115">
        <v>1.354166666666667</v>
      </c>
      <c r="F95" s="113" t="s">
        <v>60</v>
      </c>
      <c r="G95" s="116">
        <v>6</v>
      </c>
      <c r="H95" s="137">
        <v>639</v>
      </c>
    </row>
    <row r="96" spans="1:8" ht="18" x14ac:dyDescent="0.3">
      <c r="A96" s="118">
        <v>45990</v>
      </c>
      <c r="B96" s="119" t="s">
        <v>55</v>
      </c>
      <c r="C96" s="120" t="s">
        <v>112</v>
      </c>
      <c r="D96" s="119" t="s">
        <v>1</v>
      </c>
      <c r="E96" s="121">
        <v>1.354166666666667</v>
      </c>
      <c r="F96" s="119" t="s">
        <v>62</v>
      </c>
      <c r="G96" s="122">
        <v>6</v>
      </c>
      <c r="H96" s="123">
        <v>739</v>
      </c>
    </row>
    <row r="97" spans="1:8" ht="18" x14ac:dyDescent="0.3">
      <c r="A97" s="118">
        <v>45990</v>
      </c>
      <c r="B97" s="119" t="s">
        <v>55</v>
      </c>
      <c r="C97" s="120" t="s">
        <v>112</v>
      </c>
      <c r="D97" s="119" t="s">
        <v>1</v>
      </c>
      <c r="E97" s="121">
        <v>1.354166666666667</v>
      </c>
      <c r="F97" s="119" t="s">
        <v>64</v>
      </c>
      <c r="G97" s="122">
        <v>6</v>
      </c>
      <c r="H97" s="123">
        <v>829</v>
      </c>
    </row>
    <row r="98" spans="1:8" ht="18" x14ac:dyDescent="0.3">
      <c r="A98" s="138">
        <v>45990</v>
      </c>
      <c r="B98" s="139" t="s">
        <v>55</v>
      </c>
      <c r="C98" s="140" t="s">
        <v>56</v>
      </c>
      <c r="D98" s="139" t="s">
        <v>1</v>
      </c>
      <c r="E98" s="141">
        <v>1.756944444444444</v>
      </c>
      <c r="F98" s="139" t="s">
        <v>60</v>
      </c>
      <c r="G98" s="142">
        <v>7</v>
      </c>
      <c r="H98" s="139" t="s">
        <v>126</v>
      </c>
    </row>
    <row r="99" spans="1:8" ht="18" x14ac:dyDescent="0.3">
      <c r="A99" s="118">
        <v>45990</v>
      </c>
      <c r="B99" s="119" t="s">
        <v>55</v>
      </c>
      <c r="C99" s="120" t="s">
        <v>56</v>
      </c>
      <c r="D99" s="119" t="s">
        <v>1</v>
      </c>
      <c r="E99" s="121">
        <v>1.756944444444444</v>
      </c>
      <c r="F99" s="119" t="s">
        <v>62</v>
      </c>
      <c r="G99" s="122">
        <v>7</v>
      </c>
      <c r="H99" s="119" t="s">
        <v>127</v>
      </c>
    </row>
    <row r="100" spans="1:8" ht="18" x14ac:dyDescent="0.3">
      <c r="A100" s="118">
        <v>45990</v>
      </c>
      <c r="B100" s="119" t="s">
        <v>55</v>
      </c>
      <c r="C100" s="120" t="s">
        <v>56</v>
      </c>
      <c r="D100" s="119" t="s">
        <v>1</v>
      </c>
      <c r="E100" s="121">
        <v>1.756944444444444</v>
      </c>
      <c r="F100" s="119" t="s">
        <v>64</v>
      </c>
      <c r="G100" s="122">
        <v>7</v>
      </c>
      <c r="H100" s="119" t="s">
        <v>128</v>
      </c>
    </row>
    <row r="101" spans="1:8" ht="18" x14ac:dyDescent="0.3">
      <c r="A101" s="136">
        <v>45990</v>
      </c>
      <c r="B101" s="113" t="s">
        <v>78</v>
      </c>
      <c r="C101" s="114" t="s">
        <v>79</v>
      </c>
      <c r="D101" s="113" t="s">
        <v>1</v>
      </c>
      <c r="E101" s="115">
        <v>1.4201388888888891</v>
      </c>
      <c r="F101" s="113" t="s">
        <v>82</v>
      </c>
      <c r="G101" s="116">
        <v>4</v>
      </c>
      <c r="H101" s="113" t="s">
        <v>81</v>
      </c>
    </row>
    <row r="102" spans="1:8" ht="18" x14ac:dyDescent="0.3">
      <c r="A102" s="138">
        <v>45990</v>
      </c>
      <c r="B102" s="139" t="s">
        <v>78</v>
      </c>
      <c r="C102" s="140" t="s">
        <v>90</v>
      </c>
      <c r="D102" s="139" t="s">
        <v>1</v>
      </c>
      <c r="E102" s="141">
        <v>1.7951388888888891</v>
      </c>
      <c r="F102" s="139" t="s">
        <v>87</v>
      </c>
      <c r="G102" s="142">
        <v>1</v>
      </c>
      <c r="H102" s="139" t="s">
        <v>86</v>
      </c>
    </row>
    <row r="103" spans="1:8" ht="18" x14ac:dyDescent="0.3">
      <c r="A103" s="118">
        <v>45990</v>
      </c>
      <c r="B103" s="119" t="s">
        <v>78</v>
      </c>
      <c r="C103" s="120" t="s">
        <v>90</v>
      </c>
      <c r="D103" s="119" t="s">
        <v>1</v>
      </c>
      <c r="E103" s="121">
        <v>1.7951388888888891</v>
      </c>
      <c r="F103" s="119" t="s">
        <v>82</v>
      </c>
      <c r="G103" s="122">
        <v>1</v>
      </c>
      <c r="H103" s="119" t="s">
        <v>89</v>
      </c>
    </row>
    <row r="104" spans="1:8" ht="18" x14ac:dyDescent="0.3">
      <c r="A104" s="138">
        <v>45990</v>
      </c>
      <c r="B104" s="139" t="s">
        <v>78</v>
      </c>
      <c r="C104" s="140" t="s">
        <v>93</v>
      </c>
      <c r="D104" s="139" t="s">
        <v>1</v>
      </c>
      <c r="E104" s="141">
        <v>1.086805555555556</v>
      </c>
      <c r="F104" s="139" t="s">
        <v>87</v>
      </c>
      <c r="G104" s="142">
        <v>9</v>
      </c>
      <c r="H104" s="139" t="s">
        <v>86</v>
      </c>
    </row>
    <row r="105" spans="1:8" ht="18" x14ac:dyDescent="0.3">
      <c r="A105" s="118">
        <v>45990</v>
      </c>
      <c r="B105" s="119" t="s">
        <v>78</v>
      </c>
      <c r="C105" s="120" t="s">
        <v>93</v>
      </c>
      <c r="D105" s="119" t="s">
        <v>1</v>
      </c>
      <c r="E105" s="121">
        <v>1.086805555555556</v>
      </c>
      <c r="F105" s="119" t="s">
        <v>82</v>
      </c>
      <c r="G105" s="122">
        <v>9</v>
      </c>
      <c r="H105" s="119" t="s">
        <v>89</v>
      </c>
    </row>
    <row r="106" spans="1:8" ht="18" x14ac:dyDescent="0.3">
      <c r="A106" s="138">
        <v>45990</v>
      </c>
      <c r="B106" s="139" t="s">
        <v>78</v>
      </c>
      <c r="C106" s="140" t="s">
        <v>84</v>
      </c>
      <c r="D106" s="139" t="s">
        <v>1</v>
      </c>
      <c r="E106" s="141">
        <v>1.604166666666667</v>
      </c>
      <c r="F106" s="139" t="s">
        <v>87</v>
      </c>
      <c r="G106" s="142">
        <v>2</v>
      </c>
      <c r="H106" s="139" t="s">
        <v>129</v>
      </c>
    </row>
    <row r="107" spans="1:8" ht="18" x14ac:dyDescent="0.3">
      <c r="A107" s="118">
        <v>45990</v>
      </c>
      <c r="B107" s="119" t="s">
        <v>78</v>
      </c>
      <c r="C107" s="120" t="s">
        <v>84</v>
      </c>
      <c r="D107" s="119" t="s">
        <v>1</v>
      </c>
      <c r="E107" s="121">
        <v>1.604166666666667</v>
      </c>
      <c r="F107" s="119" t="s">
        <v>82</v>
      </c>
      <c r="G107" s="122">
        <v>2</v>
      </c>
      <c r="H107" s="119" t="s">
        <v>130</v>
      </c>
    </row>
    <row r="108" spans="1:8" ht="18" x14ac:dyDescent="0.3">
      <c r="A108" s="154">
        <v>45990</v>
      </c>
      <c r="B108" s="155" t="s">
        <v>35</v>
      </c>
      <c r="C108" s="156" t="s">
        <v>52</v>
      </c>
      <c r="D108" s="155" t="s">
        <v>1</v>
      </c>
      <c r="E108" s="157">
        <v>1.395833333333333</v>
      </c>
      <c r="F108" s="155" t="s">
        <v>131</v>
      </c>
      <c r="G108" s="155"/>
      <c r="H108" s="155" t="s">
        <v>132</v>
      </c>
    </row>
    <row r="109" spans="1:8" ht="18" x14ac:dyDescent="0.3">
      <c r="A109" s="112">
        <v>45991</v>
      </c>
      <c r="B109" s="113" t="s">
        <v>25</v>
      </c>
      <c r="C109" s="114" t="s">
        <v>26</v>
      </c>
      <c r="D109" s="113" t="s">
        <v>1</v>
      </c>
      <c r="E109" s="115">
        <v>1.4201388888888891</v>
      </c>
      <c r="F109" s="113" t="s">
        <v>27</v>
      </c>
      <c r="G109" s="116">
        <v>3</v>
      </c>
      <c r="H109" s="117">
        <v>619</v>
      </c>
    </row>
    <row r="110" spans="1:8" ht="18" x14ac:dyDescent="0.3">
      <c r="A110" s="118">
        <v>45991</v>
      </c>
      <c r="B110" s="119" t="s">
        <v>25</v>
      </c>
      <c r="C110" s="120" t="s">
        <v>26</v>
      </c>
      <c r="D110" s="119" t="s">
        <v>1</v>
      </c>
      <c r="E110" s="121">
        <v>1.4201388888888891</v>
      </c>
      <c r="F110" s="119" t="s">
        <v>30</v>
      </c>
      <c r="G110" s="122">
        <v>3</v>
      </c>
      <c r="H110" s="123">
        <v>769</v>
      </c>
    </row>
    <row r="111" spans="1:8" ht="18" x14ac:dyDescent="0.3">
      <c r="A111" s="118">
        <v>45991</v>
      </c>
      <c r="B111" s="119" t="s">
        <v>25</v>
      </c>
      <c r="C111" s="120" t="s">
        <v>26</v>
      </c>
      <c r="D111" s="119" t="s">
        <v>1</v>
      </c>
      <c r="E111" s="121">
        <v>1.4201388888888891</v>
      </c>
      <c r="F111" s="119" t="s">
        <v>33</v>
      </c>
      <c r="G111" s="122">
        <v>3</v>
      </c>
      <c r="H111" s="119" t="s">
        <v>34</v>
      </c>
    </row>
    <row r="112" spans="1:8" ht="18" x14ac:dyDescent="0.3">
      <c r="A112" s="136">
        <v>45991</v>
      </c>
      <c r="B112" s="113" t="s">
        <v>55</v>
      </c>
      <c r="C112" s="114" t="s">
        <v>56</v>
      </c>
      <c r="D112" s="113" t="s">
        <v>1</v>
      </c>
      <c r="E112" s="115">
        <v>1.756944444444444</v>
      </c>
      <c r="F112" s="113" t="s">
        <v>60</v>
      </c>
      <c r="G112" s="116">
        <v>1</v>
      </c>
      <c r="H112" s="137">
        <v>749</v>
      </c>
    </row>
    <row r="113" spans="1:8" ht="18" x14ac:dyDescent="0.3">
      <c r="A113" s="118">
        <v>45991</v>
      </c>
      <c r="B113" s="119" t="s">
        <v>55</v>
      </c>
      <c r="C113" s="120" t="s">
        <v>56</v>
      </c>
      <c r="D113" s="119" t="s">
        <v>1</v>
      </c>
      <c r="E113" s="121">
        <v>1.756944444444444</v>
      </c>
      <c r="F113" s="119" t="s">
        <v>62</v>
      </c>
      <c r="G113" s="122">
        <v>1</v>
      </c>
      <c r="H113" s="123">
        <v>849</v>
      </c>
    </row>
    <row r="114" spans="1:8" ht="18" x14ac:dyDescent="0.3">
      <c r="A114" s="118">
        <v>45991</v>
      </c>
      <c r="B114" s="119" t="s">
        <v>55</v>
      </c>
      <c r="C114" s="120" t="s">
        <v>56</v>
      </c>
      <c r="D114" s="119" t="s">
        <v>1</v>
      </c>
      <c r="E114" s="121">
        <v>1.756944444444444</v>
      </c>
      <c r="F114" s="119" t="s">
        <v>64</v>
      </c>
      <c r="G114" s="122">
        <v>1</v>
      </c>
      <c r="H114" s="123">
        <v>939</v>
      </c>
    </row>
    <row r="115" spans="1:8" ht="18" x14ac:dyDescent="0.3">
      <c r="A115" s="124">
        <v>45991</v>
      </c>
      <c r="B115" s="125" t="s">
        <v>35</v>
      </c>
      <c r="C115" s="126" t="s">
        <v>49</v>
      </c>
      <c r="D115" s="125" t="s">
        <v>1</v>
      </c>
      <c r="E115" s="127">
        <v>1.9027777777777779</v>
      </c>
      <c r="F115" s="125" t="s">
        <v>37</v>
      </c>
      <c r="G115" s="128">
        <v>5</v>
      </c>
      <c r="H115" s="125" t="s">
        <v>140</v>
      </c>
    </row>
    <row r="116" spans="1:8" ht="18" x14ac:dyDescent="0.3">
      <c r="A116" s="136">
        <v>45991</v>
      </c>
      <c r="B116" s="113" t="s">
        <v>78</v>
      </c>
      <c r="C116" s="114" t="s">
        <v>84</v>
      </c>
      <c r="D116" s="113" t="s">
        <v>1</v>
      </c>
      <c r="E116" s="115">
        <v>1.604166666666667</v>
      </c>
      <c r="F116" s="113" t="s">
        <v>87</v>
      </c>
      <c r="G116" s="116">
        <v>9</v>
      </c>
      <c r="H116" s="113" t="s">
        <v>100</v>
      </c>
    </row>
    <row r="117" spans="1:8" ht="18" x14ac:dyDescent="0.3">
      <c r="A117" s="118">
        <v>45991</v>
      </c>
      <c r="B117" s="119" t="s">
        <v>78</v>
      </c>
      <c r="C117" s="120" t="s">
        <v>84</v>
      </c>
      <c r="D117" s="119" t="s">
        <v>1</v>
      </c>
      <c r="E117" s="121">
        <v>1.604166666666667</v>
      </c>
      <c r="F117" s="119" t="s">
        <v>82</v>
      </c>
      <c r="G117" s="122">
        <v>9</v>
      </c>
      <c r="H117" s="119" t="s">
        <v>101</v>
      </c>
    </row>
    <row r="118" spans="1:8" ht="18" x14ac:dyDescent="0.3">
      <c r="A118" s="138">
        <v>45991</v>
      </c>
      <c r="B118" s="139" t="s">
        <v>78</v>
      </c>
      <c r="C118" s="140" t="s">
        <v>79</v>
      </c>
      <c r="D118" s="139" t="s">
        <v>1</v>
      </c>
      <c r="E118" s="141">
        <v>1.4201388888888891</v>
      </c>
      <c r="F118" s="139" t="s">
        <v>82</v>
      </c>
      <c r="G118" s="142">
        <v>4</v>
      </c>
      <c r="H118" s="139" t="s">
        <v>81</v>
      </c>
    </row>
    <row r="119" spans="1:8" ht="18" x14ac:dyDescent="0.3">
      <c r="A119" s="138">
        <v>45991</v>
      </c>
      <c r="B119" s="139" t="s">
        <v>78</v>
      </c>
      <c r="C119" s="140" t="s">
        <v>90</v>
      </c>
      <c r="D119" s="139" t="s">
        <v>1</v>
      </c>
      <c r="E119" s="141">
        <v>1.7951388888888891</v>
      </c>
      <c r="F119" s="139" t="s">
        <v>87</v>
      </c>
      <c r="G119" s="142">
        <v>3</v>
      </c>
      <c r="H119" s="139" t="s">
        <v>86</v>
      </c>
    </row>
    <row r="120" spans="1:8" ht="18" x14ac:dyDescent="0.3">
      <c r="A120" s="118">
        <v>45991</v>
      </c>
      <c r="B120" s="119" t="s">
        <v>78</v>
      </c>
      <c r="C120" s="120" t="s">
        <v>90</v>
      </c>
      <c r="D120" s="119" t="s">
        <v>1</v>
      </c>
      <c r="E120" s="121">
        <v>1.7951388888888891</v>
      </c>
      <c r="F120" s="119" t="s">
        <v>82</v>
      </c>
      <c r="G120" s="122">
        <v>3</v>
      </c>
      <c r="H120" s="119" t="s">
        <v>89</v>
      </c>
    </row>
    <row r="121" spans="1:8" ht="18" x14ac:dyDescent="0.3">
      <c r="A121" s="138">
        <v>45991</v>
      </c>
      <c r="B121" s="139" t="s">
        <v>78</v>
      </c>
      <c r="C121" s="140" t="s">
        <v>93</v>
      </c>
      <c r="D121" s="139" t="s">
        <v>1</v>
      </c>
      <c r="E121" s="141">
        <v>1.086805555555556</v>
      </c>
      <c r="F121" s="139" t="s">
        <v>87</v>
      </c>
      <c r="G121" s="142">
        <v>9</v>
      </c>
      <c r="H121" s="139" t="s">
        <v>86</v>
      </c>
    </row>
    <row r="122" spans="1:8" ht="18" x14ac:dyDescent="0.3">
      <c r="A122" s="144">
        <v>45991</v>
      </c>
      <c r="B122" s="145" t="s">
        <v>78</v>
      </c>
      <c r="C122" s="146" t="s">
        <v>93</v>
      </c>
      <c r="D122" s="145" t="s">
        <v>1</v>
      </c>
      <c r="E122" s="147">
        <v>1.086805555555556</v>
      </c>
      <c r="F122" s="145" t="s">
        <v>82</v>
      </c>
      <c r="G122" s="148">
        <v>9</v>
      </c>
      <c r="H122" s="145" t="s">
        <v>89</v>
      </c>
    </row>
  </sheetData>
  <dataValidations count="6">
    <dataValidation type="custom" allowBlank="1" showInputMessage="1" promptTitle="LOAD FACTOR ANALYSIS" prompt="SM-488_x000d__x000a_LF 56.5%_x000d__x000a_SOLD 95_x000d__x000a_LST-SOLD 23NOV_x000d__x000a_WEEKLY 13_x000d__x000a_TO-DAY NIL_x000d__x000a_Y-DAY 3_x000d__x000a_LOWEST AVAIL W9_x000d__x000a_CAPACITY 168_x000d__x000a_CLASSES L4 &amp; G19 &amp; S9 &amp; +6 more" sqref="A5 B5 C5 D5 E5 F5 G5 H5" xr:uid="{00000000-0002-0000-0200-000000000000}">
      <formula1>TRUE</formula1>
    </dataValidation>
    <dataValidation type="custom" allowBlank="1" showInputMessage="1" promptTitle="LOAD FACTOR ANALYSIS" prompt="SM-496_x000d__x000a_LF 91.1%_x000d__x000a_SOLD 163_x000d__x000a_LST-SOLD 04NOV_x000d__x000a_WEEKLY NIL_x000d__x000a_TO-DAY NIL_x000d__x000a_Y-DAY NIL_x000d__x000a_LOWEST AVAIL V8_x000d__x000a_CAPACITY 179_x000d__x000a_CLASSES L1 &amp; I4 &amp; E44 &amp; +1 more" sqref="A6 B6 C6 D6 E6 F6 G6 H6" xr:uid="{00000000-0002-0000-0200-000001000000}">
      <formula1>TRUE</formula1>
    </dataValidation>
    <dataValidation type="custom" allowBlank="1" showInputMessage="1" promptTitle="LOAD FACTOR ANALYSIS" prompt="SM-494_x000d__x000a_LF 98.9%_x000d__x000a_SOLD 177_x000d__x000a_LST-SOLD 19NOV_x000d__x000a_WEEKLY 1_x000d__x000a_TO-DAY NIL_x000d__x000a_Y-DAY NIL_x000d__x000a_LOWEST AVAIL Y2_x000d__x000a_CAPACITY 179_x000d__x000a_CLASSES Q2 &amp; K5 &amp; V4 &amp; +6 more" sqref="A7 B7 C7 D7 E7 F7 G7 H7" xr:uid="{00000000-0002-0000-0200-000002000000}">
      <formula1>TRUE</formula1>
    </dataValidation>
    <dataValidation type="custom" allowBlank="1" showInputMessage="1" promptTitle="LOAD FACTOR ANALYSIS" prompt="SM-494_x000d__x000a_LF 98.3%_x000d__x000a_SOLD 171_x000d__x000a_LST-SOLD 20NOV_x000d__x000a_WEEKLY 4_x000d__x000a_TO-DAY NIL_x000d__x000a_Y-DAY NIL_x000d__x000a_LOWEST AVAIL B4_x000d__x000a_CAPACITY 174_x000d__x000a_CLASSES V7 &amp; L2 &amp; S1 &amp; +5 more" sqref="A77 B77 C77 D77 E77 F77 G77 H77" xr:uid="{00000000-0002-0000-0200-000003000000}">
      <formula1>TRUE</formula1>
    </dataValidation>
    <dataValidation type="custom" allowBlank="1" showInputMessage="1" promptTitle="LOAD FACTOR ANALYSIS" prompt="SM494_x000d__x000a_LF 1.0%_x000d__x000a_SOLD 173_x000d__x000a_LST-SOLD 09NOV_x000d__x000a_WEEKLY NIL_x000d__x000a_TO-DAY NIL_x000d__x000a_Y-DAY NIL_x000d__x000a_LOWEST AVAIL CLOSED_x000d__x000a_CAPACITY 168_x000d__x000a_CLASSES G2 &amp; S12 &amp; I22 &amp; +2 more" sqref="A108 B108 C108 D108 E108 F108 G108 H108" xr:uid="{00000000-0002-0000-0200-000004000000}">
      <formula1>TRUE</formula1>
    </dataValidation>
    <dataValidation type="custom" allowBlank="1" showInputMessage="1" promptTitle="LOAD FACTOR ANALYSIS" prompt="SM-494_x000d__x000a_LF 96.5%_x000d__x000a_SOLD 168_x000d__x000a_LST-SOLD 14NOV_x000d__x000a_WEEKLY NIL_x000d__x000a_TO-DAY NIL_x000d__x000a_Y-DAY NIL_x000d__x000a_LOWEST AVAIL M5_x000d__x000a_CAPACITY 174_x000d__x000a_CLASSES L4 &amp; G3 &amp; S4 &amp; +7 more" sqref="A115 B115 C115 D115 E115 F115 G115 H115" xr:uid="{00000000-0002-0000-0200-000005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8"/>
  <sheetViews>
    <sheetView workbookViewId="0">
      <pane ySplit="1" topLeftCell="A2" activePane="bottomLeft" state="frozen"/>
      <selection pane="bottomLeft"/>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59" t="s">
        <v>144</v>
      </c>
      <c r="B1" s="159" t="s">
        <v>145</v>
      </c>
      <c r="C1" s="159" t="s">
        <v>146</v>
      </c>
      <c r="D1" s="159" t="s">
        <v>22</v>
      </c>
      <c r="E1" s="159" t="s">
        <v>147</v>
      </c>
      <c r="F1" s="159" t="s">
        <v>148</v>
      </c>
      <c r="G1" s="159" t="s">
        <v>15</v>
      </c>
      <c r="H1" s="159" t="s">
        <v>150</v>
      </c>
      <c r="I1" s="159" t="s">
        <v>151</v>
      </c>
      <c r="J1" s="159" t="s">
        <v>152</v>
      </c>
      <c r="K1" s="159" t="s">
        <v>17</v>
      </c>
      <c r="L1" s="159" t="s">
        <v>19</v>
      </c>
      <c r="M1" s="159" t="s">
        <v>20</v>
      </c>
      <c r="N1" s="159" t="s">
        <v>18</v>
      </c>
      <c r="O1" s="159" t="s">
        <v>21</v>
      </c>
      <c r="P1" s="159" t="s">
        <v>153</v>
      </c>
      <c r="Q1" s="159" t="s">
        <v>154</v>
      </c>
      <c r="R1" s="159" t="s">
        <v>155</v>
      </c>
      <c r="S1" s="159" t="s">
        <v>156</v>
      </c>
      <c r="T1" s="159" t="s">
        <v>157</v>
      </c>
      <c r="U1" s="159" t="s">
        <v>158</v>
      </c>
      <c r="V1" s="159" t="s">
        <v>159</v>
      </c>
      <c r="W1" s="159" t="s">
        <v>160</v>
      </c>
      <c r="X1" s="159" t="s">
        <v>161</v>
      </c>
      <c r="Y1" s="159" t="s">
        <v>162</v>
      </c>
      <c r="Z1" s="159" t="s">
        <v>163</v>
      </c>
      <c r="AA1" s="159" t="s">
        <v>164</v>
      </c>
      <c r="AB1" s="159" t="s">
        <v>165</v>
      </c>
      <c r="AC1" s="159" t="s">
        <v>166</v>
      </c>
      <c r="AD1" s="159" t="s">
        <v>167</v>
      </c>
      <c r="AE1" s="159" t="s">
        <v>168</v>
      </c>
      <c r="AF1" s="159" t="s">
        <v>169</v>
      </c>
      <c r="AG1" s="159" t="s">
        <v>170</v>
      </c>
      <c r="AH1" s="159" t="s">
        <v>171</v>
      </c>
      <c r="AI1" s="159" t="s">
        <v>172</v>
      </c>
    </row>
    <row r="2" spans="1:35" ht="18" x14ac:dyDescent="0.3">
      <c r="A2" s="160" t="s">
        <v>222</v>
      </c>
      <c r="B2" s="161">
        <v>45986</v>
      </c>
      <c r="C2" s="140" t="s">
        <v>40</v>
      </c>
      <c r="D2" s="162">
        <v>0.27777777777777779</v>
      </c>
      <c r="E2" s="140" t="s">
        <v>1</v>
      </c>
      <c r="F2" s="140" t="s">
        <v>174</v>
      </c>
      <c r="G2" s="163">
        <v>0.5655</v>
      </c>
      <c r="H2" s="142">
        <v>168</v>
      </c>
      <c r="I2" s="142">
        <v>95</v>
      </c>
      <c r="J2" s="142">
        <v>0</v>
      </c>
      <c r="K2" s="161">
        <v>45984</v>
      </c>
      <c r="L2" s="142">
        <v>0</v>
      </c>
      <c r="M2" s="142">
        <v>3</v>
      </c>
      <c r="N2" s="142">
        <v>13</v>
      </c>
      <c r="O2" s="140" t="s">
        <v>41</v>
      </c>
      <c r="P2" s="139"/>
      <c r="Q2" s="139"/>
      <c r="R2" s="139"/>
      <c r="S2" s="139"/>
      <c r="T2" s="139"/>
      <c r="U2" s="139"/>
      <c r="V2" s="139"/>
      <c r="W2" s="142">
        <v>4</v>
      </c>
      <c r="X2" s="142">
        <v>19</v>
      </c>
      <c r="Y2" s="142">
        <v>9</v>
      </c>
      <c r="Z2" s="142">
        <v>13</v>
      </c>
      <c r="AA2" s="142">
        <v>10</v>
      </c>
      <c r="AB2" s="142">
        <v>10</v>
      </c>
      <c r="AC2" s="142">
        <v>10</v>
      </c>
      <c r="AD2" s="142">
        <v>10</v>
      </c>
      <c r="AE2" s="142">
        <v>10</v>
      </c>
      <c r="AF2" s="139"/>
      <c r="AG2" s="139"/>
      <c r="AH2" s="139"/>
      <c r="AI2" s="139"/>
    </row>
    <row r="3" spans="1:35" ht="18" x14ac:dyDescent="0.3">
      <c r="A3" s="160" t="s">
        <v>222</v>
      </c>
      <c r="B3" s="161">
        <v>45986</v>
      </c>
      <c r="C3" s="140" t="s">
        <v>52</v>
      </c>
      <c r="D3" s="162">
        <v>0.97916666666666663</v>
      </c>
      <c r="E3" s="140" t="s">
        <v>1</v>
      </c>
      <c r="F3" s="140" t="s">
        <v>174</v>
      </c>
      <c r="G3" s="163">
        <v>0.98880000000000001</v>
      </c>
      <c r="H3" s="142">
        <v>179</v>
      </c>
      <c r="I3" s="142">
        <v>177</v>
      </c>
      <c r="J3" s="142">
        <v>122</v>
      </c>
      <c r="K3" s="161">
        <v>45980</v>
      </c>
      <c r="L3" s="142">
        <v>0</v>
      </c>
      <c r="M3" s="142">
        <v>0</v>
      </c>
      <c r="N3" s="142">
        <v>1</v>
      </c>
      <c r="O3" s="140" t="s">
        <v>53</v>
      </c>
      <c r="P3" s="139"/>
      <c r="Q3" s="139"/>
      <c r="R3" s="139"/>
      <c r="S3" s="139"/>
      <c r="T3" s="142">
        <v>2</v>
      </c>
      <c r="U3" s="142">
        <v>5</v>
      </c>
      <c r="V3" s="142">
        <v>4</v>
      </c>
      <c r="W3" s="139"/>
      <c r="X3" s="139"/>
      <c r="Y3" s="142">
        <v>11</v>
      </c>
      <c r="Z3" s="139"/>
      <c r="AA3" s="139"/>
      <c r="AB3" s="142">
        <v>3</v>
      </c>
      <c r="AC3" s="142">
        <v>5</v>
      </c>
      <c r="AD3" s="142">
        <v>8</v>
      </c>
      <c r="AE3" s="142">
        <v>17</v>
      </c>
      <c r="AF3" s="139"/>
      <c r="AG3" s="139"/>
      <c r="AH3" s="142">
        <v>122</v>
      </c>
      <c r="AI3" s="139"/>
    </row>
    <row r="4" spans="1:35" ht="18" x14ac:dyDescent="0.3">
      <c r="A4" s="160" t="s">
        <v>223</v>
      </c>
      <c r="B4" s="161">
        <v>45988</v>
      </c>
      <c r="C4" s="140" t="s">
        <v>52</v>
      </c>
      <c r="D4" s="162">
        <v>0.53819444444444442</v>
      </c>
      <c r="E4" s="140" t="s">
        <v>1</v>
      </c>
      <c r="F4" s="140" t="s">
        <v>174</v>
      </c>
      <c r="G4" s="163">
        <v>0.98280000000000001</v>
      </c>
      <c r="H4" s="142">
        <v>174</v>
      </c>
      <c r="I4" s="142">
        <v>171</v>
      </c>
      <c r="J4" s="142">
        <v>128</v>
      </c>
      <c r="K4" s="161">
        <v>45981</v>
      </c>
      <c r="L4" s="142">
        <v>0</v>
      </c>
      <c r="M4" s="142">
        <v>0</v>
      </c>
      <c r="N4" s="142">
        <v>4</v>
      </c>
      <c r="O4" s="140" t="s">
        <v>120</v>
      </c>
      <c r="P4" s="139"/>
      <c r="Q4" s="139"/>
      <c r="R4" s="139"/>
      <c r="S4" s="139"/>
      <c r="T4" s="139"/>
      <c r="U4" s="139"/>
      <c r="V4" s="142">
        <v>7</v>
      </c>
      <c r="W4" s="142">
        <v>2</v>
      </c>
      <c r="X4" s="139"/>
      <c r="Y4" s="142">
        <v>1</v>
      </c>
      <c r="Z4" s="139"/>
      <c r="AA4" s="139"/>
      <c r="AB4" s="139"/>
      <c r="AC4" s="142">
        <v>6</v>
      </c>
      <c r="AD4" s="142">
        <v>9</v>
      </c>
      <c r="AE4" s="142">
        <v>17</v>
      </c>
      <c r="AF4" s="139"/>
      <c r="AG4" s="139"/>
      <c r="AH4" s="142">
        <v>128</v>
      </c>
      <c r="AI4" s="142">
        <v>1</v>
      </c>
    </row>
    <row r="5" spans="1:35" ht="18" x14ac:dyDescent="0.3">
      <c r="A5" s="160" t="s">
        <v>224</v>
      </c>
      <c r="B5" s="161">
        <v>45990</v>
      </c>
      <c r="C5" s="140" t="s">
        <v>52</v>
      </c>
      <c r="D5" s="162">
        <v>0.39583333333333331</v>
      </c>
      <c r="E5" s="140" t="s">
        <v>1</v>
      </c>
      <c r="F5" s="140" t="s">
        <v>174</v>
      </c>
      <c r="G5" s="163">
        <v>1.0298</v>
      </c>
      <c r="H5" s="142">
        <v>168</v>
      </c>
      <c r="I5" s="142">
        <v>173</v>
      </c>
      <c r="J5" s="142">
        <v>131</v>
      </c>
      <c r="K5" s="161">
        <v>45970</v>
      </c>
      <c r="L5" s="142">
        <v>0</v>
      </c>
      <c r="M5" s="142">
        <v>0</v>
      </c>
      <c r="N5" s="142">
        <v>0</v>
      </c>
      <c r="O5" s="140" t="s">
        <v>133</v>
      </c>
      <c r="P5" s="139"/>
      <c r="Q5" s="139"/>
      <c r="R5" s="139"/>
      <c r="S5" s="139"/>
      <c r="T5" s="139"/>
      <c r="U5" s="139"/>
      <c r="V5" s="139"/>
      <c r="W5" s="139"/>
      <c r="X5" s="142">
        <v>2</v>
      </c>
      <c r="Y5" s="142">
        <v>12</v>
      </c>
      <c r="Z5" s="139"/>
      <c r="AA5" s="139"/>
      <c r="AB5" s="139"/>
      <c r="AC5" s="139"/>
      <c r="AD5" s="139"/>
      <c r="AE5" s="142">
        <v>22</v>
      </c>
      <c r="AF5" s="139"/>
      <c r="AG5" s="139"/>
      <c r="AH5" s="142">
        <v>133</v>
      </c>
      <c r="AI5" s="142">
        <v>4</v>
      </c>
    </row>
    <row r="6" spans="1:35" ht="18" x14ac:dyDescent="0.3">
      <c r="A6" s="160" t="s">
        <v>225</v>
      </c>
      <c r="B6" s="161">
        <v>45991</v>
      </c>
      <c r="C6" s="140" t="s">
        <v>52</v>
      </c>
      <c r="D6" s="162">
        <v>0.90277777777777779</v>
      </c>
      <c r="E6" s="140" t="s">
        <v>1</v>
      </c>
      <c r="F6" s="140" t="s">
        <v>174</v>
      </c>
      <c r="G6" s="163">
        <v>0.96550000000000002</v>
      </c>
      <c r="H6" s="142">
        <v>174</v>
      </c>
      <c r="I6" s="142">
        <v>168</v>
      </c>
      <c r="J6" s="142">
        <v>133</v>
      </c>
      <c r="K6" s="161">
        <v>45975</v>
      </c>
      <c r="L6" s="142">
        <v>0</v>
      </c>
      <c r="M6" s="142">
        <v>0</v>
      </c>
      <c r="N6" s="142">
        <v>0</v>
      </c>
      <c r="O6" s="140" t="s">
        <v>141</v>
      </c>
      <c r="P6" s="139"/>
      <c r="Q6" s="139"/>
      <c r="R6" s="139"/>
      <c r="S6" s="139"/>
      <c r="T6" s="139"/>
      <c r="U6" s="139"/>
      <c r="V6" s="139"/>
      <c r="W6" s="142">
        <v>4</v>
      </c>
      <c r="X6" s="142">
        <v>3</v>
      </c>
      <c r="Y6" s="142">
        <v>4</v>
      </c>
      <c r="Z6" s="142">
        <v>4</v>
      </c>
      <c r="AA6" s="142">
        <v>4</v>
      </c>
      <c r="AB6" s="142">
        <v>4</v>
      </c>
      <c r="AC6" s="142">
        <v>4</v>
      </c>
      <c r="AD6" s="142">
        <v>4</v>
      </c>
      <c r="AE6" s="142">
        <v>4</v>
      </c>
      <c r="AF6" s="139"/>
      <c r="AG6" s="139"/>
      <c r="AH6" s="142">
        <v>133</v>
      </c>
      <c r="AI6" s="139"/>
    </row>
    <row r="7" spans="1:35" ht="18" x14ac:dyDescent="0.3">
      <c r="A7" s="160" t="s">
        <v>222</v>
      </c>
      <c r="B7" s="161">
        <v>45986</v>
      </c>
      <c r="C7" s="140" t="s">
        <v>46</v>
      </c>
      <c r="D7" s="162">
        <v>4.8611111111111112E-2</v>
      </c>
      <c r="E7" s="140" t="s">
        <v>1</v>
      </c>
      <c r="F7" s="140" t="s">
        <v>174</v>
      </c>
      <c r="G7" s="163">
        <v>0.91059999999999997</v>
      </c>
      <c r="H7" s="142">
        <v>179</v>
      </c>
      <c r="I7" s="142">
        <v>163</v>
      </c>
      <c r="J7" s="142">
        <v>158</v>
      </c>
      <c r="K7" s="161">
        <v>45965</v>
      </c>
      <c r="L7" s="142">
        <v>0</v>
      </c>
      <c r="M7" s="142">
        <v>0</v>
      </c>
      <c r="N7" s="142">
        <v>0</v>
      </c>
      <c r="O7" s="140" t="s">
        <v>47</v>
      </c>
      <c r="P7" s="139"/>
      <c r="Q7" s="139"/>
      <c r="R7" s="139"/>
      <c r="S7" s="139"/>
      <c r="T7" s="139"/>
      <c r="U7" s="139"/>
      <c r="V7" s="139"/>
      <c r="W7" s="142">
        <v>1</v>
      </c>
      <c r="X7" s="139"/>
      <c r="Y7" s="139"/>
      <c r="Z7" s="139"/>
      <c r="AA7" s="139"/>
      <c r="AB7" s="139"/>
      <c r="AC7" s="139"/>
      <c r="AD7" s="139"/>
      <c r="AE7" s="142">
        <v>4</v>
      </c>
      <c r="AF7" s="142">
        <v>44</v>
      </c>
      <c r="AG7" s="139"/>
      <c r="AH7" s="142">
        <v>114</v>
      </c>
      <c r="AI7" s="139"/>
    </row>
    <row r="8" spans="1:35" x14ac:dyDescent="0.3">
      <c r="A8" s="164" t="s">
        <v>219</v>
      </c>
      <c r="B8" s="165"/>
      <c r="C8" s="166">
        <f>COUNTA(C2:C7)</f>
        <v>6</v>
      </c>
      <c r="D8" s="165"/>
      <c r="E8" s="165"/>
      <c r="F8" s="165"/>
      <c r="G8" s="167">
        <f>AVERAGE(G2:G7)</f>
        <v>0.90716666666666679</v>
      </c>
      <c r="H8" s="168">
        <f>SUM(H2:H7)</f>
        <v>1042</v>
      </c>
      <c r="I8" s="168">
        <f>SUM(I2:I7)</f>
        <v>947</v>
      </c>
      <c r="J8" s="168">
        <f>SUM(J2:J7)</f>
        <v>672</v>
      </c>
      <c r="K8" s="165"/>
      <c r="L8" s="168">
        <f>SUM(L2:L7)</f>
        <v>0</v>
      </c>
      <c r="M8" s="168">
        <f>SUM(M2:M7)</f>
        <v>3</v>
      </c>
      <c r="N8" s="168">
        <f>SUM(N2:N7)</f>
        <v>18</v>
      </c>
      <c r="O8" s="165"/>
      <c r="P8" s="168">
        <f t="shared" ref="P8:AI8" si="0">SUM(P2:P7)</f>
        <v>0</v>
      </c>
      <c r="Q8" s="168">
        <f t="shared" si="0"/>
        <v>0</v>
      </c>
      <c r="R8" s="168">
        <f t="shared" si="0"/>
        <v>0</v>
      </c>
      <c r="S8" s="168">
        <f t="shared" si="0"/>
        <v>0</v>
      </c>
      <c r="T8" s="168">
        <f t="shared" si="0"/>
        <v>2</v>
      </c>
      <c r="U8" s="168">
        <f t="shared" si="0"/>
        <v>5</v>
      </c>
      <c r="V8" s="168">
        <f t="shared" si="0"/>
        <v>11</v>
      </c>
      <c r="W8" s="168">
        <f t="shared" si="0"/>
        <v>11</v>
      </c>
      <c r="X8" s="168">
        <f t="shared" si="0"/>
        <v>24</v>
      </c>
      <c r="Y8" s="168">
        <f t="shared" si="0"/>
        <v>37</v>
      </c>
      <c r="Z8" s="168">
        <f t="shared" si="0"/>
        <v>17</v>
      </c>
      <c r="AA8" s="168">
        <f t="shared" si="0"/>
        <v>14</v>
      </c>
      <c r="AB8" s="168">
        <f t="shared" si="0"/>
        <v>17</v>
      </c>
      <c r="AC8" s="168">
        <f t="shared" si="0"/>
        <v>25</v>
      </c>
      <c r="AD8" s="168">
        <f t="shared" si="0"/>
        <v>31</v>
      </c>
      <c r="AE8" s="168">
        <f t="shared" si="0"/>
        <v>74</v>
      </c>
      <c r="AF8" s="168">
        <f t="shared" si="0"/>
        <v>44</v>
      </c>
      <c r="AG8" s="168">
        <f t="shared" si="0"/>
        <v>0</v>
      </c>
      <c r="AH8" s="168">
        <f t="shared" si="0"/>
        <v>630</v>
      </c>
      <c r="AI8" s="168">
        <f t="shared" si="0"/>
        <v>5</v>
      </c>
    </row>
  </sheetData>
  <autoFilter ref="A1:AI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80"/>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6.21875" bestFit="1" customWidth="1"/>
  </cols>
  <sheetData>
    <row r="1" spans="1:92" ht="28.8" customHeight="1" x14ac:dyDescent="0.3">
      <c r="A1" s="305" t="s">
        <v>0</v>
      </c>
      <c r="B1" s="281"/>
      <c r="C1" s="281"/>
      <c r="D1" s="305" t="s">
        <v>226</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45985.360312423647</v>
      </c>
      <c r="H2" s="292"/>
      <c r="I2" s="292"/>
      <c r="J2" s="292"/>
      <c r="K2" s="303">
        <v>45985.36031242412</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69" t="s">
        <v>35</v>
      </c>
      <c r="B6" s="169" t="s">
        <v>227</v>
      </c>
      <c r="C6" s="170">
        <v>0.3263888888888889</v>
      </c>
      <c r="D6" s="169" t="s">
        <v>37</v>
      </c>
      <c r="E6" s="169" t="s">
        <v>108</v>
      </c>
      <c r="F6" s="169" t="s">
        <v>119</v>
      </c>
      <c r="G6" s="284"/>
      <c r="H6" s="28" t="s">
        <v>228</v>
      </c>
      <c r="I6" s="29">
        <v>0.99439999999999995</v>
      </c>
      <c r="J6" s="30">
        <v>178</v>
      </c>
      <c r="K6" s="31">
        <v>45984</v>
      </c>
      <c r="L6" s="30">
        <v>15</v>
      </c>
      <c r="M6" s="30">
        <v>0</v>
      </c>
      <c r="N6" s="30">
        <v>2</v>
      </c>
      <c r="O6" s="32" t="s">
        <v>229</v>
      </c>
      <c r="P6" s="33">
        <v>0.3263888888888889</v>
      </c>
      <c r="Q6" s="30">
        <v>179</v>
      </c>
      <c r="R6" s="34" t="s">
        <v>230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6" t="s">
        <v>231</v>
      </c>
      <c r="B7" s="307"/>
      <c r="C7" s="307"/>
      <c r="D7" s="307"/>
      <c r="E7" s="307"/>
      <c r="F7" s="307"/>
      <c r="G7" s="285"/>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46" t="s">
        <v>25</v>
      </c>
      <c r="B8" s="46" t="s">
        <v>26</v>
      </c>
      <c r="C8" s="47" t="s">
        <v>232</v>
      </c>
      <c r="D8" s="46" t="s">
        <v>27</v>
      </c>
      <c r="E8" s="46" t="s">
        <v>233</v>
      </c>
      <c r="F8" s="46" t="s">
        <v>29</v>
      </c>
      <c r="G8" s="285"/>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46" t="s">
        <v>35</v>
      </c>
      <c r="B9" s="46" t="s">
        <v>36</v>
      </c>
      <c r="C9" s="47" t="s">
        <v>234</v>
      </c>
      <c r="D9" s="46" t="s">
        <v>37</v>
      </c>
      <c r="E9" s="46" t="s">
        <v>235</v>
      </c>
      <c r="F9" s="46" t="s">
        <v>39</v>
      </c>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46" t="s">
        <v>55</v>
      </c>
      <c r="B10" s="46" t="s">
        <v>56</v>
      </c>
      <c r="C10" s="47" t="s">
        <v>236</v>
      </c>
      <c r="D10" s="46" t="s">
        <v>57</v>
      </c>
      <c r="E10" s="46" t="s">
        <v>237</v>
      </c>
      <c r="F10" s="46" t="s">
        <v>59</v>
      </c>
      <c r="G10" s="285"/>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46" t="s">
        <v>55</v>
      </c>
      <c r="B11" s="46" t="s">
        <v>56</v>
      </c>
      <c r="C11" s="47" t="s">
        <v>236</v>
      </c>
      <c r="D11" s="46" t="s">
        <v>60</v>
      </c>
      <c r="E11" s="46" t="s">
        <v>237</v>
      </c>
      <c r="F11" s="46" t="s">
        <v>59</v>
      </c>
      <c r="G11" s="285"/>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6" t="s">
        <v>25</v>
      </c>
      <c r="B12" s="46" t="s">
        <v>26</v>
      </c>
      <c r="C12" s="47" t="s">
        <v>232</v>
      </c>
      <c r="D12" s="46" t="s">
        <v>30</v>
      </c>
      <c r="E12" s="46" t="s">
        <v>233</v>
      </c>
      <c r="F12" s="46" t="s">
        <v>32</v>
      </c>
      <c r="G12" s="285"/>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46" t="s">
        <v>55</v>
      </c>
      <c r="B13" s="46" t="s">
        <v>56</v>
      </c>
      <c r="C13" s="47" t="s">
        <v>236</v>
      </c>
      <c r="D13" s="46" t="s">
        <v>62</v>
      </c>
      <c r="E13" s="46" t="s">
        <v>237</v>
      </c>
      <c r="F13" s="46" t="s">
        <v>63</v>
      </c>
      <c r="G13" s="285"/>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46" t="s">
        <v>55</v>
      </c>
      <c r="B14" s="46" t="s">
        <v>56</v>
      </c>
      <c r="C14" s="47" t="s">
        <v>236</v>
      </c>
      <c r="D14" s="46" t="s">
        <v>64</v>
      </c>
      <c r="E14" s="46" t="s">
        <v>237</v>
      </c>
      <c r="F14" s="46" t="s">
        <v>65</v>
      </c>
      <c r="G14" s="285"/>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46" t="s">
        <v>66</v>
      </c>
      <c r="B15" s="46" t="s">
        <v>67</v>
      </c>
      <c r="C15" s="47" t="s">
        <v>238</v>
      </c>
      <c r="D15" s="46" t="s">
        <v>68</v>
      </c>
      <c r="E15" s="46" t="s">
        <v>235</v>
      </c>
      <c r="F15" s="46" t="s">
        <v>69</v>
      </c>
      <c r="G15" s="285"/>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6" t="s">
        <v>35</v>
      </c>
      <c r="B16" s="46" t="s">
        <v>43</v>
      </c>
      <c r="C16" s="47" t="s">
        <v>239</v>
      </c>
      <c r="D16" s="46" t="s">
        <v>37</v>
      </c>
      <c r="E16" s="46" t="s">
        <v>237</v>
      </c>
      <c r="F16" s="46" t="s">
        <v>45</v>
      </c>
      <c r="G16" s="285"/>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61" t="s">
        <v>66</v>
      </c>
      <c r="B17" s="61" t="s">
        <v>70</v>
      </c>
      <c r="C17" s="62" t="s">
        <v>240</v>
      </c>
      <c r="D17" s="61" t="s">
        <v>68</v>
      </c>
      <c r="E17" s="61" t="s">
        <v>241</v>
      </c>
      <c r="F17" s="61" t="s">
        <v>72</v>
      </c>
      <c r="G17" s="286"/>
      <c r="H17" s="174"/>
      <c r="I17" s="174"/>
      <c r="J17" s="174"/>
      <c r="K17" s="174"/>
      <c r="L17" s="174"/>
      <c r="M17" s="174"/>
      <c r="N17" s="174"/>
      <c r="O17" s="175"/>
      <c r="P17" s="174"/>
      <c r="Q17" s="176"/>
      <c r="R17" s="17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95"/>
      <c r="B18" s="296"/>
      <c r="C18" s="296"/>
      <c r="D18" s="296"/>
      <c r="E18" s="296"/>
      <c r="F18" s="296"/>
      <c r="G18" s="289"/>
      <c r="H18" s="297"/>
      <c r="I18" s="297"/>
      <c r="J18" s="297"/>
      <c r="K18" s="297"/>
      <c r="L18" s="297"/>
      <c r="M18" s="297"/>
      <c r="N18" s="297"/>
      <c r="O18" s="298"/>
      <c r="P18" s="297"/>
      <c r="Q18" s="289"/>
      <c r="R18" s="2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2" t="s">
        <v>5</v>
      </c>
      <c r="B19" s="283"/>
      <c r="C19" s="283"/>
      <c r="D19" s="283"/>
      <c r="E19" s="283"/>
      <c r="F19" s="283"/>
      <c r="G19" s="5">
        <v>45987</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55" t="s">
        <v>7</v>
      </c>
      <c r="B20" s="55" t="s">
        <v>8</v>
      </c>
      <c r="C20" s="56" t="s">
        <v>9</v>
      </c>
      <c r="D20" s="55" t="s">
        <v>10</v>
      </c>
      <c r="E20" s="55" t="s">
        <v>11</v>
      </c>
      <c r="F20" s="55" t="s">
        <v>12</v>
      </c>
      <c r="G20" s="57" t="s">
        <v>13</v>
      </c>
      <c r="H20" s="55" t="s">
        <v>14</v>
      </c>
      <c r="I20" s="58" t="s">
        <v>15</v>
      </c>
      <c r="J20" s="59" t="s">
        <v>16</v>
      </c>
      <c r="K20" s="60" t="s">
        <v>17</v>
      </c>
      <c r="L20" s="59" t="s">
        <v>18</v>
      </c>
      <c r="M20" s="59" t="s">
        <v>19</v>
      </c>
      <c r="N20" s="59" t="s">
        <v>20</v>
      </c>
      <c r="O20" s="55" t="s">
        <v>21</v>
      </c>
      <c r="P20" s="56" t="s">
        <v>22</v>
      </c>
      <c r="Q20" s="59" t="s">
        <v>23</v>
      </c>
      <c r="R20" s="55"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69" t="s">
        <v>35</v>
      </c>
      <c r="B21" s="169" t="s">
        <v>227</v>
      </c>
      <c r="C21" s="170">
        <v>0.94444444444444453</v>
      </c>
      <c r="D21" s="169" t="s">
        <v>37</v>
      </c>
      <c r="E21" s="169" t="s">
        <v>122</v>
      </c>
      <c r="F21" s="169" t="s">
        <v>242</v>
      </c>
      <c r="G21" s="284"/>
      <c r="H21" s="28" t="s">
        <v>228</v>
      </c>
      <c r="I21" s="29">
        <v>0.94410000000000005</v>
      </c>
      <c r="J21" s="30">
        <v>169</v>
      </c>
      <c r="K21" s="31">
        <v>45981</v>
      </c>
      <c r="L21" s="30">
        <v>2</v>
      </c>
      <c r="M21" s="30">
        <v>0</v>
      </c>
      <c r="N21" s="30">
        <v>0</v>
      </c>
      <c r="O21" s="32" t="s">
        <v>243</v>
      </c>
      <c r="P21" s="33">
        <v>0.94444444444444453</v>
      </c>
      <c r="Q21" s="30">
        <v>179</v>
      </c>
      <c r="R21" s="34" t="s">
        <v>244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306" t="s">
        <v>231</v>
      </c>
      <c r="B22" s="307"/>
      <c r="C22" s="307"/>
      <c r="D22" s="307"/>
      <c r="E22" s="307"/>
      <c r="F22" s="307"/>
      <c r="G22" s="285"/>
      <c r="H22" s="171"/>
      <c r="I22" s="171"/>
      <c r="J22" s="171"/>
      <c r="K22" s="171"/>
      <c r="L22" s="171"/>
      <c r="M22" s="171"/>
      <c r="N22" s="171"/>
      <c r="O22" s="172"/>
      <c r="P22" s="171"/>
      <c r="Q22" s="173"/>
      <c r="R22" s="17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46" t="s">
        <v>78</v>
      </c>
      <c r="B23" s="46" t="s">
        <v>84</v>
      </c>
      <c r="C23" s="47" t="s">
        <v>245</v>
      </c>
      <c r="D23" s="46" t="s">
        <v>94</v>
      </c>
      <c r="E23" s="46" t="s">
        <v>246</v>
      </c>
      <c r="F23" s="46" t="s">
        <v>96</v>
      </c>
      <c r="G23" s="285"/>
      <c r="H23" s="171"/>
      <c r="I23" s="171"/>
      <c r="J23" s="171"/>
      <c r="K23" s="171"/>
      <c r="L23" s="171"/>
      <c r="M23" s="171"/>
      <c r="N23" s="171"/>
      <c r="O23" s="172"/>
      <c r="P23" s="171"/>
      <c r="Q23" s="173"/>
      <c r="R23" s="17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46" t="s">
        <v>78</v>
      </c>
      <c r="B24" s="46" t="s">
        <v>84</v>
      </c>
      <c r="C24" s="47" t="s">
        <v>245</v>
      </c>
      <c r="D24" s="46" t="s">
        <v>87</v>
      </c>
      <c r="E24" s="46" t="s">
        <v>246</v>
      </c>
      <c r="F24" s="46" t="s">
        <v>98</v>
      </c>
      <c r="G24" s="285"/>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6" t="s">
        <v>78</v>
      </c>
      <c r="B25" s="46" t="s">
        <v>84</v>
      </c>
      <c r="C25" s="47" t="s">
        <v>245</v>
      </c>
      <c r="D25" s="46" t="s">
        <v>82</v>
      </c>
      <c r="E25" s="46" t="s">
        <v>246</v>
      </c>
      <c r="F25" s="46" t="s">
        <v>99</v>
      </c>
      <c r="G25" s="285"/>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46" t="s">
        <v>25</v>
      </c>
      <c r="B26" s="46" t="s">
        <v>26</v>
      </c>
      <c r="C26" s="47" t="s">
        <v>232</v>
      </c>
      <c r="D26" s="46" t="s">
        <v>27</v>
      </c>
      <c r="E26" s="46" t="s">
        <v>247</v>
      </c>
      <c r="F26" s="46" t="s">
        <v>104</v>
      </c>
      <c r="G26" s="285"/>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46" t="s">
        <v>55</v>
      </c>
      <c r="B27" s="46" t="s">
        <v>56</v>
      </c>
      <c r="C27" s="47" t="s">
        <v>236</v>
      </c>
      <c r="D27" s="46" t="s">
        <v>57</v>
      </c>
      <c r="E27" s="46" t="s">
        <v>248</v>
      </c>
      <c r="F27" s="46" t="s">
        <v>59</v>
      </c>
      <c r="G27" s="285"/>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46" t="s">
        <v>55</v>
      </c>
      <c r="B28" s="46" t="s">
        <v>56</v>
      </c>
      <c r="C28" s="47" t="s">
        <v>236</v>
      </c>
      <c r="D28" s="46" t="s">
        <v>60</v>
      </c>
      <c r="E28" s="46" t="s">
        <v>248</v>
      </c>
      <c r="F28" s="46" t="s">
        <v>59</v>
      </c>
      <c r="G28" s="285"/>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6" t="s">
        <v>55</v>
      </c>
      <c r="B29" s="46" t="s">
        <v>56</v>
      </c>
      <c r="C29" s="47" t="s">
        <v>236</v>
      </c>
      <c r="D29" s="46" t="s">
        <v>62</v>
      </c>
      <c r="E29" s="46" t="s">
        <v>248</v>
      </c>
      <c r="F29" s="46" t="s">
        <v>63</v>
      </c>
      <c r="G29" s="285"/>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46" t="s">
        <v>25</v>
      </c>
      <c r="B30" s="46" t="s">
        <v>26</v>
      </c>
      <c r="C30" s="47" t="s">
        <v>232</v>
      </c>
      <c r="D30" s="46" t="s">
        <v>30</v>
      </c>
      <c r="E30" s="46" t="s">
        <v>247</v>
      </c>
      <c r="F30" s="46" t="s">
        <v>106</v>
      </c>
      <c r="G30" s="285"/>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46" t="s">
        <v>25</v>
      </c>
      <c r="B31" s="46" t="s">
        <v>26</v>
      </c>
      <c r="C31" s="47" t="s">
        <v>232</v>
      </c>
      <c r="D31" s="46" t="s">
        <v>33</v>
      </c>
      <c r="E31" s="46" t="s">
        <v>247</v>
      </c>
      <c r="F31" s="46" t="s">
        <v>107</v>
      </c>
      <c r="G31" s="285"/>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61" t="s">
        <v>55</v>
      </c>
      <c r="B32" s="61" t="s">
        <v>56</v>
      </c>
      <c r="C32" s="62" t="s">
        <v>236</v>
      </c>
      <c r="D32" s="61" t="s">
        <v>64</v>
      </c>
      <c r="E32" s="61" t="s">
        <v>248</v>
      </c>
      <c r="F32" s="61" t="s">
        <v>65</v>
      </c>
      <c r="G32" s="286"/>
      <c r="H32" s="174"/>
      <c r="I32" s="174"/>
      <c r="J32" s="174"/>
      <c r="K32" s="174"/>
      <c r="L32" s="174"/>
      <c r="M32" s="174"/>
      <c r="N32" s="174"/>
      <c r="O32" s="175"/>
      <c r="P32" s="174"/>
      <c r="Q32" s="176"/>
      <c r="R32" s="17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95"/>
      <c r="B33" s="296"/>
      <c r="C33" s="296"/>
      <c r="D33" s="296"/>
      <c r="E33" s="296"/>
      <c r="F33" s="296"/>
      <c r="G33" s="289"/>
      <c r="H33" s="297"/>
      <c r="I33" s="297"/>
      <c r="J33" s="297"/>
      <c r="K33" s="297"/>
      <c r="L33" s="297"/>
      <c r="M33" s="297"/>
      <c r="N33" s="297"/>
      <c r="O33" s="298"/>
      <c r="P33" s="297"/>
      <c r="Q33" s="289"/>
      <c r="R33" s="29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82" t="s">
        <v>5</v>
      </c>
      <c r="B34" s="283"/>
      <c r="C34" s="283"/>
      <c r="D34" s="283"/>
      <c r="E34" s="283"/>
      <c r="F34" s="283"/>
      <c r="G34" s="5">
        <v>45988</v>
      </c>
      <c r="H34" s="278" t="s">
        <v>6</v>
      </c>
      <c r="I34" s="279"/>
      <c r="J34" s="279"/>
      <c r="K34" s="279"/>
      <c r="L34" s="279"/>
      <c r="M34" s="279"/>
      <c r="N34" s="279"/>
      <c r="O34" s="279"/>
      <c r="P34" s="279"/>
      <c r="Q34" s="279"/>
      <c r="R34" s="27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55" t="s">
        <v>7</v>
      </c>
      <c r="B35" s="55" t="s">
        <v>8</v>
      </c>
      <c r="C35" s="56" t="s">
        <v>9</v>
      </c>
      <c r="D35" s="55" t="s">
        <v>10</v>
      </c>
      <c r="E35" s="55" t="s">
        <v>11</v>
      </c>
      <c r="F35" s="55" t="s">
        <v>12</v>
      </c>
      <c r="G35" s="57" t="s">
        <v>13</v>
      </c>
      <c r="H35" s="55" t="s">
        <v>14</v>
      </c>
      <c r="I35" s="58" t="s">
        <v>15</v>
      </c>
      <c r="J35" s="59" t="s">
        <v>16</v>
      </c>
      <c r="K35" s="60" t="s">
        <v>17</v>
      </c>
      <c r="L35" s="59" t="s">
        <v>18</v>
      </c>
      <c r="M35" s="59" t="s">
        <v>19</v>
      </c>
      <c r="N35" s="59" t="s">
        <v>20</v>
      </c>
      <c r="O35" s="55" t="s">
        <v>21</v>
      </c>
      <c r="P35" s="56" t="s">
        <v>22</v>
      </c>
      <c r="Q35" s="59" t="s">
        <v>23</v>
      </c>
      <c r="R35" s="55"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8" t="s">
        <v>66</v>
      </c>
      <c r="B36" s="8" t="s">
        <v>249</v>
      </c>
      <c r="C36" s="9">
        <v>0.52083333333333337</v>
      </c>
      <c r="D36" s="8" t="s">
        <v>68</v>
      </c>
      <c r="E36" s="8" t="s">
        <v>80</v>
      </c>
      <c r="F36" s="8" t="s">
        <v>250</v>
      </c>
      <c r="G36" s="284"/>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77" t="s">
        <v>35</v>
      </c>
      <c r="B37" s="177" t="s">
        <v>227</v>
      </c>
      <c r="C37" s="178">
        <v>0.64583333333333337</v>
      </c>
      <c r="D37" s="177" t="s">
        <v>37</v>
      </c>
      <c r="E37" s="177" t="s">
        <v>80</v>
      </c>
      <c r="F37" s="177" t="s">
        <v>140</v>
      </c>
      <c r="G37" s="285"/>
      <c r="H37" s="179" t="s">
        <v>228</v>
      </c>
      <c r="I37" s="180">
        <v>0.97770000000000001</v>
      </c>
      <c r="J37" s="181">
        <v>175</v>
      </c>
      <c r="K37" s="182">
        <v>45981</v>
      </c>
      <c r="L37" s="181">
        <v>4</v>
      </c>
      <c r="M37" s="181">
        <v>0</v>
      </c>
      <c r="N37" s="181">
        <v>0</v>
      </c>
      <c r="O37" s="183" t="s">
        <v>251</v>
      </c>
      <c r="P37" s="184">
        <v>0.64583333333333337</v>
      </c>
      <c r="Q37" s="181">
        <v>179</v>
      </c>
      <c r="R37" s="185" t="s">
        <v>252</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8" x14ac:dyDescent="0.3">
      <c r="A38" s="306" t="s">
        <v>231</v>
      </c>
      <c r="B38" s="307"/>
      <c r="C38" s="307"/>
      <c r="D38" s="307"/>
      <c r="E38" s="307"/>
      <c r="F38" s="307"/>
      <c r="G38" s="285"/>
      <c r="H38" s="171"/>
      <c r="I38" s="171"/>
      <c r="J38" s="171"/>
      <c r="K38" s="171"/>
      <c r="L38" s="171"/>
      <c r="M38" s="171"/>
      <c r="N38" s="171"/>
      <c r="O38" s="172"/>
      <c r="P38" s="171"/>
      <c r="Q38" s="173"/>
      <c r="R38" s="17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46" t="s">
        <v>25</v>
      </c>
      <c r="B39" s="46" t="s">
        <v>26</v>
      </c>
      <c r="C39" s="47" t="s">
        <v>232</v>
      </c>
      <c r="D39" s="46" t="s">
        <v>27</v>
      </c>
      <c r="E39" s="46" t="s">
        <v>233</v>
      </c>
      <c r="F39" s="46" t="s">
        <v>29</v>
      </c>
      <c r="G39" s="285"/>
      <c r="H39" s="171"/>
      <c r="I39" s="171"/>
      <c r="J39" s="171"/>
      <c r="K39" s="171"/>
      <c r="L39" s="171"/>
      <c r="M39" s="171"/>
      <c r="N39" s="171"/>
      <c r="O39" s="172"/>
      <c r="P39" s="171"/>
      <c r="Q39" s="173"/>
      <c r="R39" s="17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46" t="s">
        <v>55</v>
      </c>
      <c r="B40" s="46" t="s">
        <v>112</v>
      </c>
      <c r="C40" s="47" t="s">
        <v>253</v>
      </c>
      <c r="D40" s="46" t="s">
        <v>57</v>
      </c>
      <c r="E40" s="46" t="s">
        <v>254</v>
      </c>
      <c r="F40" s="46" t="s">
        <v>59</v>
      </c>
      <c r="G40" s="285"/>
      <c r="H40" s="171"/>
      <c r="I40" s="171"/>
      <c r="J40" s="171"/>
      <c r="K40" s="171"/>
      <c r="L40" s="171"/>
      <c r="M40" s="171"/>
      <c r="N40" s="171"/>
      <c r="O40" s="172"/>
      <c r="P40" s="171"/>
      <c r="Q40" s="173"/>
      <c r="R40" s="17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46" t="s">
        <v>55</v>
      </c>
      <c r="B41" s="46" t="s">
        <v>112</v>
      </c>
      <c r="C41" s="47" t="s">
        <v>253</v>
      </c>
      <c r="D41" s="46" t="s">
        <v>60</v>
      </c>
      <c r="E41" s="46" t="s">
        <v>254</v>
      </c>
      <c r="F41" s="46" t="s">
        <v>59</v>
      </c>
      <c r="G41" s="285"/>
      <c r="H41" s="171"/>
      <c r="I41" s="171"/>
      <c r="J41" s="171"/>
      <c r="K41" s="171"/>
      <c r="L41" s="171"/>
      <c r="M41" s="171"/>
      <c r="N41" s="171"/>
      <c r="O41" s="172"/>
      <c r="P41" s="171"/>
      <c r="Q41" s="173"/>
      <c r="R41" s="17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46" t="s">
        <v>25</v>
      </c>
      <c r="B42" s="46" t="s">
        <v>26</v>
      </c>
      <c r="C42" s="47" t="s">
        <v>232</v>
      </c>
      <c r="D42" s="46" t="s">
        <v>30</v>
      </c>
      <c r="E42" s="46" t="s">
        <v>233</v>
      </c>
      <c r="F42" s="46" t="s">
        <v>32</v>
      </c>
      <c r="G42" s="285"/>
      <c r="H42" s="171"/>
      <c r="I42" s="171"/>
      <c r="J42" s="171"/>
      <c r="K42" s="171"/>
      <c r="L42" s="171"/>
      <c r="M42" s="171"/>
      <c r="N42" s="171"/>
      <c r="O42" s="172"/>
      <c r="P42" s="171"/>
      <c r="Q42" s="173"/>
      <c r="R42" s="17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46" t="s">
        <v>55</v>
      </c>
      <c r="B43" s="46" t="s">
        <v>112</v>
      </c>
      <c r="C43" s="47" t="s">
        <v>253</v>
      </c>
      <c r="D43" s="46" t="s">
        <v>62</v>
      </c>
      <c r="E43" s="46" t="s">
        <v>254</v>
      </c>
      <c r="F43" s="46" t="s">
        <v>63</v>
      </c>
      <c r="G43" s="285"/>
      <c r="H43" s="171"/>
      <c r="I43" s="171"/>
      <c r="J43" s="171"/>
      <c r="K43" s="171"/>
      <c r="L43" s="171"/>
      <c r="M43" s="171"/>
      <c r="N43" s="171"/>
      <c r="O43" s="172"/>
      <c r="P43" s="171"/>
      <c r="Q43" s="173"/>
      <c r="R43" s="17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46" t="s">
        <v>55</v>
      </c>
      <c r="B44" s="46" t="s">
        <v>112</v>
      </c>
      <c r="C44" s="47" t="s">
        <v>253</v>
      </c>
      <c r="D44" s="46" t="s">
        <v>64</v>
      </c>
      <c r="E44" s="46" t="s">
        <v>254</v>
      </c>
      <c r="F44" s="46" t="s">
        <v>65</v>
      </c>
      <c r="G44" s="285"/>
      <c r="H44" s="171"/>
      <c r="I44" s="171"/>
      <c r="J44" s="171"/>
      <c r="K44" s="171"/>
      <c r="L44" s="171"/>
      <c r="M44" s="171"/>
      <c r="N44" s="171"/>
      <c r="O44" s="172"/>
      <c r="P44" s="171"/>
      <c r="Q44" s="173"/>
      <c r="R44" s="17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46" t="s">
        <v>66</v>
      </c>
      <c r="B45" s="46" t="s">
        <v>77</v>
      </c>
      <c r="C45" s="47" t="s">
        <v>255</v>
      </c>
      <c r="D45" s="46" t="s">
        <v>68</v>
      </c>
      <c r="E45" s="46" t="s">
        <v>235</v>
      </c>
      <c r="F45" s="46" t="s">
        <v>69</v>
      </c>
      <c r="G45" s="285"/>
      <c r="H45" s="171"/>
      <c r="I45" s="171"/>
      <c r="J45" s="171"/>
      <c r="K45" s="171"/>
      <c r="L45" s="171"/>
      <c r="M45" s="171"/>
      <c r="N45" s="171"/>
      <c r="O45" s="172"/>
      <c r="P45" s="171"/>
      <c r="Q45" s="173"/>
      <c r="R45" s="17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46" t="s">
        <v>66</v>
      </c>
      <c r="B46" s="46" t="s">
        <v>70</v>
      </c>
      <c r="C46" s="47" t="s">
        <v>240</v>
      </c>
      <c r="D46" s="46" t="s">
        <v>68</v>
      </c>
      <c r="E46" s="46" t="s">
        <v>235</v>
      </c>
      <c r="F46" s="46" t="s">
        <v>72</v>
      </c>
      <c r="G46" s="285"/>
      <c r="H46" s="171"/>
      <c r="I46" s="171"/>
      <c r="J46" s="171"/>
      <c r="K46" s="171"/>
      <c r="L46" s="171"/>
      <c r="M46" s="171"/>
      <c r="N46" s="171"/>
      <c r="O46" s="172"/>
      <c r="P46" s="171"/>
      <c r="Q46" s="173"/>
      <c r="R46" s="17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46" t="s">
        <v>66</v>
      </c>
      <c r="B47" s="46" t="s">
        <v>67</v>
      </c>
      <c r="C47" s="47" t="s">
        <v>256</v>
      </c>
      <c r="D47" s="46" t="s">
        <v>68</v>
      </c>
      <c r="E47" s="46" t="s">
        <v>248</v>
      </c>
      <c r="F47" s="46" t="s">
        <v>72</v>
      </c>
      <c r="G47" s="285"/>
      <c r="H47" s="171"/>
      <c r="I47" s="171"/>
      <c r="J47" s="171"/>
      <c r="K47" s="171"/>
      <c r="L47" s="171"/>
      <c r="M47" s="171"/>
      <c r="N47" s="171"/>
      <c r="O47" s="172"/>
      <c r="P47" s="171"/>
      <c r="Q47" s="173"/>
      <c r="R47" s="17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61" t="s">
        <v>66</v>
      </c>
      <c r="B48" s="61" t="s">
        <v>75</v>
      </c>
      <c r="C48" s="62" t="s">
        <v>257</v>
      </c>
      <c r="D48" s="61" t="s">
        <v>68</v>
      </c>
      <c r="E48" s="61" t="s">
        <v>235</v>
      </c>
      <c r="F48" s="61" t="s">
        <v>72</v>
      </c>
      <c r="G48" s="286"/>
      <c r="H48" s="174"/>
      <c r="I48" s="174"/>
      <c r="J48" s="174"/>
      <c r="K48" s="174"/>
      <c r="L48" s="174"/>
      <c r="M48" s="174"/>
      <c r="N48" s="174"/>
      <c r="O48" s="175"/>
      <c r="P48" s="174"/>
      <c r="Q48" s="176"/>
      <c r="R48" s="176"/>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295"/>
      <c r="B49" s="296"/>
      <c r="C49" s="296"/>
      <c r="D49" s="296"/>
      <c r="E49" s="296"/>
      <c r="F49" s="296"/>
      <c r="G49" s="289"/>
      <c r="H49" s="297"/>
      <c r="I49" s="297"/>
      <c r="J49" s="297"/>
      <c r="K49" s="297"/>
      <c r="L49" s="297"/>
      <c r="M49" s="297"/>
      <c r="N49" s="297"/>
      <c r="O49" s="298"/>
      <c r="P49" s="297"/>
      <c r="Q49" s="289"/>
      <c r="R49" s="29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282" t="s">
        <v>5</v>
      </c>
      <c r="B50" s="283"/>
      <c r="C50" s="283"/>
      <c r="D50" s="283"/>
      <c r="E50" s="283"/>
      <c r="F50" s="283"/>
      <c r="G50" s="5">
        <v>45989</v>
      </c>
      <c r="H50" s="278" t="s">
        <v>6</v>
      </c>
      <c r="I50" s="279"/>
      <c r="J50" s="279"/>
      <c r="K50" s="279"/>
      <c r="L50" s="279"/>
      <c r="M50" s="279"/>
      <c r="N50" s="279"/>
      <c r="O50" s="279"/>
      <c r="P50" s="279"/>
      <c r="Q50" s="279"/>
      <c r="R50" s="27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55" t="s">
        <v>7</v>
      </c>
      <c r="B51" s="55" t="s">
        <v>8</v>
      </c>
      <c r="C51" s="56" t="s">
        <v>9</v>
      </c>
      <c r="D51" s="55" t="s">
        <v>10</v>
      </c>
      <c r="E51" s="55" t="s">
        <v>11</v>
      </c>
      <c r="F51" s="55" t="s">
        <v>12</v>
      </c>
      <c r="G51" s="57" t="s">
        <v>13</v>
      </c>
      <c r="H51" s="55" t="s">
        <v>14</v>
      </c>
      <c r="I51" s="58" t="s">
        <v>15</v>
      </c>
      <c r="J51" s="59" t="s">
        <v>16</v>
      </c>
      <c r="K51" s="60" t="s">
        <v>17</v>
      </c>
      <c r="L51" s="59" t="s">
        <v>18</v>
      </c>
      <c r="M51" s="59" t="s">
        <v>19</v>
      </c>
      <c r="N51" s="59" t="s">
        <v>20</v>
      </c>
      <c r="O51" s="55" t="s">
        <v>21</v>
      </c>
      <c r="P51" s="56" t="s">
        <v>22</v>
      </c>
      <c r="Q51" s="59" t="s">
        <v>23</v>
      </c>
      <c r="R51" s="55"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8" t="s">
        <v>66</v>
      </c>
      <c r="B52" s="8" t="s">
        <v>249</v>
      </c>
      <c r="C52" s="9">
        <v>0.52083333333333337</v>
      </c>
      <c r="D52" s="8" t="s">
        <v>68</v>
      </c>
      <c r="E52" s="8" t="s">
        <v>38</v>
      </c>
      <c r="F52" s="8" t="s">
        <v>258</v>
      </c>
      <c r="G52" s="284"/>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x14ac:dyDescent="0.3">
      <c r="A53" s="306" t="s">
        <v>231</v>
      </c>
      <c r="B53" s="307"/>
      <c r="C53" s="307"/>
      <c r="D53" s="307"/>
      <c r="E53" s="307"/>
      <c r="F53" s="307"/>
      <c r="G53" s="285"/>
      <c r="H53" s="171"/>
      <c r="I53" s="171"/>
      <c r="J53" s="171"/>
      <c r="K53" s="171"/>
      <c r="L53" s="171"/>
      <c r="M53" s="171"/>
      <c r="N53" s="171"/>
      <c r="O53" s="172"/>
      <c r="P53" s="171"/>
      <c r="Q53" s="173"/>
      <c r="R53" s="17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46" t="s">
        <v>25</v>
      </c>
      <c r="B54" s="46" t="s">
        <v>26</v>
      </c>
      <c r="C54" s="47" t="s">
        <v>232</v>
      </c>
      <c r="D54" s="46" t="s">
        <v>27</v>
      </c>
      <c r="E54" s="46" t="s">
        <v>248</v>
      </c>
      <c r="F54" s="46" t="s">
        <v>29</v>
      </c>
      <c r="G54" s="285"/>
      <c r="H54" s="171"/>
      <c r="I54" s="171"/>
      <c r="J54" s="171"/>
      <c r="K54" s="171"/>
      <c r="L54" s="171"/>
      <c r="M54" s="171"/>
      <c r="N54" s="171"/>
      <c r="O54" s="172"/>
      <c r="P54" s="171"/>
      <c r="Q54" s="173"/>
      <c r="R54" s="17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46" t="s">
        <v>55</v>
      </c>
      <c r="B55" s="46" t="s">
        <v>56</v>
      </c>
      <c r="C55" s="47" t="s">
        <v>236</v>
      </c>
      <c r="D55" s="46" t="s">
        <v>60</v>
      </c>
      <c r="E55" s="46" t="s">
        <v>259</v>
      </c>
      <c r="F55" s="46" t="s">
        <v>59</v>
      </c>
      <c r="G55" s="285"/>
      <c r="H55" s="171"/>
      <c r="I55" s="171"/>
      <c r="J55" s="171"/>
      <c r="K55" s="171"/>
      <c r="L55" s="171"/>
      <c r="M55" s="171"/>
      <c r="N55" s="171"/>
      <c r="O55" s="172"/>
      <c r="P55" s="171"/>
      <c r="Q55" s="173"/>
      <c r="R55" s="17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46" t="s">
        <v>66</v>
      </c>
      <c r="B56" s="46" t="s">
        <v>67</v>
      </c>
      <c r="C56" s="47" t="s">
        <v>256</v>
      </c>
      <c r="D56" s="46" t="s">
        <v>68</v>
      </c>
      <c r="E56" s="46" t="s">
        <v>235</v>
      </c>
      <c r="F56" s="46" t="s">
        <v>123</v>
      </c>
      <c r="G56" s="285"/>
      <c r="H56" s="171"/>
      <c r="I56" s="171"/>
      <c r="J56" s="171"/>
      <c r="K56" s="171"/>
      <c r="L56" s="171"/>
      <c r="M56" s="171"/>
      <c r="N56" s="171"/>
      <c r="O56" s="172"/>
      <c r="P56" s="171"/>
      <c r="Q56" s="173"/>
      <c r="R56" s="17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46" t="s">
        <v>25</v>
      </c>
      <c r="B57" s="46" t="s">
        <v>26</v>
      </c>
      <c r="C57" s="47" t="s">
        <v>232</v>
      </c>
      <c r="D57" s="46" t="s">
        <v>30</v>
      </c>
      <c r="E57" s="46" t="s">
        <v>248</v>
      </c>
      <c r="F57" s="46" t="s">
        <v>32</v>
      </c>
      <c r="G57" s="285"/>
      <c r="H57" s="171"/>
      <c r="I57" s="171"/>
      <c r="J57" s="171"/>
      <c r="K57" s="171"/>
      <c r="L57" s="171"/>
      <c r="M57" s="171"/>
      <c r="N57" s="171"/>
      <c r="O57" s="172"/>
      <c r="P57" s="171"/>
      <c r="Q57" s="173"/>
      <c r="R57" s="17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46" t="s">
        <v>55</v>
      </c>
      <c r="B58" s="46" t="s">
        <v>56</v>
      </c>
      <c r="C58" s="47" t="s">
        <v>236</v>
      </c>
      <c r="D58" s="46" t="s">
        <v>62</v>
      </c>
      <c r="E58" s="46" t="s">
        <v>259</v>
      </c>
      <c r="F58" s="46" t="s">
        <v>63</v>
      </c>
      <c r="G58" s="285"/>
      <c r="H58" s="171"/>
      <c r="I58" s="171"/>
      <c r="J58" s="171"/>
      <c r="K58" s="171"/>
      <c r="L58" s="171"/>
      <c r="M58" s="171"/>
      <c r="N58" s="171"/>
      <c r="O58" s="172"/>
      <c r="P58" s="171"/>
      <c r="Q58" s="173"/>
      <c r="R58" s="17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46" t="s">
        <v>55</v>
      </c>
      <c r="B59" s="46" t="s">
        <v>56</v>
      </c>
      <c r="C59" s="47" t="s">
        <v>236</v>
      </c>
      <c r="D59" s="46" t="s">
        <v>64</v>
      </c>
      <c r="E59" s="46" t="s">
        <v>259</v>
      </c>
      <c r="F59" s="46" t="s">
        <v>65</v>
      </c>
      <c r="G59" s="285"/>
      <c r="H59" s="171"/>
      <c r="I59" s="171"/>
      <c r="J59" s="171"/>
      <c r="K59" s="171"/>
      <c r="L59" s="171"/>
      <c r="M59" s="171"/>
      <c r="N59" s="171"/>
      <c r="O59" s="172"/>
      <c r="P59" s="171"/>
      <c r="Q59" s="173"/>
      <c r="R59" s="17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46" t="s">
        <v>25</v>
      </c>
      <c r="B60" s="46" t="s">
        <v>26</v>
      </c>
      <c r="C60" s="47" t="s">
        <v>232</v>
      </c>
      <c r="D60" s="46" t="s">
        <v>33</v>
      </c>
      <c r="E60" s="46" t="s">
        <v>248</v>
      </c>
      <c r="F60" s="46" t="s">
        <v>34</v>
      </c>
      <c r="G60" s="285"/>
      <c r="H60" s="171"/>
      <c r="I60" s="171"/>
      <c r="J60" s="171"/>
      <c r="K60" s="171"/>
      <c r="L60" s="171"/>
      <c r="M60" s="171"/>
      <c r="N60" s="171"/>
      <c r="O60" s="172"/>
      <c r="P60" s="171"/>
      <c r="Q60" s="173"/>
      <c r="R60" s="17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46" t="s">
        <v>78</v>
      </c>
      <c r="B61" s="46" t="s">
        <v>84</v>
      </c>
      <c r="C61" s="47" t="s">
        <v>245</v>
      </c>
      <c r="D61" s="46" t="s">
        <v>87</v>
      </c>
      <c r="E61" s="46" t="s">
        <v>235</v>
      </c>
      <c r="F61" s="46" t="s">
        <v>100</v>
      </c>
      <c r="G61" s="285"/>
      <c r="H61" s="171"/>
      <c r="I61" s="171"/>
      <c r="J61" s="171"/>
      <c r="K61" s="171"/>
      <c r="L61" s="171"/>
      <c r="M61" s="171"/>
      <c r="N61" s="171"/>
      <c r="O61" s="172"/>
      <c r="P61" s="171"/>
      <c r="Q61" s="173"/>
      <c r="R61" s="17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46" t="s">
        <v>78</v>
      </c>
      <c r="B62" s="46" t="s">
        <v>93</v>
      </c>
      <c r="C62" s="47" t="s">
        <v>260</v>
      </c>
      <c r="D62" s="46" t="s">
        <v>87</v>
      </c>
      <c r="E62" s="46" t="s">
        <v>235</v>
      </c>
      <c r="F62" s="46" t="s">
        <v>100</v>
      </c>
      <c r="G62" s="285"/>
      <c r="H62" s="171"/>
      <c r="I62" s="171"/>
      <c r="J62" s="171"/>
      <c r="K62" s="171"/>
      <c r="L62" s="171"/>
      <c r="M62" s="171"/>
      <c r="N62" s="171"/>
      <c r="O62" s="172"/>
      <c r="P62" s="171"/>
      <c r="Q62" s="173"/>
      <c r="R62" s="17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61" t="s">
        <v>78</v>
      </c>
      <c r="B63" s="61" t="s">
        <v>84</v>
      </c>
      <c r="C63" s="62" t="s">
        <v>245</v>
      </c>
      <c r="D63" s="61" t="s">
        <v>82</v>
      </c>
      <c r="E63" s="61" t="s">
        <v>235</v>
      </c>
      <c r="F63" s="61" t="s">
        <v>101</v>
      </c>
      <c r="G63" s="286"/>
      <c r="H63" s="174"/>
      <c r="I63" s="174"/>
      <c r="J63" s="174"/>
      <c r="K63" s="174"/>
      <c r="L63" s="174"/>
      <c r="M63" s="174"/>
      <c r="N63" s="174"/>
      <c r="O63" s="175"/>
      <c r="P63" s="174"/>
      <c r="Q63" s="176"/>
      <c r="R63" s="17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95"/>
      <c r="B64" s="296"/>
      <c r="C64" s="296"/>
      <c r="D64" s="296"/>
      <c r="E64" s="296"/>
      <c r="F64" s="296"/>
      <c r="G64" s="289"/>
      <c r="H64" s="297"/>
      <c r="I64" s="297"/>
      <c r="J64" s="297"/>
      <c r="K64" s="297"/>
      <c r="L64" s="297"/>
      <c r="M64" s="297"/>
      <c r="N64" s="297"/>
      <c r="O64" s="298"/>
      <c r="P64" s="297"/>
      <c r="Q64" s="289"/>
      <c r="R64" s="29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82" t="s">
        <v>5</v>
      </c>
      <c r="B65" s="283"/>
      <c r="C65" s="283"/>
      <c r="D65" s="283"/>
      <c r="E65" s="283"/>
      <c r="F65" s="283"/>
      <c r="G65" s="5">
        <v>45991</v>
      </c>
      <c r="H65" s="278" t="s">
        <v>6</v>
      </c>
      <c r="I65" s="279"/>
      <c r="J65" s="279"/>
      <c r="K65" s="279"/>
      <c r="L65" s="279"/>
      <c r="M65" s="279"/>
      <c r="N65" s="279"/>
      <c r="O65" s="279"/>
      <c r="P65" s="279"/>
      <c r="Q65" s="279"/>
      <c r="R65" s="27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55" t="s">
        <v>7</v>
      </c>
      <c r="B66" s="55" t="s">
        <v>8</v>
      </c>
      <c r="C66" s="56" t="s">
        <v>9</v>
      </c>
      <c r="D66" s="55" t="s">
        <v>10</v>
      </c>
      <c r="E66" s="55" t="s">
        <v>11</v>
      </c>
      <c r="F66" s="55" t="s">
        <v>12</v>
      </c>
      <c r="G66" s="57" t="s">
        <v>13</v>
      </c>
      <c r="H66" s="55" t="s">
        <v>14</v>
      </c>
      <c r="I66" s="58" t="s">
        <v>15</v>
      </c>
      <c r="J66" s="59" t="s">
        <v>16</v>
      </c>
      <c r="K66" s="60" t="s">
        <v>17</v>
      </c>
      <c r="L66" s="59" t="s">
        <v>18</v>
      </c>
      <c r="M66" s="59" t="s">
        <v>19</v>
      </c>
      <c r="N66" s="59" t="s">
        <v>20</v>
      </c>
      <c r="O66" s="55" t="s">
        <v>21</v>
      </c>
      <c r="P66" s="56" t="s">
        <v>22</v>
      </c>
      <c r="Q66" s="59" t="s">
        <v>23</v>
      </c>
      <c r="R66" s="55"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8" t="s">
        <v>66</v>
      </c>
      <c r="B67" s="8" t="s">
        <v>249</v>
      </c>
      <c r="C67" s="9">
        <v>0.52083333333333337</v>
      </c>
      <c r="D67" s="8" t="s">
        <v>68</v>
      </c>
      <c r="E67" s="8" t="s">
        <v>108</v>
      </c>
      <c r="F67" s="8" t="s">
        <v>261</v>
      </c>
      <c r="G67" s="284"/>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35</v>
      </c>
      <c r="B68" s="17" t="s">
        <v>227</v>
      </c>
      <c r="C68" s="18">
        <v>0.40277777777777768</v>
      </c>
      <c r="D68" s="17" t="s">
        <v>37</v>
      </c>
      <c r="E68" s="17" t="s">
        <v>38</v>
      </c>
      <c r="F68" s="17" t="s">
        <v>119</v>
      </c>
      <c r="G68" s="285"/>
      <c r="H68" s="19" t="s">
        <v>228</v>
      </c>
      <c r="I68" s="186">
        <v>0.94969999999999999</v>
      </c>
      <c r="J68" s="21">
        <v>170</v>
      </c>
      <c r="K68" s="22">
        <v>45981</v>
      </c>
      <c r="L68" s="21">
        <v>5</v>
      </c>
      <c r="M68" s="21">
        <v>0</v>
      </c>
      <c r="N68" s="21">
        <v>0</v>
      </c>
      <c r="O68" s="23" t="s">
        <v>262</v>
      </c>
      <c r="P68" s="24">
        <v>0.40277777777777768</v>
      </c>
      <c r="Q68" s="21">
        <v>179</v>
      </c>
      <c r="R68" s="25" t="s">
        <v>263</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8" x14ac:dyDescent="0.3">
      <c r="A69" s="306" t="s">
        <v>231</v>
      </c>
      <c r="B69" s="307"/>
      <c r="C69" s="307"/>
      <c r="D69" s="307"/>
      <c r="E69" s="307"/>
      <c r="F69" s="307"/>
      <c r="G69" s="285"/>
      <c r="H69" s="171"/>
      <c r="I69" s="171"/>
      <c r="J69" s="171"/>
      <c r="K69" s="171"/>
      <c r="L69" s="171"/>
      <c r="M69" s="171"/>
      <c r="N69" s="171"/>
      <c r="O69" s="172"/>
      <c r="P69" s="171"/>
      <c r="Q69" s="173"/>
      <c r="R69" s="17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46" t="s">
        <v>25</v>
      </c>
      <c r="B70" s="46" t="s">
        <v>26</v>
      </c>
      <c r="C70" s="47" t="s">
        <v>232</v>
      </c>
      <c r="D70" s="46" t="s">
        <v>27</v>
      </c>
      <c r="E70" s="46" t="s">
        <v>264</v>
      </c>
      <c r="F70" s="46" t="s">
        <v>104</v>
      </c>
      <c r="G70" s="285"/>
      <c r="H70" s="171"/>
      <c r="I70" s="171"/>
      <c r="J70" s="171"/>
      <c r="K70" s="171"/>
      <c r="L70" s="171"/>
      <c r="M70" s="171"/>
      <c r="N70" s="171"/>
      <c r="O70" s="172"/>
      <c r="P70" s="171"/>
      <c r="Q70" s="173"/>
      <c r="R70" s="17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6" t="s">
        <v>55</v>
      </c>
      <c r="B71" s="46" t="s">
        <v>56</v>
      </c>
      <c r="C71" s="47" t="s">
        <v>236</v>
      </c>
      <c r="D71" s="46" t="s">
        <v>60</v>
      </c>
      <c r="E71" s="46" t="s">
        <v>248</v>
      </c>
      <c r="F71" s="46" t="s">
        <v>137</v>
      </c>
      <c r="G71" s="285"/>
      <c r="H71" s="171"/>
      <c r="I71" s="171"/>
      <c r="J71" s="171"/>
      <c r="K71" s="171"/>
      <c r="L71" s="171"/>
      <c r="M71" s="171"/>
      <c r="N71" s="171"/>
      <c r="O71" s="172"/>
      <c r="P71" s="171"/>
      <c r="Q71" s="173"/>
      <c r="R71" s="17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6" t="s">
        <v>25</v>
      </c>
      <c r="B72" s="46" t="s">
        <v>26</v>
      </c>
      <c r="C72" s="47" t="s">
        <v>232</v>
      </c>
      <c r="D72" s="46" t="s">
        <v>30</v>
      </c>
      <c r="E72" s="46" t="s">
        <v>264</v>
      </c>
      <c r="F72" s="46" t="s">
        <v>106</v>
      </c>
      <c r="G72" s="285"/>
      <c r="H72" s="171"/>
      <c r="I72" s="171"/>
      <c r="J72" s="171"/>
      <c r="K72" s="171"/>
      <c r="L72" s="171"/>
      <c r="M72" s="171"/>
      <c r="N72" s="171"/>
      <c r="O72" s="172"/>
      <c r="P72" s="171"/>
      <c r="Q72" s="173"/>
      <c r="R72" s="17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46" t="s">
        <v>55</v>
      </c>
      <c r="B73" s="46" t="s">
        <v>56</v>
      </c>
      <c r="C73" s="47" t="s">
        <v>236</v>
      </c>
      <c r="D73" s="46" t="s">
        <v>62</v>
      </c>
      <c r="E73" s="46" t="s">
        <v>248</v>
      </c>
      <c r="F73" s="46" t="s">
        <v>138</v>
      </c>
      <c r="G73" s="285"/>
      <c r="H73" s="171"/>
      <c r="I73" s="171"/>
      <c r="J73" s="171"/>
      <c r="K73" s="171"/>
      <c r="L73" s="171"/>
      <c r="M73" s="171"/>
      <c r="N73" s="171"/>
      <c r="O73" s="172"/>
      <c r="P73" s="171"/>
      <c r="Q73" s="173"/>
      <c r="R73" s="17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46" t="s">
        <v>55</v>
      </c>
      <c r="B74" s="46" t="s">
        <v>56</v>
      </c>
      <c r="C74" s="47" t="s">
        <v>236</v>
      </c>
      <c r="D74" s="46" t="s">
        <v>64</v>
      </c>
      <c r="E74" s="46" t="s">
        <v>248</v>
      </c>
      <c r="F74" s="46" t="s">
        <v>139</v>
      </c>
      <c r="G74" s="285"/>
      <c r="H74" s="171"/>
      <c r="I74" s="171"/>
      <c r="J74" s="171"/>
      <c r="K74" s="171"/>
      <c r="L74" s="171"/>
      <c r="M74" s="171"/>
      <c r="N74" s="171"/>
      <c r="O74" s="172"/>
      <c r="P74" s="171"/>
      <c r="Q74" s="173"/>
      <c r="R74" s="17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46" t="s">
        <v>25</v>
      </c>
      <c r="B75" s="46" t="s">
        <v>26</v>
      </c>
      <c r="C75" s="47" t="s">
        <v>232</v>
      </c>
      <c r="D75" s="46" t="s">
        <v>33</v>
      </c>
      <c r="E75" s="46" t="s">
        <v>264</v>
      </c>
      <c r="F75" s="46" t="s">
        <v>34</v>
      </c>
      <c r="G75" s="285"/>
      <c r="H75" s="171"/>
      <c r="I75" s="171"/>
      <c r="J75" s="171"/>
      <c r="K75" s="171"/>
      <c r="L75" s="171"/>
      <c r="M75" s="171"/>
      <c r="N75" s="171"/>
      <c r="O75" s="172"/>
      <c r="P75" s="171"/>
      <c r="Q75" s="173"/>
      <c r="R75" s="17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46" t="s">
        <v>35</v>
      </c>
      <c r="B76" s="46" t="s">
        <v>49</v>
      </c>
      <c r="C76" s="47" t="s">
        <v>265</v>
      </c>
      <c r="D76" s="46" t="s">
        <v>37</v>
      </c>
      <c r="E76" s="46" t="s">
        <v>259</v>
      </c>
      <c r="F76" s="46" t="s">
        <v>140</v>
      </c>
      <c r="G76" s="285"/>
      <c r="H76" s="171"/>
      <c r="I76" s="171"/>
      <c r="J76" s="171"/>
      <c r="K76" s="171"/>
      <c r="L76" s="171"/>
      <c r="M76" s="171"/>
      <c r="N76" s="171"/>
      <c r="O76" s="172"/>
      <c r="P76" s="171"/>
      <c r="Q76" s="173"/>
      <c r="R76" s="17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46" t="s">
        <v>78</v>
      </c>
      <c r="B77" s="46" t="s">
        <v>84</v>
      </c>
      <c r="C77" s="47" t="s">
        <v>245</v>
      </c>
      <c r="D77" s="46" t="s">
        <v>87</v>
      </c>
      <c r="E77" s="46" t="s">
        <v>235</v>
      </c>
      <c r="F77" s="46" t="s">
        <v>100</v>
      </c>
      <c r="G77" s="285"/>
      <c r="H77" s="171"/>
      <c r="I77" s="171"/>
      <c r="J77" s="171"/>
      <c r="K77" s="171"/>
      <c r="L77" s="171"/>
      <c r="M77" s="171"/>
      <c r="N77" s="171"/>
      <c r="O77" s="172"/>
      <c r="P77" s="171"/>
      <c r="Q77" s="173"/>
      <c r="R77" s="17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46" t="s">
        <v>78</v>
      </c>
      <c r="B78" s="46" t="s">
        <v>84</v>
      </c>
      <c r="C78" s="47" t="s">
        <v>245</v>
      </c>
      <c r="D78" s="46" t="s">
        <v>82</v>
      </c>
      <c r="E78" s="46" t="s">
        <v>235</v>
      </c>
      <c r="F78" s="46" t="s">
        <v>101</v>
      </c>
      <c r="G78" s="285"/>
      <c r="H78" s="171"/>
      <c r="I78" s="171"/>
      <c r="J78" s="171"/>
      <c r="K78" s="171"/>
      <c r="L78" s="171"/>
      <c r="M78" s="171"/>
      <c r="N78" s="171"/>
      <c r="O78" s="172"/>
      <c r="P78" s="171"/>
      <c r="Q78" s="173"/>
      <c r="R78" s="17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61" t="s">
        <v>78</v>
      </c>
      <c r="B79" s="61" t="s">
        <v>79</v>
      </c>
      <c r="C79" s="62" t="s">
        <v>232</v>
      </c>
      <c r="D79" s="61" t="s">
        <v>82</v>
      </c>
      <c r="E79" s="61" t="s">
        <v>254</v>
      </c>
      <c r="F79" s="61" t="s">
        <v>81</v>
      </c>
      <c r="G79" s="286"/>
      <c r="H79" s="174"/>
      <c r="I79" s="174"/>
      <c r="J79" s="174"/>
      <c r="K79" s="174"/>
      <c r="L79" s="174"/>
      <c r="M79" s="174"/>
      <c r="N79" s="174"/>
      <c r="O79" s="175"/>
      <c r="P79" s="174"/>
      <c r="Q79" s="176"/>
      <c r="R79" s="17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 customHeight="1" x14ac:dyDescent="0.3">
      <c r="A80" s="288"/>
      <c r="B80" s="289"/>
      <c r="C80" s="289"/>
      <c r="D80" s="289"/>
      <c r="E80" s="289"/>
      <c r="F80" s="289"/>
      <c r="G80" s="289"/>
      <c r="H80" s="289"/>
      <c r="I80" s="289"/>
      <c r="J80" s="289"/>
      <c r="K80" s="289"/>
      <c r="L80" s="289"/>
      <c r="M80" s="289"/>
      <c r="N80" s="289"/>
      <c r="O80" s="289"/>
      <c r="P80" s="289"/>
      <c r="Q80" s="289"/>
      <c r="R80" s="29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sheetData>
  <mergeCells count="34">
    <mergeCell ref="A69:F69"/>
    <mergeCell ref="A7:F7"/>
    <mergeCell ref="A65:F65"/>
    <mergeCell ref="H65:R65"/>
    <mergeCell ref="A64:R64"/>
    <mergeCell ref="A1:C1"/>
    <mergeCell ref="G1:H1"/>
    <mergeCell ref="A49:R49"/>
    <mergeCell ref="A4:F4"/>
    <mergeCell ref="A53:F53"/>
    <mergeCell ref="J1:M1"/>
    <mergeCell ref="A38:F38"/>
    <mergeCell ref="A19:F19"/>
    <mergeCell ref="K2:R2"/>
    <mergeCell ref="A34:F34"/>
    <mergeCell ref="H19:R19"/>
    <mergeCell ref="D1:F1"/>
    <mergeCell ref="G6:G17"/>
    <mergeCell ref="O1:Q1"/>
    <mergeCell ref="A50:F50"/>
    <mergeCell ref="G67:G79"/>
    <mergeCell ref="A80:R80"/>
    <mergeCell ref="H4:R4"/>
    <mergeCell ref="H50:R50"/>
    <mergeCell ref="A18:R18"/>
    <mergeCell ref="A2:F2"/>
    <mergeCell ref="A3:R3"/>
    <mergeCell ref="H34:R34"/>
    <mergeCell ref="A33:R33"/>
    <mergeCell ref="G36:G48"/>
    <mergeCell ref="G52:G63"/>
    <mergeCell ref="G21:G32"/>
    <mergeCell ref="A22:F22"/>
    <mergeCell ref="G2:J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2.109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228</v>
      </c>
      <c r="D2" s="95">
        <v>0.3263888888888889</v>
      </c>
      <c r="E2" s="94" t="s">
        <v>226</v>
      </c>
      <c r="F2" s="94" t="s">
        <v>174</v>
      </c>
      <c r="G2" s="96">
        <v>0.99439999999999995</v>
      </c>
      <c r="H2" s="97">
        <v>179</v>
      </c>
      <c r="I2" s="97">
        <v>178</v>
      </c>
      <c r="J2" s="97">
        <v>153</v>
      </c>
      <c r="K2" s="93">
        <v>45984</v>
      </c>
      <c r="L2" s="97">
        <v>0</v>
      </c>
      <c r="M2" s="97">
        <v>2</v>
      </c>
      <c r="N2" s="97">
        <v>15</v>
      </c>
      <c r="O2" s="94" t="s">
        <v>229</v>
      </c>
      <c r="P2" s="98"/>
      <c r="Q2" s="97" t="s">
        <v>229</v>
      </c>
      <c r="R2" s="98"/>
      <c r="S2" s="97" t="s">
        <v>266</v>
      </c>
      <c r="T2" s="97" t="s">
        <v>267</v>
      </c>
      <c r="U2" s="97" t="s">
        <v>268</v>
      </c>
      <c r="V2" s="97" t="s">
        <v>269</v>
      </c>
      <c r="W2" s="97" t="s">
        <v>270</v>
      </c>
      <c r="X2" s="98"/>
      <c r="Y2" s="98"/>
      <c r="Z2" s="98"/>
      <c r="AA2" s="98"/>
      <c r="AB2" s="97" t="s">
        <v>271</v>
      </c>
      <c r="AC2" s="98"/>
      <c r="AD2" s="98"/>
      <c r="AE2" s="98"/>
      <c r="AF2" s="98"/>
      <c r="AG2" s="98"/>
      <c r="AH2" s="97" t="s">
        <v>272</v>
      </c>
      <c r="AI2" s="98"/>
    </row>
    <row r="3" spans="1:35" ht="18" x14ac:dyDescent="0.3">
      <c r="A3" s="99" t="s">
        <v>273</v>
      </c>
      <c r="B3" s="100">
        <v>45987</v>
      </c>
      <c r="C3" s="101" t="s">
        <v>228</v>
      </c>
      <c r="D3" s="102">
        <v>0.94444444444444453</v>
      </c>
      <c r="E3" s="101" t="s">
        <v>226</v>
      </c>
      <c r="F3" s="101" t="s">
        <v>174</v>
      </c>
      <c r="G3" s="103">
        <v>0.94410000000000005</v>
      </c>
      <c r="H3" s="104">
        <v>179</v>
      </c>
      <c r="I3" s="104">
        <v>169</v>
      </c>
      <c r="J3" s="104">
        <v>135</v>
      </c>
      <c r="K3" s="100">
        <v>45981</v>
      </c>
      <c r="L3" s="104">
        <v>0</v>
      </c>
      <c r="M3" s="104">
        <v>0</v>
      </c>
      <c r="N3" s="104">
        <v>2</v>
      </c>
      <c r="O3" s="101" t="s">
        <v>243</v>
      </c>
      <c r="P3" s="105"/>
      <c r="Q3" s="105"/>
      <c r="R3" s="105"/>
      <c r="S3" s="105"/>
      <c r="T3" s="104" t="s">
        <v>267</v>
      </c>
      <c r="U3" s="105"/>
      <c r="V3" s="105"/>
      <c r="W3" s="105"/>
      <c r="X3" s="105"/>
      <c r="Y3" s="104" t="s">
        <v>274</v>
      </c>
      <c r="Z3" s="105"/>
      <c r="AA3" s="105"/>
      <c r="AB3" s="104" t="s">
        <v>275</v>
      </c>
      <c r="AC3" s="104" t="s">
        <v>276</v>
      </c>
      <c r="AD3" s="104" t="s">
        <v>194</v>
      </c>
      <c r="AE3" s="104" t="s">
        <v>277</v>
      </c>
      <c r="AF3" s="105"/>
      <c r="AG3" s="105"/>
      <c r="AH3" s="104" t="s">
        <v>278</v>
      </c>
      <c r="AI3" s="105"/>
    </row>
    <row r="4" spans="1:35" ht="18" x14ac:dyDescent="0.3">
      <c r="A4" s="92" t="s">
        <v>197</v>
      </c>
      <c r="B4" s="93">
        <v>45988</v>
      </c>
      <c r="C4" s="94" t="s">
        <v>228</v>
      </c>
      <c r="D4" s="95">
        <v>0.64583333333333337</v>
      </c>
      <c r="E4" s="94" t="s">
        <v>226</v>
      </c>
      <c r="F4" s="94" t="s">
        <v>174</v>
      </c>
      <c r="G4" s="96">
        <v>0.97770000000000001</v>
      </c>
      <c r="H4" s="97">
        <v>179</v>
      </c>
      <c r="I4" s="97">
        <v>175</v>
      </c>
      <c r="J4" s="97">
        <v>121</v>
      </c>
      <c r="K4" s="93">
        <v>45981</v>
      </c>
      <c r="L4" s="97">
        <v>0</v>
      </c>
      <c r="M4" s="97">
        <v>0</v>
      </c>
      <c r="N4" s="97">
        <v>4</v>
      </c>
      <c r="O4" s="94" t="s">
        <v>251</v>
      </c>
      <c r="P4" s="98"/>
      <c r="Q4" s="98"/>
      <c r="R4" s="98"/>
      <c r="S4" s="98"/>
      <c r="T4" s="98"/>
      <c r="U4" s="98"/>
      <c r="V4" s="97" t="s">
        <v>279</v>
      </c>
      <c r="W4" s="97" t="s">
        <v>270</v>
      </c>
      <c r="X4" s="98"/>
      <c r="Y4" s="97" t="s">
        <v>280</v>
      </c>
      <c r="Z4" s="98"/>
      <c r="AA4" s="97" t="s">
        <v>281</v>
      </c>
      <c r="AB4" s="97" t="s">
        <v>184</v>
      </c>
      <c r="AC4" s="98"/>
      <c r="AD4" s="98"/>
      <c r="AE4" s="98"/>
      <c r="AF4" s="98"/>
      <c r="AG4" s="98"/>
      <c r="AH4" s="97" t="s">
        <v>282</v>
      </c>
      <c r="AI4" s="98"/>
    </row>
    <row r="5" spans="1:35" ht="18" x14ac:dyDescent="0.3">
      <c r="A5" s="99" t="s">
        <v>211</v>
      </c>
      <c r="B5" s="100">
        <v>45991</v>
      </c>
      <c r="C5" s="101" t="s">
        <v>228</v>
      </c>
      <c r="D5" s="102">
        <v>0.40277777777777768</v>
      </c>
      <c r="E5" s="101" t="s">
        <v>226</v>
      </c>
      <c r="F5" s="101" t="s">
        <v>174</v>
      </c>
      <c r="G5" s="103">
        <v>0.94969999999999999</v>
      </c>
      <c r="H5" s="104">
        <v>179</v>
      </c>
      <c r="I5" s="104">
        <v>170</v>
      </c>
      <c r="J5" s="104">
        <v>144</v>
      </c>
      <c r="K5" s="100">
        <v>45981</v>
      </c>
      <c r="L5" s="104">
        <v>0</v>
      </c>
      <c r="M5" s="104">
        <v>0</v>
      </c>
      <c r="N5" s="104">
        <v>5</v>
      </c>
      <c r="O5" s="101" t="s">
        <v>262</v>
      </c>
      <c r="P5" s="105"/>
      <c r="Q5" s="105"/>
      <c r="R5" s="105"/>
      <c r="S5" s="104" t="s">
        <v>283</v>
      </c>
      <c r="T5" s="105"/>
      <c r="U5" s="105"/>
      <c r="V5" s="105"/>
      <c r="W5" s="105"/>
      <c r="X5" s="105"/>
      <c r="Y5" s="104" t="s">
        <v>284</v>
      </c>
      <c r="Z5" s="105"/>
      <c r="AA5" s="105"/>
      <c r="AB5" s="104" t="s">
        <v>285</v>
      </c>
      <c r="AC5" s="105"/>
      <c r="AD5" s="105"/>
      <c r="AE5" s="105"/>
      <c r="AF5" s="105"/>
      <c r="AG5" s="105"/>
      <c r="AH5" s="104" t="s">
        <v>286</v>
      </c>
      <c r="AI5" s="105"/>
    </row>
    <row r="6" spans="1:35" ht="18" x14ac:dyDescent="0.3">
      <c r="A6" s="106" t="s">
        <v>219</v>
      </c>
      <c r="B6" s="107"/>
      <c r="C6" s="108">
        <f>COUNTA(C2:C5)</f>
        <v>4</v>
      </c>
      <c r="D6" s="107"/>
      <c r="E6" s="107"/>
      <c r="F6" s="107"/>
      <c r="G6" s="109">
        <f>AVERAGE(G2:G5)</f>
        <v>0.96647499999999997</v>
      </c>
      <c r="H6" s="110">
        <f>SUM(H2:H5)</f>
        <v>716</v>
      </c>
      <c r="I6" s="110">
        <f>SUM(I2:I5)</f>
        <v>692</v>
      </c>
      <c r="J6" s="110">
        <f>SUM(J2:J5)</f>
        <v>553</v>
      </c>
      <c r="K6" s="107"/>
      <c r="L6" s="110">
        <f>SUM(L2:L5)</f>
        <v>0</v>
      </c>
      <c r="M6" s="110">
        <f>SUM(M2:M5)</f>
        <v>2</v>
      </c>
      <c r="N6" s="110">
        <f>SUM(N2:N5)</f>
        <v>26</v>
      </c>
      <c r="O6" s="107"/>
      <c r="P6" s="110">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0">
        <f t="shared" si="0"/>
        <v>0</v>
      </c>
      <c r="R6" s="110">
        <f t="shared" si="0"/>
        <v>0</v>
      </c>
      <c r="S6" s="110">
        <f t="shared" si="0"/>
        <v>0</v>
      </c>
      <c r="T6" s="110">
        <f t="shared" si="0"/>
        <v>0</v>
      </c>
      <c r="U6" s="110">
        <f t="shared" si="0"/>
        <v>0</v>
      </c>
      <c r="V6" s="110">
        <f t="shared" si="0"/>
        <v>0</v>
      </c>
      <c r="W6" s="110">
        <f t="shared" si="0"/>
        <v>0</v>
      </c>
      <c r="X6" s="110">
        <f t="shared" si="0"/>
        <v>0</v>
      </c>
      <c r="Y6" s="110">
        <f t="shared" si="0"/>
        <v>0</v>
      </c>
      <c r="Z6" s="110">
        <f t="shared" si="0"/>
        <v>0</v>
      </c>
      <c r="AA6" s="110">
        <f t="shared" si="0"/>
        <v>0</v>
      </c>
      <c r="AB6" s="110">
        <f t="shared" si="0"/>
        <v>0</v>
      </c>
      <c r="AC6" s="110">
        <f t="shared" si="0"/>
        <v>0</v>
      </c>
      <c r="AD6" s="110">
        <f t="shared" si="0"/>
        <v>0</v>
      </c>
      <c r="AE6" s="110">
        <f t="shared" si="0"/>
        <v>0</v>
      </c>
      <c r="AF6" s="110">
        <f t="shared" si="0"/>
        <v>0</v>
      </c>
      <c r="AG6" s="110">
        <f t="shared" si="0"/>
        <v>0</v>
      </c>
      <c r="AH6" s="110">
        <f t="shared" si="0"/>
        <v>0</v>
      </c>
      <c r="AI6" s="110">
        <f t="shared" si="0"/>
        <v>0</v>
      </c>
    </row>
  </sheetData>
  <autoFilter ref="A1:AI5"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4"/>
  <sheetViews>
    <sheetView workbookViewId="0"/>
  </sheetViews>
  <sheetFormatPr defaultRowHeight="14.4" x14ac:dyDescent="0.3"/>
  <cols>
    <col min="1" max="1" width="13" bestFit="1" customWidth="1"/>
    <col min="2" max="2" width="12.109375" bestFit="1" customWidth="1"/>
    <col min="3" max="3" width="16.109375" bestFit="1" customWidth="1"/>
    <col min="4" max="4" width="12.109375" bestFit="1" customWidth="1"/>
    <col min="5" max="5" width="33.21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87">
        <v>45986</v>
      </c>
      <c r="B2" s="125" t="s">
        <v>35</v>
      </c>
      <c r="C2" s="126" t="s">
        <v>227</v>
      </c>
      <c r="D2" s="125" t="s">
        <v>226</v>
      </c>
      <c r="E2" s="127">
        <v>1.3263888888888891</v>
      </c>
      <c r="F2" s="125" t="s">
        <v>37</v>
      </c>
      <c r="G2" s="128">
        <v>1</v>
      </c>
      <c r="H2" s="188" t="s">
        <v>119</v>
      </c>
    </row>
    <row r="3" spans="1:8" ht="15.6" x14ac:dyDescent="0.3">
      <c r="A3" s="189"/>
      <c r="B3" s="189"/>
      <c r="C3" s="189"/>
      <c r="D3" s="189"/>
      <c r="E3" s="190" t="s">
        <v>287</v>
      </c>
      <c r="F3" s="189"/>
      <c r="G3" s="189"/>
      <c r="H3" s="3"/>
    </row>
    <row r="4" spans="1:8" ht="18" x14ac:dyDescent="0.3">
      <c r="A4" s="136">
        <v>45986</v>
      </c>
      <c r="B4" s="113" t="s">
        <v>25</v>
      </c>
      <c r="C4" s="114" t="s">
        <v>26</v>
      </c>
      <c r="D4" s="113" t="s">
        <v>1</v>
      </c>
      <c r="E4" s="115">
        <v>1.4201388888888891</v>
      </c>
      <c r="F4" s="113" t="s">
        <v>27</v>
      </c>
      <c r="G4" s="116">
        <v>7</v>
      </c>
      <c r="H4" s="137">
        <v>559</v>
      </c>
    </row>
    <row r="5" spans="1:8" ht="18" x14ac:dyDescent="0.3">
      <c r="A5" s="118">
        <v>45986</v>
      </c>
      <c r="B5" s="119" t="s">
        <v>25</v>
      </c>
      <c r="C5" s="120" t="s">
        <v>26</v>
      </c>
      <c r="D5" s="119" t="s">
        <v>1</v>
      </c>
      <c r="E5" s="121">
        <v>1.4201388888888891</v>
      </c>
      <c r="F5" s="119" t="s">
        <v>30</v>
      </c>
      <c r="G5" s="122">
        <v>7</v>
      </c>
      <c r="H5" s="123">
        <v>709</v>
      </c>
    </row>
    <row r="6" spans="1:8" ht="18" x14ac:dyDescent="0.3">
      <c r="A6" s="124">
        <v>45986</v>
      </c>
      <c r="B6" s="125" t="s">
        <v>35</v>
      </c>
      <c r="C6" s="126" t="s">
        <v>36</v>
      </c>
      <c r="D6" s="125" t="s">
        <v>1</v>
      </c>
      <c r="E6" s="127">
        <v>1.2777777777777779</v>
      </c>
      <c r="F6" s="125" t="s">
        <v>37</v>
      </c>
      <c r="G6" s="128">
        <v>9</v>
      </c>
      <c r="H6" s="129">
        <v>620</v>
      </c>
    </row>
    <row r="7" spans="1:8" ht="18" x14ac:dyDescent="0.3">
      <c r="A7" s="130">
        <v>45986</v>
      </c>
      <c r="B7" s="131" t="s">
        <v>35</v>
      </c>
      <c r="C7" s="132" t="s">
        <v>43</v>
      </c>
      <c r="D7" s="131" t="s">
        <v>1</v>
      </c>
      <c r="E7" s="133">
        <v>1.0486111111111109</v>
      </c>
      <c r="F7" s="131" t="s">
        <v>37</v>
      </c>
      <c r="G7" s="134">
        <v>8</v>
      </c>
      <c r="H7" s="135">
        <v>914</v>
      </c>
    </row>
    <row r="8" spans="1:8" ht="18" x14ac:dyDescent="0.3">
      <c r="A8" s="136">
        <v>45986</v>
      </c>
      <c r="B8" s="113" t="s">
        <v>55</v>
      </c>
      <c r="C8" s="114" t="s">
        <v>56</v>
      </c>
      <c r="D8" s="113" t="s">
        <v>1</v>
      </c>
      <c r="E8" s="115">
        <v>1.756944444444444</v>
      </c>
      <c r="F8" s="113" t="s">
        <v>57</v>
      </c>
      <c r="G8" s="116">
        <v>8</v>
      </c>
      <c r="H8" s="137">
        <v>639</v>
      </c>
    </row>
    <row r="9" spans="1:8" ht="18" x14ac:dyDescent="0.3">
      <c r="A9" s="118">
        <v>45986</v>
      </c>
      <c r="B9" s="119" t="s">
        <v>55</v>
      </c>
      <c r="C9" s="120" t="s">
        <v>56</v>
      </c>
      <c r="D9" s="119" t="s">
        <v>1</v>
      </c>
      <c r="E9" s="121">
        <v>1.756944444444444</v>
      </c>
      <c r="F9" s="119" t="s">
        <v>60</v>
      </c>
      <c r="G9" s="122">
        <v>8</v>
      </c>
      <c r="H9" s="123">
        <v>639</v>
      </c>
    </row>
    <row r="10" spans="1:8" ht="18" x14ac:dyDescent="0.3">
      <c r="A10" s="118">
        <v>45986</v>
      </c>
      <c r="B10" s="119" t="s">
        <v>55</v>
      </c>
      <c r="C10" s="120" t="s">
        <v>56</v>
      </c>
      <c r="D10" s="119" t="s">
        <v>1</v>
      </c>
      <c r="E10" s="121">
        <v>1.756944444444444</v>
      </c>
      <c r="F10" s="119" t="s">
        <v>62</v>
      </c>
      <c r="G10" s="122">
        <v>8</v>
      </c>
      <c r="H10" s="123">
        <v>739</v>
      </c>
    </row>
    <row r="11" spans="1:8" ht="18" x14ac:dyDescent="0.3">
      <c r="A11" s="118">
        <v>45986</v>
      </c>
      <c r="B11" s="119" t="s">
        <v>55</v>
      </c>
      <c r="C11" s="120" t="s">
        <v>56</v>
      </c>
      <c r="D11" s="119" t="s">
        <v>1</v>
      </c>
      <c r="E11" s="121">
        <v>1.756944444444444</v>
      </c>
      <c r="F11" s="119" t="s">
        <v>64</v>
      </c>
      <c r="G11" s="122">
        <v>8</v>
      </c>
      <c r="H11" s="123">
        <v>829</v>
      </c>
    </row>
    <row r="12" spans="1:8" ht="18" x14ac:dyDescent="0.3">
      <c r="A12" s="136">
        <v>45986</v>
      </c>
      <c r="B12" s="113" t="s">
        <v>66</v>
      </c>
      <c r="C12" s="114" t="s">
        <v>67</v>
      </c>
      <c r="D12" s="113" t="s">
        <v>1</v>
      </c>
      <c r="E12" s="115">
        <v>1.0972222222222221</v>
      </c>
      <c r="F12" s="113" t="s">
        <v>68</v>
      </c>
      <c r="G12" s="116">
        <v>9</v>
      </c>
      <c r="H12" s="137">
        <v>866</v>
      </c>
    </row>
    <row r="13" spans="1:8" ht="18" x14ac:dyDescent="0.3">
      <c r="A13" s="149">
        <v>45986</v>
      </c>
      <c r="B13" s="150" t="s">
        <v>66</v>
      </c>
      <c r="C13" s="151" t="s">
        <v>70</v>
      </c>
      <c r="D13" s="150" t="s">
        <v>1</v>
      </c>
      <c r="E13" s="152">
        <v>1.493055555555556</v>
      </c>
      <c r="F13" s="150" t="s">
        <v>68</v>
      </c>
      <c r="G13" s="153">
        <v>6</v>
      </c>
      <c r="H13" s="191">
        <v>962</v>
      </c>
    </row>
    <row r="14" spans="1:8" ht="18" x14ac:dyDescent="0.3">
      <c r="A14" s="187">
        <v>45987</v>
      </c>
      <c r="B14" s="125" t="s">
        <v>35</v>
      </c>
      <c r="C14" s="126" t="s">
        <v>227</v>
      </c>
      <c r="D14" s="125" t="s">
        <v>226</v>
      </c>
      <c r="E14" s="127">
        <v>1.944444444444444</v>
      </c>
      <c r="F14" s="125" t="s">
        <v>37</v>
      </c>
      <c r="G14" s="128">
        <v>5</v>
      </c>
      <c r="H14" s="188" t="s">
        <v>242</v>
      </c>
    </row>
    <row r="15" spans="1:8" ht="15.6" x14ac:dyDescent="0.3">
      <c r="A15" s="189"/>
      <c r="B15" s="189"/>
      <c r="C15" s="189"/>
      <c r="D15" s="189"/>
      <c r="E15" s="190" t="s">
        <v>287</v>
      </c>
      <c r="F15" s="189"/>
      <c r="G15" s="189"/>
      <c r="H15" s="3"/>
    </row>
    <row r="16" spans="1:8" ht="18" x14ac:dyDescent="0.3">
      <c r="A16" s="136">
        <v>45987</v>
      </c>
      <c r="B16" s="113" t="s">
        <v>78</v>
      </c>
      <c r="C16" s="114" t="s">
        <v>84</v>
      </c>
      <c r="D16" s="113" t="s">
        <v>1</v>
      </c>
      <c r="E16" s="115">
        <v>1.604166666666667</v>
      </c>
      <c r="F16" s="113" t="s">
        <v>94</v>
      </c>
      <c r="G16" s="116">
        <v>2</v>
      </c>
      <c r="H16" s="137">
        <v>398</v>
      </c>
    </row>
    <row r="17" spans="1:8" ht="18" x14ac:dyDescent="0.3">
      <c r="A17" s="118">
        <v>45987</v>
      </c>
      <c r="B17" s="119" t="s">
        <v>78</v>
      </c>
      <c r="C17" s="120" t="s">
        <v>84</v>
      </c>
      <c r="D17" s="119" t="s">
        <v>1</v>
      </c>
      <c r="E17" s="121">
        <v>1.604166666666667</v>
      </c>
      <c r="F17" s="119" t="s">
        <v>87</v>
      </c>
      <c r="G17" s="122">
        <v>2</v>
      </c>
      <c r="H17" s="123">
        <v>490</v>
      </c>
    </row>
    <row r="18" spans="1:8" ht="18" x14ac:dyDescent="0.3">
      <c r="A18" s="118">
        <v>45987</v>
      </c>
      <c r="B18" s="119" t="s">
        <v>78</v>
      </c>
      <c r="C18" s="120" t="s">
        <v>84</v>
      </c>
      <c r="D18" s="119" t="s">
        <v>1</v>
      </c>
      <c r="E18" s="121">
        <v>1.604166666666667</v>
      </c>
      <c r="F18" s="119" t="s">
        <v>82</v>
      </c>
      <c r="G18" s="122">
        <v>2</v>
      </c>
      <c r="H18" s="123">
        <v>575</v>
      </c>
    </row>
    <row r="19" spans="1:8" ht="18" x14ac:dyDescent="0.3">
      <c r="A19" s="136">
        <v>45987</v>
      </c>
      <c r="B19" s="113" t="s">
        <v>25</v>
      </c>
      <c r="C19" s="114" t="s">
        <v>26</v>
      </c>
      <c r="D19" s="113" t="s">
        <v>1</v>
      </c>
      <c r="E19" s="115">
        <v>1.4201388888888891</v>
      </c>
      <c r="F19" s="113" t="s">
        <v>27</v>
      </c>
      <c r="G19" s="116">
        <v>14</v>
      </c>
      <c r="H19" s="137">
        <v>619</v>
      </c>
    </row>
    <row r="20" spans="1:8" ht="18" x14ac:dyDescent="0.3">
      <c r="A20" s="118">
        <v>45987</v>
      </c>
      <c r="B20" s="119" t="s">
        <v>25</v>
      </c>
      <c r="C20" s="120" t="s">
        <v>26</v>
      </c>
      <c r="D20" s="119" t="s">
        <v>1</v>
      </c>
      <c r="E20" s="121">
        <v>1.4201388888888891</v>
      </c>
      <c r="F20" s="119" t="s">
        <v>30</v>
      </c>
      <c r="G20" s="122">
        <v>14</v>
      </c>
      <c r="H20" s="123">
        <v>769</v>
      </c>
    </row>
    <row r="21" spans="1:8" ht="18" x14ac:dyDescent="0.3">
      <c r="A21" s="118">
        <v>45987</v>
      </c>
      <c r="B21" s="119" t="s">
        <v>25</v>
      </c>
      <c r="C21" s="120" t="s">
        <v>26</v>
      </c>
      <c r="D21" s="119" t="s">
        <v>1</v>
      </c>
      <c r="E21" s="121">
        <v>1.4201388888888891</v>
      </c>
      <c r="F21" s="119" t="s">
        <v>33</v>
      </c>
      <c r="G21" s="122">
        <v>14</v>
      </c>
      <c r="H21" s="123">
        <v>799</v>
      </c>
    </row>
    <row r="22" spans="1:8" ht="18" x14ac:dyDescent="0.3">
      <c r="A22" s="136">
        <v>45987</v>
      </c>
      <c r="B22" s="113" t="s">
        <v>55</v>
      </c>
      <c r="C22" s="114" t="s">
        <v>56</v>
      </c>
      <c r="D22" s="113" t="s">
        <v>1</v>
      </c>
      <c r="E22" s="115">
        <v>1.756944444444444</v>
      </c>
      <c r="F22" s="113" t="s">
        <v>57</v>
      </c>
      <c r="G22" s="116">
        <v>1</v>
      </c>
      <c r="H22" s="137">
        <v>639</v>
      </c>
    </row>
    <row r="23" spans="1:8" ht="18" x14ac:dyDescent="0.3">
      <c r="A23" s="118">
        <v>45987</v>
      </c>
      <c r="B23" s="119" t="s">
        <v>55</v>
      </c>
      <c r="C23" s="120" t="s">
        <v>56</v>
      </c>
      <c r="D23" s="119" t="s">
        <v>1</v>
      </c>
      <c r="E23" s="121">
        <v>1.756944444444444</v>
      </c>
      <c r="F23" s="119" t="s">
        <v>60</v>
      </c>
      <c r="G23" s="122">
        <v>1</v>
      </c>
      <c r="H23" s="123">
        <v>639</v>
      </c>
    </row>
    <row r="24" spans="1:8" ht="18" x14ac:dyDescent="0.3">
      <c r="A24" s="118">
        <v>45987</v>
      </c>
      <c r="B24" s="119" t="s">
        <v>55</v>
      </c>
      <c r="C24" s="120" t="s">
        <v>56</v>
      </c>
      <c r="D24" s="119" t="s">
        <v>1</v>
      </c>
      <c r="E24" s="121">
        <v>1.756944444444444</v>
      </c>
      <c r="F24" s="119" t="s">
        <v>62</v>
      </c>
      <c r="G24" s="122">
        <v>1</v>
      </c>
      <c r="H24" s="123">
        <v>739</v>
      </c>
    </row>
    <row r="25" spans="1:8" ht="18" x14ac:dyDescent="0.3">
      <c r="A25" s="144">
        <v>45987</v>
      </c>
      <c r="B25" s="145" t="s">
        <v>55</v>
      </c>
      <c r="C25" s="146" t="s">
        <v>56</v>
      </c>
      <c r="D25" s="145" t="s">
        <v>1</v>
      </c>
      <c r="E25" s="147">
        <v>1.756944444444444</v>
      </c>
      <c r="F25" s="145" t="s">
        <v>64</v>
      </c>
      <c r="G25" s="148">
        <v>1</v>
      </c>
      <c r="H25" s="192">
        <v>829</v>
      </c>
    </row>
    <row r="26" spans="1:8" ht="18" x14ac:dyDescent="0.3">
      <c r="A26" s="112">
        <v>45988</v>
      </c>
      <c r="B26" s="113" t="s">
        <v>66</v>
      </c>
      <c r="C26" s="114" t="s">
        <v>249</v>
      </c>
      <c r="D26" s="113" t="s">
        <v>226</v>
      </c>
      <c r="E26" s="115">
        <v>1.520833333333333</v>
      </c>
      <c r="F26" s="113" t="s">
        <v>68</v>
      </c>
      <c r="G26" s="116">
        <v>4</v>
      </c>
      <c r="H26" s="193" t="s">
        <v>250</v>
      </c>
    </row>
    <row r="27" spans="1:8" ht="18" x14ac:dyDescent="0.3">
      <c r="A27" s="124">
        <v>45988</v>
      </c>
      <c r="B27" s="125" t="s">
        <v>35</v>
      </c>
      <c r="C27" s="126" t="s">
        <v>227</v>
      </c>
      <c r="D27" s="125" t="s">
        <v>226</v>
      </c>
      <c r="E27" s="127">
        <v>1.645833333333333</v>
      </c>
      <c r="F27" s="125" t="s">
        <v>37</v>
      </c>
      <c r="G27" s="128">
        <v>4</v>
      </c>
      <c r="H27" s="125" t="s">
        <v>140</v>
      </c>
    </row>
    <row r="28" spans="1:8" ht="15.6" x14ac:dyDescent="0.3">
      <c r="A28" s="189"/>
      <c r="B28" s="189"/>
      <c r="C28" s="189"/>
      <c r="D28" s="189"/>
      <c r="E28" s="190" t="s">
        <v>287</v>
      </c>
      <c r="F28" s="189"/>
      <c r="G28" s="189"/>
      <c r="H28" s="3"/>
    </row>
    <row r="29" spans="1:8" ht="18" x14ac:dyDescent="0.3">
      <c r="A29" s="136">
        <v>45988</v>
      </c>
      <c r="B29" s="113" t="s">
        <v>25</v>
      </c>
      <c r="C29" s="114" t="s">
        <v>26</v>
      </c>
      <c r="D29" s="113" t="s">
        <v>1</v>
      </c>
      <c r="E29" s="115">
        <v>1.4201388888888891</v>
      </c>
      <c r="F29" s="113" t="s">
        <v>27</v>
      </c>
      <c r="G29" s="116">
        <v>7</v>
      </c>
      <c r="H29" s="137">
        <v>559</v>
      </c>
    </row>
    <row r="30" spans="1:8" ht="18" x14ac:dyDescent="0.3">
      <c r="A30" s="118">
        <v>45988</v>
      </c>
      <c r="B30" s="119" t="s">
        <v>25</v>
      </c>
      <c r="C30" s="120" t="s">
        <v>26</v>
      </c>
      <c r="D30" s="119" t="s">
        <v>1</v>
      </c>
      <c r="E30" s="121">
        <v>1.4201388888888891</v>
      </c>
      <c r="F30" s="119" t="s">
        <v>30</v>
      </c>
      <c r="G30" s="122">
        <v>7</v>
      </c>
      <c r="H30" s="123">
        <v>709</v>
      </c>
    </row>
    <row r="31" spans="1:8" ht="18" x14ac:dyDescent="0.3">
      <c r="A31" s="136">
        <v>45988</v>
      </c>
      <c r="B31" s="113" t="s">
        <v>55</v>
      </c>
      <c r="C31" s="114" t="s">
        <v>112</v>
      </c>
      <c r="D31" s="113" t="s">
        <v>1</v>
      </c>
      <c r="E31" s="115">
        <v>1.354166666666667</v>
      </c>
      <c r="F31" s="113" t="s">
        <v>57</v>
      </c>
      <c r="G31" s="116">
        <v>4</v>
      </c>
      <c r="H31" s="137">
        <v>639</v>
      </c>
    </row>
    <row r="32" spans="1:8" ht="18" x14ac:dyDescent="0.3">
      <c r="A32" s="118">
        <v>45988</v>
      </c>
      <c r="B32" s="119" t="s">
        <v>55</v>
      </c>
      <c r="C32" s="120" t="s">
        <v>112</v>
      </c>
      <c r="D32" s="119" t="s">
        <v>1</v>
      </c>
      <c r="E32" s="121">
        <v>1.354166666666667</v>
      </c>
      <c r="F32" s="119" t="s">
        <v>60</v>
      </c>
      <c r="G32" s="122">
        <v>4</v>
      </c>
      <c r="H32" s="123">
        <v>639</v>
      </c>
    </row>
    <row r="33" spans="1:8" ht="18" x14ac:dyDescent="0.3">
      <c r="A33" s="118">
        <v>45988</v>
      </c>
      <c r="B33" s="119" t="s">
        <v>55</v>
      </c>
      <c r="C33" s="120" t="s">
        <v>112</v>
      </c>
      <c r="D33" s="119" t="s">
        <v>1</v>
      </c>
      <c r="E33" s="121">
        <v>1.354166666666667</v>
      </c>
      <c r="F33" s="119" t="s">
        <v>62</v>
      </c>
      <c r="G33" s="122">
        <v>4</v>
      </c>
      <c r="H33" s="123">
        <v>739</v>
      </c>
    </row>
    <row r="34" spans="1:8" ht="18" x14ac:dyDescent="0.3">
      <c r="A34" s="118">
        <v>45988</v>
      </c>
      <c r="B34" s="119" t="s">
        <v>55</v>
      </c>
      <c r="C34" s="120" t="s">
        <v>112</v>
      </c>
      <c r="D34" s="119" t="s">
        <v>1</v>
      </c>
      <c r="E34" s="121">
        <v>1.354166666666667</v>
      </c>
      <c r="F34" s="119" t="s">
        <v>64</v>
      </c>
      <c r="G34" s="122">
        <v>4</v>
      </c>
      <c r="H34" s="123">
        <v>829</v>
      </c>
    </row>
    <row r="35" spans="1:8" ht="18" x14ac:dyDescent="0.3">
      <c r="A35" s="136">
        <v>45988</v>
      </c>
      <c r="B35" s="113" t="s">
        <v>66</v>
      </c>
      <c r="C35" s="114" t="s">
        <v>77</v>
      </c>
      <c r="D35" s="113" t="s">
        <v>1</v>
      </c>
      <c r="E35" s="115">
        <v>1.430555555555556</v>
      </c>
      <c r="F35" s="113" t="s">
        <v>68</v>
      </c>
      <c r="G35" s="116">
        <v>9</v>
      </c>
      <c r="H35" s="137">
        <v>866</v>
      </c>
    </row>
    <row r="36" spans="1:8" ht="18" x14ac:dyDescent="0.3">
      <c r="A36" s="138">
        <v>45988</v>
      </c>
      <c r="B36" s="139" t="s">
        <v>66</v>
      </c>
      <c r="C36" s="140" t="s">
        <v>70</v>
      </c>
      <c r="D36" s="139" t="s">
        <v>1</v>
      </c>
      <c r="E36" s="141">
        <v>1.493055555555556</v>
      </c>
      <c r="F36" s="139" t="s">
        <v>68</v>
      </c>
      <c r="G36" s="142">
        <v>9</v>
      </c>
      <c r="H36" s="143">
        <v>962</v>
      </c>
    </row>
    <row r="37" spans="1:8" ht="18" x14ac:dyDescent="0.3">
      <c r="A37" s="138">
        <v>45988</v>
      </c>
      <c r="B37" s="139" t="s">
        <v>66</v>
      </c>
      <c r="C37" s="140" t="s">
        <v>67</v>
      </c>
      <c r="D37" s="139" t="s">
        <v>1</v>
      </c>
      <c r="E37" s="141">
        <v>1.1076388888888891</v>
      </c>
      <c r="F37" s="139" t="s">
        <v>68</v>
      </c>
      <c r="G37" s="142">
        <v>1</v>
      </c>
      <c r="H37" s="143">
        <v>962</v>
      </c>
    </row>
    <row r="38" spans="1:8" ht="18" x14ac:dyDescent="0.3">
      <c r="A38" s="149">
        <v>45988</v>
      </c>
      <c r="B38" s="150" t="s">
        <v>66</v>
      </c>
      <c r="C38" s="151" t="s">
        <v>75</v>
      </c>
      <c r="D38" s="150" t="s">
        <v>1</v>
      </c>
      <c r="E38" s="152">
        <v>1.2222222222222221</v>
      </c>
      <c r="F38" s="150" t="s">
        <v>68</v>
      </c>
      <c r="G38" s="153">
        <v>9</v>
      </c>
      <c r="H38" s="191">
        <v>962</v>
      </c>
    </row>
    <row r="39" spans="1:8" ht="18" x14ac:dyDescent="0.3">
      <c r="A39" s="112">
        <v>45989</v>
      </c>
      <c r="B39" s="113" t="s">
        <v>66</v>
      </c>
      <c r="C39" s="114" t="s">
        <v>249</v>
      </c>
      <c r="D39" s="113" t="s">
        <v>226</v>
      </c>
      <c r="E39" s="115">
        <v>1.520833333333333</v>
      </c>
      <c r="F39" s="113" t="s">
        <v>68</v>
      </c>
      <c r="G39" s="116">
        <v>9</v>
      </c>
      <c r="H39" s="193" t="s">
        <v>258</v>
      </c>
    </row>
    <row r="40" spans="1:8" ht="15.6" x14ac:dyDescent="0.3">
      <c r="A40" s="189"/>
      <c r="B40" s="189"/>
      <c r="C40" s="189"/>
      <c r="D40" s="189"/>
      <c r="E40" s="190" t="s">
        <v>287</v>
      </c>
      <c r="F40" s="189"/>
      <c r="G40" s="189"/>
      <c r="H40" s="3"/>
    </row>
    <row r="41" spans="1:8" ht="18" x14ac:dyDescent="0.3">
      <c r="A41" s="136">
        <v>45989</v>
      </c>
      <c r="B41" s="113" t="s">
        <v>25</v>
      </c>
      <c r="C41" s="114" t="s">
        <v>26</v>
      </c>
      <c r="D41" s="113" t="s">
        <v>1</v>
      </c>
      <c r="E41" s="115">
        <v>1.4201388888888891</v>
      </c>
      <c r="F41" s="113" t="s">
        <v>27</v>
      </c>
      <c r="G41" s="116">
        <v>1</v>
      </c>
      <c r="H41" s="137">
        <v>559</v>
      </c>
    </row>
    <row r="42" spans="1:8" ht="18" x14ac:dyDescent="0.3">
      <c r="A42" s="118">
        <v>45989</v>
      </c>
      <c r="B42" s="119" t="s">
        <v>25</v>
      </c>
      <c r="C42" s="120" t="s">
        <v>26</v>
      </c>
      <c r="D42" s="119" t="s">
        <v>1</v>
      </c>
      <c r="E42" s="121">
        <v>1.4201388888888891</v>
      </c>
      <c r="F42" s="119" t="s">
        <v>30</v>
      </c>
      <c r="G42" s="122">
        <v>1</v>
      </c>
      <c r="H42" s="123">
        <v>709</v>
      </c>
    </row>
    <row r="43" spans="1:8" ht="18" x14ac:dyDescent="0.3">
      <c r="A43" s="118">
        <v>45989</v>
      </c>
      <c r="B43" s="119" t="s">
        <v>25</v>
      </c>
      <c r="C43" s="120" t="s">
        <v>26</v>
      </c>
      <c r="D43" s="119" t="s">
        <v>1</v>
      </c>
      <c r="E43" s="121">
        <v>1.4201388888888891</v>
      </c>
      <c r="F43" s="119" t="s">
        <v>33</v>
      </c>
      <c r="G43" s="122">
        <v>1</v>
      </c>
      <c r="H43" s="119" t="s">
        <v>34</v>
      </c>
    </row>
    <row r="44" spans="1:8" ht="18" x14ac:dyDescent="0.3">
      <c r="A44" s="136">
        <v>45989</v>
      </c>
      <c r="B44" s="113" t="s">
        <v>55</v>
      </c>
      <c r="C44" s="114" t="s">
        <v>56</v>
      </c>
      <c r="D44" s="113" t="s">
        <v>1</v>
      </c>
      <c r="E44" s="115">
        <v>1.756944444444444</v>
      </c>
      <c r="F44" s="113" t="s">
        <v>60</v>
      </c>
      <c r="G44" s="116">
        <v>5</v>
      </c>
      <c r="H44" s="137">
        <v>639</v>
      </c>
    </row>
    <row r="45" spans="1:8" ht="18" x14ac:dyDescent="0.3">
      <c r="A45" s="118">
        <v>45989</v>
      </c>
      <c r="B45" s="119" t="s">
        <v>55</v>
      </c>
      <c r="C45" s="120" t="s">
        <v>56</v>
      </c>
      <c r="D45" s="119" t="s">
        <v>1</v>
      </c>
      <c r="E45" s="121">
        <v>1.756944444444444</v>
      </c>
      <c r="F45" s="119" t="s">
        <v>62</v>
      </c>
      <c r="G45" s="122">
        <v>5</v>
      </c>
      <c r="H45" s="123">
        <v>739</v>
      </c>
    </row>
    <row r="46" spans="1:8" ht="18" x14ac:dyDescent="0.3">
      <c r="A46" s="118">
        <v>45989</v>
      </c>
      <c r="B46" s="119" t="s">
        <v>55</v>
      </c>
      <c r="C46" s="120" t="s">
        <v>56</v>
      </c>
      <c r="D46" s="119" t="s">
        <v>1</v>
      </c>
      <c r="E46" s="121">
        <v>1.756944444444444</v>
      </c>
      <c r="F46" s="119" t="s">
        <v>64</v>
      </c>
      <c r="G46" s="122">
        <v>5</v>
      </c>
      <c r="H46" s="123">
        <v>829</v>
      </c>
    </row>
    <row r="47" spans="1:8" ht="18" x14ac:dyDescent="0.3">
      <c r="A47" s="136">
        <v>45989</v>
      </c>
      <c r="B47" s="113" t="s">
        <v>66</v>
      </c>
      <c r="C47" s="114" t="s">
        <v>67</v>
      </c>
      <c r="D47" s="113" t="s">
        <v>1</v>
      </c>
      <c r="E47" s="115">
        <v>1.1076388888888891</v>
      </c>
      <c r="F47" s="113" t="s">
        <v>68</v>
      </c>
      <c r="G47" s="116">
        <v>9</v>
      </c>
      <c r="H47" s="137">
        <v>682</v>
      </c>
    </row>
    <row r="48" spans="1:8" ht="18" x14ac:dyDescent="0.3">
      <c r="A48" s="136">
        <v>45989</v>
      </c>
      <c r="B48" s="113" t="s">
        <v>78</v>
      </c>
      <c r="C48" s="114" t="s">
        <v>84</v>
      </c>
      <c r="D48" s="113" t="s">
        <v>1</v>
      </c>
      <c r="E48" s="115">
        <v>1.604166666666667</v>
      </c>
      <c r="F48" s="113" t="s">
        <v>87</v>
      </c>
      <c r="G48" s="116">
        <v>9</v>
      </c>
      <c r="H48" s="113" t="s">
        <v>100</v>
      </c>
    </row>
    <row r="49" spans="1:8" ht="18" x14ac:dyDescent="0.3">
      <c r="A49" s="118">
        <v>45989</v>
      </c>
      <c r="B49" s="119" t="s">
        <v>78</v>
      </c>
      <c r="C49" s="120" t="s">
        <v>84</v>
      </c>
      <c r="D49" s="119" t="s">
        <v>1</v>
      </c>
      <c r="E49" s="121">
        <v>1.604166666666667</v>
      </c>
      <c r="F49" s="119" t="s">
        <v>82</v>
      </c>
      <c r="G49" s="122">
        <v>9</v>
      </c>
      <c r="H49" s="119" t="s">
        <v>101</v>
      </c>
    </row>
    <row r="50" spans="1:8" ht="18" x14ac:dyDescent="0.3">
      <c r="A50" s="149">
        <v>45989</v>
      </c>
      <c r="B50" s="150" t="s">
        <v>78</v>
      </c>
      <c r="C50" s="151" t="s">
        <v>93</v>
      </c>
      <c r="D50" s="150" t="s">
        <v>1</v>
      </c>
      <c r="E50" s="152">
        <v>1.086805555555556</v>
      </c>
      <c r="F50" s="150" t="s">
        <v>87</v>
      </c>
      <c r="G50" s="153">
        <v>9</v>
      </c>
      <c r="H50" s="150" t="s">
        <v>100</v>
      </c>
    </row>
    <row r="51" spans="1:8" ht="15.6" x14ac:dyDescent="0.3">
      <c r="A51" s="189"/>
      <c r="B51" s="189"/>
      <c r="C51" s="189"/>
      <c r="D51" s="189"/>
      <c r="E51" s="190" t="s">
        <v>287</v>
      </c>
      <c r="F51" s="189"/>
      <c r="G51" s="189"/>
      <c r="H51" s="3"/>
    </row>
    <row r="52" spans="1:8" ht="18" x14ac:dyDescent="0.3">
      <c r="A52" s="112">
        <v>45990</v>
      </c>
      <c r="B52" s="113" t="s">
        <v>25</v>
      </c>
      <c r="C52" s="114" t="s">
        <v>26</v>
      </c>
      <c r="D52" s="113" t="s">
        <v>1</v>
      </c>
      <c r="E52" s="115">
        <v>1.4201388888888891</v>
      </c>
      <c r="F52" s="113" t="s">
        <v>27</v>
      </c>
      <c r="G52" s="116">
        <v>8</v>
      </c>
      <c r="H52" s="117">
        <v>619</v>
      </c>
    </row>
    <row r="53" spans="1:8" ht="18" x14ac:dyDescent="0.3">
      <c r="A53" s="118">
        <v>45990</v>
      </c>
      <c r="B53" s="119" t="s">
        <v>25</v>
      </c>
      <c r="C53" s="120" t="s">
        <v>26</v>
      </c>
      <c r="D53" s="119" t="s">
        <v>1</v>
      </c>
      <c r="E53" s="121">
        <v>1.4201388888888891</v>
      </c>
      <c r="F53" s="119" t="s">
        <v>30</v>
      </c>
      <c r="G53" s="122">
        <v>8</v>
      </c>
      <c r="H53" s="123">
        <v>769</v>
      </c>
    </row>
    <row r="54" spans="1:8" ht="18" x14ac:dyDescent="0.3">
      <c r="A54" s="118">
        <v>45990</v>
      </c>
      <c r="B54" s="119" t="s">
        <v>25</v>
      </c>
      <c r="C54" s="120" t="s">
        <v>26</v>
      </c>
      <c r="D54" s="119" t="s">
        <v>1</v>
      </c>
      <c r="E54" s="121">
        <v>1.4201388888888891</v>
      </c>
      <c r="F54" s="119" t="s">
        <v>33</v>
      </c>
      <c r="G54" s="122">
        <v>8</v>
      </c>
      <c r="H54" s="119" t="s">
        <v>34</v>
      </c>
    </row>
    <row r="55" spans="1:8" ht="18" x14ac:dyDescent="0.3">
      <c r="A55" s="136">
        <v>45990</v>
      </c>
      <c r="B55" s="113" t="s">
        <v>55</v>
      </c>
      <c r="C55" s="114" t="s">
        <v>112</v>
      </c>
      <c r="D55" s="113" t="s">
        <v>1</v>
      </c>
      <c r="E55" s="115">
        <v>1.354166666666667</v>
      </c>
      <c r="F55" s="113" t="s">
        <v>60</v>
      </c>
      <c r="G55" s="116">
        <v>6</v>
      </c>
      <c r="H55" s="137">
        <v>639</v>
      </c>
    </row>
    <row r="56" spans="1:8" ht="18" x14ac:dyDescent="0.3">
      <c r="A56" s="118">
        <v>45990</v>
      </c>
      <c r="B56" s="119" t="s">
        <v>55</v>
      </c>
      <c r="C56" s="120" t="s">
        <v>112</v>
      </c>
      <c r="D56" s="119" t="s">
        <v>1</v>
      </c>
      <c r="E56" s="121">
        <v>1.354166666666667</v>
      </c>
      <c r="F56" s="119" t="s">
        <v>62</v>
      </c>
      <c r="G56" s="122">
        <v>6</v>
      </c>
      <c r="H56" s="123">
        <v>739</v>
      </c>
    </row>
    <row r="57" spans="1:8" ht="18" x14ac:dyDescent="0.3">
      <c r="A57" s="118">
        <v>45990</v>
      </c>
      <c r="B57" s="119" t="s">
        <v>55</v>
      </c>
      <c r="C57" s="120" t="s">
        <v>112</v>
      </c>
      <c r="D57" s="119" t="s">
        <v>1</v>
      </c>
      <c r="E57" s="121">
        <v>1.354166666666667</v>
      </c>
      <c r="F57" s="119" t="s">
        <v>64</v>
      </c>
      <c r="G57" s="122">
        <v>6</v>
      </c>
      <c r="H57" s="123">
        <v>829</v>
      </c>
    </row>
    <row r="58" spans="1:8" ht="18" x14ac:dyDescent="0.3">
      <c r="A58" s="138">
        <v>45990</v>
      </c>
      <c r="B58" s="139" t="s">
        <v>55</v>
      </c>
      <c r="C58" s="140" t="s">
        <v>56</v>
      </c>
      <c r="D58" s="139" t="s">
        <v>1</v>
      </c>
      <c r="E58" s="141">
        <v>1.756944444444444</v>
      </c>
      <c r="F58" s="139" t="s">
        <v>60</v>
      </c>
      <c r="G58" s="142">
        <v>7</v>
      </c>
      <c r="H58" s="139" t="s">
        <v>126</v>
      </c>
    </row>
    <row r="59" spans="1:8" ht="18" x14ac:dyDescent="0.3">
      <c r="A59" s="118">
        <v>45990</v>
      </c>
      <c r="B59" s="119" t="s">
        <v>55</v>
      </c>
      <c r="C59" s="120" t="s">
        <v>56</v>
      </c>
      <c r="D59" s="119" t="s">
        <v>1</v>
      </c>
      <c r="E59" s="121">
        <v>1.756944444444444</v>
      </c>
      <c r="F59" s="119" t="s">
        <v>62</v>
      </c>
      <c r="G59" s="122">
        <v>7</v>
      </c>
      <c r="H59" s="119" t="s">
        <v>127</v>
      </c>
    </row>
    <row r="60" spans="1:8" ht="18" x14ac:dyDescent="0.3">
      <c r="A60" s="118">
        <v>45990</v>
      </c>
      <c r="B60" s="119" t="s">
        <v>55</v>
      </c>
      <c r="C60" s="120" t="s">
        <v>56</v>
      </c>
      <c r="D60" s="119" t="s">
        <v>1</v>
      </c>
      <c r="E60" s="121">
        <v>1.756944444444444</v>
      </c>
      <c r="F60" s="119" t="s">
        <v>64</v>
      </c>
      <c r="G60" s="122">
        <v>7</v>
      </c>
      <c r="H60" s="119" t="s">
        <v>128</v>
      </c>
    </row>
    <row r="61" spans="1:8" ht="18" x14ac:dyDescent="0.3">
      <c r="A61" s="194">
        <v>45990</v>
      </c>
      <c r="B61" s="195" t="s">
        <v>78</v>
      </c>
      <c r="C61" s="196" t="s">
        <v>79</v>
      </c>
      <c r="D61" s="195" t="s">
        <v>1</v>
      </c>
      <c r="E61" s="197">
        <v>1.4201388888888891</v>
      </c>
      <c r="F61" s="195" t="s">
        <v>82</v>
      </c>
      <c r="G61" s="198">
        <v>4</v>
      </c>
      <c r="H61" s="195" t="s">
        <v>81</v>
      </c>
    </row>
    <row r="62" spans="1:8" ht="18" x14ac:dyDescent="0.3">
      <c r="A62" s="112">
        <v>45991</v>
      </c>
      <c r="B62" s="113" t="s">
        <v>66</v>
      </c>
      <c r="C62" s="114" t="s">
        <v>249</v>
      </c>
      <c r="D62" s="113" t="s">
        <v>226</v>
      </c>
      <c r="E62" s="115">
        <v>1.520833333333333</v>
      </c>
      <c r="F62" s="113" t="s">
        <v>68</v>
      </c>
      <c r="G62" s="116">
        <v>1</v>
      </c>
      <c r="H62" s="193" t="s">
        <v>261</v>
      </c>
    </row>
    <row r="63" spans="1:8" ht="18" x14ac:dyDescent="0.3">
      <c r="A63" s="124">
        <v>45991</v>
      </c>
      <c r="B63" s="125" t="s">
        <v>35</v>
      </c>
      <c r="C63" s="126" t="s">
        <v>227</v>
      </c>
      <c r="D63" s="125" t="s">
        <v>226</v>
      </c>
      <c r="E63" s="127">
        <v>1.4027777777777779</v>
      </c>
      <c r="F63" s="125" t="s">
        <v>37</v>
      </c>
      <c r="G63" s="128">
        <v>9</v>
      </c>
      <c r="H63" s="125" t="s">
        <v>119</v>
      </c>
    </row>
    <row r="64" spans="1:8" ht="15.6" x14ac:dyDescent="0.3">
      <c r="A64" s="189"/>
      <c r="B64" s="189"/>
      <c r="C64" s="189"/>
      <c r="D64" s="189"/>
      <c r="E64" s="190" t="s">
        <v>287</v>
      </c>
      <c r="F64" s="189"/>
      <c r="G64" s="189"/>
      <c r="H64" s="3"/>
    </row>
    <row r="65" spans="1:8" ht="18" x14ac:dyDescent="0.3">
      <c r="A65" s="136">
        <v>45991</v>
      </c>
      <c r="B65" s="113" t="s">
        <v>25</v>
      </c>
      <c r="C65" s="114" t="s">
        <v>26</v>
      </c>
      <c r="D65" s="113" t="s">
        <v>1</v>
      </c>
      <c r="E65" s="115">
        <v>1.4201388888888891</v>
      </c>
      <c r="F65" s="113" t="s">
        <v>27</v>
      </c>
      <c r="G65" s="116">
        <v>3</v>
      </c>
      <c r="H65" s="137">
        <v>619</v>
      </c>
    </row>
    <row r="66" spans="1:8" ht="18" x14ac:dyDescent="0.3">
      <c r="A66" s="118">
        <v>45991</v>
      </c>
      <c r="B66" s="119" t="s">
        <v>25</v>
      </c>
      <c r="C66" s="120" t="s">
        <v>26</v>
      </c>
      <c r="D66" s="119" t="s">
        <v>1</v>
      </c>
      <c r="E66" s="121">
        <v>1.4201388888888891</v>
      </c>
      <c r="F66" s="119" t="s">
        <v>30</v>
      </c>
      <c r="G66" s="122">
        <v>3</v>
      </c>
      <c r="H66" s="123">
        <v>769</v>
      </c>
    </row>
    <row r="67" spans="1:8" ht="18" x14ac:dyDescent="0.3">
      <c r="A67" s="118">
        <v>45991</v>
      </c>
      <c r="B67" s="119" t="s">
        <v>25</v>
      </c>
      <c r="C67" s="120" t="s">
        <v>26</v>
      </c>
      <c r="D67" s="119" t="s">
        <v>1</v>
      </c>
      <c r="E67" s="121">
        <v>1.4201388888888891</v>
      </c>
      <c r="F67" s="119" t="s">
        <v>33</v>
      </c>
      <c r="G67" s="122">
        <v>3</v>
      </c>
      <c r="H67" s="119" t="s">
        <v>34</v>
      </c>
    </row>
    <row r="68" spans="1:8" ht="18" x14ac:dyDescent="0.3">
      <c r="A68" s="136">
        <v>45991</v>
      </c>
      <c r="B68" s="113" t="s">
        <v>55</v>
      </c>
      <c r="C68" s="114" t="s">
        <v>56</v>
      </c>
      <c r="D68" s="113" t="s">
        <v>1</v>
      </c>
      <c r="E68" s="115">
        <v>1.756944444444444</v>
      </c>
      <c r="F68" s="113" t="s">
        <v>60</v>
      </c>
      <c r="G68" s="116">
        <v>1</v>
      </c>
      <c r="H68" s="137">
        <v>749</v>
      </c>
    </row>
    <row r="69" spans="1:8" ht="18" x14ac:dyDescent="0.3">
      <c r="A69" s="118">
        <v>45991</v>
      </c>
      <c r="B69" s="119" t="s">
        <v>55</v>
      </c>
      <c r="C69" s="120" t="s">
        <v>56</v>
      </c>
      <c r="D69" s="119" t="s">
        <v>1</v>
      </c>
      <c r="E69" s="121">
        <v>1.756944444444444</v>
      </c>
      <c r="F69" s="119" t="s">
        <v>62</v>
      </c>
      <c r="G69" s="122">
        <v>1</v>
      </c>
      <c r="H69" s="123">
        <v>849</v>
      </c>
    </row>
    <row r="70" spans="1:8" ht="18" x14ac:dyDescent="0.3">
      <c r="A70" s="118">
        <v>45991</v>
      </c>
      <c r="B70" s="119" t="s">
        <v>55</v>
      </c>
      <c r="C70" s="120" t="s">
        <v>56</v>
      </c>
      <c r="D70" s="119" t="s">
        <v>1</v>
      </c>
      <c r="E70" s="121">
        <v>1.756944444444444</v>
      </c>
      <c r="F70" s="119" t="s">
        <v>64</v>
      </c>
      <c r="G70" s="122">
        <v>1</v>
      </c>
      <c r="H70" s="123">
        <v>939</v>
      </c>
    </row>
    <row r="71" spans="1:8" ht="18" x14ac:dyDescent="0.3">
      <c r="A71" s="124">
        <v>45991</v>
      </c>
      <c r="B71" s="125" t="s">
        <v>35</v>
      </c>
      <c r="C71" s="126" t="s">
        <v>49</v>
      </c>
      <c r="D71" s="125" t="s">
        <v>1</v>
      </c>
      <c r="E71" s="127">
        <v>1.9027777777777779</v>
      </c>
      <c r="F71" s="125" t="s">
        <v>37</v>
      </c>
      <c r="G71" s="128">
        <v>5</v>
      </c>
      <c r="H71" s="125" t="s">
        <v>140</v>
      </c>
    </row>
    <row r="72" spans="1:8" ht="18" x14ac:dyDescent="0.3">
      <c r="A72" s="136">
        <v>45991</v>
      </c>
      <c r="B72" s="113" t="s">
        <v>78</v>
      </c>
      <c r="C72" s="114" t="s">
        <v>84</v>
      </c>
      <c r="D72" s="113" t="s">
        <v>1</v>
      </c>
      <c r="E72" s="115">
        <v>1.604166666666667</v>
      </c>
      <c r="F72" s="113" t="s">
        <v>87</v>
      </c>
      <c r="G72" s="116">
        <v>9</v>
      </c>
      <c r="H72" s="113" t="s">
        <v>100</v>
      </c>
    </row>
    <row r="73" spans="1:8" ht="18" x14ac:dyDescent="0.3">
      <c r="A73" s="118">
        <v>45991</v>
      </c>
      <c r="B73" s="119" t="s">
        <v>78</v>
      </c>
      <c r="C73" s="120" t="s">
        <v>84</v>
      </c>
      <c r="D73" s="119" t="s">
        <v>1</v>
      </c>
      <c r="E73" s="121">
        <v>1.604166666666667</v>
      </c>
      <c r="F73" s="119" t="s">
        <v>82</v>
      </c>
      <c r="G73" s="122">
        <v>9</v>
      </c>
      <c r="H73" s="119" t="s">
        <v>101</v>
      </c>
    </row>
    <row r="74" spans="1:8" ht="18" x14ac:dyDescent="0.3">
      <c r="A74" s="149">
        <v>45991</v>
      </c>
      <c r="B74" s="150" t="s">
        <v>78</v>
      </c>
      <c r="C74" s="151" t="s">
        <v>79</v>
      </c>
      <c r="D74" s="150" t="s">
        <v>1</v>
      </c>
      <c r="E74" s="152">
        <v>1.4201388888888891</v>
      </c>
      <c r="F74" s="150" t="s">
        <v>82</v>
      </c>
      <c r="G74" s="153">
        <v>4</v>
      </c>
      <c r="H74" s="150" t="s">
        <v>81</v>
      </c>
    </row>
  </sheetData>
  <dataValidations count="7">
    <dataValidation type="custom" allowBlank="1" showInputMessage="1" promptTitle="LOAD FACTOR ANALYSIS" prompt="SM-486_x000d__x000a_LF 99.4%_x000d__x000a_SOLD 178_x000d__x000a_LST-SOLD 23NOV_x000d__x000a_WEEKLY 15_x000d__x000a_TO-DAY NIL_x000d__x000a_Y-DAY 2_x000d__x000a_LOWEST AVAIL B1_x000d__x000a_CAPACITY 179_x000d__x000a_CLASSES B1 &amp; H1 &amp; Q3 &amp; +5 more" sqref="A2 B2 C2 D2 E2 F2 G2 H2" xr:uid="{00000000-0002-0000-0600-000000000000}">
      <formula1>TRUE</formula1>
    </dataValidation>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6 B6 C6 D6 E6 F6 G6 H6" xr:uid="{00000000-0002-0000-0600-000001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7 B7 C7 D7 E7 F7 G7 H7" xr:uid="{00000000-0002-0000-0600-000002000000}">
      <formula1>TRUE</formula1>
    </dataValidation>
    <dataValidation type="custom" allowBlank="1" showInputMessage="1" promptTitle="LOAD FACTOR ANALYSIS" prompt="SM-486_x000d__x000a_LF 94.4%_x000d__x000a_SOLD 169_x000d__x000a_LST-SOLD 20NOV_x000d__x000a_WEEKLY 2_x000d__x000a_TO-DAY NIL_x000d__x000a_Y-DAY NIL_x000d__x000a_LOWEST AVAIL H5_x000d__x000a_CAPACITY 179_x000d__x000a_CLASSES Q3 &amp; S2 &amp; X7 &amp; +4 more" sqref="A14 B14 C14 D14 E14 F14 G14 H14" xr:uid="{00000000-0002-0000-0600-000003000000}">
      <formula1>TRUE</formula1>
    </dataValidation>
    <dataValidation type="custom" allowBlank="1" showInputMessage="1" promptTitle="LOAD FACTOR ANALYSIS" prompt="SM-486_x000d__x000a_LF 97.8%_x000d__x000a_SOLD 175_x000d__x000a_LST-SOLD 20NOV_x000d__x000a_WEEKLY 4_x000d__x000a_TO-DAY NIL_x000d__x000a_Y-DAY NIL_x000d__x000a_LOWEST AVAIL M4_x000d__x000a_CAPACITY 179_x000d__x000a_CLASSES V1 &amp; L6 &amp; S29 &amp; +3 more" sqref="A27 B27 C27 D27 E27 F27 G27 H27" xr:uid="{00000000-0002-0000-0600-000004000000}">
      <formula1>TRUE</formula1>
    </dataValidation>
    <dataValidation type="custom" allowBlank="1" showInputMessage="1" promptTitle="LOAD FACTOR ANALYSIS" prompt="SM-486_x000d__x000a_LF 95.0%_x000d__x000a_SOLD 170_x000d__x000a_LST-SOLD 20NOV_x000d__x000a_WEEKLY 5_x000d__x000a_TO-DAY NIL_x000d__x000a_Y-DAY NIL_x000d__x000a_LOWEST AVAIL B9_x000d__x000a_CAPACITY 179_x000d__x000a_CLASSES H3 &amp; S14 &amp; X9 &amp; +1 more" sqref="A63 B63 C63 D63 E63 F63 G63 H63" xr:uid="{00000000-0002-0000-0600-000005000000}">
      <formula1>TRUE</formula1>
    </dataValidation>
    <dataValidation type="custom" allowBlank="1" showInputMessage="1" promptTitle="LOAD FACTOR ANALYSIS" prompt="SM-494_x000d__x000a_LF -_x000d__x000a_SOLD -_x000d__x000a_LST-SOLD -_x000d__x000a_WEEKLY -_x000d__x000a_TO-DAY -_x000d__x000a_Y-DAY -_x000d__x000a_LOWEST AVAIL -_x000d__x000a_CAPACITY -_x000d__x000a_CLASSES -" sqref="A71 B71 C71 D71 E71 F71 G71 H71" xr:uid="{00000000-0002-0000-0600-000006000000}">
      <formula1>TRUE</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33"/>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9.44140625" bestFit="1" customWidth="1"/>
  </cols>
  <sheetData>
    <row r="1" spans="1:92" ht="28.8" customHeight="1" x14ac:dyDescent="0.3">
      <c r="A1" s="305" t="s">
        <v>0</v>
      </c>
      <c r="B1" s="281"/>
      <c r="C1" s="281"/>
      <c r="D1" s="305" t="s">
        <v>288</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45985.360315766447</v>
      </c>
      <c r="H2" s="292"/>
      <c r="I2" s="292"/>
      <c r="J2" s="292"/>
      <c r="K2" s="303">
        <v>45985.360315767473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45987</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69" t="s">
        <v>35</v>
      </c>
      <c r="B6" s="169" t="s">
        <v>289</v>
      </c>
      <c r="C6" s="170">
        <v>0.61805555555555558</v>
      </c>
      <c r="D6" s="169" t="s">
        <v>37</v>
      </c>
      <c r="E6" s="169" t="s">
        <v>80</v>
      </c>
      <c r="F6" s="169" t="s">
        <v>290</v>
      </c>
      <c r="G6" s="284"/>
      <c r="H6" s="28" t="s">
        <v>291</v>
      </c>
      <c r="I6" s="199">
        <v>0.84519999999999995</v>
      </c>
      <c r="J6" s="30">
        <v>142</v>
      </c>
      <c r="K6" s="31">
        <v>45984</v>
      </c>
      <c r="L6" s="30">
        <v>39</v>
      </c>
      <c r="M6" s="30">
        <v>0</v>
      </c>
      <c r="N6" s="30">
        <v>5</v>
      </c>
      <c r="O6" s="32" t="s">
        <v>216</v>
      </c>
      <c r="P6" s="33">
        <v>0.61805555555555558</v>
      </c>
      <c r="Q6" s="30">
        <v>168</v>
      </c>
      <c r="R6" s="34" t="s">
        <v>292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6" t="s">
        <v>231</v>
      </c>
      <c r="B7" s="307"/>
      <c r="C7" s="307"/>
      <c r="D7" s="307"/>
      <c r="E7" s="307"/>
      <c r="F7" s="307"/>
      <c r="G7" s="285"/>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46" t="s">
        <v>78</v>
      </c>
      <c r="B8" s="46" t="s">
        <v>84</v>
      </c>
      <c r="C8" s="47" t="s">
        <v>245</v>
      </c>
      <c r="D8" s="46" t="s">
        <v>94</v>
      </c>
      <c r="E8" s="46" t="s">
        <v>246</v>
      </c>
      <c r="F8" s="46" t="s">
        <v>96</v>
      </c>
      <c r="G8" s="285"/>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46" t="s">
        <v>78</v>
      </c>
      <c r="B9" s="46" t="s">
        <v>84</v>
      </c>
      <c r="C9" s="47" t="s">
        <v>245</v>
      </c>
      <c r="D9" s="46" t="s">
        <v>87</v>
      </c>
      <c r="E9" s="46" t="s">
        <v>246</v>
      </c>
      <c r="F9" s="46" t="s">
        <v>98</v>
      </c>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46" t="s">
        <v>78</v>
      </c>
      <c r="B10" s="46" t="s">
        <v>84</v>
      </c>
      <c r="C10" s="47" t="s">
        <v>245</v>
      </c>
      <c r="D10" s="46" t="s">
        <v>82</v>
      </c>
      <c r="E10" s="46" t="s">
        <v>246</v>
      </c>
      <c r="F10" s="46" t="s">
        <v>99</v>
      </c>
      <c r="G10" s="285"/>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46" t="s">
        <v>25</v>
      </c>
      <c r="B11" s="46" t="s">
        <v>26</v>
      </c>
      <c r="C11" s="47" t="s">
        <v>232</v>
      </c>
      <c r="D11" s="46" t="s">
        <v>27</v>
      </c>
      <c r="E11" s="46" t="s">
        <v>247</v>
      </c>
      <c r="F11" s="46" t="s">
        <v>104</v>
      </c>
      <c r="G11" s="285"/>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6" t="s">
        <v>55</v>
      </c>
      <c r="B12" s="46" t="s">
        <v>56</v>
      </c>
      <c r="C12" s="47" t="s">
        <v>236</v>
      </c>
      <c r="D12" s="46" t="s">
        <v>57</v>
      </c>
      <c r="E12" s="46" t="s">
        <v>248</v>
      </c>
      <c r="F12" s="46" t="s">
        <v>59</v>
      </c>
      <c r="G12" s="285"/>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46" t="s">
        <v>55</v>
      </c>
      <c r="B13" s="46" t="s">
        <v>56</v>
      </c>
      <c r="C13" s="47" t="s">
        <v>236</v>
      </c>
      <c r="D13" s="46" t="s">
        <v>60</v>
      </c>
      <c r="E13" s="46" t="s">
        <v>248</v>
      </c>
      <c r="F13" s="46" t="s">
        <v>59</v>
      </c>
      <c r="G13" s="285"/>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46" t="s">
        <v>55</v>
      </c>
      <c r="B14" s="46" t="s">
        <v>56</v>
      </c>
      <c r="C14" s="47" t="s">
        <v>236</v>
      </c>
      <c r="D14" s="46" t="s">
        <v>62</v>
      </c>
      <c r="E14" s="46" t="s">
        <v>248</v>
      </c>
      <c r="F14" s="46" t="s">
        <v>63</v>
      </c>
      <c r="G14" s="285"/>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46" t="s">
        <v>25</v>
      </c>
      <c r="B15" s="46" t="s">
        <v>26</v>
      </c>
      <c r="C15" s="47" t="s">
        <v>232</v>
      </c>
      <c r="D15" s="46" t="s">
        <v>30</v>
      </c>
      <c r="E15" s="46" t="s">
        <v>247</v>
      </c>
      <c r="F15" s="46" t="s">
        <v>106</v>
      </c>
      <c r="G15" s="285"/>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6" t="s">
        <v>25</v>
      </c>
      <c r="B16" s="46" t="s">
        <v>26</v>
      </c>
      <c r="C16" s="47" t="s">
        <v>232</v>
      </c>
      <c r="D16" s="46" t="s">
        <v>33</v>
      </c>
      <c r="E16" s="46" t="s">
        <v>247</v>
      </c>
      <c r="F16" s="46" t="s">
        <v>107</v>
      </c>
      <c r="G16" s="285"/>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61" t="s">
        <v>55</v>
      </c>
      <c r="B17" s="61" t="s">
        <v>56</v>
      </c>
      <c r="C17" s="62" t="s">
        <v>236</v>
      </c>
      <c r="D17" s="61" t="s">
        <v>64</v>
      </c>
      <c r="E17" s="61" t="s">
        <v>248</v>
      </c>
      <c r="F17" s="61" t="s">
        <v>65</v>
      </c>
      <c r="G17" s="286"/>
      <c r="H17" s="174"/>
      <c r="I17" s="174"/>
      <c r="J17" s="174"/>
      <c r="K17" s="174"/>
      <c r="L17" s="174"/>
      <c r="M17" s="174"/>
      <c r="N17" s="174"/>
      <c r="O17" s="175"/>
      <c r="P17" s="174"/>
      <c r="Q17" s="176"/>
      <c r="R17" s="17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88"/>
      <c r="B18" s="289"/>
      <c r="C18" s="289"/>
      <c r="D18" s="289"/>
      <c r="E18" s="289"/>
      <c r="F18" s="289"/>
      <c r="G18" s="289"/>
      <c r="H18" s="289"/>
      <c r="I18" s="289"/>
      <c r="J18" s="289"/>
      <c r="K18" s="289"/>
      <c r="L18" s="289"/>
      <c r="M18" s="289"/>
      <c r="N18" s="289"/>
      <c r="O18" s="289"/>
      <c r="P18" s="289"/>
      <c r="Q18" s="289"/>
      <c r="R18" s="2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2" t="s">
        <v>5</v>
      </c>
      <c r="B19" s="283"/>
      <c r="C19" s="283"/>
      <c r="D19" s="283"/>
      <c r="E19" s="283"/>
      <c r="F19" s="283"/>
      <c r="G19" s="5">
        <v>45990</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55" t="s">
        <v>7</v>
      </c>
      <c r="B20" s="55" t="s">
        <v>8</v>
      </c>
      <c r="C20" s="56" t="s">
        <v>9</v>
      </c>
      <c r="D20" s="55" t="s">
        <v>10</v>
      </c>
      <c r="E20" s="55" t="s">
        <v>11</v>
      </c>
      <c r="F20" s="55" t="s">
        <v>12</v>
      </c>
      <c r="G20" s="57" t="s">
        <v>13</v>
      </c>
      <c r="H20" s="55" t="s">
        <v>14</v>
      </c>
      <c r="I20" s="58" t="s">
        <v>15</v>
      </c>
      <c r="J20" s="59" t="s">
        <v>16</v>
      </c>
      <c r="K20" s="60" t="s">
        <v>17</v>
      </c>
      <c r="L20" s="59" t="s">
        <v>18</v>
      </c>
      <c r="M20" s="59" t="s">
        <v>19</v>
      </c>
      <c r="N20" s="59" t="s">
        <v>20</v>
      </c>
      <c r="O20" s="55" t="s">
        <v>21</v>
      </c>
      <c r="P20" s="56" t="s">
        <v>22</v>
      </c>
      <c r="Q20" s="59" t="s">
        <v>23</v>
      </c>
      <c r="R20" s="55"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69" t="s">
        <v>35</v>
      </c>
      <c r="B21" s="169" t="s">
        <v>36</v>
      </c>
      <c r="C21" s="170">
        <v>0.95486111111111116</v>
      </c>
      <c r="D21" s="169" t="s">
        <v>37</v>
      </c>
      <c r="E21" s="169" t="s">
        <v>38</v>
      </c>
      <c r="F21" s="169" t="s">
        <v>290</v>
      </c>
      <c r="G21" s="284"/>
      <c r="H21" s="28" t="s">
        <v>40</v>
      </c>
      <c r="I21" s="199">
        <v>0.57740000000000002</v>
      </c>
      <c r="J21" s="30">
        <v>97</v>
      </c>
      <c r="K21" s="31">
        <v>45985</v>
      </c>
      <c r="L21" s="30">
        <v>43</v>
      </c>
      <c r="M21" s="30">
        <v>1</v>
      </c>
      <c r="N21" s="30">
        <v>2</v>
      </c>
      <c r="O21" s="32" t="s">
        <v>285</v>
      </c>
      <c r="P21" s="33">
        <v>0.95486111111111116</v>
      </c>
      <c r="Q21" s="30">
        <v>168</v>
      </c>
      <c r="R21" s="34" t="s">
        <v>293</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306" t="s">
        <v>231</v>
      </c>
      <c r="B22" s="307"/>
      <c r="C22" s="307"/>
      <c r="D22" s="307"/>
      <c r="E22" s="307"/>
      <c r="F22" s="307"/>
      <c r="G22" s="285"/>
      <c r="H22" s="171"/>
      <c r="I22" s="171"/>
      <c r="J22" s="171"/>
      <c r="K22" s="171"/>
      <c r="L22" s="171"/>
      <c r="M22" s="171"/>
      <c r="N22" s="171"/>
      <c r="O22" s="172"/>
      <c r="P22" s="171"/>
      <c r="Q22" s="173"/>
      <c r="R22" s="17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46" t="s">
        <v>25</v>
      </c>
      <c r="B23" s="46" t="s">
        <v>26</v>
      </c>
      <c r="C23" s="47" t="s">
        <v>232</v>
      </c>
      <c r="D23" s="46" t="s">
        <v>27</v>
      </c>
      <c r="E23" s="46" t="s">
        <v>237</v>
      </c>
      <c r="F23" s="46" t="s">
        <v>104</v>
      </c>
      <c r="G23" s="285"/>
      <c r="H23" s="171"/>
      <c r="I23" s="171"/>
      <c r="J23" s="171"/>
      <c r="K23" s="171"/>
      <c r="L23" s="171"/>
      <c r="M23" s="171"/>
      <c r="N23" s="171"/>
      <c r="O23" s="172"/>
      <c r="P23" s="171"/>
      <c r="Q23" s="173"/>
      <c r="R23" s="17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46" t="s">
        <v>55</v>
      </c>
      <c r="B24" s="46" t="s">
        <v>112</v>
      </c>
      <c r="C24" s="47" t="s">
        <v>253</v>
      </c>
      <c r="D24" s="46" t="s">
        <v>60</v>
      </c>
      <c r="E24" s="46" t="s">
        <v>241</v>
      </c>
      <c r="F24" s="46" t="s">
        <v>59</v>
      </c>
      <c r="G24" s="285"/>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6" t="s">
        <v>55</v>
      </c>
      <c r="B25" s="46" t="s">
        <v>112</v>
      </c>
      <c r="C25" s="47" t="s">
        <v>253</v>
      </c>
      <c r="D25" s="46" t="s">
        <v>62</v>
      </c>
      <c r="E25" s="46" t="s">
        <v>241</v>
      </c>
      <c r="F25" s="46" t="s">
        <v>63</v>
      </c>
      <c r="G25" s="285"/>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46" t="s">
        <v>25</v>
      </c>
      <c r="B26" s="46" t="s">
        <v>26</v>
      </c>
      <c r="C26" s="47" t="s">
        <v>232</v>
      </c>
      <c r="D26" s="46" t="s">
        <v>30</v>
      </c>
      <c r="E26" s="46" t="s">
        <v>237</v>
      </c>
      <c r="F26" s="46" t="s">
        <v>106</v>
      </c>
      <c r="G26" s="285"/>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46" t="s">
        <v>55</v>
      </c>
      <c r="B27" s="46" t="s">
        <v>112</v>
      </c>
      <c r="C27" s="47" t="s">
        <v>253</v>
      </c>
      <c r="D27" s="46" t="s">
        <v>64</v>
      </c>
      <c r="E27" s="46" t="s">
        <v>241</v>
      </c>
      <c r="F27" s="46" t="s">
        <v>65</v>
      </c>
      <c r="G27" s="285"/>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46" t="s">
        <v>55</v>
      </c>
      <c r="B28" s="46" t="s">
        <v>56</v>
      </c>
      <c r="C28" s="47" t="s">
        <v>236</v>
      </c>
      <c r="D28" s="46" t="s">
        <v>60</v>
      </c>
      <c r="E28" s="46" t="s">
        <v>233</v>
      </c>
      <c r="F28" s="46" t="s">
        <v>126</v>
      </c>
      <c r="G28" s="285"/>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6" t="s">
        <v>25</v>
      </c>
      <c r="B29" s="46" t="s">
        <v>26</v>
      </c>
      <c r="C29" s="47" t="s">
        <v>232</v>
      </c>
      <c r="D29" s="46" t="s">
        <v>33</v>
      </c>
      <c r="E29" s="46" t="s">
        <v>237</v>
      </c>
      <c r="F29" s="46" t="s">
        <v>34</v>
      </c>
      <c r="G29" s="285"/>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46" t="s">
        <v>55</v>
      </c>
      <c r="B30" s="46" t="s">
        <v>56</v>
      </c>
      <c r="C30" s="47" t="s">
        <v>236</v>
      </c>
      <c r="D30" s="46" t="s">
        <v>62</v>
      </c>
      <c r="E30" s="46" t="s">
        <v>233</v>
      </c>
      <c r="F30" s="46" t="s">
        <v>127</v>
      </c>
      <c r="G30" s="285"/>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46" t="s">
        <v>55</v>
      </c>
      <c r="B31" s="46" t="s">
        <v>56</v>
      </c>
      <c r="C31" s="47" t="s">
        <v>236</v>
      </c>
      <c r="D31" s="46" t="s">
        <v>64</v>
      </c>
      <c r="E31" s="46" t="s">
        <v>233</v>
      </c>
      <c r="F31" s="46" t="s">
        <v>128</v>
      </c>
      <c r="G31" s="285"/>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61" t="s">
        <v>78</v>
      </c>
      <c r="B32" s="61" t="s">
        <v>79</v>
      </c>
      <c r="C32" s="62" t="s">
        <v>232</v>
      </c>
      <c r="D32" s="61" t="s">
        <v>82</v>
      </c>
      <c r="E32" s="61" t="s">
        <v>254</v>
      </c>
      <c r="F32" s="61" t="s">
        <v>81</v>
      </c>
      <c r="G32" s="286"/>
      <c r="H32" s="174"/>
      <c r="I32" s="174"/>
      <c r="J32" s="174"/>
      <c r="K32" s="174"/>
      <c r="L32" s="174"/>
      <c r="M32" s="174"/>
      <c r="N32" s="174"/>
      <c r="O32" s="175"/>
      <c r="P32" s="174"/>
      <c r="Q32" s="176"/>
      <c r="R32" s="17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88"/>
      <c r="B33" s="289"/>
      <c r="C33" s="289"/>
      <c r="D33" s="289"/>
      <c r="E33" s="289"/>
      <c r="F33" s="289"/>
      <c r="G33" s="289"/>
      <c r="H33" s="289"/>
      <c r="I33" s="289"/>
      <c r="J33" s="289"/>
      <c r="K33" s="289"/>
      <c r="L33" s="289"/>
      <c r="M33" s="289"/>
      <c r="N33" s="289"/>
      <c r="O33" s="289"/>
      <c r="P33" s="289"/>
      <c r="Q33" s="289"/>
      <c r="R33" s="29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sheetData>
  <mergeCells count="19">
    <mergeCell ref="A33:R33"/>
    <mergeCell ref="G21:G32"/>
    <mergeCell ref="A22:F22"/>
    <mergeCell ref="G2:J2"/>
    <mergeCell ref="A4:F4"/>
    <mergeCell ref="A19:F19"/>
    <mergeCell ref="K2:R2"/>
    <mergeCell ref="H19:R19"/>
    <mergeCell ref="G6:G17"/>
    <mergeCell ref="A7:F7"/>
    <mergeCell ref="O1:Q1"/>
    <mergeCell ref="H4:R4"/>
    <mergeCell ref="A18:R18"/>
    <mergeCell ref="A2:F2"/>
    <mergeCell ref="A3:R3"/>
    <mergeCell ref="J1:M1"/>
    <mergeCell ref="D1:F1"/>
    <mergeCell ref="A1:C1"/>
    <mergeCell ref="G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273</v>
      </c>
      <c r="B2" s="93">
        <v>45987</v>
      </c>
      <c r="C2" s="94" t="s">
        <v>291</v>
      </c>
      <c r="D2" s="95">
        <v>0.61805555555555558</v>
      </c>
      <c r="E2" s="94" t="s">
        <v>288</v>
      </c>
      <c r="F2" s="94" t="s">
        <v>174</v>
      </c>
      <c r="G2" s="96">
        <v>0.84519999999999995</v>
      </c>
      <c r="H2" s="97">
        <v>168</v>
      </c>
      <c r="I2" s="97">
        <v>142</v>
      </c>
      <c r="J2" s="97">
        <v>50</v>
      </c>
      <c r="K2" s="93">
        <v>45984</v>
      </c>
      <c r="L2" s="97">
        <v>0</v>
      </c>
      <c r="M2" s="97">
        <v>5</v>
      </c>
      <c r="N2" s="97">
        <v>39</v>
      </c>
      <c r="O2" s="94" t="s">
        <v>216</v>
      </c>
      <c r="P2" s="98"/>
      <c r="Q2" s="98"/>
      <c r="R2" s="98"/>
      <c r="S2" s="98"/>
      <c r="T2" s="98"/>
      <c r="U2" s="98"/>
      <c r="V2" s="98"/>
      <c r="W2" s="98"/>
      <c r="X2" s="98"/>
      <c r="Y2" s="97" t="s">
        <v>191</v>
      </c>
      <c r="Z2" s="98"/>
      <c r="AA2" s="98"/>
      <c r="AB2" s="97" t="s">
        <v>294</v>
      </c>
      <c r="AC2" s="97" t="s">
        <v>295</v>
      </c>
      <c r="AD2" s="97" t="s">
        <v>296</v>
      </c>
      <c r="AE2" s="97" t="s">
        <v>297</v>
      </c>
      <c r="AF2" s="98"/>
      <c r="AG2" s="98"/>
      <c r="AH2" s="97" t="s">
        <v>298</v>
      </c>
      <c r="AI2" s="98"/>
    </row>
    <row r="3" spans="1:35" ht="18" x14ac:dyDescent="0.3">
      <c r="A3" s="99" t="s">
        <v>205</v>
      </c>
      <c r="B3" s="100">
        <v>45990</v>
      </c>
      <c r="C3" s="101" t="s">
        <v>40</v>
      </c>
      <c r="D3" s="102">
        <v>0.95486111111111116</v>
      </c>
      <c r="E3" s="101" t="s">
        <v>288</v>
      </c>
      <c r="F3" s="101" t="s">
        <v>174</v>
      </c>
      <c r="G3" s="103">
        <v>0.57740000000000002</v>
      </c>
      <c r="H3" s="104">
        <v>168</v>
      </c>
      <c r="I3" s="104">
        <v>97</v>
      </c>
      <c r="J3" s="104">
        <v>0</v>
      </c>
      <c r="K3" s="100">
        <v>45985</v>
      </c>
      <c r="L3" s="104">
        <v>1</v>
      </c>
      <c r="M3" s="104">
        <v>2</v>
      </c>
      <c r="N3" s="104">
        <v>43</v>
      </c>
      <c r="O3" s="101" t="s">
        <v>285</v>
      </c>
      <c r="P3" s="105"/>
      <c r="Q3" s="105"/>
      <c r="R3" s="105"/>
      <c r="S3" s="105"/>
      <c r="T3" s="105"/>
      <c r="U3" s="105"/>
      <c r="V3" s="105"/>
      <c r="W3" s="105"/>
      <c r="X3" s="105"/>
      <c r="Y3" s="104" t="s">
        <v>299</v>
      </c>
      <c r="Z3" s="105"/>
      <c r="AA3" s="105"/>
      <c r="AB3" s="104" t="s">
        <v>285</v>
      </c>
      <c r="AC3" s="104" t="s">
        <v>300</v>
      </c>
      <c r="AD3" s="104" t="s">
        <v>301</v>
      </c>
      <c r="AE3" s="104" t="s">
        <v>302</v>
      </c>
      <c r="AF3" s="105"/>
      <c r="AG3" s="105"/>
      <c r="AH3" s="105"/>
      <c r="AI3" s="105"/>
    </row>
    <row r="4" spans="1:35" ht="18" x14ac:dyDescent="0.3">
      <c r="A4" s="106" t="s">
        <v>219</v>
      </c>
      <c r="B4" s="107"/>
      <c r="C4" s="108">
        <f>COUNTA(C2:C3)</f>
        <v>2</v>
      </c>
      <c r="D4" s="107"/>
      <c r="E4" s="107"/>
      <c r="F4" s="107"/>
      <c r="G4" s="109">
        <f>AVERAGE(G2:G3)</f>
        <v>0.71130000000000004</v>
      </c>
      <c r="H4" s="110">
        <f>SUM(H2:H3)</f>
        <v>336</v>
      </c>
      <c r="I4" s="110">
        <f>SUM(I2:I3)</f>
        <v>239</v>
      </c>
      <c r="J4" s="110">
        <f>SUM(J2:J3)</f>
        <v>50</v>
      </c>
      <c r="K4" s="107"/>
      <c r="L4" s="110">
        <f>SUM(L2:L3)</f>
        <v>1</v>
      </c>
      <c r="M4" s="110">
        <f>SUM(M2:M3)</f>
        <v>7</v>
      </c>
      <c r="N4" s="110">
        <f>SUM(N2:N3)</f>
        <v>82</v>
      </c>
      <c r="O4" s="107"/>
      <c r="P4" s="110">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10">
        <f t="shared" si="0"/>
        <v>0</v>
      </c>
      <c r="R4" s="110">
        <f t="shared" si="0"/>
        <v>0</v>
      </c>
      <c r="S4" s="110">
        <f t="shared" si="0"/>
        <v>0</v>
      </c>
      <c r="T4" s="110">
        <f t="shared" si="0"/>
        <v>0</v>
      </c>
      <c r="U4" s="110">
        <f t="shared" si="0"/>
        <v>0</v>
      </c>
      <c r="V4" s="110">
        <f t="shared" si="0"/>
        <v>0</v>
      </c>
      <c r="W4" s="110">
        <f t="shared" si="0"/>
        <v>0</v>
      </c>
      <c r="X4" s="110">
        <f t="shared" si="0"/>
        <v>0</v>
      </c>
      <c r="Y4" s="110">
        <f t="shared" si="0"/>
        <v>0</v>
      </c>
      <c r="Z4" s="110">
        <f t="shared" si="0"/>
        <v>0</v>
      </c>
      <c r="AA4" s="110">
        <f t="shared" si="0"/>
        <v>0</v>
      </c>
      <c r="AB4" s="110">
        <f t="shared" si="0"/>
        <v>0</v>
      </c>
      <c r="AC4" s="110">
        <f t="shared" si="0"/>
        <v>0</v>
      </c>
      <c r="AD4" s="110">
        <f t="shared" si="0"/>
        <v>0</v>
      </c>
      <c r="AE4" s="110">
        <f t="shared" si="0"/>
        <v>0</v>
      </c>
      <c r="AF4" s="110">
        <f t="shared" si="0"/>
        <v>0</v>
      </c>
      <c r="AG4" s="110">
        <f t="shared" si="0"/>
        <v>0</v>
      </c>
      <c r="AH4" s="110">
        <f t="shared" si="0"/>
        <v>0</v>
      </c>
      <c r="AI4" s="110">
        <f t="shared" si="0"/>
        <v>0</v>
      </c>
    </row>
  </sheetData>
  <autoFilter ref="A1:AI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9"/>
  <sheetViews>
    <sheetView workbookViewId="0"/>
  </sheetViews>
  <sheetFormatPr defaultRowHeight="14.4" x14ac:dyDescent="0.3"/>
  <cols>
    <col min="1" max="1" width="13" bestFit="1" customWidth="1"/>
    <col min="2" max="2" width="12.109375" bestFit="1" customWidth="1"/>
    <col min="3" max="3" width="16.109375" bestFit="1" customWidth="1"/>
    <col min="4" max="4" width="11.77734375" bestFit="1" customWidth="1"/>
    <col min="5" max="5" width="33.21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5.6" x14ac:dyDescent="0.3">
      <c r="A2" s="189"/>
      <c r="B2" s="189"/>
      <c r="C2" s="189"/>
      <c r="D2" s="189"/>
      <c r="E2" s="190" t="s">
        <v>287</v>
      </c>
      <c r="F2" s="189"/>
      <c r="G2" s="189"/>
      <c r="H2" s="3"/>
    </row>
    <row r="3" spans="1:8" ht="18" x14ac:dyDescent="0.3">
      <c r="A3" s="112">
        <v>45986</v>
      </c>
      <c r="B3" s="113" t="s">
        <v>25</v>
      </c>
      <c r="C3" s="114" t="s">
        <v>26</v>
      </c>
      <c r="D3" s="113" t="s">
        <v>1</v>
      </c>
      <c r="E3" s="115">
        <v>1.4201388888888891</v>
      </c>
      <c r="F3" s="113" t="s">
        <v>27</v>
      </c>
      <c r="G3" s="116">
        <v>7</v>
      </c>
      <c r="H3" s="117">
        <v>559</v>
      </c>
    </row>
    <row r="4" spans="1:8" ht="18" x14ac:dyDescent="0.3">
      <c r="A4" s="118">
        <v>45986</v>
      </c>
      <c r="B4" s="119" t="s">
        <v>25</v>
      </c>
      <c r="C4" s="120" t="s">
        <v>26</v>
      </c>
      <c r="D4" s="119" t="s">
        <v>1</v>
      </c>
      <c r="E4" s="121">
        <v>1.4201388888888891</v>
      </c>
      <c r="F4" s="119" t="s">
        <v>30</v>
      </c>
      <c r="G4" s="122">
        <v>7</v>
      </c>
      <c r="H4" s="123">
        <v>709</v>
      </c>
    </row>
    <row r="5" spans="1:8" ht="18" x14ac:dyDescent="0.3">
      <c r="A5" s="124">
        <v>45986</v>
      </c>
      <c r="B5" s="125" t="s">
        <v>35</v>
      </c>
      <c r="C5" s="126" t="s">
        <v>36</v>
      </c>
      <c r="D5" s="125" t="s">
        <v>1</v>
      </c>
      <c r="E5" s="127">
        <v>1.2777777777777779</v>
      </c>
      <c r="F5" s="125" t="s">
        <v>37</v>
      </c>
      <c r="G5" s="128">
        <v>9</v>
      </c>
      <c r="H5" s="129">
        <v>620</v>
      </c>
    </row>
    <row r="6" spans="1:8" ht="18" x14ac:dyDescent="0.3">
      <c r="A6" s="130">
        <v>45986</v>
      </c>
      <c r="B6" s="131" t="s">
        <v>35</v>
      </c>
      <c r="C6" s="132" t="s">
        <v>43</v>
      </c>
      <c r="D6" s="131" t="s">
        <v>1</v>
      </c>
      <c r="E6" s="133">
        <v>1.0486111111111109</v>
      </c>
      <c r="F6" s="131" t="s">
        <v>37</v>
      </c>
      <c r="G6" s="134">
        <v>8</v>
      </c>
      <c r="H6" s="135">
        <v>914</v>
      </c>
    </row>
    <row r="7" spans="1:8" ht="18" x14ac:dyDescent="0.3">
      <c r="A7" s="136">
        <v>45986</v>
      </c>
      <c r="B7" s="113" t="s">
        <v>55</v>
      </c>
      <c r="C7" s="114" t="s">
        <v>56</v>
      </c>
      <c r="D7" s="113" t="s">
        <v>1</v>
      </c>
      <c r="E7" s="115">
        <v>1.756944444444444</v>
      </c>
      <c r="F7" s="113" t="s">
        <v>57</v>
      </c>
      <c r="G7" s="116">
        <v>8</v>
      </c>
      <c r="H7" s="137">
        <v>639</v>
      </c>
    </row>
    <row r="8" spans="1:8" ht="18" x14ac:dyDescent="0.3">
      <c r="A8" s="118">
        <v>45986</v>
      </c>
      <c r="B8" s="119" t="s">
        <v>55</v>
      </c>
      <c r="C8" s="120" t="s">
        <v>56</v>
      </c>
      <c r="D8" s="119" t="s">
        <v>1</v>
      </c>
      <c r="E8" s="121">
        <v>1.756944444444444</v>
      </c>
      <c r="F8" s="119" t="s">
        <v>60</v>
      </c>
      <c r="G8" s="122">
        <v>8</v>
      </c>
      <c r="H8" s="123">
        <v>639</v>
      </c>
    </row>
    <row r="9" spans="1:8" ht="18" x14ac:dyDescent="0.3">
      <c r="A9" s="118">
        <v>45986</v>
      </c>
      <c r="B9" s="119" t="s">
        <v>55</v>
      </c>
      <c r="C9" s="120" t="s">
        <v>56</v>
      </c>
      <c r="D9" s="119" t="s">
        <v>1</v>
      </c>
      <c r="E9" s="121">
        <v>1.756944444444444</v>
      </c>
      <c r="F9" s="119" t="s">
        <v>62</v>
      </c>
      <c r="G9" s="122">
        <v>8</v>
      </c>
      <c r="H9" s="123">
        <v>739</v>
      </c>
    </row>
    <row r="10" spans="1:8" ht="18" x14ac:dyDescent="0.3">
      <c r="A10" s="118">
        <v>45986</v>
      </c>
      <c r="B10" s="119" t="s">
        <v>55</v>
      </c>
      <c r="C10" s="120" t="s">
        <v>56</v>
      </c>
      <c r="D10" s="119" t="s">
        <v>1</v>
      </c>
      <c r="E10" s="121">
        <v>1.756944444444444</v>
      </c>
      <c r="F10" s="119" t="s">
        <v>64</v>
      </c>
      <c r="G10" s="122">
        <v>8</v>
      </c>
      <c r="H10" s="123">
        <v>829</v>
      </c>
    </row>
    <row r="11" spans="1:8" ht="18" x14ac:dyDescent="0.3">
      <c r="A11" s="136">
        <v>45986</v>
      </c>
      <c r="B11" s="113" t="s">
        <v>66</v>
      </c>
      <c r="C11" s="114" t="s">
        <v>67</v>
      </c>
      <c r="D11" s="113" t="s">
        <v>1</v>
      </c>
      <c r="E11" s="115">
        <v>1.0972222222222221</v>
      </c>
      <c r="F11" s="113" t="s">
        <v>68</v>
      </c>
      <c r="G11" s="116">
        <v>9</v>
      </c>
      <c r="H11" s="137">
        <v>866</v>
      </c>
    </row>
    <row r="12" spans="1:8" ht="18" x14ac:dyDescent="0.3">
      <c r="A12" s="149">
        <v>45986</v>
      </c>
      <c r="B12" s="150" t="s">
        <v>66</v>
      </c>
      <c r="C12" s="151" t="s">
        <v>70</v>
      </c>
      <c r="D12" s="150" t="s">
        <v>1</v>
      </c>
      <c r="E12" s="152">
        <v>1.493055555555556</v>
      </c>
      <c r="F12" s="150" t="s">
        <v>68</v>
      </c>
      <c r="G12" s="153">
        <v>6</v>
      </c>
      <c r="H12" s="191">
        <v>962</v>
      </c>
    </row>
    <row r="13" spans="1:8" ht="18" x14ac:dyDescent="0.3">
      <c r="A13" s="187">
        <v>45987</v>
      </c>
      <c r="B13" s="125" t="s">
        <v>35</v>
      </c>
      <c r="C13" s="126" t="s">
        <v>289</v>
      </c>
      <c r="D13" s="125" t="s">
        <v>288</v>
      </c>
      <c r="E13" s="127">
        <v>1.618055555555556</v>
      </c>
      <c r="F13" s="125" t="s">
        <v>37</v>
      </c>
      <c r="G13" s="128">
        <v>4</v>
      </c>
      <c r="H13" s="200">
        <v>500</v>
      </c>
    </row>
    <row r="14" spans="1:8" ht="15.6" x14ac:dyDescent="0.3">
      <c r="A14" s="189"/>
      <c r="B14" s="189"/>
      <c r="C14" s="189"/>
      <c r="D14" s="189"/>
      <c r="E14" s="190" t="s">
        <v>287</v>
      </c>
      <c r="F14" s="189"/>
      <c r="G14" s="189"/>
      <c r="H14" s="3"/>
    </row>
    <row r="15" spans="1:8" ht="18" x14ac:dyDescent="0.3">
      <c r="A15" s="136">
        <v>45987</v>
      </c>
      <c r="B15" s="113" t="s">
        <v>78</v>
      </c>
      <c r="C15" s="114" t="s">
        <v>84</v>
      </c>
      <c r="D15" s="113" t="s">
        <v>1</v>
      </c>
      <c r="E15" s="115">
        <v>1.604166666666667</v>
      </c>
      <c r="F15" s="113" t="s">
        <v>94</v>
      </c>
      <c r="G15" s="116">
        <v>2</v>
      </c>
      <c r="H15" s="137">
        <v>398</v>
      </c>
    </row>
    <row r="16" spans="1:8" ht="18" x14ac:dyDescent="0.3">
      <c r="A16" s="118">
        <v>45987</v>
      </c>
      <c r="B16" s="119" t="s">
        <v>78</v>
      </c>
      <c r="C16" s="120" t="s">
        <v>84</v>
      </c>
      <c r="D16" s="119" t="s">
        <v>1</v>
      </c>
      <c r="E16" s="121">
        <v>1.604166666666667</v>
      </c>
      <c r="F16" s="119" t="s">
        <v>87</v>
      </c>
      <c r="G16" s="122">
        <v>2</v>
      </c>
      <c r="H16" s="123">
        <v>490</v>
      </c>
    </row>
    <row r="17" spans="1:8" ht="18" x14ac:dyDescent="0.3">
      <c r="A17" s="118">
        <v>45987</v>
      </c>
      <c r="B17" s="119" t="s">
        <v>78</v>
      </c>
      <c r="C17" s="120" t="s">
        <v>84</v>
      </c>
      <c r="D17" s="119" t="s">
        <v>1</v>
      </c>
      <c r="E17" s="121">
        <v>1.604166666666667</v>
      </c>
      <c r="F17" s="119" t="s">
        <v>82</v>
      </c>
      <c r="G17" s="122">
        <v>2</v>
      </c>
      <c r="H17" s="123">
        <v>575</v>
      </c>
    </row>
    <row r="18" spans="1:8" ht="18" x14ac:dyDescent="0.3">
      <c r="A18" s="136">
        <v>45987</v>
      </c>
      <c r="B18" s="113" t="s">
        <v>25</v>
      </c>
      <c r="C18" s="114" t="s">
        <v>26</v>
      </c>
      <c r="D18" s="113" t="s">
        <v>1</v>
      </c>
      <c r="E18" s="115">
        <v>1.4201388888888891</v>
      </c>
      <c r="F18" s="113" t="s">
        <v>27</v>
      </c>
      <c r="G18" s="116">
        <v>14</v>
      </c>
      <c r="H18" s="137">
        <v>619</v>
      </c>
    </row>
    <row r="19" spans="1:8" ht="18" x14ac:dyDescent="0.3">
      <c r="A19" s="118">
        <v>45987</v>
      </c>
      <c r="B19" s="119" t="s">
        <v>25</v>
      </c>
      <c r="C19" s="120" t="s">
        <v>26</v>
      </c>
      <c r="D19" s="119" t="s">
        <v>1</v>
      </c>
      <c r="E19" s="121">
        <v>1.4201388888888891</v>
      </c>
      <c r="F19" s="119" t="s">
        <v>30</v>
      </c>
      <c r="G19" s="122">
        <v>14</v>
      </c>
      <c r="H19" s="123">
        <v>769</v>
      </c>
    </row>
    <row r="20" spans="1:8" ht="18" x14ac:dyDescent="0.3">
      <c r="A20" s="118">
        <v>45987</v>
      </c>
      <c r="B20" s="119" t="s">
        <v>25</v>
      </c>
      <c r="C20" s="120" t="s">
        <v>26</v>
      </c>
      <c r="D20" s="119" t="s">
        <v>1</v>
      </c>
      <c r="E20" s="121">
        <v>1.4201388888888891</v>
      </c>
      <c r="F20" s="119" t="s">
        <v>33</v>
      </c>
      <c r="G20" s="122">
        <v>14</v>
      </c>
      <c r="H20" s="123">
        <v>799</v>
      </c>
    </row>
    <row r="21" spans="1:8" ht="18" x14ac:dyDescent="0.3">
      <c r="A21" s="136">
        <v>45987</v>
      </c>
      <c r="B21" s="113" t="s">
        <v>55</v>
      </c>
      <c r="C21" s="114" t="s">
        <v>56</v>
      </c>
      <c r="D21" s="113" t="s">
        <v>1</v>
      </c>
      <c r="E21" s="115">
        <v>1.756944444444444</v>
      </c>
      <c r="F21" s="113" t="s">
        <v>57</v>
      </c>
      <c r="G21" s="116">
        <v>1</v>
      </c>
      <c r="H21" s="137">
        <v>639</v>
      </c>
    </row>
    <row r="22" spans="1:8" ht="18" x14ac:dyDescent="0.3">
      <c r="A22" s="118">
        <v>45987</v>
      </c>
      <c r="B22" s="119" t="s">
        <v>55</v>
      </c>
      <c r="C22" s="120" t="s">
        <v>56</v>
      </c>
      <c r="D22" s="119" t="s">
        <v>1</v>
      </c>
      <c r="E22" s="121">
        <v>1.756944444444444</v>
      </c>
      <c r="F22" s="119" t="s">
        <v>60</v>
      </c>
      <c r="G22" s="122">
        <v>1</v>
      </c>
      <c r="H22" s="123">
        <v>639</v>
      </c>
    </row>
    <row r="23" spans="1:8" ht="18" x14ac:dyDescent="0.3">
      <c r="A23" s="118">
        <v>45987</v>
      </c>
      <c r="B23" s="119" t="s">
        <v>55</v>
      </c>
      <c r="C23" s="120" t="s">
        <v>56</v>
      </c>
      <c r="D23" s="119" t="s">
        <v>1</v>
      </c>
      <c r="E23" s="121">
        <v>1.756944444444444</v>
      </c>
      <c r="F23" s="119" t="s">
        <v>62</v>
      </c>
      <c r="G23" s="122">
        <v>1</v>
      </c>
      <c r="H23" s="123">
        <v>739</v>
      </c>
    </row>
    <row r="24" spans="1:8" ht="18" x14ac:dyDescent="0.3">
      <c r="A24" s="144">
        <v>45987</v>
      </c>
      <c r="B24" s="145" t="s">
        <v>55</v>
      </c>
      <c r="C24" s="146" t="s">
        <v>56</v>
      </c>
      <c r="D24" s="145" t="s">
        <v>1</v>
      </c>
      <c r="E24" s="147">
        <v>1.756944444444444</v>
      </c>
      <c r="F24" s="145" t="s">
        <v>64</v>
      </c>
      <c r="G24" s="148">
        <v>1</v>
      </c>
      <c r="H24" s="192">
        <v>829</v>
      </c>
    </row>
    <row r="25" spans="1:8" ht="15.6" x14ac:dyDescent="0.3">
      <c r="A25" s="189"/>
      <c r="B25" s="189"/>
      <c r="C25" s="189"/>
      <c r="D25" s="189"/>
      <c r="E25" s="190" t="s">
        <v>287</v>
      </c>
      <c r="F25" s="189"/>
      <c r="G25" s="189"/>
      <c r="H25" s="3"/>
    </row>
    <row r="26" spans="1:8" ht="18" x14ac:dyDescent="0.3">
      <c r="A26" s="112">
        <v>45988</v>
      </c>
      <c r="B26" s="113" t="s">
        <v>25</v>
      </c>
      <c r="C26" s="114" t="s">
        <v>26</v>
      </c>
      <c r="D26" s="113" t="s">
        <v>1</v>
      </c>
      <c r="E26" s="115">
        <v>1.4201388888888891</v>
      </c>
      <c r="F26" s="113" t="s">
        <v>27</v>
      </c>
      <c r="G26" s="116">
        <v>7</v>
      </c>
      <c r="H26" s="117">
        <v>559</v>
      </c>
    </row>
    <row r="27" spans="1:8" ht="18" x14ac:dyDescent="0.3">
      <c r="A27" s="118">
        <v>45988</v>
      </c>
      <c r="B27" s="119" t="s">
        <v>25</v>
      </c>
      <c r="C27" s="120" t="s">
        <v>26</v>
      </c>
      <c r="D27" s="119" t="s">
        <v>1</v>
      </c>
      <c r="E27" s="121">
        <v>1.4201388888888891</v>
      </c>
      <c r="F27" s="119" t="s">
        <v>30</v>
      </c>
      <c r="G27" s="122">
        <v>7</v>
      </c>
      <c r="H27" s="123">
        <v>709</v>
      </c>
    </row>
    <row r="28" spans="1:8" ht="18" x14ac:dyDescent="0.3">
      <c r="A28" s="136">
        <v>45988</v>
      </c>
      <c r="B28" s="113" t="s">
        <v>55</v>
      </c>
      <c r="C28" s="114" t="s">
        <v>112</v>
      </c>
      <c r="D28" s="113" t="s">
        <v>1</v>
      </c>
      <c r="E28" s="115">
        <v>1.354166666666667</v>
      </c>
      <c r="F28" s="113" t="s">
        <v>57</v>
      </c>
      <c r="G28" s="116">
        <v>4</v>
      </c>
      <c r="H28" s="137">
        <v>639</v>
      </c>
    </row>
    <row r="29" spans="1:8" ht="18" x14ac:dyDescent="0.3">
      <c r="A29" s="118">
        <v>45988</v>
      </c>
      <c r="B29" s="119" t="s">
        <v>55</v>
      </c>
      <c r="C29" s="120" t="s">
        <v>112</v>
      </c>
      <c r="D29" s="119" t="s">
        <v>1</v>
      </c>
      <c r="E29" s="121">
        <v>1.354166666666667</v>
      </c>
      <c r="F29" s="119" t="s">
        <v>60</v>
      </c>
      <c r="G29" s="122">
        <v>4</v>
      </c>
      <c r="H29" s="123">
        <v>639</v>
      </c>
    </row>
    <row r="30" spans="1:8" ht="18" x14ac:dyDescent="0.3">
      <c r="A30" s="118">
        <v>45988</v>
      </c>
      <c r="B30" s="119" t="s">
        <v>55</v>
      </c>
      <c r="C30" s="120" t="s">
        <v>112</v>
      </c>
      <c r="D30" s="119" t="s">
        <v>1</v>
      </c>
      <c r="E30" s="121">
        <v>1.354166666666667</v>
      </c>
      <c r="F30" s="119" t="s">
        <v>62</v>
      </c>
      <c r="G30" s="122">
        <v>4</v>
      </c>
      <c r="H30" s="123">
        <v>739</v>
      </c>
    </row>
    <row r="31" spans="1:8" ht="18" x14ac:dyDescent="0.3">
      <c r="A31" s="118">
        <v>45988</v>
      </c>
      <c r="B31" s="119" t="s">
        <v>55</v>
      </c>
      <c r="C31" s="120" t="s">
        <v>112</v>
      </c>
      <c r="D31" s="119" t="s">
        <v>1</v>
      </c>
      <c r="E31" s="121">
        <v>1.354166666666667</v>
      </c>
      <c r="F31" s="119" t="s">
        <v>64</v>
      </c>
      <c r="G31" s="122">
        <v>4</v>
      </c>
      <c r="H31" s="123">
        <v>829</v>
      </c>
    </row>
    <row r="32" spans="1:8" ht="18" x14ac:dyDescent="0.3">
      <c r="A32" s="136">
        <v>45988</v>
      </c>
      <c r="B32" s="113" t="s">
        <v>66</v>
      </c>
      <c r="C32" s="114" t="s">
        <v>77</v>
      </c>
      <c r="D32" s="113" t="s">
        <v>1</v>
      </c>
      <c r="E32" s="115">
        <v>1.430555555555556</v>
      </c>
      <c r="F32" s="113" t="s">
        <v>68</v>
      </c>
      <c r="G32" s="116">
        <v>9</v>
      </c>
      <c r="H32" s="137">
        <v>866</v>
      </c>
    </row>
    <row r="33" spans="1:8" ht="18" x14ac:dyDescent="0.3">
      <c r="A33" s="138">
        <v>45988</v>
      </c>
      <c r="B33" s="139" t="s">
        <v>66</v>
      </c>
      <c r="C33" s="140" t="s">
        <v>70</v>
      </c>
      <c r="D33" s="139" t="s">
        <v>1</v>
      </c>
      <c r="E33" s="141">
        <v>1.493055555555556</v>
      </c>
      <c r="F33" s="139" t="s">
        <v>68</v>
      </c>
      <c r="G33" s="142">
        <v>9</v>
      </c>
      <c r="H33" s="143">
        <v>962</v>
      </c>
    </row>
    <row r="34" spans="1:8" ht="18" x14ac:dyDescent="0.3">
      <c r="A34" s="138">
        <v>45988</v>
      </c>
      <c r="B34" s="139" t="s">
        <v>66</v>
      </c>
      <c r="C34" s="140" t="s">
        <v>67</v>
      </c>
      <c r="D34" s="139" t="s">
        <v>1</v>
      </c>
      <c r="E34" s="141">
        <v>1.1076388888888891</v>
      </c>
      <c r="F34" s="139" t="s">
        <v>68</v>
      </c>
      <c r="G34" s="142">
        <v>1</v>
      </c>
      <c r="H34" s="143">
        <v>962</v>
      </c>
    </row>
    <row r="35" spans="1:8" ht="18" x14ac:dyDescent="0.3">
      <c r="A35" s="149">
        <v>45988</v>
      </c>
      <c r="B35" s="150" t="s">
        <v>66</v>
      </c>
      <c r="C35" s="151" t="s">
        <v>75</v>
      </c>
      <c r="D35" s="150" t="s">
        <v>1</v>
      </c>
      <c r="E35" s="152">
        <v>1.2222222222222221</v>
      </c>
      <c r="F35" s="150" t="s">
        <v>68</v>
      </c>
      <c r="G35" s="153">
        <v>9</v>
      </c>
      <c r="H35" s="191">
        <v>962</v>
      </c>
    </row>
    <row r="36" spans="1:8" ht="15.6" x14ac:dyDescent="0.3">
      <c r="A36" s="189"/>
      <c r="B36" s="189"/>
      <c r="C36" s="189"/>
      <c r="D36" s="189"/>
      <c r="E36" s="190" t="s">
        <v>287</v>
      </c>
      <c r="F36" s="189"/>
      <c r="G36" s="189"/>
      <c r="H36" s="3"/>
    </row>
    <row r="37" spans="1:8" ht="18" x14ac:dyDescent="0.3">
      <c r="A37" s="112">
        <v>45989</v>
      </c>
      <c r="B37" s="113" t="s">
        <v>25</v>
      </c>
      <c r="C37" s="114" t="s">
        <v>26</v>
      </c>
      <c r="D37" s="113" t="s">
        <v>1</v>
      </c>
      <c r="E37" s="115">
        <v>1.4201388888888891</v>
      </c>
      <c r="F37" s="113" t="s">
        <v>27</v>
      </c>
      <c r="G37" s="116">
        <v>1</v>
      </c>
      <c r="H37" s="117">
        <v>559</v>
      </c>
    </row>
    <row r="38" spans="1:8" ht="18" x14ac:dyDescent="0.3">
      <c r="A38" s="118">
        <v>45989</v>
      </c>
      <c r="B38" s="119" t="s">
        <v>25</v>
      </c>
      <c r="C38" s="120" t="s">
        <v>26</v>
      </c>
      <c r="D38" s="119" t="s">
        <v>1</v>
      </c>
      <c r="E38" s="121">
        <v>1.4201388888888891</v>
      </c>
      <c r="F38" s="119" t="s">
        <v>30</v>
      </c>
      <c r="G38" s="122">
        <v>1</v>
      </c>
      <c r="H38" s="123">
        <v>709</v>
      </c>
    </row>
    <row r="39" spans="1:8" ht="18" x14ac:dyDescent="0.3">
      <c r="A39" s="118">
        <v>45989</v>
      </c>
      <c r="B39" s="119" t="s">
        <v>25</v>
      </c>
      <c r="C39" s="120" t="s">
        <v>26</v>
      </c>
      <c r="D39" s="119" t="s">
        <v>1</v>
      </c>
      <c r="E39" s="121">
        <v>1.4201388888888891</v>
      </c>
      <c r="F39" s="119" t="s">
        <v>33</v>
      </c>
      <c r="G39" s="122">
        <v>1</v>
      </c>
      <c r="H39" s="119" t="s">
        <v>34</v>
      </c>
    </row>
    <row r="40" spans="1:8" ht="18" x14ac:dyDescent="0.3">
      <c r="A40" s="136">
        <v>45989</v>
      </c>
      <c r="B40" s="113" t="s">
        <v>55</v>
      </c>
      <c r="C40" s="114" t="s">
        <v>56</v>
      </c>
      <c r="D40" s="113" t="s">
        <v>1</v>
      </c>
      <c r="E40" s="115">
        <v>1.756944444444444</v>
      </c>
      <c r="F40" s="113" t="s">
        <v>60</v>
      </c>
      <c r="G40" s="116">
        <v>5</v>
      </c>
      <c r="H40" s="137">
        <v>639</v>
      </c>
    </row>
    <row r="41" spans="1:8" ht="18" x14ac:dyDescent="0.3">
      <c r="A41" s="118">
        <v>45989</v>
      </c>
      <c r="B41" s="119" t="s">
        <v>55</v>
      </c>
      <c r="C41" s="120" t="s">
        <v>56</v>
      </c>
      <c r="D41" s="119" t="s">
        <v>1</v>
      </c>
      <c r="E41" s="121">
        <v>1.756944444444444</v>
      </c>
      <c r="F41" s="119" t="s">
        <v>62</v>
      </c>
      <c r="G41" s="122">
        <v>5</v>
      </c>
      <c r="H41" s="123">
        <v>739</v>
      </c>
    </row>
    <row r="42" spans="1:8" ht="18" x14ac:dyDescent="0.3">
      <c r="A42" s="118">
        <v>45989</v>
      </c>
      <c r="B42" s="119" t="s">
        <v>55</v>
      </c>
      <c r="C42" s="120" t="s">
        <v>56</v>
      </c>
      <c r="D42" s="119" t="s">
        <v>1</v>
      </c>
      <c r="E42" s="121">
        <v>1.756944444444444</v>
      </c>
      <c r="F42" s="119" t="s">
        <v>64</v>
      </c>
      <c r="G42" s="122">
        <v>5</v>
      </c>
      <c r="H42" s="123">
        <v>829</v>
      </c>
    </row>
    <row r="43" spans="1:8" ht="18" x14ac:dyDescent="0.3">
      <c r="A43" s="136">
        <v>45989</v>
      </c>
      <c r="B43" s="113" t="s">
        <v>66</v>
      </c>
      <c r="C43" s="114" t="s">
        <v>67</v>
      </c>
      <c r="D43" s="113" t="s">
        <v>1</v>
      </c>
      <c r="E43" s="115">
        <v>1.1076388888888891</v>
      </c>
      <c r="F43" s="113" t="s">
        <v>68</v>
      </c>
      <c r="G43" s="116">
        <v>9</v>
      </c>
      <c r="H43" s="137">
        <v>682</v>
      </c>
    </row>
    <row r="44" spans="1:8" ht="18" x14ac:dyDescent="0.3">
      <c r="A44" s="136">
        <v>45989</v>
      </c>
      <c r="B44" s="113" t="s">
        <v>78</v>
      </c>
      <c r="C44" s="114" t="s">
        <v>84</v>
      </c>
      <c r="D44" s="113" t="s">
        <v>1</v>
      </c>
      <c r="E44" s="115">
        <v>1.604166666666667</v>
      </c>
      <c r="F44" s="113" t="s">
        <v>87</v>
      </c>
      <c r="G44" s="116">
        <v>9</v>
      </c>
      <c r="H44" s="113" t="s">
        <v>100</v>
      </c>
    </row>
    <row r="45" spans="1:8" ht="18" x14ac:dyDescent="0.3">
      <c r="A45" s="118">
        <v>45989</v>
      </c>
      <c r="B45" s="119" t="s">
        <v>78</v>
      </c>
      <c r="C45" s="120" t="s">
        <v>84</v>
      </c>
      <c r="D45" s="119" t="s">
        <v>1</v>
      </c>
      <c r="E45" s="121">
        <v>1.604166666666667</v>
      </c>
      <c r="F45" s="119" t="s">
        <v>82</v>
      </c>
      <c r="G45" s="122">
        <v>9</v>
      </c>
      <c r="H45" s="119" t="s">
        <v>101</v>
      </c>
    </row>
    <row r="46" spans="1:8" ht="18" x14ac:dyDescent="0.3">
      <c r="A46" s="149">
        <v>45989</v>
      </c>
      <c r="B46" s="150" t="s">
        <v>78</v>
      </c>
      <c r="C46" s="151" t="s">
        <v>93</v>
      </c>
      <c r="D46" s="150" t="s">
        <v>1</v>
      </c>
      <c r="E46" s="152">
        <v>1.086805555555556</v>
      </c>
      <c r="F46" s="150" t="s">
        <v>87</v>
      </c>
      <c r="G46" s="153">
        <v>9</v>
      </c>
      <c r="H46" s="150" t="s">
        <v>100</v>
      </c>
    </row>
    <row r="47" spans="1:8" ht="18" x14ac:dyDescent="0.3">
      <c r="A47" s="187">
        <v>45990</v>
      </c>
      <c r="B47" s="125" t="s">
        <v>35</v>
      </c>
      <c r="C47" s="126" t="s">
        <v>36</v>
      </c>
      <c r="D47" s="125" t="s">
        <v>288</v>
      </c>
      <c r="E47" s="127">
        <v>1.9548611111111109</v>
      </c>
      <c r="F47" s="125" t="s">
        <v>37</v>
      </c>
      <c r="G47" s="128">
        <v>9</v>
      </c>
      <c r="H47" s="200">
        <v>500</v>
      </c>
    </row>
    <row r="48" spans="1:8" ht="15.6" x14ac:dyDescent="0.3">
      <c r="A48" s="189"/>
      <c r="B48" s="189"/>
      <c r="C48" s="189"/>
      <c r="D48" s="189"/>
      <c r="E48" s="190" t="s">
        <v>287</v>
      </c>
      <c r="F48" s="189"/>
      <c r="G48" s="189"/>
      <c r="H48" s="3"/>
    </row>
    <row r="49" spans="1:8" ht="18" x14ac:dyDescent="0.3">
      <c r="A49" s="136">
        <v>45990</v>
      </c>
      <c r="B49" s="113" t="s">
        <v>25</v>
      </c>
      <c r="C49" s="114" t="s">
        <v>26</v>
      </c>
      <c r="D49" s="113" t="s">
        <v>1</v>
      </c>
      <c r="E49" s="115">
        <v>1.4201388888888891</v>
      </c>
      <c r="F49" s="113" t="s">
        <v>27</v>
      </c>
      <c r="G49" s="116">
        <v>8</v>
      </c>
      <c r="H49" s="137">
        <v>619</v>
      </c>
    </row>
    <row r="50" spans="1:8" ht="18" x14ac:dyDescent="0.3">
      <c r="A50" s="118">
        <v>45990</v>
      </c>
      <c r="B50" s="119" t="s">
        <v>25</v>
      </c>
      <c r="C50" s="120" t="s">
        <v>26</v>
      </c>
      <c r="D50" s="119" t="s">
        <v>1</v>
      </c>
      <c r="E50" s="121">
        <v>1.4201388888888891</v>
      </c>
      <c r="F50" s="119" t="s">
        <v>30</v>
      </c>
      <c r="G50" s="122">
        <v>8</v>
      </c>
      <c r="H50" s="123">
        <v>769</v>
      </c>
    </row>
    <row r="51" spans="1:8" ht="18" x14ac:dyDescent="0.3">
      <c r="A51" s="118">
        <v>45990</v>
      </c>
      <c r="B51" s="119" t="s">
        <v>25</v>
      </c>
      <c r="C51" s="120" t="s">
        <v>26</v>
      </c>
      <c r="D51" s="119" t="s">
        <v>1</v>
      </c>
      <c r="E51" s="121">
        <v>1.4201388888888891</v>
      </c>
      <c r="F51" s="119" t="s">
        <v>33</v>
      </c>
      <c r="G51" s="122">
        <v>8</v>
      </c>
      <c r="H51" s="119" t="s">
        <v>34</v>
      </c>
    </row>
    <row r="52" spans="1:8" ht="18" x14ac:dyDescent="0.3">
      <c r="A52" s="136">
        <v>45990</v>
      </c>
      <c r="B52" s="113" t="s">
        <v>55</v>
      </c>
      <c r="C52" s="114" t="s">
        <v>112</v>
      </c>
      <c r="D52" s="113" t="s">
        <v>1</v>
      </c>
      <c r="E52" s="115">
        <v>1.354166666666667</v>
      </c>
      <c r="F52" s="113" t="s">
        <v>60</v>
      </c>
      <c r="G52" s="116">
        <v>6</v>
      </c>
      <c r="H52" s="137">
        <v>639</v>
      </c>
    </row>
    <row r="53" spans="1:8" ht="18" x14ac:dyDescent="0.3">
      <c r="A53" s="118">
        <v>45990</v>
      </c>
      <c r="B53" s="119" t="s">
        <v>55</v>
      </c>
      <c r="C53" s="120" t="s">
        <v>112</v>
      </c>
      <c r="D53" s="119" t="s">
        <v>1</v>
      </c>
      <c r="E53" s="121">
        <v>1.354166666666667</v>
      </c>
      <c r="F53" s="119" t="s">
        <v>62</v>
      </c>
      <c r="G53" s="122">
        <v>6</v>
      </c>
      <c r="H53" s="123">
        <v>739</v>
      </c>
    </row>
    <row r="54" spans="1:8" ht="18" x14ac:dyDescent="0.3">
      <c r="A54" s="118">
        <v>45990</v>
      </c>
      <c r="B54" s="119" t="s">
        <v>55</v>
      </c>
      <c r="C54" s="120" t="s">
        <v>112</v>
      </c>
      <c r="D54" s="119" t="s">
        <v>1</v>
      </c>
      <c r="E54" s="121">
        <v>1.354166666666667</v>
      </c>
      <c r="F54" s="119" t="s">
        <v>64</v>
      </c>
      <c r="G54" s="122">
        <v>6</v>
      </c>
      <c r="H54" s="123">
        <v>829</v>
      </c>
    </row>
    <row r="55" spans="1:8" ht="18" x14ac:dyDescent="0.3">
      <c r="A55" s="138">
        <v>45990</v>
      </c>
      <c r="B55" s="139" t="s">
        <v>55</v>
      </c>
      <c r="C55" s="140" t="s">
        <v>56</v>
      </c>
      <c r="D55" s="139" t="s">
        <v>1</v>
      </c>
      <c r="E55" s="141">
        <v>1.756944444444444</v>
      </c>
      <c r="F55" s="139" t="s">
        <v>60</v>
      </c>
      <c r="G55" s="142">
        <v>7</v>
      </c>
      <c r="H55" s="139" t="s">
        <v>126</v>
      </c>
    </row>
    <row r="56" spans="1:8" ht="18" x14ac:dyDescent="0.3">
      <c r="A56" s="118">
        <v>45990</v>
      </c>
      <c r="B56" s="119" t="s">
        <v>55</v>
      </c>
      <c r="C56" s="120" t="s">
        <v>56</v>
      </c>
      <c r="D56" s="119" t="s">
        <v>1</v>
      </c>
      <c r="E56" s="121">
        <v>1.756944444444444</v>
      </c>
      <c r="F56" s="119" t="s">
        <v>62</v>
      </c>
      <c r="G56" s="122">
        <v>7</v>
      </c>
      <c r="H56" s="119" t="s">
        <v>127</v>
      </c>
    </row>
    <row r="57" spans="1:8" ht="18" x14ac:dyDescent="0.3">
      <c r="A57" s="118">
        <v>45990</v>
      </c>
      <c r="B57" s="119" t="s">
        <v>55</v>
      </c>
      <c r="C57" s="120" t="s">
        <v>56</v>
      </c>
      <c r="D57" s="119" t="s">
        <v>1</v>
      </c>
      <c r="E57" s="121">
        <v>1.756944444444444</v>
      </c>
      <c r="F57" s="119" t="s">
        <v>64</v>
      </c>
      <c r="G57" s="122">
        <v>7</v>
      </c>
      <c r="H57" s="119" t="s">
        <v>128</v>
      </c>
    </row>
    <row r="58" spans="1:8" ht="18" x14ac:dyDescent="0.3">
      <c r="A58" s="194">
        <v>45990</v>
      </c>
      <c r="B58" s="195" t="s">
        <v>78</v>
      </c>
      <c r="C58" s="196" t="s">
        <v>79</v>
      </c>
      <c r="D58" s="195" t="s">
        <v>1</v>
      </c>
      <c r="E58" s="197">
        <v>1.4201388888888891</v>
      </c>
      <c r="F58" s="195" t="s">
        <v>82</v>
      </c>
      <c r="G58" s="198">
        <v>4</v>
      </c>
      <c r="H58" s="195" t="s">
        <v>81</v>
      </c>
    </row>
    <row r="59" spans="1:8" ht="15.6" x14ac:dyDescent="0.3">
      <c r="A59" s="189"/>
      <c r="B59" s="189"/>
      <c r="C59" s="189"/>
      <c r="D59" s="189"/>
      <c r="E59" s="190" t="s">
        <v>287</v>
      </c>
      <c r="F59" s="189"/>
      <c r="G59" s="189"/>
      <c r="H59" s="3"/>
    </row>
    <row r="60" spans="1:8" ht="18" x14ac:dyDescent="0.3">
      <c r="A60" s="112">
        <v>45991</v>
      </c>
      <c r="B60" s="113" t="s">
        <v>25</v>
      </c>
      <c r="C60" s="114" t="s">
        <v>26</v>
      </c>
      <c r="D60" s="113" t="s">
        <v>1</v>
      </c>
      <c r="E60" s="115">
        <v>1.4201388888888891</v>
      </c>
      <c r="F60" s="113" t="s">
        <v>27</v>
      </c>
      <c r="G60" s="116">
        <v>3</v>
      </c>
      <c r="H60" s="117">
        <v>619</v>
      </c>
    </row>
    <row r="61" spans="1:8" ht="18" x14ac:dyDescent="0.3">
      <c r="A61" s="118">
        <v>45991</v>
      </c>
      <c r="B61" s="119" t="s">
        <v>25</v>
      </c>
      <c r="C61" s="120" t="s">
        <v>26</v>
      </c>
      <c r="D61" s="119" t="s">
        <v>1</v>
      </c>
      <c r="E61" s="121">
        <v>1.4201388888888891</v>
      </c>
      <c r="F61" s="119" t="s">
        <v>30</v>
      </c>
      <c r="G61" s="122">
        <v>3</v>
      </c>
      <c r="H61" s="123">
        <v>769</v>
      </c>
    </row>
    <row r="62" spans="1:8" ht="18" x14ac:dyDescent="0.3">
      <c r="A62" s="118">
        <v>45991</v>
      </c>
      <c r="B62" s="119" t="s">
        <v>25</v>
      </c>
      <c r="C62" s="120" t="s">
        <v>26</v>
      </c>
      <c r="D62" s="119" t="s">
        <v>1</v>
      </c>
      <c r="E62" s="121">
        <v>1.4201388888888891</v>
      </c>
      <c r="F62" s="119" t="s">
        <v>33</v>
      </c>
      <c r="G62" s="122">
        <v>3</v>
      </c>
      <c r="H62" s="119" t="s">
        <v>34</v>
      </c>
    </row>
    <row r="63" spans="1:8" ht="18" x14ac:dyDescent="0.3">
      <c r="A63" s="136">
        <v>45991</v>
      </c>
      <c r="B63" s="113" t="s">
        <v>55</v>
      </c>
      <c r="C63" s="114" t="s">
        <v>56</v>
      </c>
      <c r="D63" s="113" t="s">
        <v>1</v>
      </c>
      <c r="E63" s="115">
        <v>1.756944444444444</v>
      </c>
      <c r="F63" s="113" t="s">
        <v>60</v>
      </c>
      <c r="G63" s="116">
        <v>1</v>
      </c>
      <c r="H63" s="137">
        <v>749</v>
      </c>
    </row>
    <row r="64" spans="1:8" ht="18" x14ac:dyDescent="0.3">
      <c r="A64" s="118">
        <v>45991</v>
      </c>
      <c r="B64" s="119" t="s">
        <v>55</v>
      </c>
      <c r="C64" s="120" t="s">
        <v>56</v>
      </c>
      <c r="D64" s="119" t="s">
        <v>1</v>
      </c>
      <c r="E64" s="121">
        <v>1.756944444444444</v>
      </c>
      <c r="F64" s="119" t="s">
        <v>62</v>
      </c>
      <c r="G64" s="122">
        <v>1</v>
      </c>
      <c r="H64" s="123">
        <v>849</v>
      </c>
    </row>
    <row r="65" spans="1:8" ht="18" x14ac:dyDescent="0.3">
      <c r="A65" s="118">
        <v>45991</v>
      </c>
      <c r="B65" s="119" t="s">
        <v>55</v>
      </c>
      <c r="C65" s="120" t="s">
        <v>56</v>
      </c>
      <c r="D65" s="119" t="s">
        <v>1</v>
      </c>
      <c r="E65" s="121">
        <v>1.756944444444444</v>
      </c>
      <c r="F65" s="119" t="s">
        <v>64</v>
      </c>
      <c r="G65" s="122">
        <v>1</v>
      </c>
      <c r="H65" s="123">
        <v>939</v>
      </c>
    </row>
    <row r="66" spans="1:8" ht="18" x14ac:dyDescent="0.3">
      <c r="A66" s="124">
        <v>45991</v>
      </c>
      <c r="B66" s="125" t="s">
        <v>35</v>
      </c>
      <c r="C66" s="126" t="s">
        <v>49</v>
      </c>
      <c r="D66" s="125" t="s">
        <v>1</v>
      </c>
      <c r="E66" s="127">
        <v>1.9027777777777779</v>
      </c>
      <c r="F66" s="125" t="s">
        <v>37</v>
      </c>
      <c r="G66" s="128">
        <v>5</v>
      </c>
      <c r="H66" s="125" t="s">
        <v>140</v>
      </c>
    </row>
    <row r="67" spans="1:8" ht="18" x14ac:dyDescent="0.3">
      <c r="A67" s="136">
        <v>45991</v>
      </c>
      <c r="B67" s="113" t="s">
        <v>78</v>
      </c>
      <c r="C67" s="114" t="s">
        <v>84</v>
      </c>
      <c r="D67" s="113" t="s">
        <v>1</v>
      </c>
      <c r="E67" s="115">
        <v>1.604166666666667</v>
      </c>
      <c r="F67" s="113" t="s">
        <v>87</v>
      </c>
      <c r="G67" s="116">
        <v>9</v>
      </c>
      <c r="H67" s="113" t="s">
        <v>100</v>
      </c>
    </row>
    <row r="68" spans="1:8" ht="18" x14ac:dyDescent="0.3">
      <c r="A68" s="118">
        <v>45991</v>
      </c>
      <c r="B68" s="119" t="s">
        <v>78</v>
      </c>
      <c r="C68" s="120" t="s">
        <v>84</v>
      </c>
      <c r="D68" s="119" t="s">
        <v>1</v>
      </c>
      <c r="E68" s="121">
        <v>1.604166666666667</v>
      </c>
      <c r="F68" s="119" t="s">
        <v>82</v>
      </c>
      <c r="G68" s="122">
        <v>9</v>
      </c>
      <c r="H68" s="119" t="s">
        <v>101</v>
      </c>
    </row>
    <row r="69" spans="1:8" ht="18" x14ac:dyDescent="0.3">
      <c r="A69" s="149">
        <v>45991</v>
      </c>
      <c r="B69" s="150" t="s">
        <v>78</v>
      </c>
      <c r="C69" s="151" t="s">
        <v>79</v>
      </c>
      <c r="D69" s="150" t="s">
        <v>1</v>
      </c>
      <c r="E69" s="152">
        <v>1.4201388888888891</v>
      </c>
      <c r="F69" s="150" t="s">
        <v>82</v>
      </c>
      <c r="G69" s="153">
        <v>4</v>
      </c>
      <c r="H69" s="150" t="s">
        <v>81</v>
      </c>
    </row>
  </sheetData>
  <dataValidations count="5">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5 B5 C5 D5 E5 F5 G5 H5" xr:uid="{00000000-0002-0000-0900-000000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6 B6 C6 D6 E6 F6 G6 H6" xr:uid="{00000000-0002-0000-0900-000001000000}">
      <formula1>TRUE</formula1>
    </dataValidation>
    <dataValidation type="custom" allowBlank="1" showInputMessage="1" promptTitle="LOAD FACTOR ANALYSIS" prompt="SM-490_x000d__x000a_LF 84.5%_x000d__x000a_SOLD 142_x000d__x000a_LST-SOLD 23NOV_x000d__x000a_WEEKLY 39_x000d__x000a_TO-DAY NIL_x000d__x000a_Y-DAY 5_x000d__x000a_LOWEST AVAIL X4_x000d__x000a_CAPACITY 168_x000d__x000a_CLASSES S11 &amp; X11 &amp; U20 &amp; +3 more" sqref="A13 B13 C13 D13 E13 F13 G13 H13" xr:uid="{00000000-0002-0000-0900-000002000000}">
      <formula1>TRUE</formula1>
    </dataValidation>
    <dataValidation type="custom" allowBlank="1" showInputMessage="1" promptTitle="LOAD FACTOR ANALYSIS" prompt="SM-488_x000d__x000a_LF 57.7%_x000d__x000a_SOLD 97_x000d__x000a_LST-SOLD 24NOV_x000d__x000a_WEEKLY 43_x000d__x000a_TO-DAY 1_x000d__x000a_Y-DAY 2_x000d__x000a_LOWEST AVAIL X9_x000d__x000a_CAPACITY 168_x000d__x000a_CLASSES S8 &amp; X9 &amp; U32 &amp; +2 more" sqref="A47 B47 C47 D47 E47 F47 G47 H47" xr:uid="{00000000-0002-0000-0900-000003000000}">
      <formula1>TRUE</formula1>
    </dataValidation>
    <dataValidation type="custom" allowBlank="1" showInputMessage="1" promptTitle="LOAD FACTOR ANALYSIS" prompt="SM-494_x000d__x000a_LF -_x000d__x000a_SOLD -_x000d__x000a_LST-SOLD -_x000d__x000a_WEEKLY -_x000d__x000a_TO-DAY -_x000d__x000a_Y-DAY -_x000d__x000a_LOWEST AVAIL -_x000d__x000a_CAPACITY -_x000d__x000a_CLASSES -" sqref="A66 B66 C66 D66 E66 F66 G66 H66" xr:uid="{00000000-0002-0000-0900-000004000000}">
      <formula1>TRUE</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47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1.33203125" bestFit="1" customWidth="1"/>
  </cols>
  <sheetData>
    <row r="1" spans="1:92" ht="28.8" customHeight="1" x14ac:dyDescent="0.3">
      <c r="A1" s="305" t="s">
        <v>0</v>
      </c>
      <c r="B1" s="281"/>
      <c r="C1" s="281"/>
      <c r="D1" s="305" t="s">
        <v>303</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45985.360318100596</v>
      </c>
      <c r="H2" s="292"/>
      <c r="I2" s="292"/>
      <c r="J2" s="292"/>
      <c r="K2" s="303">
        <v>45985.36031810163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304</v>
      </c>
      <c r="B6" s="8" t="s">
        <v>305</v>
      </c>
      <c r="C6" s="9">
        <v>0.27430555555555552</v>
      </c>
      <c r="D6" s="8" t="s">
        <v>306</v>
      </c>
      <c r="E6" s="8" t="s">
        <v>95</v>
      </c>
      <c r="F6" s="8" t="s">
        <v>307</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46" t="s">
        <v>304</v>
      </c>
      <c r="B7" s="46" t="s">
        <v>308</v>
      </c>
      <c r="C7" s="47">
        <v>0.73958333333333337</v>
      </c>
      <c r="D7" s="46" t="s">
        <v>306</v>
      </c>
      <c r="E7" s="46" t="s">
        <v>116</v>
      </c>
      <c r="F7" s="46" t="s">
        <v>307</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69" t="s">
        <v>35</v>
      </c>
      <c r="B8" s="169" t="s">
        <v>309</v>
      </c>
      <c r="C8" s="170">
        <v>0.22916666666666671</v>
      </c>
      <c r="D8" s="169" t="s">
        <v>37</v>
      </c>
      <c r="E8" s="169" t="s">
        <v>108</v>
      </c>
      <c r="F8" s="169" t="s">
        <v>310</v>
      </c>
      <c r="G8" s="285"/>
      <c r="H8" s="28" t="s">
        <v>311</v>
      </c>
      <c r="I8" s="199">
        <v>0.68720000000000003</v>
      </c>
      <c r="J8" s="30">
        <v>123</v>
      </c>
      <c r="K8" s="31">
        <v>45984</v>
      </c>
      <c r="L8" s="30">
        <v>77</v>
      </c>
      <c r="M8" s="30">
        <v>0</v>
      </c>
      <c r="N8" s="30">
        <v>39</v>
      </c>
      <c r="O8" s="32" t="s">
        <v>312</v>
      </c>
      <c r="P8" s="33">
        <v>0.22916666666666671</v>
      </c>
      <c r="Q8" s="30">
        <v>179</v>
      </c>
      <c r="R8" s="34" t="s">
        <v>313</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35" t="s">
        <v>35</v>
      </c>
      <c r="B9" s="35" t="s">
        <v>314</v>
      </c>
      <c r="C9" s="36">
        <v>0.96875</v>
      </c>
      <c r="D9" s="35" t="s">
        <v>37</v>
      </c>
      <c r="E9" s="35" t="s">
        <v>74</v>
      </c>
      <c r="F9" s="35" t="s">
        <v>315</v>
      </c>
      <c r="G9" s="285"/>
      <c r="H9" s="37" t="s">
        <v>316</v>
      </c>
      <c r="I9" s="201">
        <v>0.70389999999999997</v>
      </c>
      <c r="J9" s="39">
        <v>126</v>
      </c>
      <c r="K9" s="40">
        <v>45984</v>
      </c>
      <c r="L9" s="39">
        <v>39</v>
      </c>
      <c r="M9" s="39">
        <v>0</v>
      </c>
      <c r="N9" s="39">
        <v>3</v>
      </c>
      <c r="O9" s="41" t="s">
        <v>317</v>
      </c>
      <c r="P9" s="42">
        <v>0.96875</v>
      </c>
      <c r="Q9" s="39">
        <v>179</v>
      </c>
      <c r="R9" s="43" t="s">
        <v>318</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202" t="s">
        <v>35</v>
      </c>
      <c r="B10" s="202" t="s">
        <v>319</v>
      </c>
      <c r="C10" s="203">
        <v>0.93402777777777779</v>
      </c>
      <c r="D10" s="202" t="s">
        <v>37</v>
      </c>
      <c r="E10" s="202" t="s">
        <v>76</v>
      </c>
      <c r="F10" s="202" t="s">
        <v>320</v>
      </c>
      <c r="G10" s="285"/>
      <c r="H10" s="179" t="s">
        <v>321</v>
      </c>
      <c r="I10" s="204">
        <v>0.79330000000000001</v>
      </c>
      <c r="J10" s="181">
        <v>142</v>
      </c>
      <c r="K10" s="182">
        <v>45984</v>
      </c>
      <c r="L10" s="181">
        <v>30</v>
      </c>
      <c r="M10" s="181">
        <v>0</v>
      </c>
      <c r="N10" s="181">
        <v>2</v>
      </c>
      <c r="O10" s="183" t="s">
        <v>322</v>
      </c>
      <c r="P10" s="184">
        <v>0.93402777777777779</v>
      </c>
      <c r="Q10" s="181">
        <v>179</v>
      </c>
      <c r="R10" s="185" t="s">
        <v>323</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205" t="s">
        <v>35</v>
      </c>
      <c r="B11" s="205" t="s">
        <v>324</v>
      </c>
      <c r="C11" s="206">
        <v>0.72916666666666663</v>
      </c>
      <c r="D11" s="205" t="s">
        <v>37</v>
      </c>
      <c r="E11" s="205" t="s">
        <v>143</v>
      </c>
      <c r="F11" s="205" t="s">
        <v>325</v>
      </c>
      <c r="G11" s="285"/>
      <c r="H11" s="19" t="s">
        <v>326</v>
      </c>
      <c r="I11" s="186">
        <v>0.92179999999999995</v>
      </c>
      <c r="J11" s="21">
        <v>165</v>
      </c>
      <c r="K11" s="22">
        <v>45984</v>
      </c>
      <c r="L11" s="21">
        <v>12</v>
      </c>
      <c r="M11" s="21">
        <v>0</v>
      </c>
      <c r="N11" s="21">
        <v>3</v>
      </c>
      <c r="O11" s="23" t="s">
        <v>327</v>
      </c>
      <c r="P11" s="24">
        <v>0.72916666666666663</v>
      </c>
      <c r="Q11" s="21">
        <v>179</v>
      </c>
      <c r="R11" s="25" t="s">
        <v>328</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5" t="s">
        <v>35</v>
      </c>
      <c r="B12" s="35" t="s">
        <v>329</v>
      </c>
      <c r="C12" s="36">
        <v>0.55902777777777779</v>
      </c>
      <c r="D12" s="35" t="s">
        <v>131</v>
      </c>
      <c r="E12" s="207"/>
      <c r="F12" s="35" t="s">
        <v>132</v>
      </c>
      <c r="G12" s="285"/>
      <c r="H12" s="37" t="s">
        <v>329</v>
      </c>
      <c r="I12" s="38">
        <v>0.9385</v>
      </c>
      <c r="J12" s="39">
        <v>168</v>
      </c>
      <c r="K12" s="40">
        <v>45979</v>
      </c>
      <c r="L12" s="39">
        <v>12</v>
      </c>
      <c r="M12" s="39">
        <v>0</v>
      </c>
      <c r="N12" s="39">
        <v>0</v>
      </c>
      <c r="O12" s="41" t="s">
        <v>133</v>
      </c>
      <c r="P12" s="42">
        <v>0.55902777777777779</v>
      </c>
      <c r="Q12" s="39">
        <v>179</v>
      </c>
      <c r="R12" s="43" t="s">
        <v>330</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208" t="s">
        <v>35</v>
      </c>
      <c r="B13" s="208" t="s">
        <v>331</v>
      </c>
      <c r="C13" s="209">
        <v>0.61458333333333337</v>
      </c>
      <c r="D13" s="208" t="s">
        <v>131</v>
      </c>
      <c r="E13" s="210"/>
      <c r="F13" s="208" t="s">
        <v>132</v>
      </c>
      <c r="G13" s="285"/>
      <c r="H13" s="84" t="s">
        <v>331</v>
      </c>
      <c r="I13" s="85">
        <v>0.9385</v>
      </c>
      <c r="J13" s="86">
        <v>168</v>
      </c>
      <c r="K13" s="87">
        <v>45984</v>
      </c>
      <c r="L13" s="86">
        <v>48</v>
      </c>
      <c r="M13" s="86">
        <v>0</v>
      </c>
      <c r="N13" s="86">
        <v>4</v>
      </c>
      <c r="O13" s="88" t="s">
        <v>133</v>
      </c>
      <c r="P13" s="89">
        <v>0.61458333333333337</v>
      </c>
      <c r="Q13" s="86">
        <v>179</v>
      </c>
      <c r="R13" s="90" t="s">
        <v>332</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44" t="s">
        <v>333</v>
      </c>
      <c r="B14" s="44" t="s">
        <v>334</v>
      </c>
      <c r="C14" s="45">
        <v>4.5138888888888888E-2</v>
      </c>
      <c r="D14" s="44" t="s">
        <v>306</v>
      </c>
      <c r="E14" s="44" t="s">
        <v>108</v>
      </c>
      <c r="F14" s="44" t="s">
        <v>310</v>
      </c>
      <c r="G14" s="285"/>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46" t="s">
        <v>333</v>
      </c>
      <c r="B15" s="46" t="s">
        <v>335</v>
      </c>
      <c r="C15" s="47">
        <v>0.66666666666666663</v>
      </c>
      <c r="D15" s="46" t="s">
        <v>306</v>
      </c>
      <c r="E15" s="46" t="s">
        <v>76</v>
      </c>
      <c r="F15" s="46" t="s">
        <v>336</v>
      </c>
      <c r="G15" s="285"/>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6" t="s">
        <v>333</v>
      </c>
      <c r="B16" s="46" t="s">
        <v>337</v>
      </c>
      <c r="C16" s="47">
        <v>0.36458333333333331</v>
      </c>
      <c r="D16" s="46" t="s">
        <v>306</v>
      </c>
      <c r="E16" s="46" t="s">
        <v>76</v>
      </c>
      <c r="F16" s="46" t="s">
        <v>336</v>
      </c>
      <c r="G16" s="285"/>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4" t="s">
        <v>25</v>
      </c>
      <c r="B17" s="44" t="s">
        <v>338</v>
      </c>
      <c r="C17" s="45">
        <v>0.12847222222222221</v>
      </c>
      <c r="D17" s="44" t="s">
        <v>27</v>
      </c>
      <c r="E17" s="44" t="s">
        <v>339</v>
      </c>
      <c r="F17" s="44" t="s">
        <v>340</v>
      </c>
      <c r="G17" s="285"/>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5" t="s">
        <v>25</v>
      </c>
      <c r="B18" s="15" t="s">
        <v>338</v>
      </c>
      <c r="C18" s="16">
        <v>0.12847222222222221</v>
      </c>
      <c r="D18" s="15" t="s">
        <v>30</v>
      </c>
      <c r="E18" s="15" t="s">
        <v>341</v>
      </c>
      <c r="F18" s="15" t="s">
        <v>342</v>
      </c>
      <c r="G18" s="285"/>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25</v>
      </c>
      <c r="B19" s="15" t="s">
        <v>338</v>
      </c>
      <c r="C19" s="16">
        <v>0.12847222222222221</v>
      </c>
      <c r="D19" s="15" t="s">
        <v>33</v>
      </c>
      <c r="E19" s="15" t="s">
        <v>341</v>
      </c>
      <c r="F19" s="15" t="s">
        <v>34</v>
      </c>
      <c r="G19" s="285"/>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46" t="s">
        <v>25</v>
      </c>
      <c r="B20" s="46" t="s">
        <v>343</v>
      </c>
      <c r="C20" s="47">
        <v>0.88888888888888884</v>
      </c>
      <c r="D20" s="46" t="s">
        <v>27</v>
      </c>
      <c r="E20" s="46" t="s">
        <v>50</v>
      </c>
      <c r="F20" s="46" t="s">
        <v>340</v>
      </c>
      <c r="G20" s="285"/>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5" t="s">
        <v>25</v>
      </c>
      <c r="B21" s="15" t="s">
        <v>343</v>
      </c>
      <c r="C21" s="16">
        <v>0.88888888888888884</v>
      </c>
      <c r="D21" s="15" t="s">
        <v>30</v>
      </c>
      <c r="E21" s="15" t="s">
        <v>97</v>
      </c>
      <c r="F21" s="15" t="s">
        <v>342</v>
      </c>
      <c r="G21" s="285"/>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25</v>
      </c>
      <c r="B22" s="15" t="s">
        <v>343</v>
      </c>
      <c r="C22" s="16">
        <v>0.88888888888888884</v>
      </c>
      <c r="D22" s="15" t="s">
        <v>33</v>
      </c>
      <c r="E22" s="15" t="s">
        <v>97</v>
      </c>
      <c r="F22" s="15" t="s">
        <v>34</v>
      </c>
      <c r="G22" s="285"/>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46" t="s">
        <v>25</v>
      </c>
      <c r="B23" s="46" t="s">
        <v>344</v>
      </c>
      <c r="C23" s="47">
        <v>0.30208333333333331</v>
      </c>
      <c r="D23" s="46" t="s">
        <v>27</v>
      </c>
      <c r="E23" s="46" t="s">
        <v>143</v>
      </c>
      <c r="F23" s="46" t="s">
        <v>345</v>
      </c>
      <c r="G23" s="285"/>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5" t="s">
        <v>25</v>
      </c>
      <c r="B24" s="15" t="s">
        <v>344</v>
      </c>
      <c r="C24" s="16">
        <v>0.30208333333333331</v>
      </c>
      <c r="D24" s="15" t="s">
        <v>30</v>
      </c>
      <c r="E24" s="15" t="s">
        <v>136</v>
      </c>
      <c r="F24" s="15" t="s">
        <v>346</v>
      </c>
      <c r="G24" s="285"/>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344</v>
      </c>
      <c r="C25" s="16">
        <v>0.30208333333333331</v>
      </c>
      <c r="D25" s="15" t="s">
        <v>33</v>
      </c>
      <c r="E25" s="15" t="s">
        <v>136</v>
      </c>
      <c r="F25" s="15" t="s">
        <v>34</v>
      </c>
      <c r="G25" s="285"/>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46" t="s">
        <v>25</v>
      </c>
      <c r="B26" s="46" t="s">
        <v>347</v>
      </c>
      <c r="C26" s="47">
        <v>0.78819444444444453</v>
      </c>
      <c r="D26" s="46" t="s">
        <v>27</v>
      </c>
      <c r="E26" s="46" t="s">
        <v>348</v>
      </c>
      <c r="F26" s="46" t="s">
        <v>345</v>
      </c>
      <c r="G26" s="285"/>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5" t="s">
        <v>25</v>
      </c>
      <c r="B27" s="15" t="s">
        <v>347</v>
      </c>
      <c r="C27" s="16">
        <v>0.78819444444444453</v>
      </c>
      <c r="D27" s="15" t="s">
        <v>30</v>
      </c>
      <c r="E27" s="15" t="s">
        <v>105</v>
      </c>
      <c r="F27" s="15" t="s">
        <v>346</v>
      </c>
      <c r="G27" s="285"/>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347</v>
      </c>
      <c r="C28" s="16">
        <v>0.78819444444444453</v>
      </c>
      <c r="D28" s="15" t="s">
        <v>33</v>
      </c>
      <c r="E28" s="15" t="s">
        <v>105</v>
      </c>
      <c r="F28" s="15" t="s">
        <v>34</v>
      </c>
      <c r="G28" s="285"/>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4" t="s">
        <v>55</v>
      </c>
      <c r="B29" s="44" t="s">
        <v>349</v>
      </c>
      <c r="C29" s="45">
        <v>0.85416666666666663</v>
      </c>
      <c r="D29" s="44" t="s">
        <v>60</v>
      </c>
      <c r="E29" s="44" t="s">
        <v>108</v>
      </c>
      <c r="F29" s="44" t="s">
        <v>350</v>
      </c>
      <c r="G29" s="285"/>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55</v>
      </c>
      <c r="B30" s="15" t="s">
        <v>349</v>
      </c>
      <c r="C30" s="16">
        <v>0.85416666666666663</v>
      </c>
      <c r="D30" s="15" t="s">
        <v>62</v>
      </c>
      <c r="E30" s="15" t="s">
        <v>109</v>
      </c>
      <c r="F30" s="15" t="s">
        <v>351</v>
      </c>
      <c r="G30" s="285"/>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55</v>
      </c>
      <c r="B31" s="15" t="s">
        <v>349</v>
      </c>
      <c r="C31" s="16">
        <v>0.85416666666666663</v>
      </c>
      <c r="D31" s="15" t="s">
        <v>64</v>
      </c>
      <c r="E31" s="15" t="s">
        <v>109</v>
      </c>
      <c r="F31" s="15" t="s">
        <v>59</v>
      </c>
      <c r="G31" s="285"/>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46" t="s">
        <v>55</v>
      </c>
      <c r="B32" s="46" t="s">
        <v>352</v>
      </c>
      <c r="C32" s="47">
        <v>0.90277777777777779</v>
      </c>
      <c r="D32" s="46" t="s">
        <v>60</v>
      </c>
      <c r="E32" s="46" t="s">
        <v>116</v>
      </c>
      <c r="F32" s="46" t="s">
        <v>353</v>
      </c>
      <c r="G32" s="285"/>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55</v>
      </c>
      <c r="B33" s="15" t="s">
        <v>352</v>
      </c>
      <c r="C33" s="16">
        <v>0.90277777777777779</v>
      </c>
      <c r="D33" s="15" t="s">
        <v>62</v>
      </c>
      <c r="E33" s="15" t="s">
        <v>109</v>
      </c>
      <c r="F33" s="15" t="s">
        <v>354</v>
      </c>
      <c r="G33" s="285"/>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55</v>
      </c>
      <c r="B34" s="15" t="s">
        <v>352</v>
      </c>
      <c r="C34" s="16">
        <v>0.90277777777777779</v>
      </c>
      <c r="D34" s="15" t="s">
        <v>64</v>
      </c>
      <c r="E34" s="15" t="s">
        <v>109</v>
      </c>
      <c r="F34" s="15" t="s">
        <v>355</v>
      </c>
      <c r="G34" s="285"/>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46" t="s">
        <v>55</v>
      </c>
      <c r="B35" s="46" t="s">
        <v>356</v>
      </c>
      <c r="C35" s="47">
        <v>0.79861111111111116</v>
      </c>
      <c r="D35" s="46" t="s">
        <v>60</v>
      </c>
      <c r="E35" s="46" t="s">
        <v>44</v>
      </c>
      <c r="F35" s="46" t="s">
        <v>353</v>
      </c>
      <c r="G35" s="285"/>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55</v>
      </c>
      <c r="B36" s="15" t="s">
        <v>356</v>
      </c>
      <c r="C36" s="16">
        <v>0.79861111111111116</v>
      </c>
      <c r="D36" s="15" t="s">
        <v>62</v>
      </c>
      <c r="E36" s="15" t="s">
        <v>61</v>
      </c>
      <c r="F36" s="15" t="s">
        <v>354</v>
      </c>
      <c r="G36" s="285"/>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55</v>
      </c>
      <c r="B37" s="15" t="s">
        <v>356</v>
      </c>
      <c r="C37" s="16">
        <v>0.79861111111111116</v>
      </c>
      <c r="D37" s="15" t="s">
        <v>64</v>
      </c>
      <c r="E37" s="15" t="s">
        <v>61</v>
      </c>
      <c r="F37" s="15" t="s">
        <v>355</v>
      </c>
      <c r="G37" s="285"/>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46" t="s">
        <v>55</v>
      </c>
      <c r="B38" s="46" t="s">
        <v>357</v>
      </c>
      <c r="C38" s="47">
        <v>0.25694444444444448</v>
      </c>
      <c r="D38" s="46" t="s">
        <v>60</v>
      </c>
      <c r="E38" s="46" t="s">
        <v>358</v>
      </c>
      <c r="F38" s="46" t="s">
        <v>359</v>
      </c>
      <c r="G38" s="285"/>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55</v>
      </c>
      <c r="B39" s="15" t="s">
        <v>357</v>
      </c>
      <c r="C39" s="16">
        <v>0.25694444444444448</v>
      </c>
      <c r="D39" s="15" t="s">
        <v>62</v>
      </c>
      <c r="E39" s="15" t="s">
        <v>360</v>
      </c>
      <c r="F39" s="15" t="s">
        <v>361</v>
      </c>
      <c r="G39" s="285"/>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55</v>
      </c>
      <c r="B40" s="15" t="s">
        <v>357</v>
      </c>
      <c r="C40" s="16">
        <v>0.25694444444444448</v>
      </c>
      <c r="D40" s="15" t="s">
        <v>64</v>
      </c>
      <c r="E40" s="15" t="s">
        <v>360</v>
      </c>
      <c r="F40" s="15" t="s">
        <v>362</v>
      </c>
      <c r="G40" s="285"/>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46" t="s">
        <v>55</v>
      </c>
      <c r="B41" s="46" t="s">
        <v>363</v>
      </c>
      <c r="C41" s="47">
        <v>0.64583333333333337</v>
      </c>
      <c r="D41" s="46" t="s">
        <v>60</v>
      </c>
      <c r="E41" s="46" t="s">
        <v>74</v>
      </c>
      <c r="F41" s="46" t="s">
        <v>359</v>
      </c>
      <c r="G41" s="28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55</v>
      </c>
      <c r="B42" s="15" t="s">
        <v>363</v>
      </c>
      <c r="C42" s="16">
        <v>0.64583333333333337</v>
      </c>
      <c r="D42" s="15" t="s">
        <v>62</v>
      </c>
      <c r="E42" s="15" t="s">
        <v>31</v>
      </c>
      <c r="F42" s="15" t="s">
        <v>361</v>
      </c>
      <c r="G42" s="285"/>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55</v>
      </c>
      <c r="B43" s="15" t="s">
        <v>363</v>
      </c>
      <c r="C43" s="16">
        <v>0.64583333333333337</v>
      </c>
      <c r="D43" s="15" t="s">
        <v>64</v>
      </c>
      <c r="E43" s="15" t="s">
        <v>31</v>
      </c>
      <c r="F43" s="15" t="s">
        <v>362</v>
      </c>
      <c r="G43" s="285"/>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46" t="s">
        <v>55</v>
      </c>
      <c r="B44" s="46" t="s">
        <v>364</v>
      </c>
      <c r="C44" s="47">
        <v>0.51736111111111105</v>
      </c>
      <c r="D44" s="46" t="s">
        <v>60</v>
      </c>
      <c r="E44" s="46" t="s">
        <v>50</v>
      </c>
      <c r="F44" s="46" t="s">
        <v>359</v>
      </c>
      <c r="G44" s="285"/>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55</v>
      </c>
      <c r="B45" s="15" t="s">
        <v>364</v>
      </c>
      <c r="C45" s="16">
        <v>0.51736111111111105</v>
      </c>
      <c r="D45" s="15" t="s">
        <v>62</v>
      </c>
      <c r="E45" s="15" t="s">
        <v>97</v>
      </c>
      <c r="F45" s="15" t="s">
        <v>361</v>
      </c>
      <c r="G45" s="285"/>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5" t="s">
        <v>55</v>
      </c>
      <c r="B46" s="15" t="s">
        <v>364</v>
      </c>
      <c r="C46" s="16">
        <v>0.51736111111111105</v>
      </c>
      <c r="D46" s="15" t="s">
        <v>64</v>
      </c>
      <c r="E46" s="15" t="s">
        <v>97</v>
      </c>
      <c r="F46" s="15" t="s">
        <v>362</v>
      </c>
      <c r="G46" s="285"/>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46" t="s">
        <v>55</v>
      </c>
      <c r="B47" s="46" t="s">
        <v>365</v>
      </c>
      <c r="C47" s="47">
        <v>0.30208333333333331</v>
      </c>
      <c r="D47" s="46" t="s">
        <v>60</v>
      </c>
      <c r="E47" s="46" t="s">
        <v>358</v>
      </c>
      <c r="F47" s="46" t="s">
        <v>359</v>
      </c>
      <c r="G47" s="285"/>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55</v>
      </c>
      <c r="B48" s="15" t="s">
        <v>365</v>
      </c>
      <c r="C48" s="16">
        <v>0.30208333333333331</v>
      </c>
      <c r="D48" s="15" t="s">
        <v>62</v>
      </c>
      <c r="E48" s="15" t="s">
        <v>360</v>
      </c>
      <c r="F48" s="15" t="s">
        <v>361</v>
      </c>
      <c r="G48" s="285"/>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55</v>
      </c>
      <c r="B49" s="15" t="s">
        <v>365</v>
      </c>
      <c r="C49" s="16">
        <v>0.30208333333333331</v>
      </c>
      <c r="D49" s="15" t="s">
        <v>64</v>
      </c>
      <c r="E49" s="15" t="s">
        <v>360</v>
      </c>
      <c r="F49" s="15" t="s">
        <v>362</v>
      </c>
      <c r="G49" s="285"/>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46" t="s">
        <v>55</v>
      </c>
      <c r="B50" s="46" t="s">
        <v>366</v>
      </c>
      <c r="C50" s="47">
        <v>0.39583333333333331</v>
      </c>
      <c r="D50" s="46" t="s">
        <v>60</v>
      </c>
      <c r="E50" s="46" t="s">
        <v>91</v>
      </c>
      <c r="F50" s="46" t="s">
        <v>342</v>
      </c>
      <c r="G50" s="285"/>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55</v>
      </c>
      <c r="B51" s="15" t="s">
        <v>366</v>
      </c>
      <c r="C51" s="16">
        <v>0.39583333333333331</v>
      </c>
      <c r="D51" s="15" t="s">
        <v>62</v>
      </c>
      <c r="E51" s="15" t="s">
        <v>92</v>
      </c>
      <c r="F51" s="15" t="s">
        <v>367</v>
      </c>
      <c r="G51" s="285"/>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55</v>
      </c>
      <c r="B52" s="15" t="s">
        <v>366</v>
      </c>
      <c r="C52" s="16">
        <v>0.39583333333333331</v>
      </c>
      <c r="D52" s="15" t="s">
        <v>64</v>
      </c>
      <c r="E52" s="15" t="s">
        <v>92</v>
      </c>
      <c r="F52" s="15" t="s">
        <v>368</v>
      </c>
      <c r="G52" s="285"/>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44" t="s">
        <v>66</v>
      </c>
      <c r="B53" s="44" t="s">
        <v>369</v>
      </c>
      <c r="C53" s="45">
        <v>0.4861111111111111</v>
      </c>
      <c r="D53" s="44" t="s">
        <v>85</v>
      </c>
      <c r="E53" s="44" t="s">
        <v>38</v>
      </c>
      <c r="F53" s="44" t="s">
        <v>370</v>
      </c>
      <c r="G53" s="285"/>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46" t="s">
        <v>66</v>
      </c>
      <c r="B54" s="46" t="s">
        <v>371</v>
      </c>
      <c r="C54" s="47">
        <v>0.51388888888888895</v>
      </c>
      <c r="D54" s="46" t="s">
        <v>68</v>
      </c>
      <c r="E54" s="46" t="s">
        <v>76</v>
      </c>
      <c r="F54" s="46" t="s">
        <v>372</v>
      </c>
      <c r="G54" s="285"/>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46" t="s">
        <v>66</v>
      </c>
      <c r="B55" s="46" t="s">
        <v>373</v>
      </c>
      <c r="C55" s="47">
        <v>1.388888888888889E-2</v>
      </c>
      <c r="D55" s="46" t="s">
        <v>68</v>
      </c>
      <c r="E55" s="46" t="s">
        <v>76</v>
      </c>
      <c r="F55" s="46" t="s">
        <v>374</v>
      </c>
      <c r="G55" s="285"/>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46" t="s">
        <v>66</v>
      </c>
      <c r="B56" s="46" t="s">
        <v>375</v>
      </c>
      <c r="C56" s="47">
        <v>0.27777777777777779</v>
      </c>
      <c r="D56" s="46" t="s">
        <v>68</v>
      </c>
      <c r="E56" s="46" t="s">
        <v>76</v>
      </c>
      <c r="F56" s="46" t="s">
        <v>374</v>
      </c>
      <c r="G56" s="285"/>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46" t="s">
        <v>66</v>
      </c>
      <c r="B57" s="46" t="s">
        <v>376</v>
      </c>
      <c r="C57" s="47">
        <v>0.77430555555555547</v>
      </c>
      <c r="D57" s="46" t="s">
        <v>68</v>
      </c>
      <c r="E57" s="46" t="s">
        <v>76</v>
      </c>
      <c r="F57" s="46" t="s">
        <v>374</v>
      </c>
      <c r="G57" s="285"/>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46" t="s">
        <v>66</v>
      </c>
      <c r="B58" s="46" t="s">
        <v>377</v>
      </c>
      <c r="C58" s="47">
        <v>0.22222222222222221</v>
      </c>
      <c r="D58" s="46" t="s">
        <v>68</v>
      </c>
      <c r="E58" s="46" t="s">
        <v>76</v>
      </c>
      <c r="F58" s="46" t="s">
        <v>374</v>
      </c>
      <c r="G58" s="285"/>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44" t="s">
        <v>378</v>
      </c>
      <c r="B59" s="44" t="s">
        <v>379</v>
      </c>
      <c r="C59" s="45">
        <v>0.22222222222222221</v>
      </c>
      <c r="D59" s="44" t="s">
        <v>380</v>
      </c>
      <c r="E59" s="44" t="s">
        <v>381</v>
      </c>
      <c r="F59" s="44" t="s">
        <v>382</v>
      </c>
      <c r="G59" s="285"/>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378</v>
      </c>
      <c r="B60" s="15" t="s">
        <v>379</v>
      </c>
      <c r="C60" s="16">
        <v>0.22222222222222221</v>
      </c>
      <c r="D60" s="15" t="s">
        <v>33</v>
      </c>
      <c r="E60" s="15" t="s">
        <v>360</v>
      </c>
      <c r="F60" s="15" t="s">
        <v>383</v>
      </c>
      <c r="G60" s="285"/>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44" t="s">
        <v>78</v>
      </c>
      <c r="B61" s="44" t="s">
        <v>384</v>
      </c>
      <c r="C61" s="45">
        <v>0.37847222222222232</v>
      </c>
      <c r="D61" s="44" t="s">
        <v>87</v>
      </c>
      <c r="E61" s="44" t="s">
        <v>38</v>
      </c>
      <c r="F61" s="44" t="s">
        <v>385</v>
      </c>
      <c r="G61" s="285"/>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78</v>
      </c>
      <c r="B62" s="15" t="s">
        <v>384</v>
      </c>
      <c r="C62" s="16">
        <v>0.37847222222222232</v>
      </c>
      <c r="D62" s="15" t="s">
        <v>82</v>
      </c>
      <c r="E62" s="15" t="s">
        <v>88</v>
      </c>
      <c r="F62" s="15" t="s">
        <v>386</v>
      </c>
      <c r="G62" s="285"/>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46" t="s">
        <v>78</v>
      </c>
      <c r="B63" s="46" t="s">
        <v>387</v>
      </c>
      <c r="C63" s="47">
        <v>0.23958333333333329</v>
      </c>
      <c r="D63" s="46" t="s">
        <v>87</v>
      </c>
      <c r="E63" s="46" t="s">
        <v>76</v>
      </c>
      <c r="F63" s="46" t="s">
        <v>385</v>
      </c>
      <c r="G63" s="285"/>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78</v>
      </c>
      <c r="B64" s="15" t="s">
        <v>387</v>
      </c>
      <c r="C64" s="16">
        <v>0.23958333333333329</v>
      </c>
      <c r="D64" s="15" t="s">
        <v>82</v>
      </c>
      <c r="E64" s="15" t="s">
        <v>88</v>
      </c>
      <c r="F64" s="15" t="s">
        <v>386</v>
      </c>
      <c r="G64" s="285"/>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46" t="s">
        <v>78</v>
      </c>
      <c r="B65" s="46" t="s">
        <v>388</v>
      </c>
      <c r="C65" s="47">
        <v>0.1423611111111111</v>
      </c>
      <c r="D65" s="46" t="s">
        <v>87</v>
      </c>
      <c r="E65" s="46" t="s">
        <v>76</v>
      </c>
      <c r="F65" s="46" t="s">
        <v>385</v>
      </c>
      <c r="G65" s="285"/>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78</v>
      </c>
      <c r="B66" s="15" t="s">
        <v>388</v>
      </c>
      <c r="C66" s="16">
        <v>0.1423611111111111</v>
      </c>
      <c r="D66" s="15" t="s">
        <v>82</v>
      </c>
      <c r="E66" s="15" t="s">
        <v>88</v>
      </c>
      <c r="F66" s="15" t="s">
        <v>386</v>
      </c>
      <c r="G66" s="285"/>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46" t="s">
        <v>78</v>
      </c>
      <c r="B67" s="46" t="s">
        <v>389</v>
      </c>
      <c r="C67" s="47">
        <v>6.9444444444444441E-3</v>
      </c>
      <c r="D67" s="46" t="s">
        <v>87</v>
      </c>
      <c r="E67" s="46" t="s">
        <v>76</v>
      </c>
      <c r="F67" s="46" t="s">
        <v>390</v>
      </c>
      <c r="G67" s="285"/>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78</v>
      </c>
      <c r="B68" s="15" t="s">
        <v>389</v>
      </c>
      <c r="C68" s="16">
        <v>6.9444444444444441E-3</v>
      </c>
      <c r="D68" s="15" t="s">
        <v>82</v>
      </c>
      <c r="E68" s="15" t="s">
        <v>88</v>
      </c>
      <c r="F68" s="15" t="s">
        <v>391</v>
      </c>
      <c r="G68" s="285"/>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46" t="s">
        <v>78</v>
      </c>
      <c r="B69" s="46" t="s">
        <v>392</v>
      </c>
      <c r="C69" s="47">
        <v>0.93055555555555547</v>
      </c>
      <c r="D69" s="46" t="s">
        <v>87</v>
      </c>
      <c r="E69" s="46" t="s">
        <v>76</v>
      </c>
      <c r="F69" s="46" t="s">
        <v>390</v>
      </c>
      <c r="G69" s="285"/>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78</v>
      </c>
      <c r="B70" s="15" t="s">
        <v>392</v>
      </c>
      <c r="C70" s="16">
        <v>0.93055555555555547</v>
      </c>
      <c r="D70" s="15" t="s">
        <v>82</v>
      </c>
      <c r="E70" s="15" t="s">
        <v>88</v>
      </c>
      <c r="F70" s="15" t="s">
        <v>391</v>
      </c>
      <c r="G70" s="285"/>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6" t="s">
        <v>78</v>
      </c>
      <c r="B71" s="46" t="s">
        <v>393</v>
      </c>
      <c r="C71" s="47">
        <v>0.88888888888888884</v>
      </c>
      <c r="D71" s="46" t="s">
        <v>82</v>
      </c>
      <c r="E71" s="46" t="s">
        <v>102</v>
      </c>
      <c r="F71" s="46" t="s">
        <v>394</v>
      </c>
      <c r="G71" s="285"/>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6" t="s">
        <v>78</v>
      </c>
      <c r="B72" s="46" t="s">
        <v>395</v>
      </c>
      <c r="C72" s="47">
        <v>0.12847222222222221</v>
      </c>
      <c r="D72" s="46" t="s">
        <v>82</v>
      </c>
      <c r="E72" s="46" t="s">
        <v>102</v>
      </c>
      <c r="F72" s="46" t="s">
        <v>394</v>
      </c>
      <c r="G72" s="285"/>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46" t="s">
        <v>78</v>
      </c>
      <c r="B73" s="46" t="s">
        <v>396</v>
      </c>
      <c r="C73" s="47">
        <v>0.78819444444444453</v>
      </c>
      <c r="D73" s="46" t="s">
        <v>82</v>
      </c>
      <c r="E73" s="46" t="s">
        <v>102</v>
      </c>
      <c r="F73" s="46" t="s">
        <v>394</v>
      </c>
      <c r="G73" s="285"/>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46" t="s">
        <v>78</v>
      </c>
      <c r="B74" s="46" t="s">
        <v>397</v>
      </c>
      <c r="C74" s="47">
        <v>0.71875</v>
      </c>
      <c r="D74" s="46" t="s">
        <v>87</v>
      </c>
      <c r="E74" s="46" t="s">
        <v>76</v>
      </c>
      <c r="F74" s="46" t="s">
        <v>398</v>
      </c>
      <c r="G74" s="285"/>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5" t="s">
        <v>78</v>
      </c>
      <c r="B75" s="15" t="s">
        <v>397</v>
      </c>
      <c r="C75" s="16">
        <v>0.71875</v>
      </c>
      <c r="D75" s="15" t="s">
        <v>82</v>
      </c>
      <c r="E75" s="15" t="s">
        <v>88</v>
      </c>
      <c r="F75" s="15" t="s">
        <v>399</v>
      </c>
      <c r="G75" s="285"/>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46" t="s">
        <v>78</v>
      </c>
      <c r="B76" s="46" t="s">
        <v>400</v>
      </c>
      <c r="C76" s="47">
        <v>0.61111111111111105</v>
      </c>
      <c r="D76" s="46" t="s">
        <v>87</v>
      </c>
      <c r="E76" s="46" t="s">
        <v>76</v>
      </c>
      <c r="F76" s="46" t="s">
        <v>398</v>
      </c>
      <c r="G76" s="285"/>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78</v>
      </c>
      <c r="B77" s="15" t="s">
        <v>400</v>
      </c>
      <c r="C77" s="16">
        <v>0.61111111111111105</v>
      </c>
      <c r="D77" s="15" t="s">
        <v>82</v>
      </c>
      <c r="E77" s="15" t="s">
        <v>88</v>
      </c>
      <c r="F77" s="15" t="s">
        <v>399</v>
      </c>
      <c r="G77" s="285"/>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46" t="s">
        <v>78</v>
      </c>
      <c r="B78" s="46" t="s">
        <v>401</v>
      </c>
      <c r="C78" s="47">
        <v>0.82986111111111116</v>
      </c>
      <c r="D78" s="46" t="s">
        <v>87</v>
      </c>
      <c r="E78" s="46" t="s">
        <v>76</v>
      </c>
      <c r="F78" s="46" t="s">
        <v>398</v>
      </c>
      <c r="G78" s="285"/>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78</v>
      </c>
      <c r="B79" s="15" t="s">
        <v>401</v>
      </c>
      <c r="C79" s="16">
        <v>0.82986111111111116</v>
      </c>
      <c r="D79" s="15" t="s">
        <v>82</v>
      </c>
      <c r="E79" s="15" t="s">
        <v>88</v>
      </c>
      <c r="F79" s="15" t="s">
        <v>399</v>
      </c>
      <c r="G79" s="285"/>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61" t="s">
        <v>78</v>
      </c>
      <c r="B80" s="61" t="s">
        <v>402</v>
      </c>
      <c r="C80" s="62">
        <v>0.30208333333333331</v>
      </c>
      <c r="D80" s="61" t="s">
        <v>82</v>
      </c>
      <c r="E80" s="61" t="s">
        <v>102</v>
      </c>
      <c r="F80" s="61" t="s">
        <v>403</v>
      </c>
      <c r="G80" s="286"/>
      <c r="H80" s="50"/>
      <c r="I80" s="51"/>
      <c r="J80" s="51"/>
      <c r="K80" s="51"/>
      <c r="L80" s="51"/>
      <c r="M80" s="51"/>
      <c r="N80" s="51"/>
      <c r="O80" s="52"/>
      <c r="P80" s="51"/>
      <c r="Q80" s="53"/>
      <c r="R80" s="5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 customHeight="1" x14ac:dyDescent="0.3">
      <c r="A81" s="295"/>
      <c r="B81" s="296"/>
      <c r="C81" s="296"/>
      <c r="D81" s="296"/>
      <c r="E81" s="296"/>
      <c r="F81" s="296"/>
      <c r="G81" s="289"/>
      <c r="H81" s="297"/>
      <c r="I81" s="297"/>
      <c r="J81" s="297"/>
      <c r="K81" s="297"/>
      <c r="L81" s="297"/>
      <c r="M81" s="297"/>
      <c r="N81" s="297"/>
      <c r="O81" s="298"/>
      <c r="P81" s="297"/>
      <c r="Q81" s="289"/>
      <c r="R81" s="29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05" customHeight="1" x14ac:dyDescent="0.3">
      <c r="A82" s="282" t="s">
        <v>5</v>
      </c>
      <c r="B82" s="283"/>
      <c r="C82" s="283"/>
      <c r="D82" s="283"/>
      <c r="E82" s="283"/>
      <c r="F82" s="283"/>
      <c r="G82" s="5">
        <v>45987</v>
      </c>
      <c r="H82" s="278" t="s">
        <v>6</v>
      </c>
      <c r="I82" s="279"/>
      <c r="J82" s="279"/>
      <c r="K82" s="279"/>
      <c r="L82" s="279"/>
      <c r="M82" s="279"/>
      <c r="N82" s="279"/>
      <c r="O82" s="279"/>
      <c r="P82" s="279"/>
      <c r="Q82" s="279"/>
      <c r="R82" s="279"/>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x14ac:dyDescent="0.3">
      <c r="A83" s="55" t="s">
        <v>7</v>
      </c>
      <c r="B83" s="55" t="s">
        <v>8</v>
      </c>
      <c r="C83" s="56" t="s">
        <v>9</v>
      </c>
      <c r="D83" s="55" t="s">
        <v>10</v>
      </c>
      <c r="E83" s="55" t="s">
        <v>11</v>
      </c>
      <c r="F83" s="55" t="s">
        <v>12</v>
      </c>
      <c r="G83" s="57" t="s">
        <v>13</v>
      </c>
      <c r="H83" s="55" t="s">
        <v>14</v>
      </c>
      <c r="I83" s="58" t="s">
        <v>15</v>
      </c>
      <c r="J83" s="59" t="s">
        <v>16</v>
      </c>
      <c r="K83" s="60" t="s">
        <v>17</v>
      </c>
      <c r="L83" s="59" t="s">
        <v>18</v>
      </c>
      <c r="M83" s="59" t="s">
        <v>19</v>
      </c>
      <c r="N83" s="59" t="s">
        <v>20</v>
      </c>
      <c r="O83" s="55" t="s">
        <v>21</v>
      </c>
      <c r="P83" s="56" t="s">
        <v>22</v>
      </c>
      <c r="Q83" s="59" t="s">
        <v>23</v>
      </c>
      <c r="R83" s="55"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8" t="s">
        <v>304</v>
      </c>
      <c r="B84" s="8" t="s">
        <v>305</v>
      </c>
      <c r="C84" s="9">
        <v>0.27083333333333331</v>
      </c>
      <c r="D84" s="8" t="s">
        <v>306</v>
      </c>
      <c r="E84" s="8" t="s">
        <v>28</v>
      </c>
      <c r="F84" s="8" t="s">
        <v>307</v>
      </c>
      <c r="G84" s="284"/>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46" t="s">
        <v>304</v>
      </c>
      <c r="B85" s="46" t="s">
        <v>308</v>
      </c>
      <c r="C85" s="47">
        <v>0.86111111111111116</v>
      </c>
      <c r="D85" s="46" t="s">
        <v>306</v>
      </c>
      <c r="E85" s="46" t="s">
        <v>50</v>
      </c>
      <c r="F85" s="46" t="s">
        <v>404</v>
      </c>
      <c r="G85" s="285"/>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44" t="s">
        <v>25</v>
      </c>
      <c r="B86" s="44" t="s">
        <v>344</v>
      </c>
      <c r="C86" s="45">
        <v>0.30208333333333331</v>
      </c>
      <c r="D86" s="44" t="s">
        <v>27</v>
      </c>
      <c r="E86" s="44" t="s">
        <v>122</v>
      </c>
      <c r="F86" s="44" t="s">
        <v>340</v>
      </c>
      <c r="G86" s="285"/>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25</v>
      </c>
      <c r="B87" s="15" t="s">
        <v>344</v>
      </c>
      <c r="C87" s="16">
        <v>0.30208333333333331</v>
      </c>
      <c r="D87" s="15" t="s">
        <v>30</v>
      </c>
      <c r="E87" s="15" t="s">
        <v>92</v>
      </c>
      <c r="F87" s="15" t="s">
        <v>342</v>
      </c>
      <c r="G87" s="285"/>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344</v>
      </c>
      <c r="C88" s="16">
        <v>0.30208333333333331</v>
      </c>
      <c r="D88" s="15" t="s">
        <v>33</v>
      </c>
      <c r="E88" s="15" t="s">
        <v>92</v>
      </c>
      <c r="F88" s="15" t="s">
        <v>34</v>
      </c>
      <c r="G88" s="285"/>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46" t="s">
        <v>25</v>
      </c>
      <c r="B89" s="46" t="s">
        <v>338</v>
      </c>
      <c r="C89" s="47">
        <v>0.12847222222222221</v>
      </c>
      <c r="D89" s="46" t="s">
        <v>27</v>
      </c>
      <c r="E89" s="46" t="s">
        <v>405</v>
      </c>
      <c r="F89" s="46" t="s">
        <v>340</v>
      </c>
      <c r="G89" s="285"/>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25</v>
      </c>
      <c r="B90" s="15" t="s">
        <v>338</v>
      </c>
      <c r="C90" s="16">
        <v>0.12847222222222221</v>
      </c>
      <c r="D90" s="15" t="s">
        <v>30</v>
      </c>
      <c r="E90" s="15" t="s">
        <v>406</v>
      </c>
      <c r="F90" s="15" t="s">
        <v>342</v>
      </c>
      <c r="G90" s="285"/>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25</v>
      </c>
      <c r="B91" s="15" t="s">
        <v>338</v>
      </c>
      <c r="C91" s="16">
        <v>0.12847222222222221</v>
      </c>
      <c r="D91" s="15" t="s">
        <v>33</v>
      </c>
      <c r="E91" s="15" t="s">
        <v>406</v>
      </c>
      <c r="F91" s="15" t="s">
        <v>34</v>
      </c>
      <c r="G91" s="285"/>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46" t="s">
        <v>25</v>
      </c>
      <c r="B92" s="46" t="s">
        <v>347</v>
      </c>
      <c r="C92" s="47">
        <v>0.78819444444444453</v>
      </c>
      <c r="D92" s="46" t="s">
        <v>27</v>
      </c>
      <c r="E92" s="46" t="s">
        <v>407</v>
      </c>
      <c r="F92" s="46" t="s">
        <v>340</v>
      </c>
      <c r="G92" s="285"/>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25</v>
      </c>
      <c r="B93" s="15" t="s">
        <v>347</v>
      </c>
      <c r="C93" s="16">
        <v>0.78819444444444453</v>
      </c>
      <c r="D93" s="15" t="s">
        <v>30</v>
      </c>
      <c r="E93" s="15" t="s">
        <v>408</v>
      </c>
      <c r="F93" s="15" t="s">
        <v>342</v>
      </c>
      <c r="G93" s="285"/>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347</v>
      </c>
      <c r="C94" s="16">
        <v>0.78819444444444453</v>
      </c>
      <c r="D94" s="15" t="s">
        <v>33</v>
      </c>
      <c r="E94" s="15" t="s">
        <v>408</v>
      </c>
      <c r="F94" s="15" t="s">
        <v>34</v>
      </c>
      <c r="G94" s="285"/>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46" t="s">
        <v>25</v>
      </c>
      <c r="B95" s="46" t="s">
        <v>343</v>
      </c>
      <c r="C95" s="47">
        <v>0.88888888888888884</v>
      </c>
      <c r="D95" s="46" t="s">
        <v>27</v>
      </c>
      <c r="E95" s="46" t="s">
        <v>409</v>
      </c>
      <c r="F95" s="46" t="s">
        <v>340</v>
      </c>
      <c r="G95" s="285"/>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25</v>
      </c>
      <c r="B96" s="15" t="s">
        <v>343</v>
      </c>
      <c r="C96" s="16">
        <v>0.88888888888888884</v>
      </c>
      <c r="D96" s="15" t="s">
        <v>30</v>
      </c>
      <c r="E96" s="15" t="s">
        <v>410</v>
      </c>
      <c r="F96" s="15" t="s">
        <v>342</v>
      </c>
      <c r="G96" s="285"/>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25</v>
      </c>
      <c r="B97" s="15" t="s">
        <v>343</v>
      </c>
      <c r="C97" s="16">
        <v>0.88888888888888884</v>
      </c>
      <c r="D97" s="15" t="s">
        <v>33</v>
      </c>
      <c r="E97" s="15" t="s">
        <v>410</v>
      </c>
      <c r="F97" s="15" t="s">
        <v>34</v>
      </c>
      <c r="G97" s="285"/>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211" t="s">
        <v>35</v>
      </c>
      <c r="B98" s="211" t="s">
        <v>324</v>
      </c>
      <c r="C98" s="212">
        <v>0.52083333333333337</v>
      </c>
      <c r="D98" s="211" t="s">
        <v>37</v>
      </c>
      <c r="E98" s="211" t="s">
        <v>38</v>
      </c>
      <c r="F98" s="211" t="s">
        <v>315</v>
      </c>
      <c r="G98" s="285"/>
      <c r="H98" s="37" t="s">
        <v>326</v>
      </c>
      <c r="I98" s="201">
        <v>0.81559999999999999</v>
      </c>
      <c r="J98" s="39">
        <v>146</v>
      </c>
      <c r="K98" s="40">
        <v>45985</v>
      </c>
      <c r="L98" s="39">
        <v>54</v>
      </c>
      <c r="M98" s="39">
        <v>1</v>
      </c>
      <c r="N98" s="39">
        <v>9</v>
      </c>
      <c r="O98" s="41" t="s">
        <v>202</v>
      </c>
      <c r="P98" s="42">
        <v>0.52083333333333337</v>
      </c>
      <c r="Q98" s="39">
        <v>179</v>
      </c>
      <c r="R98" s="43" t="s">
        <v>411</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202" t="s">
        <v>35</v>
      </c>
      <c r="B99" s="202" t="s">
        <v>314</v>
      </c>
      <c r="C99" s="203">
        <v>0.51736111111111105</v>
      </c>
      <c r="D99" s="202" t="s">
        <v>37</v>
      </c>
      <c r="E99" s="202" t="s">
        <v>76</v>
      </c>
      <c r="F99" s="202" t="s">
        <v>315</v>
      </c>
      <c r="G99" s="285"/>
      <c r="H99" s="179" t="s">
        <v>316</v>
      </c>
      <c r="I99" s="213">
        <v>0.51400000000000001</v>
      </c>
      <c r="J99" s="181">
        <v>92</v>
      </c>
      <c r="K99" s="182">
        <v>45984</v>
      </c>
      <c r="L99" s="181">
        <v>53</v>
      </c>
      <c r="M99" s="181">
        <v>0</v>
      </c>
      <c r="N99" s="181">
        <v>2</v>
      </c>
      <c r="O99" s="183" t="s">
        <v>202</v>
      </c>
      <c r="P99" s="184">
        <v>0.51736111111111105</v>
      </c>
      <c r="Q99" s="181">
        <v>179</v>
      </c>
      <c r="R99" s="185" t="s">
        <v>412</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26" t="s">
        <v>35</v>
      </c>
      <c r="B100" s="26" t="s">
        <v>413</v>
      </c>
      <c r="C100" s="27">
        <v>0.61458333333333337</v>
      </c>
      <c r="D100" s="26" t="s">
        <v>37</v>
      </c>
      <c r="E100" s="26" t="s">
        <v>50</v>
      </c>
      <c r="F100" s="26" t="s">
        <v>315</v>
      </c>
      <c r="G100" s="285"/>
      <c r="H100" s="28" t="s">
        <v>331</v>
      </c>
      <c r="I100" s="199">
        <v>0.73740000000000006</v>
      </c>
      <c r="J100" s="30">
        <v>132</v>
      </c>
      <c r="K100" s="31">
        <v>45985</v>
      </c>
      <c r="L100" s="30">
        <v>34</v>
      </c>
      <c r="M100" s="30">
        <v>2</v>
      </c>
      <c r="N100" s="30">
        <v>7</v>
      </c>
      <c r="O100" s="32" t="s">
        <v>414</v>
      </c>
      <c r="P100" s="33">
        <v>0.61458333333333337</v>
      </c>
      <c r="Q100" s="30">
        <v>179</v>
      </c>
      <c r="R100" s="34" t="s">
        <v>415</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44" t="s">
        <v>55</v>
      </c>
      <c r="B101" s="44" t="s">
        <v>357</v>
      </c>
      <c r="C101" s="45">
        <v>0.25694444444444448</v>
      </c>
      <c r="D101" s="44" t="s">
        <v>60</v>
      </c>
      <c r="E101" s="44" t="s">
        <v>28</v>
      </c>
      <c r="F101" s="44" t="s">
        <v>350</v>
      </c>
      <c r="G101" s="285"/>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55</v>
      </c>
      <c r="B102" s="15" t="s">
        <v>357</v>
      </c>
      <c r="C102" s="16">
        <v>0.25694444444444448</v>
      </c>
      <c r="D102" s="15" t="s">
        <v>62</v>
      </c>
      <c r="E102" s="15" t="s">
        <v>31</v>
      </c>
      <c r="F102" s="15" t="s">
        <v>351</v>
      </c>
      <c r="G102" s="285"/>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55</v>
      </c>
      <c r="B103" s="15" t="s">
        <v>357</v>
      </c>
      <c r="C103" s="16">
        <v>0.25694444444444448</v>
      </c>
      <c r="D103" s="15" t="s">
        <v>64</v>
      </c>
      <c r="E103" s="15" t="s">
        <v>31</v>
      </c>
      <c r="F103" s="15" t="s">
        <v>59</v>
      </c>
      <c r="G103" s="285"/>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46" t="s">
        <v>55</v>
      </c>
      <c r="B104" s="46" t="s">
        <v>352</v>
      </c>
      <c r="C104" s="47">
        <v>0.90277777777777779</v>
      </c>
      <c r="D104" s="46" t="s">
        <v>60</v>
      </c>
      <c r="E104" s="46" t="s">
        <v>74</v>
      </c>
      <c r="F104" s="46" t="s">
        <v>350</v>
      </c>
      <c r="G104" s="285"/>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55</v>
      </c>
      <c r="B105" s="15" t="s">
        <v>352</v>
      </c>
      <c r="C105" s="16">
        <v>0.90277777777777779</v>
      </c>
      <c r="D105" s="15" t="s">
        <v>62</v>
      </c>
      <c r="E105" s="15" t="s">
        <v>31</v>
      </c>
      <c r="F105" s="15" t="s">
        <v>351</v>
      </c>
      <c r="G105" s="285"/>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5" t="s">
        <v>55</v>
      </c>
      <c r="B106" s="15" t="s">
        <v>352</v>
      </c>
      <c r="C106" s="16">
        <v>0.90277777777777779</v>
      </c>
      <c r="D106" s="15" t="s">
        <v>64</v>
      </c>
      <c r="E106" s="15" t="s">
        <v>31</v>
      </c>
      <c r="F106" s="15" t="s">
        <v>59</v>
      </c>
      <c r="G106" s="285"/>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46" t="s">
        <v>55</v>
      </c>
      <c r="B107" s="46" t="s">
        <v>349</v>
      </c>
      <c r="C107" s="47">
        <v>0.85416666666666663</v>
      </c>
      <c r="D107" s="46" t="s">
        <v>60</v>
      </c>
      <c r="E107" s="46" t="s">
        <v>44</v>
      </c>
      <c r="F107" s="46" t="s">
        <v>350</v>
      </c>
      <c r="G107" s="285"/>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5" t="s">
        <v>55</v>
      </c>
      <c r="B108" s="15" t="s">
        <v>349</v>
      </c>
      <c r="C108" s="16">
        <v>0.85416666666666663</v>
      </c>
      <c r="D108" s="15" t="s">
        <v>62</v>
      </c>
      <c r="E108" s="15" t="s">
        <v>61</v>
      </c>
      <c r="F108" s="15" t="s">
        <v>351</v>
      </c>
      <c r="G108" s="285"/>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55</v>
      </c>
      <c r="B109" s="15" t="s">
        <v>349</v>
      </c>
      <c r="C109" s="16">
        <v>0.85416666666666663</v>
      </c>
      <c r="D109" s="15" t="s">
        <v>64</v>
      </c>
      <c r="E109" s="15" t="s">
        <v>61</v>
      </c>
      <c r="F109" s="15" t="s">
        <v>59</v>
      </c>
      <c r="G109" s="285"/>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46" t="s">
        <v>55</v>
      </c>
      <c r="B110" s="46" t="s">
        <v>366</v>
      </c>
      <c r="C110" s="47">
        <v>0.39583333333333331</v>
      </c>
      <c r="D110" s="46" t="s">
        <v>60</v>
      </c>
      <c r="E110" s="46" t="s">
        <v>50</v>
      </c>
      <c r="F110" s="46" t="s">
        <v>350</v>
      </c>
      <c r="G110" s="285"/>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5" t="s">
        <v>55</v>
      </c>
      <c r="B111" s="15" t="s">
        <v>366</v>
      </c>
      <c r="C111" s="16">
        <v>0.39583333333333331</v>
      </c>
      <c r="D111" s="15" t="s">
        <v>62</v>
      </c>
      <c r="E111" s="15" t="s">
        <v>97</v>
      </c>
      <c r="F111" s="15" t="s">
        <v>351</v>
      </c>
      <c r="G111" s="285"/>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55</v>
      </c>
      <c r="B112" s="15" t="s">
        <v>366</v>
      </c>
      <c r="C112" s="16">
        <v>0.39583333333333331</v>
      </c>
      <c r="D112" s="15" t="s">
        <v>64</v>
      </c>
      <c r="E112" s="15" t="s">
        <v>97</v>
      </c>
      <c r="F112" s="15" t="s">
        <v>59</v>
      </c>
      <c r="G112" s="285"/>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46" t="s">
        <v>55</v>
      </c>
      <c r="B113" s="46" t="s">
        <v>365</v>
      </c>
      <c r="C113" s="47">
        <v>0.30208333333333331</v>
      </c>
      <c r="D113" s="46" t="s">
        <v>60</v>
      </c>
      <c r="E113" s="46" t="s">
        <v>74</v>
      </c>
      <c r="F113" s="46" t="s">
        <v>350</v>
      </c>
      <c r="G113" s="285"/>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5" t="s">
        <v>55</v>
      </c>
      <c r="B114" s="15" t="s">
        <v>365</v>
      </c>
      <c r="C114" s="16">
        <v>0.30208333333333331</v>
      </c>
      <c r="D114" s="15" t="s">
        <v>62</v>
      </c>
      <c r="E114" s="15" t="s">
        <v>31</v>
      </c>
      <c r="F114" s="15" t="s">
        <v>351</v>
      </c>
      <c r="G114" s="285"/>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55</v>
      </c>
      <c r="B115" s="15" t="s">
        <v>365</v>
      </c>
      <c r="C115" s="16">
        <v>0.30208333333333331</v>
      </c>
      <c r="D115" s="15" t="s">
        <v>64</v>
      </c>
      <c r="E115" s="15" t="s">
        <v>31</v>
      </c>
      <c r="F115" s="15" t="s">
        <v>59</v>
      </c>
      <c r="G115" s="285"/>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46" t="s">
        <v>55</v>
      </c>
      <c r="B116" s="46" t="s">
        <v>363</v>
      </c>
      <c r="C116" s="47">
        <v>0.64583333333333337</v>
      </c>
      <c r="D116" s="46" t="s">
        <v>60</v>
      </c>
      <c r="E116" s="46" t="s">
        <v>91</v>
      </c>
      <c r="F116" s="46" t="s">
        <v>353</v>
      </c>
      <c r="G116" s="285"/>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5" t="s">
        <v>55</v>
      </c>
      <c r="B117" s="15" t="s">
        <v>363</v>
      </c>
      <c r="C117" s="16">
        <v>0.64583333333333337</v>
      </c>
      <c r="D117" s="15" t="s">
        <v>62</v>
      </c>
      <c r="E117" s="15" t="s">
        <v>92</v>
      </c>
      <c r="F117" s="15" t="s">
        <v>354</v>
      </c>
      <c r="G117" s="285"/>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5" t="s">
        <v>55</v>
      </c>
      <c r="B118" s="15" t="s">
        <v>363</v>
      </c>
      <c r="C118" s="16">
        <v>0.64583333333333337</v>
      </c>
      <c r="D118" s="15" t="s">
        <v>64</v>
      </c>
      <c r="E118" s="15" t="s">
        <v>92</v>
      </c>
      <c r="F118" s="15" t="s">
        <v>355</v>
      </c>
      <c r="G118" s="285"/>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46" t="s">
        <v>55</v>
      </c>
      <c r="B119" s="46" t="s">
        <v>356</v>
      </c>
      <c r="C119" s="47">
        <v>0.79861111111111116</v>
      </c>
      <c r="D119" s="46" t="s">
        <v>60</v>
      </c>
      <c r="E119" s="46" t="s">
        <v>116</v>
      </c>
      <c r="F119" s="46" t="s">
        <v>353</v>
      </c>
      <c r="G119" s="285"/>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55</v>
      </c>
      <c r="B120" s="15" t="s">
        <v>356</v>
      </c>
      <c r="C120" s="16">
        <v>0.79861111111111116</v>
      </c>
      <c r="D120" s="15" t="s">
        <v>62</v>
      </c>
      <c r="E120" s="15" t="s">
        <v>109</v>
      </c>
      <c r="F120" s="15" t="s">
        <v>354</v>
      </c>
      <c r="G120" s="285"/>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55</v>
      </c>
      <c r="B121" s="15" t="s">
        <v>356</v>
      </c>
      <c r="C121" s="16">
        <v>0.79861111111111116</v>
      </c>
      <c r="D121" s="15" t="s">
        <v>64</v>
      </c>
      <c r="E121" s="15" t="s">
        <v>109</v>
      </c>
      <c r="F121" s="15" t="s">
        <v>355</v>
      </c>
      <c r="G121" s="285"/>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46" t="s">
        <v>55</v>
      </c>
      <c r="B122" s="46" t="s">
        <v>364</v>
      </c>
      <c r="C122" s="47">
        <v>0.51736111111111105</v>
      </c>
      <c r="D122" s="46" t="s">
        <v>60</v>
      </c>
      <c r="E122" s="46" t="s">
        <v>358</v>
      </c>
      <c r="F122" s="46" t="s">
        <v>359</v>
      </c>
      <c r="G122" s="285"/>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55</v>
      </c>
      <c r="B123" s="15" t="s">
        <v>364</v>
      </c>
      <c r="C123" s="16">
        <v>0.51736111111111105</v>
      </c>
      <c r="D123" s="15" t="s">
        <v>62</v>
      </c>
      <c r="E123" s="15" t="s">
        <v>360</v>
      </c>
      <c r="F123" s="15" t="s">
        <v>361</v>
      </c>
      <c r="G123" s="285"/>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55</v>
      </c>
      <c r="B124" s="15" t="s">
        <v>364</v>
      </c>
      <c r="C124" s="16">
        <v>0.51736111111111105</v>
      </c>
      <c r="D124" s="15" t="s">
        <v>64</v>
      </c>
      <c r="E124" s="15" t="s">
        <v>360</v>
      </c>
      <c r="F124" s="15" t="s">
        <v>362</v>
      </c>
      <c r="G124" s="285"/>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44" t="s">
        <v>66</v>
      </c>
      <c r="B125" s="44" t="s">
        <v>369</v>
      </c>
      <c r="C125" s="45">
        <v>0.4861111111111111</v>
      </c>
      <c r="D125" s="44" t="s">
        <v>85</v>
      </c>
      <c r="E125" s="44" t="s">
        <v>38</v>
      </c>
      <c r="F125" s="44" t="s">
        <v>370</v>
      </c>
      <c r="G125" s="285"/>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46" t="s">
        <v>66</v>
      </c>
      <c r="B126" s="46" t="s">
        <v>416</v>
      </c>
      <c r="C126" s="47">
        <v>0.14583333333333329</v>
      </c>
      <c r="D126" s="46" t="s">
        <v>85</v>
      </c>
      <c r="E126" s="46" t="s">
        <v>76</v>
      </c>
      <c r="F126" s="46" t="s">
        <v>370</v>
      </c>
      <c r="G126" s="285"/>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46" t="s">
        <v>66</v>
      </c>
      <c r="B127" s="46" t="s">
        <v>375</v>
      </c>
      <c r="C127" s="47">
        <v>0.27430555555555552</v>
      </c>
      <c r="D127" s="46" t="s">
        <v>85</v>
      </c>
      <c r="E127" s="46" t="s">
        <v>76</v>
      </c>
      <c r="F127" s="46" t="s">
        <v>370</v>
      </c>
      <c r="G127" s="285"/>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46" t="s">
        <v>66</v>
      </c>
      <c r="B128" s="46" t="s">
        <v>371</v>
      </c>
      <c r="C128" s="47">
        <v>0.50694444444444442</v>
      </c>
      <c r="D128" s="46" t="s">
        <v>85</v>
      </c>
      <c r="E128" s="46" t="s">
        <v>76</v>
      </c>
      <c r="F128" s="46" t="s">
        <v>370</v>
      </c>
      <c r="G128" s="285"/>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46" t="s">
        <v>66</v>
      </c>
      <c r="B129" s="46" t="s">
        <v>417</v>
      </c>
      <c r="C129" s="47">
        <v>0.95833333333333337</v>
      </c>
      <c r="D129" s="46" t="s">
        <v>85</v>
      </c>
      <c r="E129" s="46" t="s">
        <v>76</v>
      </c>
      <c r="F129" s="46" t="s">
        <v>370</v>
      </c>
      <c r="G129" s="285"/>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46" t="s">
        <v>66</v>
      </c>
      <c r="B130" s="46" t="s">
        <v>377</v>
      </c>
      <c r="C130" s="47">
        <v>0.22222222222222221</v>
      </c>
      <c r="D130" s="46" t="s">
        <v>85</v>
      </c>
      <c r="E130" s="46" t="s">
        <v>76</v>
      </c>
      <c r="F130" s="46" t="s">
        <v>370</v>
      </c>
      <c r="G130" s="285"/>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46" t="s">
        <v>66</v>
      </c>
      <c r="B131" s="46" t="s">
        <v>418</v>
      </c>
      <c r="C131" s="47">
        <v>0.78472222222222221</v>
      </c>
      <c r="D131" s="46" t="s">
        <v>68</v>
      </c>
      <c r="E131" s="46" t="s">
        <v>76</v>
      </c>
      <c r="F131" s="46" t="s">
        <v>374</v>
      </c>
      <c r="G131" s="285"/>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46" t="s">
        <v>66</v>
      </c>
      <c r="B132" s="46" t="s">
        <v>373</v>
      </c>
      <c r="C132" s="47">
        <v>1.388888888888889E-2</v>
      </c>
      <c r="D132" s="46" t="s">
        <v>68</v>
      </c>
      <c r="E132" s="46" t="s">
        <v>76</v>
      </c>
      <c r="F132" s="46" t="s">
        <v>374</v>
      </c>
      <c r="G132" s="285"/>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46" t="s">
        <v>66</v>
      </c>
      <c r="B133" s="46" t="s">
        <v>376</v>
      </c>
      <c r="C133" s="47">
        <v>0.77430555555555547</v>
      </c>
      <c r="D133" s="46" t="s">
        <v>68</v>
      </c>
      <c r="E133" s="46" t="s">
        <v>50</v>
      </c>
      <c r="F133" s="46" t="s">
        <v>419</v>
      </c>
      <c r="G133" s="285"/>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44" t="s">
        <v>378</v>
      </c>
      <c r="B134" s="44" t="s">
        <v>420</v>
      </c>
      <c r="C134" s="45">
        <v>0.3923611111111111</v>
      </c>
      <c r="D134" s="44" t="s">
        <v>380</v>
      </c>
      <c r="E134" s="44" t="s">
        <v>122</v>
      </c>
      <c r="F134" s="44" t="s">
        <v>421</v>
      </c>
      <c r="G134" s="285"/>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378</v>
      </c>
      <c r="B135" s="15" t="s">
        <v>420</v>
      </c>
      <c r="C135" s="16">
        <v>0.3923611111111111</v>
      </c>
      <c r="D135" s="15" t="s">
        <v>33</v>
      </c>
      <c r="E135" s="15" t="s">
        <v>92</v>
      </c>
      <c r="F135" s="15" t="s">
        <v>422</v>
      </c>
      <c r="G135" s="285"/>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44" t="s">
        <v>333</v>
      </c>
      <c r="B136" s="44" t="s">
        <v>335</v>
      </c>
      <c r="C136" s="45">
        <v>0.9375</v>
      </c>
      <c r="D136" s="44" t="s">
        <v>306</v>
      </c>
      <c r="E136" s="44" t="s">
        <v>58</v>
      </c>
      <c r="F136" s="44" t="s">
        <v>336</v>
      </c>
      <c r="G136" s="285"/>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46" t="s">
        <v>333</v>
      </c>
      <c r="B137" s="46" t="s">
        <v>337</v>
      </c>
      <c r="C137" s="47">
        <v>0.37152777777777768</v>
      </c>
      <c r="D137" s="46" t="s">
        <v>306</v>
      </c>
      <c r="E137" s="46" t="s">
        <v>76</v>
      </c>
      <c r="F137" s="46" t="s">
        <v>336</v>
      </c>
      <c r="G137" s="285"/>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44" t="s">
        <v>78</v>
      </c>
      <c r="B138" s="44" t="s">
        <v>388</v>
      </c>
      <c r="C138" s="45">
        <v>0.1423611111111111</v>
      </c>
      <c r="D138" s="44" t="s">
        <v>87</v>
      </c>
      <c r="E138" s="44" t="s">
        <v>38</v>
      </c>
      <c r="F138" s="44" t="s">
        <v>423</v>
      </c>
      <c r="G138" s="285"/>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78</v>
      </c>
      <c r="B139" s="15" t="s">
        <v>388</v>
      </c>
      <c r="C139" s="16">
        <v>0.1423611111111111</v>
      </c>
      <c r="D139" s="15" t="s">
        <v>82</v>
      </c>
      <c r="E139" s="15" t="s">
        <v>88</v>
      </c>
      <c r="F139" s="15" t="s">
        <v>424</v>
      </c>
      <c r="G139" s="285"/>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46" t="s">
        <v>78</v>
      </c>
      <c r="B140" s="46" t="s">
        <v>384</v>
      </c>
      <c r="C140" s="47">
        <v>0.37847222222222232</v>
      </c>
      <c r="D140" s="46" t="s">
        <v>87</v>
      </c>
      <c r="E140" s="46" t="s">
        <v>76</v>
      </c>
      <c r="F140" s="46" t="s">
        <v>385</v>
      </c>
      <c r="G140" s="285"/>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78</v>
      </c>
      <c r="B141" s="15" t="s">
        <v>384</v>
      </c>
      <c r="C141" s="16">
        <v>0.37847222222222232</v>
      </c>
      <c r="D141" s="15" t="s">
        <v>82</v>
      </c>
      <c r="E141" s="15" t="s">
        <v>88</v>
      </c>
      <c r="F141" s="15" t="s">
        <v>386</v>
      </c>
      <c r="G141" s="285"/>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46" t="s">
        <v>78</v>
      </c>
      <c r="B142" s="46" t="s">
        <v>389</v>
      </c>
      <c r="C142" s="47">
        <v>6.9444444444444441E-3</v>
      </c>
      <c r="D142" s="46" t="s">
        <v>87</v>
      </c>
      <c r="E142" s="46" t="s">
        <v>76</v>
      </c>
      <c r="F142" s="46" t="s">
        <v>385</v>
      </c>
      <c r="G142" s="285"/>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78</v>
      </c>
      <c r="B143" s="15" t="s">
        <v>389</v>
      </c>
      <c r="C143" s="16">
        <v>6.9444444444444441E-3</v>
      </c>
      <c r="D143" s="15" t="s">
        <v>82</v>
      </c>
      <c r="E143" s="15" t="s">
        <v>88</v>
      </c>
      <c r="F143" s="15" t="s">
        <v>386</v>
      </c>
      <c r="G143" s="285"/>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46" t="s">
        <v>78</v>
      </c>
      <c r="B144" s="46" t="s">
        <v>387</v>
      </c>
      <c r="C144" s="47">
        <v>0.23958333333333329</v>
      </c>
      <c r="D144" s="46" t="s">
        <v>87</v>
      </c>
      <c r="E144" s="46" t="s">
        <v>76</v>
      </c>
      <c r="F144" s="46" t="s">
        <v>385</v>
      </c>
      <c r="G144" s="285"/>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78</v>
      </c>
      <c r="B145" s="15" t="s">
        <v>387</v>
      </c>
      <c r="C145" s="16">
        <v>0.23958333333333329</v>
      </c>
      <c r="D145" s="15" t="s">
        <v>82</v>
      </c>
      <c r="E145" s="15" t="s">
        <v>88</v>
      </c>
      <c r="F145" s="15" t="s">
        <v>386</v>
      </c>
      <c r="G145" s="285"/>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46" t="s">
        <v>78</v>
      </c>
      <c r="B146" s="46" t="s">
        <v>392</v>
      </c>
      <c r="C146" s="47">
        <v>0.93055555555555547</v>
      </c>
      <c r="D146" s="46" t="s">
        <v>87</v>
      </c>
      <c r="E146" s="46" t="s">
        <v>76</v>
      </c>
      <c r="F146" s="46" t="s">
        <v>390</v>
      </c>
      <c r="G146" s="285"/>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78</v>
      </c>
      <c r="B147" s="15" t="s">
        <v>392</v>
      </c>
      <c r="C147" s="16">
        <v>0.93055555555555547</v>
      </c>
      <c r="D147" s="15" t="s">
        <v>82</v>
      </c>
      <c r="E147" s="15" t="s">
        <v>88</v>
      </c>
      <c r="F147" s="15" t="s">
        <v>391</v>
      </c>
      <c r="G147" s="285"/>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46" t="s">
        <v>78</v>
      </c>
      <c r="B148" s="46" t="s">
        <v>393</v>
      </c>
      <c r="C148" s="47">
        <v>0.88888888888888884</v>
      </c>
      <c r="D148" s="46" t="s">
        <v>82</v>
      </c>
      <c r="E148" s="46" t="s">
        <v>102</v>
      </c>
      <c r="F148" s="46" t="s">
        <v>394</v>
      </c>
      <c r="G148" s="285"/>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46" t="s">
        <v>78</v>
      </c>
      <c r="B149" s="46" t="s">
        <v>402</v>
      </c>
      <c r="C149" s="47">
        <v>0.30208333333333331</v>
      </c>
      <c r="D149" s="46" t="s">
        <v>82</v>
      </c>
      <c r="E149" s="46" t="s">
        <v>102</v>
      </c>
      <c r="F149" s="46" t="s">
        <v>394</v>
      </c>
      <c r="G149" s="285"/>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46" t="s">
        <v>78</v>
      </c>
      <c r="B150" s="46" t="s">
        <v>395</v>
      </c>
      <c r="C150" s="47">
        <v>0.12847222222222221</v>
      </c>
      <c r="D150" s="46" t="s">
        <v>82</v>
      </c>
      <c r="E150" s="46" t="s">
        <v>102</v>
      </c>
      <c r="F150" s="46" t="s">
        <v>394</v>
      </c>
      <c r="G150" s="285"/>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46" t="s">
        <v>78</v>
      </c>
      <c r="B151" s="46" t="s">
        <v>396</v>
      </c>
      <c r="C151" s="47">
        <v>0.78819444444444453</v>
      </c>
      <c r="D151" s="46" t="s">
        <v>82</v>
      </c>
      <c r="E151" s="46" t="s">
        <v>102</v>
      </c>
      <c r="F151" s="46" t="s">
        <v>394</v>
      </c>
      <c r="G151" s="285"/>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46" t="s">
        <v>78</v>
      </c>
      <c r="B152" s="46" t="s">
        <v>397</v>
      </c>
      <c r="C152" s="47">
        <v>0.71875</v>
      </c>
      <c r="D152" s="46" t="s">
        <v>87</v>
      </c>
      <c r="E152" s="46" t="s">
        <v>76</v>
      </c>
      <c r="F152" s="46" t="s">
        <v>398</v>
      </c>
      <c r="G152" s="285"/>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5" t="s">
        <v>78</v>
      </c>
      <c r="B153" s="15" t="s">
        <v>397</v>
      </c>
      <c r="C153" s="16">
        <v>0.71875</v>
      </c>
      <c r="D153" s="15" t="s">
        <v>82</v>
      </c>
      <c r="E153" s="15" t="s">
        <v>88</v>
      </c>
      <c r="F153" s="15" t="s">
        <v>399</v>
      </c>
      <c r="G153" s="285"/>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46" t="s">
        <v>78</v>
      </c>
      <c r="B154" s="46" t="s">
        <v>400</v>
      </c>
      <c r="C154" s="47">
        <v>0.61111111111111105</v>
      </c>
      <c r="D154" s="46" t="s">
        <v>87</v>
      </c>
      <c r="E154" s="46" t="s">
        <v>76</v>
      </c>
      <c r="F154" s="46" t="s">
        <v>398</v>
      </c>
      <c r="G154" s="285"/>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78</v>
      </c>
      <c r="B155" s="15" t="s">
        <v>400</v>
      </c>
      <c r="C155" s="16">
        <v>0.61111111111111105</v>
      </c>
      <c r="D155" s="15" t="s">
        <v>82</v>
      </c>
      <c r="E155" s="15" t="s">
        <v>88</v>
      </c>
      <c r="F155" s="15" t="s">
        <v>399</v>
      </c>
      <c r="G155" s="285"/>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46" t="s">
        <v>78</v>
      </c>
      <c r="B156" s="46" t="s">
        <v>401</v>
      </c>
      <c r="C156" s="47">
        <v>0.82986111111111116</v>
      </c>
      <c r="D156" s="46" t="s">
        <v>87</v>
      </c>
      <c r="E156" s="46" t="s">
        <v>76</v>
      </c>
      <c r="F156" s="46" t="s">
        <v>398</v>
      </c>
      <c r="G156" s="285"/>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48" t="s">
        <v>78</v>
      </c>
      <c r="B157" s="48" t="s">
        <v>401</v>
      </c>
      <c r="C157" s="49">
        <v>0.82986111111111116</v>
      </c>
      <c r="D157" s="48" t="s">
        <v>82</v>
      </c>
      <c r="E157" s="48" t="s">
        <v>88</v>
      </c>
      <c r="F157" s="48" t="s">
        <v>399</v>
      </c>
      <c r="G157" s="286"/>
      <c r="H157" s="50"/>
      <c r="I157" s="51"/>
      <c r="J157" s="51"/>
      <c r="K157" s="51"/>
      <c r="L157" s="51"/>
      <c r="M157" s="51"/>
      <c r="N157" s="51"/>
      <c r="O157" s="52"/>
      <c r="P157" s="51"/>
      <c r="Q157" s="53"/>
      <c r="R157" s="5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4.4" customHeight="1" x14ac:dyDescent="0.3">
      <c r="A158" s="288"/>
      <c r="B158" s="289"/>
      <c r="C158" s="289"/>
      <c r="D158" s="289"/>
      <c r="E158" s="289"/>
      <c r="F158" s="289"/>
      <c r="G158" s="289"/>
      <c r="H158" s="289"/>
      <c r="I158" s="289"/>
      <c r="J158" s="289"/>
      <c r="K158" s="289"/>
      <c r="L158" s="289"/>
      <c r="M158" s="289"/>
      <c r="N158" s="289"/>
      <c r="O158" s="289"/>
      <c r="P158" s="289"/>
      <c r="Q158" s="289"/>
      <c r="R158" s="290"/>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22.05" customHeight="1" x14ac:dyDescent="0.3">
      <c r="A159" s="282" t="s">
        <v>5</v>
      </c>
      <c r="B159" s="283"/>
      <c r="C159" s="283"/>
      <c r="D159" s="283"/>
      <c r="E159" s="283"/>
      <c r="F159" s="283"/>
      <c r="G159" s="5">
        <v>45988</v>
      </c>
      <c r="H159" s="278" t="s">
        <v>6</v>
      </c>
      <c r="I159" s="279"/>
      <c r="J159" s="279"/>
      <c r="K159" s="279"/>
      <c r="L159" s="279"/>
      <c r="M159" s="279"/>
      <c r="N159" s="279"/>
      <c r="O159" s="279"/>
      <c r="P159" s="279"/>
      <c r="Q159" s="279"/>
      <c r="R159" s="279"/>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24" customHeight="1" x14ac:dyDescent="0.3">
      <c r="A160" s="55" t="s">
        <v>7</v>
      </c>
      <c r="B160" s="55" t="s">
        <v>8</v>
      </c>
      <c r="C160" s="56" t="s">
        <v>9</v>
      </c>
      <c r="D160" s="55" t="s">
        <v>10</v>
      </c>
      <c r="E160" s="55" t="s">
        <v>11</v>
      </c>
      <c r="F160" s="55" t="s">
        <v>12</v>
      </c>
      <c r="G160" s="57" t="s">
        <v>13</v>
      </c>
      <c r="H160" s="55" t="s">
        <v>14</v>
      </c>
      <c r="I160" s="58" t="s">
        <v>15</v>
      </c>
      <c r="J160" s="59" t="s">
        <v>16</v>
      </c>
      <c r="K160" s="60" t="s">
        <v>17</v>
      </c>
      <c r="L160" s="59" t="s">
        <v>18</v>
      </c>
      <c r="M160" s="59" t="s">
        <v>19</v>
      </c>
      <c r="N160" s="59" t="s">
        <v>20</v>
      </c>
      <c r="O160" s="55" t="s">
        <v>21</v>
      </c>
      <c r="P160" s="56" t="s">
        <v>22</v>
      </c>
      <c r="Q160" s="59" t="s">
        <v>23</v>
      </c>
      <c r="R160" s="55" t="s">
        <v>24</v>
      </c>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8" t="s">
        <v>25</v>
      </c>
      <c r="B161" s="8" t="s">
        <v>344</v>
      </c>
      <c r="C161" s="9">
        <v>0.30208333333333331</v>
      </c>
      <c r="D161" s="8" t="s">
        <v>27</v>
      </c>
      <c r="E161" s="8" t="s">
        <v>58</v>
      </c>
      <c r="F161" s="8" t="s">
        <v>425</v>
      </c>
      <c r="G161" s="284"/>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5" t="s">
        <v>25</v>
      </c>
      <c r="B162" s="15" t="s">
        <v>344</v>
      </c>
      <c r="C162" s="16">
        <v>0.30208333333333331</v>
      </c>
      <c r="D162" s="15" t="s">
        <v>30</v>
      </c>
      <c r="E162" s="15" t="s">
        <v>61</v>
      </c>
      <c r="F162" s="15" t="s">
        <v>426</v>
      </c>
      <c r="G162" s="285"/>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25</v>
      </c>
      <c r="B163" s="15" t="s">
        <v>344</v>
      </c>
      <c r="C163" s="16">
        <v>0.30208333333333331</v>
      </c>
      <c r="D163" s="15" t="s">
        <v>33</v>
      </c>
      <c r="E163" s="15" t="s">
        <v>61</v>
      </c>
      <c r="F163" s="15" t="s">
        <v>34</v>
      </c>
      <c r="G163" s="285"/>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46" t="s">
        <v>25</v>
      </c>
      <c r="B164" s="46" t="s">
        <v>338</v>
      </c>
      <c r="C164" s="47">
        <v>0.12847222222222221</v>
      </c>
      <c r="D164" s="46" t="s">
        <v>27</v>
      </c>
      <c r="E164" s="46" t="s">
        <v>427</v>
      </c>
      <c r="F164" s="46" t="s">
        <v>425</v>
      </c>
      <c r="G164" s="285"/>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25</v>
      </c>
      <c r="B165" s="15" t="s">
        <v>338</v>
      </c>
      <c r="C165" s="16">
        <v>0.12847222222222221</v>
      </c>
      <c r="D165" s="15" t="s">
        <v>30</v>
      </c>
      <c r="E165" s="15" t="s">
        <v>428</v>
      </c>
      <c r="F165" s="15" t="s">
        <v>426</v>
      </c>
      <c r="G165" s="285"/>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5" t="s">
        <v>25</v>
      </c>
      <c r="B166" s="15" t="s">
        <v>338</v>
      </c>
      <c r="C166" s="16">
        <v>0.12847222222222221</v>
      </c>
      <c r="D166" s="15" t="s">
        <v>33</v>
      </c>
      <c r="E166" s="15" t="s">
        <v>428</v>
      </c>
      <c r="F166" s="15" t="s">
        <v>34</v>
      </c>
      <c r="G166" s="285"/>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46" t="s">
        <v>25</v>
      </c>
      <c r="B167" s="46" t="s">
        <v>347</v>
      </c>
      <c r="C167" s="47">
        <v>0.78819444444444453</v>
      </c>
      <c r="D167" s="46" t="s">
        <v>429</v>
      </c>
      <c r="E167" s="46" t="s">
        <v>358</v>
      </c>
      <c r="F167" s="46" t="s">
        <v>340</v>
      </c>
      <c r="G167" s="285"/>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25</v>
      </c>
      <c r="B168" s="15" t="s">
        <v>347</v>
      </c>
      <c r="C168" s="16">
        <v>0.78819444444444453</v>
      </c>
      <c r="D168" s="15" t="s">
        <v>27</v>
      </c>
      <c r="E168" s="15" t="s">
        <v>360</v>
      </c>
      <c r="F168" s="15" t="s">
        <v>340</v>
      </c>
      <c r="G168" s="285"/>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5" t="s">
        <v>25</v>
      </c>
      <c r="B169" s="15" t="s">
        <v>347</v>
      </c>
      <c r="C169" s="16">
        <v>0.78819444444444453</v>
      </c>
      <c r="D169" s="15" t="s">
        <v>30</v>
      </c>
      <c r="E169" s="15" t="s">
        <v>360</v>
      </c>
      <c r="F169" s="15" t="s">
        <v>342</v>
      </c>
      <c r="G169" s="285"/>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25</v>
      </c>
      <c r="B170" s="15" t="s">
        <v>347</v>
      </c>
      <c r="C170" s="16">
        <v>0.78819444444444453</v>
      </c>
      <c r="D170" s="15" t="s">
        <v>33</v>
      </c>
      <c r="E170" s="15" t="s">
        <v>360</v>
      </c>
      <c r="F170" s="15" t="s">
        <v>34</v>
      </c>
      <c r="G170" s="285"/>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46" t="s">
        <v>25</v>
      </c>
      <c r="B171" s="46" t="s">
        <v>343</v>
      </c>
      <c r="C171" s="47">
        <v>0.88888888888888884</v>
      </c>
      <c r="D171" s="46" t="s">
        <v>27</v>
      </c>
      <c r="E171" s="46" t="s">
        <v>44</v>
      </c>
      <c r="F171" s="46" t="s">
        <v>340</v>
      </c>
      <c r="G171" s="285"/>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5" t="s">
        <v>25</v>
      </c>
      <c r="B172" s="15" t="s">
        <v>343</v>
      </c>
      <c r="C172" s="16">
        <v>0.88888888888888884</v>
      </c>
      <c r="D172" s="15" t="s">
        <v>30</v>
      </c>
      <c r="E172" s="15" t="s">
        <v>61</v>
      </c>
      <c r="F172" s="15" t="s">
        <v>342</v>
      </c>
      <c r="G172" s="285"/>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5" t="s">
        <v>25</v>
      </c>
      <c r="B173" s="15" t="s">
        <v>343</v>
      </c>
      <c r="C173" s="16">
        <v>0.88888888888888884</v>
      </c>
      <c r="D173" s="15" t="s">
        <v>33</v>
      </c>
      <c r="E173" s="15" t="s">
        <v>61</v>
      </c>
      <c r="F173" s="15" t="s">
        <v>34</v>
      </c>
      <c r="G173" s="285"/>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44" t="s">
        <v>304</v>
      </c>
      <c r="B174" s="44" t="s">
        <v>305</v>
      </c>
      <c r="C174" s="45">
        <v>0.29166666666666669</v>
      </c>
      <c r="D174" s="44" t="s">
        <v>306</v>
      </c>
      <c r="E174" s="44" t="s">
        <v>38</v>
      </c>
      <c r="F174" s="44" t="s">
        <v>307</v>
      </c>
      <c r="G174" s="285"/>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46" t="s">
        <v>304</v>
      </c>
      <c r="B175" s="46" t="s">
        <v>308</v>
      </c>
      <c r="C175" s="47">
        <v>0.59375</v>
      </c>
      <c r="D175" s="46" t="s">
        <v>306</v>
      </c>
      <c r="E175" s="46" t="s">
        <v>76</v>
      </c>
      <c r="F175" s="46" t="s">
        <v>307</v>
      </c>
      <c r="G175" s="285"/>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211" t="s">
        <v>35</v>
      </c>
      <c r="B176" s="211" t="s">
        <v>430</v>
      </c>
      <c r="C176" s="212">
        <v>0.36458333333333331</v>
      </c>
      <c r="D176" s="211" t="s">
        <v>37</v>
      </c>
      <c r="E176" s="211" t="s">
        <v>38</v>
      </c>
      <c r="F176" s="211" t="s">
        <v>310</v>
      </c>
      <c r="G176" s="285"/>
      <c r="H176" s="37" t="s">
        <v>431</v>
      </c>
      <c r="I176" s="214">
        <v>0.32400000000000001</v>
      </c>
      <c r="J176" s="39">
        <v>58</v>
      </c>
      <c r="K176" s="40">
        <v>45985</v>
      </c>
      <c r="L176" s="39">
        <v>36</v>
      </c>
      <c r="M176" s="39">
        <v>2</v>
      </c>
      <c r="N176" s="39">
        <v>4</v>
      </c>
      <c r="O176" s="41" t="s">
        <v>432</v>
      </c>
      <c r="P176" s="42">
        <v>0.36458333333333331</v>
      </c>
      <c r="Q176" s="39">
        <v>179</v>
      </c>
      <c r="R176" s="43" t="s">
        <v>433</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208" t="s">
        <v>35</v>
      </c>
      <c r="B177" s="208" t="s">
        <v>434</v>
      </c>
      <c r="C177" s="209">
        <v>0.25347222222222221</v>
      </c>
      <c r="D177" s="208" t="s">
        <v>37</v>
      </c>
      <c r="E177" s="208" t="s">
        <v>50</v>
      </c>
      <c r="F177" s="208" t="s">
        <v>310</v>
      </c>
      <c r="G177" s="285"/>
      <c r="H177" s="84" t="s">
        <v>435</v>
      </c>
      <c r="I177" s="215">
        <v>0.3911</v>
      </c>
      <c r="J177" s="86">
        <v>70</v>
      </c>
      <c r="K177" s="87">
        <v>45984</v>
      </c>
      <c r="L177" s="86">
        <v>33</v>
      </c>
      <c r="M177" s="86">
        <v>0</v>
      </c>
      <c r="N177" s="86">
        <v>11</v>
      </c>
      <c r="O177" s="88" t="s">
        <v>436</v>
      </c>
      <c r="P177" s="89">
        <v>0.25347222222222221</v>
      </c>
      <c r="Q177" s="86">
        <v>179</v>
      </c>
      <c r="R177" s="90" t="s">
        <v>437</v>
      </c>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26" t="s">
        <v>35</v>
      </c>
      <c r="B178" s="26" t="s">
        <v>319</v>
      </c>
      <c r="C178" s="27">
        <v>4.8611111111111112E-2</v>
      </c>
      <c r="D178" s="26" t="s">
        <v>37</v>
      </c>
      <c r="E178" s="26" t="s">
        <v>76</v>
      </c>
      <c r="F178" s="26" t="s">
        <v>315</v>
      </c>
      <c r="G178" s="285"/>
      <c r="H178" s="28" t="s">
        <v>321</v>
      </c>
      <c r="I178" s="216">
        <v>0.50280000000000002</v>
      </c>
      <c r="J178" s="30">
        <v>90</v>
      </c>
      <c r="K178" s="31">
        <v>45984</v>
      </c>
      <c r="L178" s="30">
        <v>6</v>
      </c>
      <c r="M178" s="30">
        <v>0</v>
      </c>
      <c r="N178" s="30">
        <v>1</v>
      </c>
      <c r="O178" s="32" t="s">
        <v>202</v>
      </c>
      <c r="P178" s="33">
        <v>4.8611111111111112E-2</v>
      </c>
      <c r="Q178" s="30">
        <v>179</v>
      </c>
      <c r="R178" s="34" t="s">
        <v>438</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208" t="s">
        <v>35</v>
      </c>
      <c r="B179" s="208" t="s">
        <v>309</v>
      </c>
      <c r="C179" s="209">
        <v>0.1145833333333333</v>
      </c>
      <c r="D179" s="208" t="s">
        <v>37</v>
      </c>
      <c r="E179" s="208" t="s">
        <v>76</v>
      </c>
      <c r="F179" s="208" t="s">
        <v>315</v>
      </c>
      <c r="G179" s="285"/>
      <c r="H179" s="84" t="s">
        <v>311</v>
      </c>
      <c r="I179" s="215">
        <v>0.29609999999999997</v>
      </c>
      <c r="J179" s="86">
        <v>53</v>
      </c>
      <c r="K179" s="87">
        <v>45984</v>
      </c>
      <c r="L179" s="86">
        <v>24</v>
      </c>
      <c r="M179" s="86">
        <v>0</v>
      </c>
      <c r="N179" s="86">
        <v>1</v>
      </c>
      <c r="O179" s="88" t="s">
        <v>202</v>
      </c>
      <c r="P179" s="89">
        <v>0.1145833333333333</v>
      </c>
      <c r="Q179" s="86">
        <v>179</v>
      </c>
      <c r="R179" s="90" t="s">
        <v>439</v>
      </c>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35" t="s">
        <v>35</v>
      </c>
      <c r="B180" s="35" t="s">
        <v>314</v>
      </c>
      <c r="C180" s="36">
        <v>0.33333333333333331</v>
      </c>
      <c r="D180" s="35" t="s">
        <v>37</v>
      </c>
      <c r="E180" s="35" t="s">
        <v>91</v>
      </c>
      <c r="F180" s="35" t="s">
        <v>315</v>
      </c>
      <c r="G180" s="285"/>
      <c r="H180" s="37" t="s">
        <v>316</v>
      </c>
      <c r="I180" s="201">
        <v>0.81010000000000004</v>
      </c>
      <c r="J180" s="39">
        <v>145</v>
      </c>
      <c r="K180" s="40">
        <v>45982</v>
      </c>
      <c r="L180" s="39">
        <v>2</v>
      </c>
      <c r="M180" s="39">
        <v>0</v>
      </c>
      <c r="N180" s="39">
        <v>0</v>
      </c>
      <c r="O180" s="41" t="s">
        <v>440</v>
      </c>
      <c r="P180" s="42">
        <v>0.33333333333333331</v>
      </c>
      <c r="Q180" s="39">
        <v>179</v>
      </c>
      <c r="R180" s="43" t="s">
        <v>441</v>
      </c>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26" t="s">
        <v>35</v>
      </c>
      <c r="B181" s="26" t="s">
        <v>413</v>
      </c>
      <c r="C181" s="27">
        <v>0.58333333333333337</v>
      </c>
      <c r="D181" s="26" t="s">
        <v>37</v>
      </c>
      <c r="E181" s="26" t="s">
        <v>143</v>
      </c>
      <c r="F181" s="26" t="s">
        <v>315</v>
      </c>
      <c r="G181" s="285"/>
      <c r="H181" s="28" t="s">
        <v>331</v>
      </c>
      <c r="I181" s="29">
        <v>0.96650000000000003</v>
      </c>
      <c r="J181" s="30">
        <v>173</v>
      </c>
      <c r="K181" s="31">
        <v>45984</v>
      </c>
      <c r="L181" s="30">
        <v>54</v>
      </c>
      <c r="M181" s="30">
        <v>0</v>
      </c>
      <c r="N181" s="30">
        <v>16</v>
      </c>
      <c r="O181" s="32" t="s">
        <v>442</v>
      </c>
      <c r="P181" s="33">
        <v>0.58333333333333337</v>
      </c>
      <c r="Q181" s="30">
        <v>179</v>
      </c>
      <c r="R181" s="34" t="s">
        <v>443</v>
      </c>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202" t="s">
        <v>35</v>
      </c>
      <c r="B182" s="202" t="s">
        <v>444</v>
      </c>
      <c r="C182" s="203">
        <v>0.73958333333333337</v>
      </c>
      <c r="D182" s="202" t="s">
        <v>37</v>
      </c>
      <c r="E182" s="202" t="s">
        <v>76</v>
      </c>
      <c r="F182" s="202" t="s">
        <v>320</v>
      </c>
      <c r="G182" s="285"/>
      <c r="H182" s="179" t="s">
        <v>329</v>
      </c>
      <c r="I182" s="204">
        <v>0.70389999999999997</v>
      </c>
      <c r="J182" s="181">
        <v>126</v>
      </c>
      <c r="K182" s="182">
        <v>45984</v>
      </c>
      <c r="L182" s="181">
        <v>53</v>
      </c>
      <c r="M182" s="181">
        <v>0</v>
      </c>
      <c r="N182" s="181">
        <v>2</v>
      </c>
      <c r="O182" s="183" t="s">
        <v>322</v>
      </c>
      <c r="P182" s="184">
        <v>0.73958333333333337</v>
      </c>
      <c r="Q182" s="181">
        <v>179</v>
      </c>
      <c r="R182" s="185" t="s">
        <v>445</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44" t="s">
        <v>333</v>
      </c>
      <c r="B183" s="44" t="s">
        <v>335</v>
      </c>
      <c r="C183" s="45">
        <v>0.66666666666666663</v>
      </c>
      <c r="D183" s="44" t="s">
        <v>306</v>
      </c>
      <c r="E183" s="44" t="s">
        <v>95</v>
      </c>
      <c r="F183" s="44" t="s">
        <v>310</v>
      </c>
      <c r="G183" s="285"/>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44" t="s">
        <v>55</v>
      </c>
      <c r="B184" s="44" t="s">
        <v>365</v>
      </c>
      <c r="C184" s="45">
        <v>0.30208333333333331</v>
      </c>
      <c r="D184" s="44" t="s">
        <v>57</v>
      </c>
      <c r="E184" s="44" t="s">
        <v>95</v>
      </c>
      <c r="F184" s="44" t="s">
        <v>446</v>
      </c>
      <c r="G184" s="285"/>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55</v>
      </c>
      <c r="B185" s="15" t="s">
        <v>365</v>
      </c>
      <c r="C185" s="16">
        <v>0.30208333333333331</v>
      </c>
      <c r="D185" s="15" t="s">
        <v>60</v>
      </c>
      <c r="E185" s="15" t="s">
        <v>97</v>
      </c>
      <c r="F185" s="15" t="s">
        <v>446</v>
      </c>
      <c r="G185" s="285"/>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5" t="s">
        <v>55</v>
      </c>
      <c r="B186" s="15" t="s">
        <v>365</v>
      </c>
      <c r="C186" s="16">
        <v>0.30208333333333331</v>
      </c>
      <c r="D186" s="15" t="s">
        <v>62</v>
      </c>
      <c r="E186" s="15" t="s">
        <v>97</v>
      </c>
      <c r="F186" s="15" t="s">
        <v>447</v>
      </c>
      <c r="G186" s="285"/>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55</v>
      </c>
      <c r="B187" s="15" t="s">
        <v>365</v>
      </c>
      <c r="C187" s="16">
        <v>0.30208333333333331</v>
      </c>
      <c r="D187" s="15" t="s">
        <v>64</v>
      </c>
      <c r="E187" s="15" t="s">
        <v>97</v>
      </c>
      <c r="F187" s="15" t="s">
        <v>336</v>
      </c>
      <c r="G187" s="285"/>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46" t="s">
        <v>55</v>
      </c>
      <c r="B188" s="46" t="s">
        <v>357</v>
      </c>
      <c r="C188" s="47">
        <v>0.25694444444444448</v>
      </c>
      <c r="D188" s="46" t="s">
        <v>57</v>
      </c>
      <c r="E188" s="46" t="s">
        <v>74</v>
      </c>
      <c r="F188" s="46" t="s">
        <v>350</v>
      </c>
      <c r="G188" s="285"/>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5" t="s">
        <v>55</v>
      </c>
      <c r="B189" s="15" t="s">
        <v>357</v>
      </c>
      <c r="C189" s="16">
        <v>0.25694444444444448</v>
      </c>
      <c r="D189" s="15" t="s">
        <v>60</v>
      </c>
      <c r="E189" s="15" t="s">
        <v>31</v>
      </c>
      <c r="F189" s="15" t="s">
        <v>350</v>
      </c>
      <c r="G189" s="285"/>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5" t="s">
        <v>55</v>
      </c>
      <c r="B190" s="15" t="s">
        <v>357</v>
      </c>
      <c r="C190" s="16">
        <v>0.25694444444444448</v>
      </c>
      <c r="D190" s="15" t="s">
        <v>62</v>
      </c>
      <c r="E190" s="15" t="s">
        <v>31</v>
      </c>
      <c r="F190" s="15" t="s">
        <v>351</v>
      </c>
      <c r="G190" s="285"/>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55</v>
      </c>
      <c r="B191" s="15" t="s">
        <v>357</v>
      </c>
      <c r="C191" s="16">
        <v>0.25694444444444448</v>
      </c>
      <c r="D191" s="15" t="s">
        <v>64</v>
      </c>
      <c r="E191" s="15" t="s">
        <v>31</v>
      </c>
      <c r="F191" s="15" t="s">
        <v>59</v>
      </c>
      <c r="G191" s="285"/>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46" t="s">
        <v>55</v>
      </c>
      <c r="B192" s="46" t="s">
        <v>352</v>
      </c>
      <c r="C192" s="47">
        <v>0.90277777777777779</v>
      </c>
      <c r="D192" s="46" t="s">
        <v>57</v>
      </c>
      <c r="E192" s="46" t="s">
        <v>71</v>
      </c>
      <c r="F192" s="46" t="s">
        <v>350</v>
      </c>
      <c r="G192" s="285"/>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55</v>
      </c>
      <c r="B193" s="15" t="s">
        <v>352</v>
      </c>
      <c r="C193" s="16">
        <v>0.90277777777777779</v>
      </c>
      <c r="D193" s="15" t="s">
        <v>60</v>
      </c>
      <c r="E193" s="15" t="s">
        <v>125</v>
      </c>
      <c r="F193" s="15" t="s">
        <v>350</v>
      </c>
      <c r="G193" s="285"/>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55</v>
      </c>
      <c r="B194" s="15" t="s">
        <v>352</v>
      </c>
      <c r="C194" s="16">
        <v>0.90277777777777779</v>
      </c>
      <c r="D194" s="15" t="s">
        <v>62</v>
      </c>
      <c r="E194" s="15" t="s">
        <v>125</v>
      </c>
      <c r="F194" s="15" t="s">
        <v>351</v>
      </c>
      <c r="G194" s="285"/>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5" t="s">
        <v>55</v>
      </c>
      <c r="B195" s="15" t="s">
        <v>352</v>
      </c>
      <c r="C195" s="16">
        <v>0.90277777777777779</v>
      </c>
      <c r="D195" s="15" t="s">
        <v>64</v>
      </c>
      <c r="E195" s="15" t="s">
        <v>125</v>
      </c>
      <c r="F195" s="15" t="s">
        <v>59</v>
      </c>
      <c r="G195" s="285"/>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46" t="s">
        <v>55</v>
      </c>
      <c r="B196" s="46" t="s">
        <v>363</v>
      </c>
      <c r="C196" s="47">
        <v>0.65972222222222221</v>
      </c>
      <c r="D196" s="46" t="s">
        <v>57</v>
      </c>
      <c r="E196" s="46" t="s">
        <v>143</v>
      </c>
      <c r="F196" s="46" t="s">
        <v>350</v>
      </c>
      <c r="G196" s="285"/>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55</v>
      </c>
      <c r="B197" s="15" t="s">
        <v>363</v>
      </c>
      <c r="C197" s="16">
        <v>0.65972222222222221</v>
      </c>
      <c r="D197" s="15" t="s">
        <v>60</v>
      </c>
      <c r="E197" s="15" t="s">
        <v>136</v>
      </c>
      <c r="F197" s="15" t="s">
        <v>350</v>
      </c>
      <c r="G197" s="285"/>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55</v>
      </c>
      <c r="B198" s="15" t="s">
        <v>363</v>
      </c>
      <c r="C198" s="16">
        <v>0.65972222222222221</v>
      </c>
      <c r="D198" s="15" t="s">
        <v>62</v>
      </c>
      <c r="E198" s="15" t="s">
        <v>136</v>
      </c>
      <c r="F198" s="15" t="s">
        <v>351</v>
      </c>
      <c r="G198" s="285"/>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55</v>
      </c>
      <c r="B199" s="15" t="s">
        <v>363</v>
      </c>
      <c r="C199" s="16">
        <v>0.65972222222222221</v>
      </c>
      <c r="D199" s="15" t="s">
        <v>64</v>
      </c>
      <c r="E199" s="15" t="s">
        <v>136</v>
      </c>
      <c r="F199" s="15" t="s">
        <v>59</v>
      </c>
      <c r="G199" s="285"/>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46" t="s">
        <v>55</v>
      </c>
      <c r="B200" s="46" t="s">
        <v>364</v>
      </c>
      <c r="C200" s="47">
        <v>0.51736111111111105</v>
      </c>
      <c r="D200" s="46" t="s">
        <v>57</v>
      </c>
      <c r="E200" s="46" t="s">
        <v>358</v>
      </c>
      <c r="F200" s="46" t="s">
        <v>350</v>
      </c>
      <c r="G200" s="285"/>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5" t="s">
        <v>55</v>
      </c>
      <c r="B201" s="15" t="s">
        <v>364</v>
      </c>
      <c r="C201" s="16">
        <v>0.51736111111111105</v>
      </c>
      <c r="D201" s="15" t="s">
        <v>60</v>
      </c>
      <c r="E201" s="15" t="s">
        <v>360</v>
      </c>
      <c r="F201" s="15" t="s">
        <v>350</v>
      </c>
      <c r="G201" s="285"/>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55</v>
      </c>
      <c r="B202" s="15" t="s">
        <v>364</v>
      </c>
      <c r="C202" s="16">
        <v>0.51736111111111105</v>
      </c>
      <c r="D202" s="15" t="s">
        <v>62</v>
      </c>
      <c r="E202" s="15" t="s">
        <v>360</v>
      </c>
      <c r="F202" s="15" t="s">
        <v>351</v>
      </c>
      <c r="G202" s="285"/>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55</v>
      </c>
      <c r="B203" s="15" t="s">
        <v>364</v>
      </c>
      <c r="C203" s="16">
        <v>0.51736111111111105</v>
      </c>
      <c r="D203" s="15" t="s">
        <v>64</v>
      </c>
      <c r="E203" s="15" t="s">
        <v>360</v>
      </c>
      <c r="F203" s="15" t="s">
        <v>59</v>
      </c>
      <c r="G203" s="285"/>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46" t="s">
        <v>55</v>
      </c>
      <c r="B204" s="46" t="s">
        <v>366</v>
      </c>
      <c r="C204" s="47">
        <v>0.39583333333333331</v>
      </c>
      <c r="D204" s="46" t="s">
        <v>57</v>
      </c>
      <c r="E204" s="46" t="s">
        <v>358</v>
      </c>
      <c r="F204" s="46" t="s">
        <v>350</v>
      </c>
      <c r="G204" s="285"/>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55</v>
      </c>
      <c r="B205" s="15" t="s">
        <v>366</v>
      </c>
      <c r="C205" s="16">
        <v>0.39583333333333331</v>
      </c>
      <c r="D205" s="15" t="s">
        <v>60</v>
      </c>
      <c r="E205" s="15" t="s">
        <v>360</v>
      </c>
      <c r="F205" s="15" t="s">
        <v>350</v>
      </c>
      <c r="G205" s="285"/>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55</v>
      </c>
      <c r="B206" s="15" t="s">
        <v>366</v>
      </c>
      <c r="C206" s="16">
        <v>0.39583333333333331</v>
      </c>
      <c r="D206" s="15" t="s">
        <v>62</v>
      </c>
      <c r="E206" s="15" t="s">
        <v>360</v>
      </c>
      <c r="F206" s="15" t="s">
        <v>351</v>
      </c>
      <c r="G206" s="285"/>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5" t="s">
        <v>55</v>
      </c>
      <c r="B207" s="15" t="s">
        <v>366</v>
      </c>
      <c r="C207" s="16">
        <v>0.39583333333333331</v>
      </c>
      <c r="D207" s="15" t="s">
        <v>64</v>
      </c>
      <c r="E207" s="15" t="s">
        <v>360</v>
      </c>
      <c r="F207" s="15" t="s">
        <v>59</v>
      </c>
      <c r="G207" s="285"/>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46" t="s">
        <v>55</v>
      </c>
      <c r="B208" s="46" t="s">
        <v>349</v>
      </c>
      <c r="C208" s="47">
        <v>0.85416666666666663</v>
      </c>
      <c r="D208" s="46" t="s">
        <v>57</v>
      </c>
      <c r="E208" s="46" t="s">
        <v>358</v>
      </c>
      <c r="F208" s="46" t="s">
        <v>353</v>
      </c>
      <c r="G208" s="285"/>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55</v>
      </c>
      <c r="B209" s="15" t="s">
        <v>349</v>
      </c>
      <c r="C209" s="16">
        <v>0.85416666666666663</v>
      </c>
      <c r="D209" s="15" t="s">
        <v>60</v>
      </c>
      <c r="E209" s="15" t="s">
        <v>360</v>
      </c>
      <c r="F209" s="15" t="s">
        <v>353</v>
      </c>
      <c r="G209" s="285"/>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5" t="s">
        <v>55</v>
      </c>
      <c r="B210" s="15" t="s">
        <v>349</v>
      </c>
      <c r="C210" s="16">
        <v>0.85416666666666663</v>
      </c>
      <c r="D210" s="15" t="s">
        <v>62</v>
      </c>
      <c r="E210" s="15" t="s">
        <v>360</v>
      </c>
      <c r="F210" s="15" t="s">
        <v>354</v>
      </c>
      <c r="G210" s="285"/>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5" t="s">
        <v>55</v>
      </c>
      <c r="B211" s="15" t="s">
        <v>349</v>
      </c>
      <c r="C211" s="16">
        <v>0.85416666666666663</v>
      </c>
      <c r="D211" s="15" t="s">
        <v>64</v>
      </c>
      <c r="E211" s="15" t="s">
        <v>360</v>
      </c>
      <c r="F211" s="15" t="s">
        <v>355</v>
      </c>
      <c r="G211" s="285"/>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46" t="s">
        <v>55</v>
      </c>
      <c r="B212" s="46" t="s">
        <v>356</v>
      </c>
      <c r="C212" s="47">
        <v>0.79861111111111116</v>
      </c>
      <c r="D212" s="46" t="s">
        <v>57</v>
      </c>
      <c r="E212" s="46" t="s">
        <v>358</v>
      </c>
      <c r="F212" s="46" t="s">
        <v>353</v>
      </c>
      <c r="G212" s="285"/>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5" t="s">
        <v>55</v>
      </c>
      <c r="B213" s="15" t="s">
        <v>356</v>
      </c>
      <c r="C213" s="16">
        <v>0.79861111111111116</v>
      </c>
      <c r="D213" s="15" t="s">
        <v>60</v>
      </c>
      <c r="E213" s="15" t="s">
        <v>360</v>
      </c>
      <c r="F213" s="15" t="s">
        <v>353</v>
      </c>
      <c r="G213" s="285"/>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55</v>
      </c>
      <c r="B214" s="15" t="s">
        <v>356</v>
      </c>
      <c r="C214" s="16">
        <v>0.79861111111111116</v>
      </c>
      <c r="D214" s="15" t="s">
        <v>62</v>
      </c>
      <c r="E214" s="15" t="s">
        <v>360</v>
      </c>
      <c r="F214" s="15" t="s">
        <v>354</v>
      </c>
      <c r="G214" s="285"/>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5" t="s">
        <v>55</v>
      </c>
      <c r="B215" s="15" t="s">
        <v>356</v>
      </c>
      <c r="C215" s="16">
        <v>0.79861111111111116</v>
      </c>
      <c r="D215" s="15" t="s">
        <v>64</v>
      </c>
      <c r="E215" s="15" t="s">
        <v>360</v>
      </c>
      <c r="F215" s="15" t="s">
        <v>355</v>
      </c>
      <c r="G215" s="285"/>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44" t="s">
        <v>378</v>
      </c>
      <c r="B216" s="44" t="s">
        <v>420</v>
      </c>
      <c r="C216" s="45">
        <v>0.3298611111111111</v>
      </c>
      <c r="D216" s="44" t="s">
        <v>380</v>
      </c>
      <c r="E216" s="44" t="s">
        <v>381</v>
      </c>
      <c r="F216" s="44" t="s">
        <v>448</v>
      </c>
      <c r="G216" s="285"/>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378</v>
      </c>
      <c r="B217" s="15" t="s">
        <v>420</v>
      </c>
      <c r="C217" s="16">
        <v>0.3298611111111111</v>
      </c>
      <c r="D217" s="15" t="s">
        <v>33</v>
      </c>
      <c r="E217" s="15" t="s">
        <v>360</v>
      </c>
      <c r="F217" s="15" t="s">
        <v>449</v>
      </c>
      <c r="G217" s="285"/>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44" t="s">
        <v>66</v>
      </c>
      <c r="B218" s="44" t="s">
        <v>373</v>
      </c>
      <c r="C218" s="45">
        <v>1.388888888888889E-2</v>
      </c>
      <c r="D218" s="44" t="s">
        <v>85</v>
      </c>
      <c r="E218" s="44" t="s">
        <v>38</v>
      </c>
      <c r="F218" s="44" t="s">
        <v>370</v>
      </c>
      <c r="G218" s="285"/>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46" t="s">
        <v>66</v>
      </c>
      <c r="B219" s="46" t="s">
        <v>369</v>
      </c>
      <c r="C219" s="47">
        <v>0.4861111111111111</v>
      </c>
      <c r="D219" s="46" t="s">
        <v>85</v>
      </c>
      <c r="E219" s="46" t="s">
        <v>76</v>
      </c>
      <c r="F219" s="46" t="s">
        <v>370</v>
      </c>
      <c r="G219" s="285"/>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46" t="s">
        <v>66</v>
      </c>
      <c r="B220" s="46" t="s">
        <v>416</v>
      </c>
      <c r="C220" s="47">
        <v>0.14583333333333329</v>
      </c>
      <c r="D220" s="46" t="s">
        <v>85</v>
      </c>
      <c r="E220" s="46" t="s">
        <v>76</v>
      </c>
      <c r="F220" s="46" t="s">
        <v>370</v>
      </c>
      <c r="G220" s="285"/>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46" t="s">
        <v>66</v>
      </c>
      <c r="B221" s="46" t="s">
        <v>375</v>
      </c>
      <c r="C221" s="47">
        <v>0.27777777777777779</v>
      </c>
      <c r="D221" s="46" t="s">
        <v>85</v>
      </c>
      <c r="E221" s="46" t="s">
        <v>76</v>
      </c>
      <c r="F221" s="46" t="s">
        <v>370</v>
      </c>
      <c r="G221" s="285"/>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46" t="s">
        <v>66</v>
      </c>
      <c r="B222" s="46" t="s">
        <v>371</v>
      </c>
      <c r="C222" s="47">
        <v>0.51388888888888895</v>
      </c>
      <c r="D222" s="46" t="s">
        <v>85</v>
      </c>
      <c r="E222" s="46" t="s">
        <v>76</v>
      </c>
      <c r="F222" s="46" t="s">
        <v>370</v>
      </c>
      <c r="G222" s="285"/>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46" t="s">
        <v>66</v>
      </c>
      <c r="B223" s="46" t="s">
        <v>417</v>
      </c>
      <c r="C223" s="47">
        <v>0.95833333333333337</v>
      </c>
      <c r="D223" s="46" t="s">
        <v>85</v>
      </c>
      <c r="E223" s="46" t="s">
        <v>76</v>
      </c>
      <c r="F223" s="46" t="s">
        <v>370</v>
      </c>
      <c r="G223" s="285"/>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46" t="s">
        <v>66</v>
      </c>
      <c r="B224" s="46" t="s">
        <v>377</v>
      </c>
      <c r="C224" s="47">
        <v>0.22222222222222221</v>
      </c>
      <c r="D224" s="46" t="s">
        <v>85</v>
      </c>
      <c r="E224" s="46" t="s">
        <v>76</v>
      </c>
      <c r="F224" s="46" t="s">
        <v>370</v>
      </c>
      <c r="G224" s="285"/>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46" t="s">
        <v>66</v>
      </c>
      <c r="B225" s="46" t="s">
        <v>376</v>
      </c>
      <c r="C225" s="47">
        <v>0.77430555555555547</v>
      </c>
      <c r="D225" s="46" t="s">
        <v>68</v>
      </c>
      <c r="E225" s="46" t="s">
        <v>76</v>
      </c>
      <c r="F225" s="46" t="s">
        <v>450</v>
      </c>
      <c r="G225" s="285"/>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44" t="s">
        <v>78</v>
      </c>
      <c r="B226" s="44" t="s">
        <v>387</v>
      </c>
      <c r="C226" s="45">
        <v>0.24305555555555561</v>
      </c>
      <c r="D226" s="44" t="s">
        <v>87</v>
      </c>
      <c r="E226" s="44" t="s">
        <v>38</v>
      </c>
      <c r="F226" s="44" t="s">
        <v>451</v>
      </c>
      <c r="G226" s="285"/>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78</v>
      </c>
      <c r="B227" s="15" t="s">
        <v>387</v>
      </c>
      <c r="C227" s="16">
        <v>0.24305555555555561</v>
      </c>
      <c r="D227" s="15" t="s">
        <v>82</v>
      </c>
      <c r="E227" s="15" t="s">
        <v>88</v>
      </c>
      <c r="F227" s="15" t="s">
        <v>452</v>
      </c>
      <c r="G227" s="285"/>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46" t="s">
        <v>78</v>
      </c>
      <c r="B228" s="46" t="s">
        <v>388</v>
      </c>
      <c r="C228" s="47">
        <v>0.1423611111111111</v>
      </c>
      <c r="D228" s="46" t="s">
        <v>87</v>
      </c>
      <c r="E228" s="46" t="s">
        <v>76</v>
      </c>
      <c r="F228" s="46" t="s">
        <v>451</v>
      </c>
      <c r="G228" s="285"/>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78</v>
      </c>
      <c r="B229" s="15" t="s">
        <v>388</v>
      </c>
      <c r="C229" s="16">
        <v>0.1423611111111111</v>
      </c>
      <c r="D229" s="15" t="s">
        <v>82</v>
      </c>
      <c r="E229" s="15" t="s">
        <v>88</v>
      </c>
      <c r="F229" s="15" t="s">
        <v>452</v>
      </c>
      <c r="G229" s="285"/>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46" t="s">
        <v>78</v>
      </c>
      <c r="B230" s="46" t="s">
        <v>384</v>
      </c>
      <c r="C230" s="47">
        <v>0.37847222222222232</v>
      </c>
      <c r="D230" s="46" t="s">
        <v>87</v>
      </c>
      <c r="E230" s="46" t="s">
        <v>76</v>
      </c>
      <c r="F230" s="46" t="s">
        <v>385</v>
      </c>
      <c r="G230" s="285"/>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78</v>
      </c>
      <c r="B231" s="15" t="s">
        <v>384</v>
      </c>
      <c r="C231" s="16">
        <v>0.37847222222222232</v>
      </c>
      <c r="D231" s="15" t="s">
        <v>82</v>
      </c>
      <c r="E231" s="15" t="s">
        <v>88</v>
      </c>
      <c r="F231" s="15" t="s">
        <v>386</v>
      </c>
      <c r="G231" s="285"/>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46" t="s">
        <v>78</v>
      </c>
      <c r="B232" s="46" t="s">
        <v>389</v>
      </c>
      <c r="C232" s="47">
        <v>6.9444444444444441E-3</v>
      </c>
      <c r="D232" s="46" t="s">
        <v>87</v>
      </c>
      <c r="E232" s="46" t="s">
        <v>76</v>
      </c>
      <c r="F232" s="46" t="s">
        <v>385</v>
      </c>
      <c r="G232" s="285"/>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78</v>
      </c>
      <c r="B233" s="15" t="s">
        <v>389</v>
      </c>
      <c r="C233" s="16">
        <v>6.9444444444444441E-3</v>
      </c>
      <c r="D233" s="15" t="s">
        <v>82</v>
      </c>
      <c r="E233" s="15" t="s">
        <v>88</v>
      </c>
      <c r="F233" s="15" t="s">
        <v>386</v>
      </c>
      <c r="G233" s="285"/>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46" t="s">
        <v>78</v>
      </c>
      <c r="B234" s="46" t="s">
        <v>400</v>
      </c>
      <c r="C234" s="47">
        <v>0.61111111111111105</v>
      </c>
      <c r="D234" s="46" t="s">
        <v>87</v>
      </c>
      <c r="E234" s="46" t="s">
        <v>76</v>
      </c>
      <c r="F234" s="46" t="s">
        <v>453</v>
      </c>
      <c r="G234" s="285"/>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78</v>
      </c>
      <c r="B235" s="15" t="s">
        <v>400</v>
      </c>
      <c r="C235" s="16">
        <v>0.61111111111111105</v>
      </c>
      <c r="D235" s="15" t="s">
        <v>82</v>
      </c>
      <c r="E235" s="15" t="s">
        <v>88</v>
      </c>
      <c r="F235" s="15" t="s">
        <v>454</v>
      </c>
      <c r="G235" s="285"/>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46" t="s">
        <v>78</v>
      </c>
      <c r="B236" s="46" t="s">
        <v>397</v>
      </c>
      <c r="C236" s="47">
        <v>0.71875</v>
      </c>
      <c r="D236" s="46" t="s">
        <v>85</v>
      </c>
      <c r="E236" s="46" t="s">
        <v>76</v>
      </c>
      <c r="F236" s="46" t="s">
        <v>455</v>
      </c>
      <c r="G236" s="285"/>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5" t="s">
        <v>78</v>
      </c>
      <c r="B237" s="15" t="s">
        <v>397</v>
      </c>
      <c r="C237" s="16">
        <v>0.71875</v>
      </c>
      <c r="D237" s="15" t="s">
        <v>87</v>
      </c>
      <c r="E237" s="15" t="s">
        <v>88</v>
      </c>
      <c r="F237" s="15" t="s">
        <v>455</v>
      </c>
      <c r="G237" s="285"/>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78</v>
      </c>
      <c r="B238" s="15" t="s">
        <v>397</v>
      </c>
      <c r="C238" s="16">
        <v>0.71875</v>
      </c>
      <c r="D238" s="15" t="s">
        <v>82</v>
      </c>
      <c r="E238" s="15" t="s">
        <v>88</v>
      </c>
      <c r="F238" s="15" t="s">
        <v>456</v>
      </c>
      <c r="G238" s="285"/>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46" t="s">
        <v>78</v>
      </c>
      <c r="B239" s="46" t="s">
        <v>402</v>
      </c>
      <c r="C239" s="47">
        <v>0.30208333333333331</v>
      </c>
      <c r="D239" s="46" t="s">
        <v>68</v>
      </c>
      <c r="E239" s="46" t="s">
        <v>102</v>
      </c>
      <c r="F239" s="46" t="s">
        <v>457</v>
      </c>
      <c r="G239" s="285"/>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5" t="s">
        <v>78</v>
      </c>
      <c r="B240" s="15" t="s">
        <v>402</v>
      </c>
      <c r="C240" s="16">
        <v>0.30208333333333331</v>
      </c>
      <c r="D240" s="15" t="s">
        <v>82</v>
      </c>
      <c r="E240" s="15" t="s">
        <v>83</v>
      </c>
      <c r="F240" s="15" t="s">
        <v>457</v>
      </c>
      <c r="G240" s="285"/>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46" t="s">
        <v>78</v>
      </c>
      <c r="B241" s="46" t="s">
        <v>395</v>
      </c>
      <c r="C241" s="47">
        <v>0.12847222222222221</v>
      </c>
      <c r="D241" s="46" t="s">
        <v>82</v>
      </c>
      <c r="E241" s="46" t="s">
        <v>102</v>
      </c>
      <c r="F241" s="46" t="s">
        <v>457</v>
      </c>
      <c r="G241" s="285"/>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46" t="s">
        <v>78</v>
      </c>
      <c r="B242" s="46" t="s">
        <v>392</v>
      </c>
      <c r="C242" s="47">
        <v>0.93055555555555547</v>
      </c>
      <c r="D242" s="46" t="s">
        <v>85</v>
      </c>
      <c r="E242" s="46" t="s">
        <v>76</v>
      </c>
      <c r="F242" s="46" t="s">
        <v>390</v>
      </c>
      <c r="G242" s="285"/>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5" t="s">
        <v>78</v>
      </c>
      <c r="B243" s="15" t="s">
        <v>392</v>
      </c>
      <c r="C243" s="16">
        <v>0.93055555555555547</v>
      </c>
      <c r="D243" s="15" t="s">
        <v>87</v>
      </c>
      <c r="E243" s="15" t="s">
        <v>88</v>
      </c>
      <c r="F243" s="15" t="s">
        <v>390</v>
      </c>
      <c r="G243" s="285"/>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78</v>
      </c>
      <c r="B244" s="15" t="s">
        <v>392</v>
      </c>
      <c r="C244" s="16">
        <v>0.93055555555555547</v>
      </c>
      <c r="D244" s="15" t="s">
        <v>82</v>
      </c>
      <c r="E244" s="15" t="s">
        <v>88</v>
      </c>
      <c r="F244" s="15" t="s">
        <v>391</v>
      </c>
      <c r="G244" s="285"/>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46" t="s">
        <v>78</v>
      </c>
      <c r="B245" s="46" t="s">
        <v>393</v>
      </c>
      <c r="C245" s="47">
        <v>0.88888888888888884</v>
      </c>
      <c r="D245" s="46" t="s">
        <v>82</v>
      </c>
      <c r="E245" s="46" t="s">
        <v>102</v>
      </c>
      <c r="F245" s="46" t="s">
        <v>394</v>
      </c>
      <c r="G245" s="285"/>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46" t="s">
        <v>78</v>
      </c>
      <c r="B246" s="46" t="s">
        <v>396</v>
      </c>
      <c r="C246" s="47">
        <v>0.78819444444444453</v>
      </c>
      <c r="D246" s="46" t="s">
        <v>82</v>
      </c>
      <c r="E246" s="46" t="s">
        <v>102</v>
      </c>
      <c r="F246" s="46" t="s">
        <v>394</v>
      </c>
      <c r="G246" s="285"/>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46" t="s">
        <v>78</v>
      </c>
      <c r="B247" s="46" t="s">
        <v>401</v>
      </c>
      <c r="C247" s="47">
        <v>0.82986111111111116</v>
      </c>
      <c r="D247" s="46" t="s">
        <v>85</v>
      </c>
      <c r="E247" s="46" t="s">
        <v>76</v>
      </c>
      <c r="F247" s="46" t="s">
        <v>458</v>
      </c>
      <c r="G247" s="285"/>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78</v>
      </c>
      <c r="B248" s="15" t="s">
        <v>401</v>
      </c>
      <c r="C248" s="16">
        <v>0.82986111111111116</v>
      </c>
      <c r="D248" s="15" t="s">
        <v>87</v>
      </c>
      <c r="E248" s="15" t="s">
        <v>88</v>
      </c>
      <c r="F248" s="15" t="s">
        <v>458</v>
      </c>
      <c r="G248" s="285"/>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48" t="s">
        <v>78</v>
      </c>
      <c r="B249" s="48" t="s">
        <v>401</v>
      </c>
      <c r="C249" s="49">
        <v>0.82986111111111116</v>
      </c>
      <c r="D249" s="48" t="s">
        <v>82</v>
      </c>
      <c r="E249" s="48" t="s">
        <v>88</v>
      </c>
      <c r="F249" s="48" t="s">
        <v>459</v>
      </c>
      <c r="G249" s="286"/>
      <c r="H249" s="50"/>
      <c r="I249" s="51"/>
      <c r="J249" s="51"/>
      <c r="K249" s="51"/>
      <c r="L249" s="51"/>
      <c r="M249" s="51"/>
      <c r="N249" s="51"/>
      <c r="O249" s="52"/>
      <c r="P249" s="51"/>
      <c r="Q249" s="53"/>
      <c r="R249" s="5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4.4" customHeight="1" x14ac:dyDescent="0.3">
      <c r="A250" s="295"/>
      <c r="B250" s="296"/>
      <c r="C250" s="296"/>
      <c r="D250" s="296"/>
      <c r="E250" s="296"/>
      <c r="F250" s="296"/>
      <c r="G250" s="289"/>
      <c r="H250" s="297"/>
      <c r="I250" s="297"/>
      <c r="J250" s="297"/>
      <c r="K250" s="297"/>
      <c r="L250" s="297"/>
      <c r="M250" s="297"/>
      <c r="N250" s="297"/>
      <c r="O250" s="298"/>
      <c r="P250" s="297"/>
      <c r="Q250" s="289"/>
      <c r="R250" s="29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22.05" customHeight="1" x14ac:dyDescent="0.3">
      <c r="A251" s="282" t="s">
        <v>5</v>
      </c>
      <c r="B251" s="283"/>
      <c r="C251" s="283"/>
      <c r="D251" s="283"/>
      <c r="E251" s="283"/>
      <c r="F251" s="283"/>
      <c r="G251" s="5">
        <v>45989</v>
      </c>
      <c r="H251" s="278" t="s">
        <v>6</v>
      </c>
      <c r="I251" s="279"/>
      <c r="J251" s="279"/>
      <c r="K251" s="279"/>
      <c r="L251" s="279"/>
      <c r="M251" s="279"/>
      <c r="N251" s="279"/>
      <c r="O251" s="279"/>
      <c r="P251" s="279"/>
      <c r="Q251" s="279"/>
      <c r="R251" s="279"/>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24" customHeight="1" x14ac:dyDescent="0.3">
      <c r="A252" s="55" t="s">
        <v>7</v>
      </c>
      <c r="B252" s="55" t="s">
        <v>8</v>
      </c>
      <c r="C252" s="56" t="s">
        <v>9</v>
      </c>
      <c r="D252" s="55" t="s">
        <v>10</v>
      </c>
      <c r="E252" s="55" t="s">
        <v>11</v>
      </c>
      <c r="F252" s="55" t="s">
        <v>12</v>
      </c>
      <c r="G252" s="57" t="s">
        <v>13</v>
      </c>
      <c r="H252" s="55" t="s">
        <v>14</v>
      </c>
      <c r="I252" s="58" t="s">
        <v>15</v>
      </c>
      <c r="J252" s="59" t="s">
        <v>16</v>
      </c>
      <c r="K252" s="60" t="s">
        <v>17</v>
      </c>
      <c r="L252" s="59" t="s">
        <v>18</v>
      </c>
      <c r="M252" s="59" t="s">
        <v>19</v>
      </c>
      <c r="N252" s="59" t="s">
        <v>20</v>
      </c>
      <c r="O252" s="55" t="s">
        <v>21</v>
      </c>
      <c r="P252" s="56" t="s">
        <v>22</v>
      </c>
      <c r="Q252" s="59" t="s">
        <v>23</v>
      </c>
      <c r="R252" s="55" t="s">
        <v>24</v>
      </c>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35</v>
      </c>
      <c r="B253" s="17" t="s">
        <v>319</v>
      </c>
      <c r="C253" s="18">
        <v>0.1145833333333333</v>
      </c>
      <c r="D253" s="17" t="s">
        <v>37</v>
      </c>
      <c r="E253" s="17" t="s">
        <v>38</v>
      </c>
      <c r="F253" s="17" t="s">
        <v>310</v>
      </c>
      <c r="G253" s="284"/>
      <c r="H253" s="19" t="s">
        <v>321</v>
      </c>
      <c r="I253" s="217">
        <v>0.35749999999999998</v>
      </c>
      <c r="J253" s="21">
        <v>64</v>
      </c>
      <c r="K253" s="22">
        <v>45984</v>
      </c>
      <c r="L253" s="21">
        <v>35</v>
      </c>
      <c r="M253" s="21">
        <v>0</v>
      </c>
      <c r="N253" s="21">
        <v>8</v>
      </c>
      <c r="O253" s="23" t="s">
        <v>432</v>
      </c>
      <c r="P253" s="24">
        <v>0.1145833333333333</v>
      </c>
      <c r="Q253" s="21">
        <v>179</v>
      </c>
      <c r="R253" s="25" t="s">
        <v>460</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26" t="s">
        <v>35</v>
      </c>
      <c r="B254" s="26" t="s">
        <v>314</v>
      </c>
      <c r="C254" s="27">
        <v>0.31944444444444448</v>
      </c>
      <c r="D254" s="26" t="s">
        <v>37</v>
      </c>
      <c r="E254" s="26" t="s">
        <v>76</v>
      </c>
      <c r="F254" s="26" t="s">
        <v>310</v>
      </c>
      <c r="G254" s="285"/>
      <c r="H254" s="28" t="s">
        <v>316</v>
      </c>
      <c r="I254" s="216">
        <v>0.35199999999999998</v>
      </c>
      <c r="J254" s="30">
        <v>63</v>
      </c>
      <c r="K254" s="31">
        <v>45984</v>
      </c>
      <c r="L254" s="30">
        <v>33</v>
      </c>
      <c r="M254" s="30">
        <v>0</v>
      </c>
      <c r="N254" s="30">
        <v>5</v>
      </c>
      <c r="O254" s="32" t="s">
        <v>432</v>
      </c>
      <c r="P254" s="33">
        <v>0.31944444444444448</v>
      </c>
      <c r="Q254" s="30">
        <v>179</v>
      </c>
      <c r="R254" s="34" t="s">
        <v>461</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35" t="s">
        <v>35</v>
      </c>
      <c r="B255" s="35" t="s">
        <v>413</v>
      </c>
      <c r="C255" s="36">
        <v>0.45833333333333331</v>
      </c>
      <c r="D255" s="35" t="s">
        <v>37</v>
      </c>
      <c r="E255" s="35" t="s">
        <v>102</v>
      </c>
      <c r="F255" s="35" t="s">
        <v>310</v>
      </c>
      <c r="G255" s="285"/>
      <c r="H255" s="37" t="s">
        <v>331</v>
      </c>
      <c r="I255" s="201">
        <v>0.55310000000000004</v>
      </c>
      <c r="J255" s="39">
        <v>99</v>
      </c>
      <c r="K255" s="40">
        <v>45985</v>
      </c>
      <c r="L255" s="39">
        <v>46</v>
      </c>
      <c r="M255" s="39">
        <v>1</v>
      </c>
      <c r="N255" s="39">
        <v>14</v>
      </c>
      <c r="O255" s="41" t="s">
        <v>176</v>
      </c>
      <c r="P255" s="42">
        <v>0.45833333333333331</v>
      </c>
      <c r="Q255" s="39">
        <v>179</v>
      </c>
      <c r="R255" s="43" t="s">
        <v>462</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26" t="s">
        <v>35</v>
      </c>
      <c r="B256" s="26" t="s">
        <v>309</v>
      </c>
      <c r="C256" s="27">
        <v>0.73611111111111116</v>
      </c>
      <c r="D256" s="26" t="s">
        <v>37</v>
      </c>
      <c r="E256" s="26" t="s">
        <v>116</v>
      </c>
      <c r="F256" s="26" t="s">
        <v>315</v>
      </c>
      <c r="G256" s="285"/>
      <c r="H256" s="28" t="s">
        <v>311</v>
      </c>
      <c r="I256" s="199">
        <v>0.56979999999999997</v>
      </c>
      <c r="J256" s="30">
        <v>102</v>
      </c>
      <c r="K256" s="31">
        <v>45984</v>
      </c>
      <c r="L256" s="30">
        <v>63</v>
      </c>
      <c r="M256" s="30">
        <v>0</v>
      </c>
      <c r="N256" s="30">
        <v>6</v>
      </c>
      <c r="O256" s="32" t="s">
        <v>463</v>
      </c>
      <c r="P256" s="33">
        <v>0.73611111111111116</v>
      </c>
      <c r="Q256" s="30">
        <v>179</v>
      </c>
      <c r="R256" s="34" t="s">
        <v>464</v>
      </c>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205" t="s">
        <v>35</v>
      </c>
      <c r="B257" s="205" t="s">
        <v>444</v>
      </c>
      <c r="C257" s="206">
        <v>0.61458333333333337</v>
      </c>
      <c r="D257" s="205" t="s">
        <v>37</v>
      </c>
      <c r="E257" s="205" t="s">
        <v>76</v>
      </c>
      <c r="F257" s="205" t="s">
        <v>315</v>
      </c>
      <c r="G257" s="285"/>
      <c r="H257" s="19" t="s">
        <v>329</v>
      </c>
      <c r="I257" s="20">
        <v>0.78210000000000002</v>
      </c>
      <c r="J257" s="21">
        <v>140</v>
      </c>
      <c r="K257" s="22">
        <v>45985</v>
      </c>
      <c r="L257" s="21">
        <v>48</v>
      </c>
      <c r="M257" s="21">
        <v>1</v>
      </c>
      <c r="N257" s="21">
        <v>8</v>
      </c>
      <c r="O257" s="23" t="s">
        <v>202</v>
      </c>
      <c r="P257" s="24">
        <v>0.61458333333333337</v>
      </c>
      <c r="Q257" s="21">
        <v>179</v>
      </c>
      <c r="R257" s="25" t="s">
        <v>465</v>
      </c>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35" t="s">
        <v>35</v>
      </c>
      <c r="B258" s="35" t="s">
        <v>326</v>
      </c>
      <c r="C258" s="36">
        <v>0.9375</v>
      </c>
      <c r="D258" s="35" t="s">
        <v>131</v>
      </c>
      <c r="E258" s="207"/>
      <c r="F258" s="35" t="s">
        <v>132</v>
      </c>
      <c r="G258" s="285"/>
      <c r="H258" s="37" t="s">
        <v>326</v>
      </c>
      <c r="I258" s="38">
        <v>0.9385</v>
      </c>
      <c r="J258" s="39">
        <v>168</v>
      </c>
      <c r="K258" s="40">
        <v>45984</v>
      </c>
      <c r="L258" s="39">
        <v>8</v>
      </c>
      <c r="M258" s="39">
        <v>0</v>
      </c>
      <c r="N258" s="39">
        <v>2</v>
      </c>
      <c r="O258" s="41" t="s">
        <v>133</v>
      </c>
      <c r="P258" s="42">
        <v>0.9375</v>
      </c>
      <c r="Q258" s="39">
        <v>179</v>
      </c>
      <c r="R258" s="43" t="s">
        <v>466</v>
      </c>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44" t="s">
        <v>25</v>
      </c>
      <c r="B259" s="44" t="s">
        <v>344</v>
      </c>
      <c r="C259" s="45">
        <v>0.30208333333333331</v>
      </c>
      <c r="D259" s="44" t="s">
        <v>27</v>
      </c>
      <c r="E259" s="44" t="s">
        <v>28</v>
      </c>
      <c r="F259" s="44" t="s">
        <v>340</v>
      </c>
      <c r="G259" s="285"/>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5" t="s">
        <v>25</v>
      </c>
      <c r="B260" s="15" t="s">
        <v>344</v>
      </c>
      <c r="C260" s="16">
        <v>0.30208333333333331</v>
      </c>
      <c r="D260" s="15" t="s">
        <v>30</v>
      </c>
      <c r="E260" s="15" t="s">
        <v>31</v>
      </c>
      <c r="F260" s="15" t="s">
        <v>342</v>
      </c>
      <c r="G260" s="285"/>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25</v>
      </c>
      <c r="B261" s="15" t="s">
        <v>344</v>
      </c>
      <c r="C261" s="16">
        <v>0.30208333333333331</v>
      </c>
      <c r="D261" s="15" t="s">
        <v>33</v>
      </c>
      <c r="E261" s="15" t="s">
        <v>31</v>
      </c>
      <c r="F261" s="15" t="s">
        <v>34</v>
      </c>
      <c r="G261" s="285"/>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46" t="s">
        <v>25</v>
      </c>
      <c r="B262" s="46" t="s">
        <v>338</v>
      </c>
      <c r="C262" s="47">
        <v>0.12847222222222221</v>
      </c>
      <c r="D262" s="46" t="s">
        <v>27</v>
      </c>
      <c r="E262" s="46" t="s">
        <v>71</v>
      </c>
      <c r="F262" s="46" t="s">
        <v>340</v>
      </c>
      <c r="G262" s="285"/>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5" t="s">
        <v>25</v>
      </c>
      <c r="B263" s="15" t="s">
        <v>338</v>
      </c>
      <c r="C263" s="16">
        <v>0.12847222222222221</v>
      </c>
      <c r="D263" s="15" t="s">
        <v>30</v>
      </c>
      <c r="E263" s="15" t="s">
        <v>125</v>
      </c>
      <c r="F263" s="15" t="s">
        <v>342</v>
      </c>
      <c r="G263" s="285"/>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5" t="s">
        <v>25</v>
      </c>
      <c r="B264" s="15" t="s">
        <v>338</v>
      </c>
      <c r="C264" s="16">
        <v>0.12847222222222221</v>
      </c>
      <c r="D264" s="15" t="s">
        <v>33</v>
      </c>
      <c r="E264" s="15" t="s">
        <v>125</v>
      </c>
      <c r="F264" s="15" t="s">
        <v>34</v>
      </c>
      <c r="G264" s="285"/>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46" t="s">
        <v>25</v>
      </c>
      <c r="B265" s="46" t="s">
        <v>347</v>
      </c>
      <c r="C265" s="47">
        <v>0.78819444444444453</v>
      </c>
      <c r="D265" s="46" t="s">
        <v>27</v>
      </c>
      <c r="E265" s="46" t="s">
        <v>467</v>
      </c>
      <c r="F265" s="46" t="s">
        <v>340</v>
      </c>
      <c r="G265" s="285"/>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5" t="s">
        <v>25</v>
      </c>
      <c r="B266" s="15" t="s">
        <v>347</v>
      </c>
      <c r="C266" s="16">
        <v>0.78819444444444453</v>
      </c>
      <c r="D266" s="15" t="s">
        <v>30</v>
      </c>
      <c r="E266" s="15" t="s">
        <v>468</v>
      </c>
      <c r="F266" s="15" t="s">
        <v>342</v>
      </c>
      <c r="G266" s="285"/>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5" t="s">
        <v>25</v>
      </c>
      <c r="B267" s="15" t="s">
        <v>347</v>
      </c>
      <c r="C267" s="16">
        <v>0.78819444444444453</v>
      </c>
      <c r="D267" s="15" t="s">
        <v>33</v>
      </c>
      <c r="E267" s="15" t="s">
        <v>468</v>
      </c>
      <c r="F267" s="15" t="s">
        <v>34</v>
      </c>
      <c r="G267" s="285"/>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46" t="s">
        <v>25</v>
      </c>
      <c r="B268" s="46" t="s">
        <v>343</v>
      </c>
      <c r="C268" s="47">
        <v>0.88888888888888884</v>
      </c>
      <c r="D268" s="46" t="s">
        <v>27</v>
      </c>
      <c r="E268" s="46" t="s">
        <v>71</v>
      </c>
      <c r="F268" s="46" t="s">
        <v>340</v>
      </c>
      <c r="G268" s="285"/>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5" t="s">
        <v>25</v>
      </c>
      <c r="B269" s="15" t="s">
        <v>343</v>
      </c>
      <c r="C269" s="16">
        <v>0.88888888888888884</v>
      </c>
      <c r="D269" s="15" t="s">
        <v>30</v>
      </c>
      <c r="E269" s="15" t="s">
        <v>125</v>
      </c>
      <c r="F269" s="15" t="s">
        <v>342</v>
      </c>
      <c r="G269" s="285"/>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25</v>
      </c>
      <c r="B270" s="15" t="s">
        <v>343</v>
      </c>
      <c r="C270" s="16">
        <v>0.88888888888888884</v>
      </c>
      <c r="D270" s="15" t="s">
        <v>33</v>
      </c>
      <c r="E270" s="15" t="s">
        <v>125</v>
      </c>
      <c r="F270" s="15" t="s">
        <v>34</v>
      </c>
      <c r="G270" s="285"/>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44" t="s">
        <v>55</v>
      </c>
      <c r="B271" s="44" t="s">
        <v>357</v>
      </c>
      <c r="C271" s="45">
        <v>0.25694444444444448</v>
      </c>
      <c r="D271" s="44" t="s">
        <v>60</v>
      </c>
      <c r="E271" s="44" t="s">
        <v>124</v>
      </c>
      <c r="F271" s="44" t="s">
        <v>350</v>
      </c>
      <c r="G271" s="285"/>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5" t="s">
        <v>55</v>
      </c>
      <c r="B272" s="15" t="s">
        <v>357</v>
      </c>
      <c r="C272" s="16">
        <v>0.25694444444444448</v>
      </c>
      <c r="D272" s="15" t="s">
        <v>62</v>
      </c>
      <c r="E272" s="15" t="s">
        <v>125</v>
      </c>
      <c r="F272" s="15" t="s">
        <v>351</v>
      </c>
      <c r="G272" s="285"/>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5" t="s">
        <v>55</v>
      </c>
      <c r="B273" s="15" t="s">
        <v>357</v>
      </c>
      <c r="C273" s="16">
        <v>0.25694444444444448</v>
      </c>
      <c r="D273" s="15" t="s">
        <v>64</v>
      </c>
      <c r="E273" s="15" t="s">
        <v>125</v>
      </c>
      <c r="F273" s="15" t="s">
        <v>59</v>
      </c>
      <c r="G273" s="285"/>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46" t="s">
        <v>55</v>
      </c>
      <c r="B274" s="46" t="s">
        <v>366</v>
      </c>
      <c r="C274" s="47">
        <v>0.39583333333333331</v>
      </c>
      <c r="D274" s="46" t="s">
        <v>60</v>
      </c>
      <c r="E274" s="46" t="s">
        <v>102</v>
      </c>
      <c r="F274" s="46" t="s">
        <v>350</v>
      </c>
      <c r="G274" s="285"/>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5" t="s">
        <v>55</v>
      </c>
      <c r="B275" s="15" t="s">
        <v>366</v>
      </c>
      <c r="C275" s="16">
        <v>0.39583333333333331</v>
      </c>
      <c r="D275" s="15" t="s">
        <v>62</v>
      </c>
      <c r="E275" s="15" t="s">
        <v>83</v>
      </c>
      <c r="F275" s="15" t="s">
        <v>351</v>
      </c>
      <c r="G275" s="285"/>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55</v>
      </c>
      <c r="B276" s="15" t="s">
        <v>366</v>
      </c>
      <c r="C276" s="16">
        <v>0.39583333333333331</v>
      </c>
      <c r="D276" s="15" t="s">
        <v>64</v>
      </c>
      <c r="E276" s="15" t="s">
        <v>83</v>
      </c>
      <c r="F276" s="15" t="s">
        <v>59</v>
      </c>
      <c r="G276" s="285"/>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46" t="s">
        <v>55</v>
      </c>
      <c r="B277" s="46" t="s">
        <v>356</v>
      </c>
      <c r="C277" s="47">
        <v>0.79861111111111116</v>
      </c>
      <c r="D277" s="46" t="s">
        <v>60</v>
      </c>
      <c r="E277" s="46" t="s">
        <v>116</v>
      </c>
      <c r="F277" s="46" t="s">
        <v>350</v>
      </c>
      <c r="G277" s="285"/>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5" t="s">
        <v>55</v>
      </c>
      <c r="B278" s="15" t="s">
        <v>356</v>
      </c>
      <c r="C278" s="16">
        <v>0.79861111111111116</v>
      </c>
      <c r="D278" s="15" t="s">
        <v>62</v>
      </c>
      <c r="E278" s="15" t="s">
        <v>109</v>
      </c>
      <c r="F278" s="15" t="s">
        <v>351</v>
      </c>
      <c r="G278" s="285"/>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55</v>
      </c>
      <c r="B279" s="15" t="s">
        <v>356</v>
      </c>
      <c r="C279" s="16">
        <v>0.79861111111111116</v>
      </c>
      <c r="D279" s="15" t="s">
        <v>64</v>
      </c>
      <c r="E279" s="15" t="s">
        <v>109</v>
      </c>
      <c r="F279" s="15" t="s">
        <v>59</v>
      </c>
      <c r="G279" s="285"/>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46" t="s">
        <v>55</v>
      </c>
      <c r="B280" s="46" t="s">
        <v>352</v>
      </c>
      <c r="C280" s="47">
        <v>0.90277777777777779</v>
      </c>
      <c r="D280" s="46" t="s">
        <v>60</v>
      </c>
      <c r="E280" s="46" t="s">
        <v>74</v>
      </c>
      <c r="F280" s="46" t="s">
        <v>353</v>
      </c>
      <c r="G280" s="285"/>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5" t="s">
        <v>55</v>
      </c>
      <c r="B281" s="15" t="s">
        <v>352</v>
      </c>
      <c r="C281" s="16">
        <v>0.90277777777777779</v>
      </c>
      <c r="D281" s="15" t="s">
        <v>62</v>
      </c>
      <c r="E281" s="15" t="s">
        <v>31</v>
      </c>
      <c r="F281" s="15" t="s">
        <v>354</v>
      </c>
      <c r="G281" s="285"/>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5" t="s">
        <v>55</v>
      </c>
      <c r="B282" s="15" t="s">
        <v>352</v>
      </c>
      <c r="C282" s="16">
        <v>0.90277777777777779</v>
      </c>
      <c r="D282" s="15" t="s">
        <v>64</v>
      </c>
      <c r="E282" s="15" t="s">
        <v>31</v>
      </c>
      <c r="F282" s="15" t="s">
        <v>355</v>
      </c>
      <c r="G282" s="285"/>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46" t="s">
        <v>55</v>
      </c>
      <c r="B283" s="46" t="s">
        <v>363</v>
      </c>
      <c r="C283" s="47">
        <v>0.64583333333333337</v>
      </c>
      <c r="D283" s="46" t="s">
        <v>60</v>
      </c>
      <c r="E283" s="46" t="s">
        <v>358</v>
      </c>
      <c r="F283" s="46" t="s">
        <v>353</v>
      </c>
      <c r="G283" s="285"/>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5" t="s">
        <v>55</v>
      </c>
      <c r="B284" s="15" t="s">
        <v>363</v>
      </c>
      <c r="C284" s="16">
        <v>0.64583333333333337</v>
      </c>
      <c r="D284" s="15" t="s">
        <v>62</v>
      </c>
      <c r="E284" s="15" t="s">
        <v>360</v>
      </c>
      <c r="F284" s="15" t="s">
        <v>354</v>
      </c>
      <c r="G284" s="285"/>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55</v>
      </c>
      <c r="B285" s="15" t="s">
        <v>363</v>
      </c>
      <c r="C285" s="16">
        <v>0.64583333333333337</v>
      </c>
      <c r="D285" s="15" t="s">
        <v>64</v>
      </c>
      <c r="E285" s="15" t="s">
        <v>360</v>
      </c>
      <c r="F285" s="15" t="s">
        <v>355</v>
      </c>
      <c r="G285" s="285"/>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46" t="s">
        <v>55</v>
      </c>
      <c r="B286" s="46" t="s">
        <v>364</v>
      </c>
      <c r="C286" s="47">
        <v>0.51736111111111105</v>
      </c>
      <c r="D286" s="46" t="s">
        <v>60</v>
      </c>
      <c r="E286" s="46" t="s">
        <v>44</v>
      </c>
      <c r="F286" s="46" t="s">
        <v>353</v>
      </c>
      <c r="G286" s="285"/>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55</v>
      </c>
      <c r="B287" s="15" t="s">
        <v>364</v>
      </c>
      <c r="C287" s="16">
        <v>0.51736111111111105</v>
      </c>
      <c r="D287" s="15" t="s">
        <v>62</v>
      </c>
      <c r="E287" s="15" t="s">
        <v>61</v>
      </c>
      <c r="F287" s="15" t="s">
        <v>354</v>
      </c>
      <c r="G287" s="285"/>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55</v>
      </c>
      <c r="B288" s="15" t="s">
        <v>364</v>
      </c>
      <c r="C288" s="16">
        <v>0.51736111111111105</v>
      </c>
      <c r="D288" s="15" t="s">
        <v>64</v>
      </c>
      <c r="E288" s="15" t="s">
        <v>61</v>
      </c>
      <c r="F288" s="15" t="s">
        <v>355</v>
      </c>
      <c r="G288" s="285"/>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46" t="s">
        <v>55</v>
      </c>
      <c r="B289" s="46" t="s">
        <v>349</v>
      </c>
      <c r="C289" s="47">
        <v>0.85416666666666663</v>
      </c>
      <c r="D289" s="46" t="s">
        <v>60</v>
      </c>
      <c r="E289" s="46" t="s">
        <v>71</v>
      </c>
      <c r="F289" s="46" t="s">
        <v>353</v>
      </c>
      <c r="G289" s="285"/>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55</v>
      </c>
      <c r="B290" s="15" t="s">
        <v>349</v>
      </c>
      <c r="C290" s="16">
        <v>0.85416666666666663</v>
      </c>
      <c r="D290" s="15" t="s">
        <v>62</v>
      </c>
      <c r="E290" s="15" t="s">
        <v>125</v>
      </c>
      <c r="F290" s="15" t="s">
        <v>354</v>
      </c>
      <c r="G290" s="285"/>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5" t="s">
        <v>55</v>
      </c>
      <c r="B291" s="15" t="s">
        <v>349</v>
      </c>
      <c r="C291" s="16">
        <v>0.85416666666666663</v>
      </c>
      <c r="D291" s="15" t="s">
        <v>64</v>
      </c>
      <c r="E291" s="15" t="s">
        <v>125</v>
      </c>
      <c r="F291" s="15" t="s">
        <v>355</v>
      </c>
      <c r="G291" s="285"/>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44" t="s">
        <v>378</v>
      </c>
      <c r="B292" s="44" t="s">
        <v>420</v>
      </c>
      <c r="C292" s="45">
        <v>0.3923611111111111</v>
      </c>
      <c r="D292" s="44" t="s">
        <v>380</v>
      </c>
      <c r="E292" s="44" t="s">
        <v>381</v>
      </c>
      <c r="F292" s="44" t="s">
        <v>350</v>
      </c>
      <c r="G292" s="285"/>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5" t="s">
        <v>378</v>
      </c>
      <c r="B293" s="15" t="s">
        <v>420</v>
      </c>
      <c r="C293" s="16">
        <v>0.3923611111111111</v>
      </c>
      <c r="D293" s="15" t="s">
        <v>33</v>
      </c>
      <c r="E293" s="15" t="s">
        <v>360</v>
      </c>
      <c r="F293" s="15" t="s">
        <v>469</v>
      </c>
      <c r="G293" s="285"/>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46" t="s">
        <v>378</v>
      </c>
      <c r="B294" s="46" t="s">
        <v>470</v>
      </c>
      <c r="C294" s="47">
        <v>0.97569444444444453</v>
      </c>
      <c r="D294" s="46" t="s">
        <v>380</v>
      </c>
      <c r="E294" s="46" t="s">
        <v>358</v>
      </c>
      <c r="F294" s="46" t="s">
        <v>471</v>
      </c>
      <c r="G294" s="285"/>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378</v>
      </c>
      <c r="B295" s="15" t="s">
        <v>470</v>
      </c>
      <c r="C295" s="16">
        <v>0.97569444444444453</v>
      </c>
      <c r="D295" s="15" t="s">
        <v>33</v>
      </c>
      <c r="E295" s="15" t="s">
        <v>360</v>
      </c>
      <c r="F295" s="15" t="s">
        <v>472</v>
      </c>
      <c r="G295" s="285"/>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44" t="s">
        <v>333</v>
      </c>
      <c r="B296" s="44" t="s">
        <v>335</v>
      </c>
      <c r="C296" s="45">
        <v>0.66666666666666663</v>
      </c>
      <c r="D296" s="44" t="s">
        <v>306</v>
      </c>
      <c r="E296" s="44" t="s">
        <v>95</v>
      </c>
      <c r="F296" s="44" t="s">
        <v>336</v>
      </c>
      <c r="G296" s="285"/>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44" t="s">
        <v>78</v>
      </c>
      <c r="B297" s="44" t="s">
        <v>384</v>
      </c>
      <c r="C297" s="45">
        <v>0.37847222222222232</v>
      </c>
      <c r="D297" s="44" t="s">
        <v>87</v>
      </c>
      <c r="E297" s="44" t="s">
        <v>38</v>
      </c>
      <c r="F297" s="44" t="s">
        <v>451</v>
      </c>
      <c r="G297" s="285"/>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78</v>
      </c>
      <c r="B298" s="15" t="s">
        <v>384</v>
      </c>
      <c r="C298" s="16">
        <v>0.37847222222222232</v>
      </c>
      <c r="D298" s="15" t="s">
        <v>82</v>
      </c>
      <c r="E298" s="15" t="s">
        <v>88</v>
      </c>
      <c r="F298" s="15" t="s">
        <v>452</v>
      </c>
      <c r="G298" s="285"/>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46" t="s">
        <v>78</v>
      </c>
      <c r="B299" s="46" t="s">
        <v>400</v>
      </c>
      <c r="C299" s="47">
        <v>0.61111111111111105</v>
      </c>
      <c r="D299" s="46" t="s">
        <v>87</v>
      </c>
      <c r="E299" s="46" t="s">
        <v>76</v>
      </c>
      <c r="F299" s="46" t="s">
        <v>451</v>
      </c>
      <c r="G299" s="285"/>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78</v>
      </c>
      <c r="B300" s="15" t="s">
        <v>400</v>
      </c>
      <c r="C300" s="16">
        <v>0.61111111111111105</v>
      </c>
      <c r="D300" s="15" t="s">
        <v>82</v>
      </c>
      <c r="E300" s="15" t="s">
        <v>88</v>
      </c>
      <c r="F300" s="15" t="s">
        <v>452</v>
      </c>
      <c r="G300" s="285"/>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46" t="s">
        <v>78</v>
      </c>
      <c r="B301" s="46" t="s">
        <v>397</v>
      </c>
      <c r="C301" s="47">
        <v>0.71875</v>
      </c>
      <c r="D301" s="46" t="s">
        <v>87</v>
      </c>
      <c r="E301" s="46" t="s">
        <v>76</v>
      </c>
      <c r="F301" s="46" t="s">
        <v>423</v>
      </c>
      <c r="G301" s="285"/>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78</v>
      </c>
      <c r="B302" s="15" t="s">
        <v>397</v>
      </c>
      <c r="C302" s="16">
        <v>0.71875</v>
      </c>
      <c r="D302" s="15" t="s">
        <v>82</v>
      </c>
      <c r="E302" s="15" t="s">
        <v>88</v>
      </c>
      <c r="F302" s="15" t="s">
        <v>424</v>
      </c>
      <c r="G302" s="285"/>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46" t="s">
        <v>78</v>
      </c>
      <c r="B303" s="46" t="s">
        <v>387</v>
      </c>
      <c r="C303" s="47">
        <v>0.23958333333333329</v>
      </c>
      <c r="D303" s="46" t="s">
        <v>87</v>
      </c>
      <c r="E303" s="46" t="s">
        <v>76</v>
      </c>
      <c r="F303" s="46" t="s">
        <v>385</v>
      </c>
      <c r="G303" s="285"/>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78</v>
      </c>
      <c r="B304" s="15" t="s">
        <v>387</v>
      </c>
      <c r="C304" s="16">
        <v>0.23958333333333329</v>
      </c>
      <c r="D304" s="15" t="s">
        <v>82</v>
      </c>
      <c r="E304" s="15" t="s">
        <v>88</v>
      </c>
      <c r="F304" s="15" t="s">
        <v>386</v>
      </c>
      <c r="G304" s="285"/>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46" t="s">
        <v>78</v>
      </c>
      <c r="B305" s="46" t="s">
        <v>388</v>
      </c>
      <c r="C305" s="47">
        <v>0.1423611111111111</v>
      </c>
      <c r="D305" s="46" t="s">
        <v>87</v>
      </c>
      <c r="E305" s="46" t="s">
        <v>76</v>
      </c>
      <c r="F305" s="46" t="s">
        <v>385</v>
      </c>
      <c r="G305" s="285"/>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78</v>
      </c>
      <c r="B306" s="15" t="s">
        <v>388</v>
      </c>
      <c r="C306" s="16">
        <v>0.1423611111111111</v>
      </c>
      <c r="D306" s="15" t="s">
        <v>82</v>
      </c>
      <c r="E306" s="15" t="s">
        <v>88</v>
      </c>
      <c r="F306" s="15" t="s">
        <v>386</v>
      </c>
      <c r="G306" s="285"/>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46" t="s">
        <v>78</v>
      </c>
      <c r="B307" s="46" t="s">
        <v>392</v>
      </c>
      <c r="C307" s="47">
        <v>0.93055555555555547</v>
      </c>
      <c r="D307" s="46" t="s">
        <v>87</v>
      </c>
      <c r="E307" s="46" t="s">
        <v>76</v>
      </c>
      <c r="F307" s="46" t="s">
        <v>385</v>
      </c>
      <c r="G307" s="285"/>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78</v>
      </c>
      <c r="B308" s="15" t="s">
        <v>392</v>
      </c>
      <c r="C308" s="16">
        <v>0.93055555555555547</v>
      </c>
      <c r="D308" s="15" t="s">
        <v>82</v>
      </c>
      <c r="E308" s="15" t="s">
        <v>88</v>
      </c>
      <c r="F308" s="15" t="s">
        <v>386</v>
      </c>
      <c r="G308" s="285"/>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46" t="s">
        <v>78</v>
      </c>
      <c r="B309" s="46" t="s">
        <v>401</v>
      </c>
      <c r="C309" s="47">
        <v>0.82986111111111116</v>
      </c>
      <c r="D309" s="46" t="s">
        <v>87</v>
      </c>
      <c r="E309" s="46" t="s">
        <v>76</v>
      </c>
      <c r="F309" s="46" t="s">
        <v>385</v>
      </c>
      <c r="G309" s="285"/>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5" t="s">
        <v>78</v>
      </c>
      <c r="B310" s="15" t="s">
        <v>401</v>
      </c>
      <c r="C310" s="16">
        <v>0.82986111111111116</v>
      </c>
      <c r="D310" s="15" t="s">
        <v>82</v>
      </c>
      <c r="E310" s="15" t="s">
        <v>88</v>
      </c>
      <c r="F310" s="15" t="s">
        <v>386</v>
      </c>
      <c r="G310" s="285"/>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46" t="s">
        <v>78</v>
      </c>
      <c r="B311" s="46" t="s">
        <v>389</v>
      </c>
      <c r="C311" s="47">
        <v>6.9444444444444441E-3</v>
      </c>
      <c r="D311" s="46" t="s">
        <v>87</v>
      </c>
      <c r="E311" s="46" t="s">
        <v>76</v>
      </c>
      <c r="F311" s="46" t="s">
        <v>390</v>
      </c>
      <c r="G311" s="285"/>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5" t="s">
        <v>78</v>
      </c>
      <c r="B312" s="15" t="s">
        <v>389</v>
      </c>
      <c r="C312" s="16">
        <v>6.9444444444444441E-3</v>
      </c>
      <c r="D312" s="15" t="s">
        <v>82</v>
      </c>
      <c r="E312" s="15" t="s">
        <v>88</v>
      </c>
      <c r="F312" s="15" t="s">
        <v>391</v>
      </c>
      <c r="G312" s="285"/>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46" t="s">
        <v>78</v>
      </c>
      <c r="B313" s="46" t="s">
        <v>393</v>
      </c>
      <c r="C313" s="47">
        <v>0.88888888888888884</v>
      </c>
      <c r="D313" s="46" t="s">
        <v>82</v>
      </c>
      <c r="E313" s="46" t="s">
        <v>102</v>
      </c>
      <c r="F313" s="46" t="s">
        <v>394</v>
      </c>
      <c r="G313" s="285"/>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46" t="s">
        <v>78</v>
      </c>
      <c r="B314" s="46" t="s">
        <v>402</v>
      </c>
      <c r="C314" s="47">
        <v>0.30208333333333331</v>
      </c>
      <c r="D314" s="46" t="s">
        <v>82</v>
      </c>
      <c r="E314" s="46" t="s">
        <v>102</v>
      </c>
      <c r="F314" s="46" t="s">
        <v>394</v>
      </c>
      <c r="G314" s="285"/>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46" t="s">
        <v>78</v>
      </c>
      <c r="B315" s="46" t="s">
        <v>395</v>
      </c>
      <c r="C315" s="47">
        <v>0.12847222222222221</v>
      </c>
      <c r="D315" s="46" t="s">
        <v>82</v>
      </c>
      <c r="E315" s="46" t="s">
        <v>102</v>
      </c>
      <c r="F315" s="46" t="s">
        <v>394</v>
      </c>
      <c r="G315" s="285"/>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46" t="s">
        <v>78</v>
      </c>
      <c r="B316" s="46" t="s">
        <v>396</v>
      </c>
      <c r="C316" s="47">
        <v>0.78819444444444453</v>
      </c>
      <c r="D316" s="46" t="s">
        <v>82</v>
      </c>
      <c r="E316" s="46" t="s">
        <v>102</v>
      </c>
      <c r="F316" s="46" t="s">
        <v>394</v>
      </c>
      <c r="G316" s="285"/>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44" t="s">
        <v>66</v>
      </c>
      <c r="B317" s="44" t="s">
        <v>373</v>
      </c>
      <c r="C317" s="45">
        <v>1.388888888888889E-2</v>
      </c>
      <c r="D317" s="44" t="s">
        <v>68</v>
      </c>
      <c r="E317" s="44" t="s">
        <v>38</v>
      </c>
      <c r="F317" s="44" t="s">
        <v>374</v>
      </c>
      <c r="G317" s="285"/>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46" t="s">
        <v>66</v>
      </c>
      <c r="B318" s="46" t="s">
        <v>377</v>
      </c>
      <c r="C318" s="47">
        <v>0.22916666666666671</v>
      </c>
      <c r="D318" s="46" t="s">
        <v>68</v>
      </c>
      <c r="E318" s="46" t="s">
        <v>76</v>
      </c>
      <c r="F318" s="46" t="s">
        <v>374</v>
      </c>
      <c r="G318" s="285"/>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46" t="s">
        <v>66</v>
      </c>
      <c r="B319" s="46" t="s">
        <v>416</v>
      </c>
      <c r="C319" s="47">
        <v>0.14583333333333329</v>
      </c>
      <c r="D319" s="46" t="s">
        <v>68</v>
      </c>
      <c r="E319" s="46" t="s">
        <v>76</v>
      </c>
      <c r="F319" s="46" t="s">
        <v>424</v>
      </c>
      <c r="G319" s="285"/>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46" t="s">
        <v>66</v>
      </c>
      <c r="B320" s="46" t="s">
        <v>375</v>
      </c>
      <c r="C320" s="47">
        <v>0.27777777777777779</v>
      </c>
      <c r="D320" s="46" t="s">
        <v>68</v>
      </c>
      <c r="E320" s="46" t="s">
        <v>76</v>
      </c>
      <c r="F320" s="46" t="s">
        <v>424</v>
      </c>
      <c r="G320" s="285"/>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46" t="s">
        <v>66</v>
      </c>
      <c r="B321" s="46" t="s">
        <v>369</v>
      </c>
      <c r="C321" s="47">
        <v>0.47222222222222232</v>
      </c>
      <c r="D321" s="46" t="s">
        <v>68</v>
      </c>
      <c r="E321" s="46" t="s">
        <v>76</v>
      </c>
      <c r="F321" s="46" t="s">
        <v>473</v>
      </c>
      <c r="G321" s="285"/>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46" t="s">
        <v>66</v>
      </c>
      <c r="B322" s="46" t="s">
        <v>376</v>
      </c>
      <c r="C322" s="47">
        <v>0.77083333333333337</v>
      </c>
      <c r="D322" s="46" t="s">
        <v>68</v>
      </c>
      <c r="E322" s="46" t="s">
        <v>76</v>
      </c>
      <c r="F322" s="46" t="s">
        <v>473</v>
      </c>
      <c r="G322" s="285"/>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61" t="s">
        <v>66</v>
      </c>
      <c r="B323" s="61" t="s">
        <v>417</v>
      </c>
      <c r="C323" s="62">
        <v>0.95833333333333337</v>
      </c>
      <c r="D323" s="61" t="s">
        <v>68</v>
      </c>
      <c r="E323" s="61" t="s">
        <v>76</v>
      </c>
      <c r="F323" s="61" t="s">
        <v>419</v>
      </c>
      <c r="G323" s="286"/>
      <c r="H323" s="50"/>
      <c r="I323" s="51"/>
      <c r="J323" s="51"/>
      <c r="K323" s="51"/>
      <c r="L323" s="51"/>
      <c r="M323" s="51"/>
      <c r="N323" s="51"/>
      <c r="O323" s="52"/>
      <c r="P323" s="51"/>
      <c r="Q323" s="53"/>
      <c r="R323" s="5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4.4" customHeight="1" x14ac:dyDescent="0.3">
      <c r="A324" s="295"/>
      <c r="B324" s="296"/>
      <c r="C324" s="296"/>
      <c r="D324" s="296"/>
      <c r="E324" s="296"/>
      <c r="F324" s="296"/>
      <c r="G324" s="289"/>
      <c r="H324" s="297"/>
      <c r="I324" s="297"/>
      <c r="J324" s="297"/>
      <c r="K324" s="297"/>
      <c r="L324" s="297"/>
      <c r="M324" s="297"/>
      <c r="N324" s="297"/>
      <c r="O324" s="298"/>
      <c r="P324" s="297"/>
      <c r="Q324" s="289"/>
      <c r="R324" s="290"/>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22.05" customHeight="1" x14ac:dyDescent="0.3">
      <c r="A325" s="282" t="s">
        <v>5</v>
      </c>
      <c r="B325" s="283"/>
      <c r="C325" s="283"/>
      <c r="D325" s="283"/>
      <c r="E325" s="283"/>
      <c r="F325" s="283"/>
      <c r="G325" s="5">
        <v>45990</v>
      </c>
      <c r="H325" s="278" t="s">
        <v>6</v>
      </c>
      <c r="I325" s="279"/>
      <c r="J325" s="279"/>
      <c r="K325" s="279"/>
      <c r="L325" s="279"/>
      <c r="M325" s="279"/>
      <c r="N325" s="279"/>
      <c r="O325" s="279"/>
      <c r="P325" s="279"/>
      <c r="Q325" s="279"/>
      <c r="R325" s="279"/>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24" customHeight="1" x14ac:dyDescent="0.3">
      <c r="A326" s="55" t="s">
        <v>7</v>
      </c>
      <c r="B326" s="55" t="s">
        <v>8</v>
      </c>
      <c r="C326" s="56" t="s">
        <v>9</v>
      </c>
      <c r="D326" s="55" t="s">
        <v>10</v>
      </c>
      <c r="E326" s="55" t="s">
        <v>11</v>
      </c>
      <c r="F326" s="55" t="s">
        <v>12</v>
      </c>
      <c r="G326" s="57" t="s">
        <v>13</v>
      </c>
      <c r="H326" s="55" t="s">
        <v>14</v>
      </c>
      <c r="I326" s="58" t="s">
        <v>15</v>
      </c>
      <c r="J326" s="59" t="s">
        <v>16</v>
      </c>
      <c r="K326" s="60" t="s">
        <v>17</v>
      </c>
      <c r="L326" s="59" t="s">
        <v>18</v>
      </c>
      <c r="M326" s="59" t="s">
        <v>19</v>
      </c>
      <c r="N326" s="59" t="s">
        <v>20</v>
      </c>
      <c r="O326" s="55" t="s">
        <v>21</v>
      </c>
      <c r="P326" s="56" t="s">
        <v>22</v>
      </c>
      <c r="Q326" s="59" t="s">
        <v>23</v>
      </c>
      <c r="R326" s="55" t="s">
        <v>24</v>
      </c>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8" t="s">
        <v>304</v>
      </c>
      <c r="B327" s="8" t="s">
        <v>305</v>
      </c>
      <c r="C327" s="9">
        <v>0.27083333333333331</v>
      </c>
      <c r="D327" s="8" t="s">
        <v>306</v>
      </c>
      <c r="E327" s="8" t="s">
        <v>95</v>
      </c>
      <c r="F327" s="8" t="s">
        <v>307</v>
      </c>
      <c r="G327" s="284"/>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44" t="s">
        <v>333</v>
      </c>
      <c r="B328" s="44" t="s">
        <v>335</v>
      </c>
      <c r="C328" s="45">
        <v>0.66666666666666663</v>
      </c>
      <c r="D328" s="44" t="s">
        <v>306</v>
      </c>
      <c r="E328" s="44" t="s">
        <v>80</v>
      </c>
      <c r="F328" s="44" t="s">
        <v>310</v>
      </c>
      <c r="G328" s="285"/>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46" t="s">
        <v>333</v>
      </c>
      <c r="B329" s="46" t="s">
        <v>337</v>
      </c>
      <c r="C329" s="47">
        <v>0.21875</v>
      </c>
      <c r="D329" s="46" t="s">
        <v>306</v>
      </c>
      <c r="E329" s="46" t="s">
        <v>76</v>
      </c>
      <c r="F329" s="46" t="s">
        <v>310</v>
      </c>
      <c r="G329" s="285"/>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44" t="s">
        <v>25</v>
      </c>
      <c r="B330" s="44" t="s">
        <v>344</v>
      </c>
      <c r="C330" s="45">
        <v>0.30208333333333331</v>
      </c>
      <c r="D330" s="44" t="s">
        <v>27</v>
      </c>
      <c r="E330" s="44" t="s">
        <v>124</v>
      </c>
      <c r="F330" s="44" t="s">
        <v>340</v>
      </c>
      <c r="G330" s="285"/>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25</v>
      </c>
      <c r="B331" s="15" t="s">
        <v>344</v>
      </c>
      <c r="C331" s="16">
        <v>0.30208333333333331</v>
      </c>
      <c r="D331" s="15" t="s">
        <v>30</v>
      </c>
      <c r="E331" s="15" t="s">
        <v>125</v>
      </c>
      <c r="F331" s="15" t="s">
        <v>342</v>
      </c>
      <c r="G331" s="285"/>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5" t="s">
        <v>25</v>
      </c>
      <c r="B332" s="15" t="s">
        <v>344</v>
      </c>
      <c r="C332" s="16">
        <v>0.30208333333333331</v>
      </c>
      <c r="D332" s="15" t="s">
        <v>33</v>
      </c>
      <c r="E332" s="15" t="s">
        <v>125</v>
      </c>
      <c r="F332" s="15" t="s">
        <v>34</v>
      </c>
      <c r="G332" s="285"/>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46" t="s">
        <v>25</v>
      </c>
      <c r="B333" s="46" t="s">
        <v>338</v>
      </c>
      <c r="C333" s="47">
        <v>0.12847222222222221</v>
      </c>
      <c r="D333" s="46" t="s">
        <v>27</v>
      </c>
      <c r="E333" s="46" t="s">
        <v>74</v>
      </c>
      <c r="F333" s="46" t="s">
        <v>340</v>
      </c>
      <c r="G333" s="285"/>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5" t="s">
        <v>25</v>
      </c>
      <c r="B334" s="15" t="s">
        <v>338</v>
      </c>
      <c r="C334" s="16">
        <v>0.12847222222222221</v>
      </c>
      <c r="D334" s="15" t="s">
        <v>30</v>
      </c>
      <c r="E334" s="15" t="s">
        <v>31</v>
      </c>
      <c r="F334" s="15" t="s">
        <v>342</v>
      </c>
      <c r="G334" s="285"/>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5" t="s">
        <v>25</v>
      </c>
      <c r="B335" s="15" t="s">
        <v>338</v>
      </c>
      <c r="C335" s="16">
        <v>0.12847222222222221</v>
      </c>
      <c r="D335" s="15" t="s">
        <v>33</v>
      </c>
      <c r="E335" s="15" t="s">
        <v>31</v>
      </c>
      <c r="F335" s="15" t="s">
        <v>34</v>
      </c>
      <c r="G335" s="285"/>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46" t="s">
        <v>25</v>
      </c>
      <c r="B336" s="46" t="s">
        <v>347</v>
      </c>
      <c r="C336" s="47">
        <v>0.78819444444444453</v>
      </c>
      <c r="D336" s="46" t="s">
        <v>27</v>
      </c>
      <c r="E336" s="46" t="s">
        <v>102</v>
      </c>
      <c r="F336" s="46" t="s">
        <v>340</v>
      </c>
      <c r="G336" s="285"/>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25</v>
      </c>
      <c r="B337" s="15" t="s">
        <v>347</v>
      </c>
      <c r="C337" s="16">
        <v>0.78819444444444453</v>
      </c>
      <c r="D337" s="15" t="s">
        <v>30</v>
      </c>
      <c r="E337" s="15" t="s">
        <v>83</v>
      </c>
      <c r="F337" s="15" t="s">
        <v>342</v>
      </c>
      <c r="G337" s="285"/>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5" t="s">
        <v>25</v>
      </c>
      <c r="B338" s="15" t="s">
        <v>347</v>
      </c>
      <c r="C338" s="16">
        <v>0.78819444444444453</v>
      </c>
      <c r="D338" s="15" t="s">
        <v>33</v>
      </c>
      <c r="E338" s="15" t="s">
        <v>83</v>
      </c>
      <c r="F338" s="15" t="s">
        <v>34</v>
      </c>
      <c r="G338" s="285"/>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46" t="s">
        <v>25</v>
      </c>
      <c r="B339" s="46" t="s">
        <v>343</v>
      </c>
      <c r="C339" s="47">
        <v>0.88888888888888884</v>
      </c>
      <c r="D339" s="46" t="s">
        <v>27</v>
      </c>
      <c r="E339" s="46" t="s">
        <v>91</v>
      </c>
      <c r="F339" s="46" t="s">
        <v>340</v>
      </c>
      <c r="G339" s="285"/>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25</v>
      </c>
      <c r="B340" s="15" t="s">
        <v>343</v>
      </c>
      <c r="C340" s="16">
        <v>0.88888888888888884</v>
      </c>
      <c r="D340" s="15" t="s">
        <v>30</v>
      </c>
      <c r="E340" s="15" t="s">
        <v>92</v>
      </c>
      <c r="F340" s="15" t="s">
        <v>342</v>
      </c>
      <c r="G340" s="285"/>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5" t="s">
        <v>25</v>
      </c>
      <c r="B341" s="15" t="s">
        <v>343</v>
      </c>
      <c r="C341" s="16">
        <v>0.88888888888888884</v>
      </c>
      <c r="D341" s="15" t="s">
        <v>33</v>
      </c>
      <c r="E341" s="15" t="s">
        <v>92</v>
      </c>
      <c r="F341" s="15" t="s">
        <v>34</v>
      </c>
      <c r="G341" s="285"/>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44" t="s">
        <v>378</v>
      </c>
      <c r="B342" s="44" t="s">
        <v>379</v>
      </c>
      <c r="C342" s="45">
        <v>0.21527777777777779</v>
      </c>
      <c r="D342" s="44" t="s">
        <v>380</v>
      </c>
      <c r="E342" s="44" t="s">
        <v>381</v>
      </c>
      <c r="F342" s="44" t="s">
        <v>474</v>
      </c>
      <c r="G342" s="285"/>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378</v>
      </c>
      <c r="B343" s="15" t="s">
        <v>379</v>
      </c>
      <c r="C343" s="16">
        <v>0.21527777777777779</v>
      </c>
      <c r="D343" s="15" t="s">
        <v>33</v>
      </c>
      <c r="E343" s="15" t="s">
        <v>360</v>
      </c>
      <c r="F343" s="15" t="s">
        <v>475</v>
      </c>
      <c r="G343" s="285"/>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46" t="s">
        <v>378</v>
      </c>
      <c r="B344" s="46" t="s">
        <v>420</v>
      </c>
      <c r="C344" s="47">
        <v>0.3298611111111111</v>
      </c>
      <c r="D344" s="46" t="s">
        <v>380</v>
      </c>
      <c r="E344" s="46" t="s">
        <v>358</v>
      </c>
      <c r="F344" s="46" t="s">
        <v>476</v>
      </c>
      <c r="G344" s="285"/>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5" t="s">
        <v>378</v>
      </c>
      <c r="B345" s="15" t="s">
        <v>420</v>
      </c>
      <c r="C345" s="16">
        <v>0.3298611111111111</v>
      </c>
      <c r="D345" s="15" t="s">
        <v>33</v>
      </c>
      <c r="E345" s="15" t="s">
        <v>360</v>
      </c>
      <c r="F345" s="15" t="s">
        <v>477</v>
      </c>
      <c r="G345" s="285"/>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7" t="s">
        <v>35</v>
      </c>
      <c r="B346" s="17" t="s">
        <v>434</v>
      </c>
      <c r="C346" s="18">
        <v>0.2361111111111111</v>
      </c>
      <c r="D346" s="17" t="s">
        <v>37</v>
      </c>
      <c r="E346" s="17" t="s">
        <v>58</v>
      </c>
      <c r="F346" s="17" t="s">
        <v>315</v>
      </c>
      <c r="G346" s="285"/>
      <c r="H346" s="19" t="s">
        <v>435</v>
      </c>
      <c r="I346" s="20">
        <v>0.82679999999999998</v>
      </c>
      <c r="J346" s="21">
        <v>148</v>
      </c>
      <c r="K346" s="22">
        <v>45984</v>
      </c>
      <c r="L346" s="21">
        <v>95</v>
      </c>
      <c r="M346" s="21">
        <v>0</v>
      </c>
      <c r="N346" s="21">
        <v>14</v>
      </c>
      <c r="O346" s="23" t="s">
        <v>194</v>
      </c>
      <c r="P346" s="24">
        <v>0.2361111111111111</v>
      </c>
      <c r="Q346" s="21">
        <v>179</v>
      </c>
      <c r="R346" s="25" t="s">
        <v>478</v>
      </c>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208" t="s">
        <v>35</v>
      </c>
      <c r="B347" s="208" t="s">
        <v>314</v>
      </c>
      <c r="C347" s="209">
        <v>0.33333333333333331</v>
      </c>
      <c r="D347" s="208" t="s">
        <v>37</v>
      </c>
      <c r="E347" s="208" t="s">
        <v>116</v>
      </c>
      <c r="F347" s="208" t="s">
        <v>315</v>
      </c>
      <c r="G347" s="285"/>
      <c r="H347" s="84" t="s">
        <v>316</v>
      </c>
      <c r="I347" s="85">
        <v>0.91620000000000001</v>
      </c>
      <c r="J347" s="86">
        <v>164</v>
      </c>
      <c r="K347" s="87">
        <v>45984</v>
      </c>
      <c r="L347" s="86">
        <v>34</v>
      </c>
      <c r="M347" s="86">
        <v>0</v>
      </c>
      <c r="N347" s="86">
        <v>9</v>
      </c>
      <c r="O347" s="88" t="s">
        <v>463</v>
      </c>
      <c r="P347" s="89">
        <v>0.33333333333333331</v>
      </c>
      <c r="Q347" s="86">
        <v>179</v>
      </c>
      <c r="R347" s="90" t="s">
        <v>479</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35" t="s">
        <v>35</v>
      </c>
      <c r="B348" s="35" t="s">
        <v>413</v>
      </c>
      <c r="C348" s="36">
        <v>0.68055555555555547</v>
      </c>
      <c r="D348" s="35" t="s">
        <v>37</v>
      </c>
      <c r="E348" s="35" t="s">
        <v>71</v>
      </c>
      <c r="F348" s="35" t="s">
        <v>320</v>
      </c>
      <c r="G348" s="285"/>
      <c r="H348" s="37" t="s">
        <v>331</v>
      </c>
      <c r="I348" s="38">
        <v>0.90500000000000003</v>
      </c>
      <c r="J348" s="39">
        <v>162</v>
      </c>
      <c r="K348" s="40">
        <v>45984</v>
      </c>
      <c r="L348" s="39">
        <v>45</v>
      </c>
      <c r="M348" s="39">
        <v>0</v>
      </c>
      <c r="N348" s="39">
        <v>7</v>
      </c>
      <c r="O348" s="41" t="s">
        <v>201</v>
      </c>
      <c r="P348" s="42">
        <v>0.68055555555555547</v>
      </c>
      <c r="Q348" s="39">
        <v>179</v>
      </c>
      <c r="R348" s="43" t="s">
        <v>480</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44" t="s">
        <v>55</v>
      </c>
      <c r="B349" s="44" t="s">
        <v>357</v>
      </c>
      <c r="C349" s="45">
        <v>0.25694444444444448</v>
      </c>
      <c r="D349" s="44" t="s">
        <v>60</v>
      </c>
      <c r="E349" s="44" t="s">
        <v>95</v>
      </c>
      <c r="F349" s="44" t="s">
        <v>350</v>
      </c>
      <c r="G349" s="285"/>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5" t="s">
        <v>55</v>
      </c>
      <c r="B350" s="15" t="s">
        <v>357</v>
      </c>
      <c r="C350" s="16">
        <v>0.25694444444444448</v>
      </c>
      <c r="D350" s="15" t="s">
        <v>62</v>
      </c>
      <c r="E350" s="15" t="s">
        <v>97</v>
      </c>
      <c r="F350" s="15" t="s">
        <v>351</v>
      </c>
      <c r="G350" s="285"/>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5" t="s">
        <v>55</v>
      </c>
      <c r="B351" s="15" t="s">
        <v>357</v>
      </c>
      <c r="C351" s="16">
        <v>0.25694444444444448</v>
      </c>
      <c r="D351" s="15" t="s">
        <v>64</v>
      </c>
      <c r="E351" s="15" t="s">
        <v>97</v>
      </c>
      <c r="F351" s="15" t="s">
        <v>59</v>
      </c>
      <c r="G351" s="285"/>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46" t="s">
        <v>55</v>
      </c>
      <c r="B352" s="46" t="s">
        <v>352</v>
      </c>
      <c r="C352" s="47">
        <v>0.90277777777777779</v>
      </c>
      <c r="D352" s="46" t="s">
        <v>60</v>
      </c>
      <c r="E352" s="46" t="s">
        <v>358</v>
      </c>
      <c r="F352" s="46" t="s">
        <v>350</v>
      </c>
      <c r="G352" s="285"/>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5" t="s">
        <v>55</v>
      </c>
      <c r="B353" s="15" t="s">
        <v>352</v>
      </c>
      <c r="C353" s="16">
        <v>0.90277777777777779</v>
      </c>
      <c r="D353" s="15" t="s">
        <v>62</v>
      </c>
      <c r="E353" s="15" t="s">
        <v>360</v>
      </c>
      <c r="F353" s="15" t="s">
        <v>351</v>
      </c>
      <c r="G353" s="285"/>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5" t="s">
        <v>55</v>
      </c>
      <c r="B354" s="15" t="s">
        <v>352</v>
      </c>
      <c r="C354" s="16">
        <v>0.90277777777777779</v>
      </c>
      <c r="D354" s="15" t="s">
        <v>64</v>
      </c>
      <c r="E354" s="15" t="s">
        <v>360</v>
      </c>
      <c r="F354" s="15" t="s">
        <v>59</v>
      </c>
      <c r="G354" s="285"/>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46" t="s">
        <v>55</v>
      </c>
      <c r="B355" s="46" t="s">
        <v>363</v>
      </c>
      <c r="C355" s="47">
        <v>0.65972222222222221</v>
      </c>
      <c r="D355" s="46" t="s">
        <v>60</v>
      </c>
      <c r="E355" s="46" t="s">
        <v>143</v>
      </c>
      <c r="F355" s="46" t="s">
        <v>350</v>
      </c>
      <c r="G355" s="285"/>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5" t="s">
        <v>55</v>
      </c>
      <c r="B356" s="15" t="s">
        <v>363</v>
      </c>
      <c r="C356" s="16">
        <v>0.65972222222222221</v>
      </c>
      <c r="D356" s="15" t="s">
        <v>62</v>
      </c>
      <c r="E356" s="15" t="s">
        <v>136</v>
      </c>
      <c r="F356" s="15" t="s">
        <v>351</v>
      </c>
      <c r="G356" s="285"/>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5" t="s">
        <v>55</v>
      </c>
      <c r="B357" s="15" t="s">
        <v>363</v>
      </c>
      <c r="C357" s="16">
        <v>0.65972222222222221</v>
      </c>
      <c r="D357" s="15" t="s">
        <v>64</v>
      </c>
      <c r="E357" s="15" t="s">
        <v>136</v>
      </c>
      <c r="F357" s="15" t="s">
        <v>59</v>
      </c>
      <c r="G357" s="285"/>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46" t="s">
        <v>55</v>
      </c>
      <c r="B358" s="46" t="s">
        <v>364</v>
      </c>
      <c r="C358" s="47">
        <v>0.51736111111111105</v>
      </c>
      <c r="D358" s="46" t="s">
        <v>60</v>
      </c>
      <c r="E358" s="46" t="s">
        <v>358</v>
      </c>
      <c r="F358" s="46" t="s">
        <v>353</v>
      </c>
      <c r="G358" s="285"/>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5" t="s">
        <v>55</v>
      </c>
      <c r="B359" s="15" t="s">
        <v>364</v>
      </c>
      <c r="C359" s="16">
        <v>0.51736111111111105</v>
      </c>
      <c r="D359" s="15" t="s">
        <v>62</v>
      </c>
      <c r="E359" s="15" t="s">
        <v>360</v>
      </c>
      <c r="F359" s="15" t="s">
        <v>354</v>
      </c>
      <c r="G359" s="285"/>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5" t="s">
        <v>55</v>
      </c>
      <c r="B360" s="15" t="s">
        <v>364</v>
      </c>
      <c r="C360" s="16">
        <v>0.51736111111111105</v>
      </c>
      <c r="D360" s="15" t="s">
        <v>64</v>
      </c>
      <c r="E360" s="15" t="s">
        <v>360</v>
      </c>
      <c r="F360" s="15" t="s">
        <v>355</v>
      </c>
      <c r="G360" s="285"/>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46" t="s">
        <v>55</v>
      </c>
      <c r="B361" s="46" t="s">
        <v>349</v>
      </c>
      <c r="C361" s="47">
        <v>0.85416666666666663</v>
      </c>
      <c r="D361" s="46" t="s">
        <v>60</v>
      </c>
      <c r="E361" s="46" t="s">
        <v>358</v>
      </c>
      <c r="F361" s="46" t="s">
        <v>353</v>
      </c>
      <c r="G361" s="285"/>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55</v>
      </c>
      <c r="B362" s="15" t="s">
        <v>349</v>
      </c>
      <c r="C362" s="16">
        <v>0.85416666666666663</v>
      </c>
      <c r="D362" s="15" t="s">
        <v>62</v>
      </c>
      <c r="E362" s="15" t="s">
        <v>360</v>
      </c>
      <c r="F362" s="15" t="s">
        <v>354</v>
      </c>
      <c r="G362" s="285"/>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5" t="s">
        <v>55</v>
      </c>
      <c r="B363" s="15" t="s">
        <v>349</v>
      </c>
      <c r="C363" s="16">
        <v>0.85416666666666663</v>
      </c>
      <c r="D363" s="15" t="s">
        <v>64</v>
      </c>
      <c r="E363" s="15" t="s">
        <v>360</v>
      </c>
      <c r="F363" s="15" t="s">
        <v>355</v>
      </c>
      <c r="G363" s="285"/>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46" t="s">
        <v>55</v>
      </c>
      <c r="B364" s="46" t="s">
        <v>366</v>
      </c>
      <c r="C364" s="47">
        <v>0.39583333333333331</v>
      </c>
      <c r="D364" s="46" t="s">
        <v>60</v>
      </c>
      <c r="E364" s="46" t="s">
        <v>358</v>
      </c>
      <c r="F364" s="46" t="s">
        <v>353</v>
      </c>
      <c r="G364" s="285"/>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55</v>
      </c>
      <c r="B365" s="15" t="s">
        <v>366</v>
      </c>
      <c r="C365" s="16">
        <v>0.39583333333333331</v>
      </c>
      <c r="D365" s="15" t="s">
        <v>62</v>
      </c>
      <c r="E365" s="15" t="s">
        <v>360</v>
      </c>
      <c r="F365" s="15" t="s">
        <v>354</v>
      </c>
      <c r="G365" s="285"/>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5" t="s">
        <v>55</v>
      </c>
      <c r="B366" s="15" t="s">
        <v>366</v>
      </c>
      <c r="C366" s="16">
        <v>0.39583333333333331</v>
      </c>
      <c r="D366" s="15" t="s">
        <v>64</v>
      </c>
      <c r="E366" s="15" t="s">
        <v>360</v>
      </c>
      <c r="F366" s="15" t="s">
        <v>355</v>
      </c>
      <c r="G366" s="285"/>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46" t="s">
        <v>55</v>
      </c>
      <c r="B367" s="46" t="s">
        <v>356</v>
      </c>
      <c r="C367" s="47">
        <v>0.79861111111111116</v>
      </c>
      <c r="D367" s="46" t="s">
        <v>60</v>
      </c>
      <c r="E367" s="46" t="s">
        <v>44</v>
      </c>
      <c r="F367" s="46" t="s">
        <v>353</v>
      </c>
      <c r="G367" s="285"/>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55</v>
      </c>
      <c r="B368" s="15" t="s">
        <v>356</v>
      </c>
      <c r="C368" s="16">
        <v>0.79861111111111116</v>
      </c>
      <c r="D368" s="15" t="s">
        <v>62</v>
      </c>
      <c r="E368" s="15" t="s">
        <v>61</v>
      </c>
      <c r="F368" s="15" t="s">
        <v>354</v>
      </c>
      <c r="G368" s="285"/>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5" t="s">
        <v>55</v>
      </c>
      <c r="B369" s="15" t="s">
        <v>356</v>
      </c>
      <c r="C369" s="16">
        <v>0.79861111111111116</v>
      </c>
      <c r="D369" s="15" t="s">
        <v>64</v>
      </c>
      <c r="E369" s="15" t="s">
        <v>61</v>
      </c>
      <c r="F369" s="15" t="s">
        <v>355</v>
      </c>
      <c r="G369" s="285"/>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44" t="s">
        <v>66</v>
      </c>
      <c r="B370" s="44" t="s">
        <v>377</v>
      </c>
      <c r="C370" s="45">
        <v>0.22916666666666671</v>
      </c>
      <c r="D370" s="44" t="s">
        <v>68</v>
      </c>
      <c r="E370" s="44" t="s">
        <v>38</v>
      </c>
      <c r="F370" s="44" t="s">
        <v>481</v>
      </c>
      <c r="G370" s="285"/>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46" t="s">
        <v>66</v>
      </c>
      <c r="B371" s="46" t="s">
        <v>375</v>
      </c>
      <c r="C371" s="47">
        <v>0.28125</v>
      </c>
      <c r="D371" s="46" t="s">
        <v>68</v>
      </c>
      <c r="E371" s="46" t="s">
        <v>76</v>
      </c>
      <c r="F371" s="46" t="s">
        <v>104</v>
      </c>
      <c r="G371" s="285"/>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46" t="s">
        <v>66</v>
      </c>
      <c r="B372" s="46" t="s">
        <v>373</v>
      </c>
      <c r="C372" s="47">
        <v>1.388888888888889E-2</v>
      </c>
      <c r="D372" s="46" t="s">
        <v>68</v>
      </c>
      <c r="E372" s="46" t="s">
        <v>44</v>
      </c>
      <c r="F372" s="46" t="s">
        <v>106</v>
      </c>
      <c r="G372" s="285"/>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46" t="s">
        <v>66</v>
      </c>
      <c r="B373" s="46" t="s">
        <v>376</v>
      </c>
      <c r="C373" s="47">
        <v>0.77430555555555547</v>
      </c>
      <c r="D373" s="46" t="s">
        <v>68</v>
      </c>
      <c r="E373" s="46" t="s">
        <v>76</v>
      </c>
      <c r="F373" s="46" t="s">
        <v>419</v>
      </c>
      <c r="G373" s="285"/>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44" t="s">
        <v>78</v>
      </c>
      <c r="B374" s="44" t="s">
        <v>389</v>
      </c>
      <c r="C374" s="45">
        <v>6.9444444444444441E-3</v>
      </c>
      <c r="D374" s="44" t="s">
        <v>87</v>
      </c>
      <c r="E374" s="44" t="s">
        <v>38</v>
      </c>
      <c r="F374" s="44" t="s">
        <v>451</v>
      </c>
      <c r="G374" s="285"/>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5" t="s">
        <v>78</v>
      </c>
      <c r="B375" s="15" t="s">
        <v>389</v>
      </c>
      <c r="C375" s="16">
        <v>6.9444444444444441E-3</v>
      </c>
      <c r="D375" s="15" t="s">
        <v>82</v>
      </c>
      <c r="E375" s="15" t="s">
        <v>88</v>
      </c>
      <c r="F375" s="15" t="s">
        <v>452</v>
      </c>
      <c r="G375" s="285"/>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46" t="s">
        <v>78</v>
      </c>
      <c r="B376" s="46" t="s">
        <v>387</v>
      </c>
      <c r="C376" s="47">
        <v>0.24305555555555561</v>
      </c>
      <c r="D376" s="46" t="s">
        <v>87</v>
      </c>
      <c r="E376" s="46" t="s">
        <v>76</v>
      </c>
      <c r="F376" s="46" t="s">
        <v>451</v>
      </c>
      <c r="G376" s="285"/>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5" t="s">
        <v>78</v>
      </c>
      <c r="B377" s="15" t="s">
        <v>387</v>
      </c>
      <c r="C377" s="16">
        <v>0.24305555555555561</v>
      </c>
      <c r="D377" s="15" t="s">
        <v>82</v>
      </c>
      <c r="E377" s="15" t="s">
        <v>88</v>
      </c>
      <c r="F377" s="15" t="s">
        <v>452</v>
      </c>
      <c r="G377" s="285"/>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46" t="s">
        <v>78</v>
      </c>
      <c r="B378" s="46" t="s">
        <v>384</v>
      </c>
      <c r="C378" s="47">
        <v>0.37847222222222232</v>
      </c>
      <c r="D378" s="46" t="s">
        <v>87</v>
      </c>
      <c r="E378" s="46" t="s">
        <v>76</v>
      </c>
      <c r="F378" s="46" t="s">
        <v>385</v>
      </c>
      <c r="G378" s="285"/>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5" t="s">
        <v>78</v>
      </c>
      <c r="B379" s="15" t="s">
        <v>384</v>
      </c>
      <c r="C379" s="16">
        <v>0.37847222222222232</v>
      </c>
      <c r="D379" s="15" t="s">
        <v>82</v>
      </c>
      <c r="E379" s="15" t="s">
        <v>88</v>
      </c>
      <c r="F379" s="15" t="s">
        <v>386</v>
      </c>
      <c r="G379" s="285"/>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46" t="s">
        <v>78</v>
      </c>
      <c r="B380" s="46" t="s">
        <v>397</v>
      </c>
      <c r="C380" s="47">
        <v>0.71875</v>
      </c>
      <c r="D380" s="46" t="s">
        <v>87</v>
      </c>
      <c r="E380" s="46" t="s">
        <v>76</v>
      </c>
      <c r="F380" s="46" t="s">
        <v>385</v>
      </c>
      <c r="G380" s="285"/>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5" t="s">
        <v>78</v>
      </c>
      <c r="B381" s="15" t="s">
        <v>397</v>
      </c>
      <c r="C381" s="16">
        <v>0.71875</v>
      </c>
      <c r="D381" s="15" t="s">
        <v>82</v>
      </c>
      <c r="E381" s="15" t="s">
        <v>88</v>
      </c>
      <c r="F381" s="15" t="s">
        <v>386</v>
      </c>
      <c r="G381" s="285"/>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46" t="s">
        <v>78</v>
      </c>
      <c r="B382" s="46" t="s">
        <v>388</v>
      </c>
      <c r="C382" s="47">
        <v>0.1423611111111111</v>
      </c>
      <c r="D382" s="46" t="s">
        <v>87</v>
      </c>
      <c r="E382" s="46" t="s">
        <v>76</v>
      </c>
      <c r="F382" s="46" t="s">
        <v>385</v>
      </c>
      <c r="G382" s="285"/>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78</v>
      </c>
      <c r="B383" s="15" t="s">
        <v>388</v>
      </c>
      <c r="C383" s="16">
        <v>0.1423611111111111</v>
      </c>
      <c r="D383" s="15" t="s">
        <v>82</v>
      </c>
      <c r="E383" s="15" t="s">
        <v>88</v>
      </c>
      <c r="F383" s="15" t="s">
        <v>386</v>
      </c>
      <c r="G383" s="285"/>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46" t="s">
        <v>78</v>
      </c>
      <c r="B384" s="46" t="s">
        <v>400</v>
      </c>
      <c r="C384" s="47">
        <v>0.61111111111111105</v>
      </c>
      <c r="D384" s="46" t="s">
        <v>87</v>
      </c>
      <c r="E384" s="46" t="s">
        <v>76</v>
      </c>
      <c r="F384" s="46" t="s">
        <v>390</v>
      </c>
      <c r="G384" s="285"/>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5" t="s">
        <v>78</v>
      </c>
      <c r="B385" s="15" t="s">
        <v>400</v>
      </c>
      <c r="C385" s="16">
        <v>0.61111111111111105</v>
      </c>
      <c r="D385" s="15" t="s">
        <v>82</v>
      </c>
      <c r="E385" s="15" t="s">
        <v>88</v>
      </c>
      <c r="F385" s="15" t="s">
        <v>391</v>
      </c>
      <c r="G385" s="285"/>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46" t="s">
        <v>78</v>
      </c>
      <c r="B386" s="46" t="s">
        <v>392</v>
      </c>
      <c r="C386" s="47">
        <v>0.93055555555555547</v>
      </c>
      <c r="D386" s="46" t="s">
        <v>87</v>
      </c>
      <c r="E386" s="46" t="s">
        <v>76</v>
      </c>
      <c r="F386" s="46" t="s">
        <v>390</v>
      </c>
      <c r="G386" s="285"/>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78</v>
      </c>
      <c r="B387" s="15" t="s">
        <v>392</v>
      </c>
      <c r="C387" s="16">
        <v>0.93055555555555547</v>
      </c>
      <c r="D387" s="15" t="s">
        <v>82</v>
      </c>
      <c r="E387" s="15" t="s">
        <v>88</v>
      </c>
      <c r="F387" s="15" t="s">
        <v>391</v>
      </c>
      <c r="G387" s="285"/>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46" t="s">
        <v>78</v>
      </c>
      <c r="B388" s="46" t="s">
        <v>393</v>
      </c>
      <c r="C388" s="47">
        <v>0.88888888888888884</v>
      </c>
      <c r="D388" s="46" t="s">
        <v>82</v>
      </c>
      <c r="E388" s="46" t="s">
        <v>102</v>
      </c>
      <c r="F388" s="46" t="s">
        <v>394</v>
      </c>
      <c r="G388" s="285"/>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46" t="s">
        <v>78</v>
      </c>
      <c r="B389" s="46" t="s">
        <v>402</v>
      </c>
      <c r="C389" s="47">
        <v>0.30208333333333331</v>
      </c>
      <c r="D389" s="46" t="s">
        <v>82</v>
      </c>
      <c r="E389" s="46" t="s">
        <v>102</v>
      </c>
      <c r="F389" s="46" t="s">
        <v>394</v>
      </c>
      <c r="G389" s="285"/>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46" t="s">
        <v>78</v>
      </c>
      <c r="B390" s="46" t="s">
        <v>395</v>
      </c>
      <c r="C390" s="47">
        <v>0.12847222222222221</v>
      </c>
      <c r="D390" s="46" t="s">
        <v>82</v>
      </c>
      <c r="E390" s="46" t="s">
        <v>102</v>
      </c>
      <c r="F390" s="46" t="s">
        <v>394</v>
      </c>
      <c r="G390" s="285"/>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46" t="s">
        <v>78</v>
      </c>
      <c r="B391" s="46" t="s">
        <v>396</v>
      </c>
      <c r="C391" s="47">
        <v>0.78819444444444453</v>
      </c>
      <c r="D391" s="46" t="s">
        <v>82</v>
      </c>
      <c r="E391" s="46" t="s">
        <v>102</v>
      </c>
      <c r="F391" s="46" t="s">
        <v>394</v>
      </c>
      <c r="G391" s="285"/>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46" t="s">
        <v>78</v>
      </c>
      <c r="B392" s="46" t="s">
        <v>401</v>
      </c>
      <c r="C392" s="47">
        <v>0.82986111111111116</v>
      </c>
      <c r="D392" s="46" t="s">
        <v>87</v>
      </c>
      <c r="E392" s="46" t="s">
        <v>116</v>
      </c>
      <c r="F392" s="46" t="s">
        <v>482</v>
      </c>
      <c r="G392" s="285"/>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48" t="s">
        <v>78</v>
      </c>
      <c r="B393" s="48" t="s">
        <v>401</v>
      </c>
      <c r="C393" s="49">
        <v>0.82986111111111116</v>
      </c>
      <c r="D393" s="48" t="s">
        <v>82</v>
      </c>
      <c r="E393" s="48" t="s">
        <v>109</v>
      </c>
      <c r="F393" s="48" t="s">
        <v>483</v>
      </c>
      <c r="G393" s="286"/>
      <c r="H393" s="50"/>
      <c r="I393" s="51"/>
      <c r="J393" s="51"/>
      <c r="K393" s="51"/>
      <c r="L393" s="51"/>
      <c r="M393" s="51"/>
      <c r="N393" s="51"/>
      <c r="O393" s="52"/>
      <c r="P393" s="51"/>
      <c r="Q393" s="53"/>
      <c r="R393" s="5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4.4" customHeight="1" x14ac:dyDescent="0.3">
      <c r="A394" s="288"/>
      <c r="B394" s="289"/>
      <c r="C394" s="289"/>
      <c r="D394" s="289"/>
      <c r="E394" s="289"/>
      <c r="F394" s="289"/>
      <c r="G394" s="289"/>
      <c r="H394" s="289"/>
      <c r="I394" s="289"/>
      <c r="J394" s="289"/>
      <c r="K394" s="289"/>
      <c r="L394" s="289"/>
      <c r="M394" s="289"/>
      <c r="N394" s="289"/>
      <c r="O394" s="289"/>
      <c r="P394" s="289"/>
      <c r="Q394" s="289"/>
      <c r="R394" s="290"/>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22.05" customHeight="1" x14ac:dyDescent="0.3">
      <c r="A395" s="282" t="s">
        <v>5</v>
      </c>
      <c r="B395" s="283"/>
      <c r="C395" s="283"/>
      <c r="D395" s="283"/>
      <c r="E395" s="283"/>
      <c r="F395" s="283"/>
      <c r="G395" s="5">
        <v>45991</v>
      </c>
      <c r="H395" s="278" t="s">
        <v>6</v>
      </c>
      <c r="I395" s="279"/>
      <c r="J395" s="279"/>
      <c r="K395" s="279"/>
      <c r="L395" s="279"/>
      <c r="M395" s="279"/>
      <c r="N395" s="279"/>
      <c r="O395" s="279"/>
      <c r="P395" s="279"/>
      <c r="Q395" s="279"/>
      <c r="R395" s="279"/>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24" customHeight="1" x14ac:dyDescent="0.3">
      <c r="A396" s="55" t="s">
        <v>7</v>
      </c>
      <c r="B396" s="55" t="s">
        <v>8</v>
      </c>
      <c r="C396" s="56" t="s">
        <v>9</v>
      </c>
      <c r="D396" s="55" t="s">
        <v>10</v>
      </c>
      <c r="E396" s="55" t="s">
        <v>11</v>
      </c>
      <c r="F396" s="55" t="s">
        <v>12</v>
      </c>
      <c r="G396" s="57" t="s">
        <v>13</v>
      </c>
      <c r="H396" s="55" t="s">
        <v>14</v>
      </c>
      <c r="I396" s="58" t="s">
        <v>15</v>
      </c>
      <c r="J396" s="59" t="s">
        <v>16</v>
      </c>
      <c r="K396" s="60" t="s">
        <v>17</v>
      </c>
      <c r="L396" s="59" t="s">
        <v>18</v>
      </c>
      <c r="M396" s="59" t="s">
        <v>19</v>
      </c>
      <c r="N396" s="59" t="s">
        <v>20</v>
      </c>
      <c r="O396" s="55" t="s">
        <v>21</v>
      </c>
      <c r="P396" s="56" t="s">
        <v>22</v>
      </c>
      <c r="Q396" s="59" t="s">
        <v>23</v>
      </c>
      <c r="R396" s="55" t="s">
        <v>24</v>
      </c>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8" t="s">
        <v>304</v>
      </c>
      <c r="B397" s="8" t="s">
        <v>305</v>
      </c>
      <c r="C397" s="9">
        <v>0.27430555555555552</v>
      </c>
      <c r="D397" s="8" t="s">
        <v>306</v>
      </c>
      <c r="E397" s="8" t="s">
        <v>124</v>
      </c>
      <c r="F397" s="8" t="s">
        <v>307</v>
      </c>
      <c r="G397" s="284"/>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46" t="s">
        <v>304</v>
      </c>
      <c r="B398" s="46" t="s">
        <v>484</v>
      </c>
      <c r="C398" s="47">
        <v>0.34722222222222232</v>
      </c>
      <c r="D398" s="46" t="s">
        <v>306</v>
      </c>
      <c r="E398" s="46" t="s">
        <v>116</v>
      </c>
      <c r="F398" s="46" t="s">
        <v>485</v>
      </c>
      <c r="G398" s="285"/>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44" t="s">
        <v>333</v>
      </c>
      <c r="B399" s="44" t="s">
        <v>337</v>
      </c>
      <c r="C399" s="45">
        <v>0.38194444444444442</v>
      </c>
      <c r="D399" s="44" t="s">
        <v>306</v>
      </c>
      <c r="E399" s="44" t="s">
        <v>28</v>
      </c>
      <c r="F399" s="44" t="s">
        <v>310</v>
      </c>
      <c r="G399" s="285"/>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46" t="s">
        <v>333</v>
      </c>
      <c r="B400" s="46" t="s">
        <v>335</v>
      </c>
      <c r="C400" s="47">
        <v>0.66666666666666663</v>
      </c>
      <c r="D400" s="46" t="s">
        <v>306</v>
      </c>
      <c r="E400" s="46" t="s">
        <v>74</v>
      </c>
      <c r="F400" s="46" t="s">
        <v>336</v>
      </c>
      <c r="G400" s="285"/>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44" t="s">
        <v>55</v>
      </c>
      <c r="B401" s="44" t="s">
        <v>363</v>
      </c>
      <c r="C401" s="45">
        <v>0.64583333333333337</v>
      </c>
      <c r="D401" s="44" t="s">
        <v>60</v>
      </c>
      <c r="E401" s="44" t="s">
        <v>95</v>
      </c>
      <c r="F401" s="44" t="s">
        <v>446</v>
      </c>
      <c r="G401" s="285"/>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55</v>
      </c>
      <c r="B402" s="15" t="s">
        <v>363</v>
      </c>
      <c r="C402" s="16">
        <v>0.64583333333333337</v>
      </c>
      <c r="D402" s="15" t="s">
        <v>62</v>
      </c>
      <c r="E402" s="15" t="s">
        <v>97</v>
      </c>
      <c r="F402" s="15" t="s">
        <v>447</v>
      </c>
      <c r="G402" s="285"/>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5" t="s">
        <v>55</v>
      </c>
      <c r="B403" s="15" t="s">
        <v>363</v>
      </c>
      <c r="C403" s="16">
        <v>0.64583333333333337</v>
      </c>
      <c r="D403" s="15" t="s">
        <v>64</v>
      </c>
      <c r="E403" s="15" t="s">
        <v>97</v>
      </c>
      <c r="F403" s="15" t="s">
        <v>336</v>
      </c>
      <c r="G403" s="285"/>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46" t="s">
        <v>55</v>
      </c>
      <c r="B404" s="46" t="s">
        <v>364</v>
      </c>
      <c r="C404" s="47">
        <v>0.51736111111111105</v>
      </c>
      <c r="D404" s="46" t="s">
        <v>60</v>
      </c>
      <c r="E404" s="46" t="s">
        <v>358</v>
      </c>
      <c r="F404" s="46" t="s">
        <v>350</v>
      </c>
      <c r="G404" s="285"/>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5" t="s">
        <v>55</v>
      </c>
      <c r="B405" s="15" t="s">
        <v>364</v>
      </c>
      <c r="C405" s="16">
        <v>0.51736111111111105</v>
      </c>
      <c r="D405" s="15" t="s">
        <v>62</v>
      </c>
      <c r="E405" s="15" t="s">
        <v>360</v>
      </c>
      <c r="F405" s="15" t="s">
        <v>351</v>
      </c>
      <c r="G405" s="285"/>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5" t="s">
        <v>55</v>
      </c>
      <c r="B406" s="15" t="s">
        <v>364</v>
      </c>
      <c r="C406" s="16">
        <v>0.51736111111111105</v>
      </c>
      <c r="D406" s="15" t="s">
        <v>64</v>
      </c>
      <c r="E406" s="15" t="s">
        <v>360</v>
      </c>
      <c r="F406" s="15" t="s">
        <v>59</v>
      </c>
      <c r="G406" s="285"/>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46" t="s">
        <v>55</v>
      </c>
      <c r="B407" s="46" t="s">
        <v>349</v>
      </c>
      <c r="C407" s="47">
        <v>0.85416666666666663</v>
      </c>
      <c r="D407" s="46" t="s">
        <v>60</v>
      </c>
      <c r="E407" s="46" t="s">
        <v>71</v>
      </c>
      <c r="F407" s="46" t="s">
        <v>350</v>
      </c>
      <c r="G407" s="285"/>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5" t="s">
        <v>55</v>
      </c>
      <c r="B408" s="15" t="s">
        <v>349</v>
      </c>
      <c r="C408" s="16">
        <v>0.85416666666666663</v>
      </c>
      <c r="D408" s="15" t="s">
        <v>62</v>
      </c>
      <c r="E408" s="15" t="s">
        <v>125</v>
      </c>
      <c r="F408" s="15" t="s">
        <v>351</v>
      </c>
      <c r="G408" s="285"/>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5" t="s">
        <v>55</v>
      </c>
      <c r="B409" s="15" t="s">
        <v>349</v>
      </c>
      <c r="C409" s="16">
        <v>0.85416666666666663</v>
      </c>
      <c r="D409" s="15" t="s">
        <v>64</v>
      </c>
      <c r="E409" s="15" t="s">
        <v>125</v>
      </c>
      <c r="F409" s="15" t="s">
        <v>59</v>
      </c>
      <c r="G409" s="285"/>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46" t="s">
        <v>55</v>
      </c>
      <c r="B410" s="46" t="s">
        <v>366</v>
      </c>
      <c r="C410" s="47">
        <v>0.39583333333333331</v>
      </c>
      <c r="D410" s="46" t="s">
        <v>60</v>
      </c>
      <c r="E410" s="46" t="s">
        <v>358</v>
      </c>
      <c r="F410" s="46" t="s">
        <v>350</v>
      </c>
      <c r="G410" s="285"/>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5" t="s">
        <v>55</v>
      </c>
      <c r="B411" s="15" t="s">
        <v>366</v>
      </c>
      <c r="C411" s="16">
        <v>0.39583333333333331</v>
      </c>
      <c r="D411" s="15" t="s">
        <v>62</v>
      </c>
      <c r="E411" s="15" t="s">
        <v>360</v>
      </c>
      <c r="F411" s="15" t="s">
        <v>351</v>
      </c>
      <c r="G411" s="285"/>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5" t="s">
        <v>55</v>
      </c>
      <c r="B412" s="15" t="s">
        <v>366</v>
      </c>
      <c r="C412" s="16">
        <v>0.39583333333333331</v>
      </c>
      <c r="D412" s="15" t="s">
        <v>64</v>
      </c>
      <c r="E412" s="15" t="s">
        <v>360</v>
      </c>
      <c r="F412" s="15" t="s">
        <v>59</v>
      </c>
      <c r="G412" s="285"/>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46" t="s">
        <v>55</v>
      </c>
      <c r="B413" s="46" t="s">
        <v>365</v>
      </c>
      <c r="C413" s="47">
        <v>0.30208333333333331</v>
      </c>
      <c r="D413" s="46" t="s">
        <v>60</v>
      </c>
      <c r="E413" s="46" t="s">
        <v>358</v>
      </c>
      <c r="F413" s="46" t="s">
        <v>350</v>
      </c>
      <c r="G413" s="285"/>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55</v>
      </c>
      <c r="B414" s="15" t="s">
        <v>365</v>
      </c>
      <c r="C414" s="16">
        <v>0.30208333333333331</v>
      </c>
      <c r="D414" s="15" t="s">
        <v>62</v>
      </c>
      <c r="E414" s="15" t="s">
        <v>360</v>
      </c>
      <c r="F414" s="15" t="s">
        <v>351</v>
      </c>
      <c r="G414" s="285"/>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5" t="s">
        <v>55</v>
      </c>
      <c r="B415" s="15" t="s">
        <v>365</v>
      </c>
      <c r="C415" s="16">
        <v>0.30208333333333331</v>
      </c>
      <c r="D415" s="15" t="s">
        <v>64</v>
      </c>
      <c r="E415" s="15" t="s">
        <v>360</v>
      </c>
      <c r="F415" s="15" t="s">
        <v>59</v>
      </c>
      <c r="G415" s="285"/>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46" t="s">
        <v>55</v>
      </c>
      <c r="B416" s="46" t="s">
        <v>357</v>
      </c>
      <c r="C416" s="47">
        <v>0.25694444444444448</v>
      </c>
      <c r="D416" s="46" t="s">
        <v>60</v>
      </c>
      <c r="E416" s="46" t="s">
        <v>358</v>
      </c>
      <c r="F416" s="46" t="s">
        <v>353</v>
      </c>
      <c r="G416" s="285"/>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5" t="s">
        <v>55</v>
      </c>
      <c r="B417" s="15" t="s">
        <v>357</v>
      </c>
      <c r="C417" s="16">
        <v>0.25694444444444448</v>
      </c>
      <c r="D417" s="15" t="s">
        <v>62</v>
      </c>
      <c r="E417" s="15" t="s">
        <v>360</v>
      </c>
      <c r="F417" s="15" t="s">
        <v>354</v>
      </c>
      <c r="G417" s="285"/>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5" t="s">
        <v>55</v>
      </c>
      <c r="B418" s="15" t="s">
        <v>357</v>
      </c>
      <c r="C418" s="16">
        <v>0.25694444444444448</v>
      </c>
      <c r="D418" s="15" t="s">
        <v>64</v>
      </c>
      <c r="E418" s="15" t="s">
        <v>360</v>
      </c>
      <c r="F418" s="15" t="s">
        <v>355</v>
      </c>
      <c r="G418" s="285"/>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46" t="s">
        <v>55</v>
      </c>
      <c r="B419" s="46" t="s">
        <v>352</v>
      </c>
      <c r="C419" s="47">
        <v>0.90277777777777779</v>
      </c>
      <c r="D419" s="46" t="s">
        <v>60</v>
      </c>
      <c r="E419" s="46" t="s">
        <v>358</v>
      </c>
      <c r="F419" s="46" t="s">
        <v>353</v>
      </c>
      <c r="G419" s="285"/>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55</v>
      </c>
      <c r="B420" s="15" t="s">
        <v>352</v>
      </c>
      <c r="C420" s="16">
        <v>0.90277777777777779</v>
      </c>
      <c r="D420" s="15" t="s">
        <v>62</v>
      </c>
      <c r="E420" s="15" t="s">
        <v>360</v>
      </c>
      <c r="F420" s="15" t="s">
        <v>354</v>
      </c>
      <c r="G420" s="285"/>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5" t="s">
        <v>55</v>
      </c>
      <c r="B421" s="15" t="s">
        <v>352</v>
      </c>
      <c r="C421" s="16">
        <v>0.90277777777777779</v>
      </c>
      <c r="D421" s="15" t="s">
        <v>64</v>
      </c>
      <c r="E421" s="15" t="s">
        <v>360</v>
      </c>
      <c r="F421" s="15" t="s">
        <v>355</v>
      </c>
      <c r="G421" s="285"/>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46" t="s">
        <v>55</v>
      </c>
      <c r="B422" s="46" t="s">
        <v>356</v>
      </c>
      <c r="C422" s="47">
        <v>0.79861111111111116</v>
      </c>
      <c r="D422" s="46" t="s">
        <v>60</v>
      </c>
      <c r="E422" s="46" t="s">
        <v>358</v>
      </c>
      <c r="F422" s="46" t="s">
        <v>353</v>
      </c>
      <c r="G422" s="285"/>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5" t="s">
        <v>55</v>
      </c>
      <c r="B423" s="15" t="s">
        <v>356</v>
      </c>
      <c r="C423" s="16">
        <v>0.79861111111111116</v>
      </c>
      <c r="D423" s="15" t="s">
        <v>62</v>
      </c>
      <c r="E423" s="15" t="s">
        <v>360</v>
      </c>
      <c r="F423" s="15" t="s">
        <v>354</v>
      </c>
      <c r="G423" s="285"/>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5" t="s">
        <v>55</v>
      </c>
      <c r="B424" s="15" t="s">
        <v>356</v>
      </c>
      <c r="C424" s="16">
        <v>0.79861111111111116</v>
      </c>
      <c r="D424" s="15" t="s">
        <v>64</v>
      </c>
      <c r="E424" s="15" t="s">
        <v>360</v>
      </c>
      <c r="F424" s="15" t="s">
        <v>355</v>
      </c>
      <c r="G424" s="285"/>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44" t="s">
        <v>25</v>
      </c>
      <c r="B425" s="44" t="s">
        <v>344</v>
      </c>
      <c r="C425" s="45">
        <v>0.30208333333333331</v>
      </c>
      <c r="D425" s="44" t="s">
        <v>27</v>
      </c>
      <c r="E425" s="44" t="s">
        <v>135</v>
      </c>
      <c r="F425" s="44" t="s">
        <v>340</v>
      </c>
      <c r="G425" s="285"/>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5" t="s">
        <v>25</v>
      </c>
      <c r="B426" s="15" t="s">
        <v>344</v>
      </c>
      <c r="C426" s="16">
        <v>0.30208333333333331</v>
      </c>
      <c r="D426" s="15" t="s">
        <v>30</v>
      </c>
      <c r="E426" s="15" t="s">
        <v>136</v>
      </c>
      <c r="F426" s="15" t="s">
        <v>342</v>
      </c>
      <c r="G426" s="285"/>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5" t="s">
        <v>25</v>
      </c>
      <c r="B427" s="15" t="s">
        <v>344</v>
      </c>
      <c r="C427" s="16">
        <v>0.30208333333333331</v>
      </c>
      <c r="D427" s="15" t="s">
        <v>33</v>
      </c>
      <c r="E427" s="15" t="s">
        <v>136</v>
      </c>
      <c r="F427" s="15" t="s">
        <v>34</v>
      </c>
      <c r="G427" s="285"/>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46" t="s">
        <v>25</v>
      </c>
      <c r="B428" s="46" t="s">
        <v>338</v>
      </c>
      <c r="C428" s="47">
        <v>0.12847222222222221</v>
      </c>
      <c r="D428" s="46" t="s">
        <v>27</v>
      </c>
      <c r="E428" s="46" t="s">
        <v>143</v>
      </c>
      <c r="F428" s="46" t="s">
        <v>340</v>
      </c>
      <c r="G428" s="285"/>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5" t="s">
        <v>25</v>
      </c>
      <c r="B429" s="15" t="s">
        <v>338</v>
      </c>
      <c r="C429" s="16">
        <v>0.12847222222222221</v>
      </c>
      <c r="D429" s="15" t="s">
        <v>30</v>
      </c>
      <c r="E429" s="15" t="s">
        <v>136</v>
      </c>
      <c r="F429" s="15" t="s">
        <v>342</v>
      </c>
      <c r="G429" s="285"/>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5" t="s">
        <v>25</v>
      </c>
      <c r="B430" s="15" t="s">
        <v>338</v>
      </c>
      <c r="C430" s="16">
        <v>0.12847222222222221</v>
      </c>
      <c r="D430" s="15" t="s">
        <v>33</v>
      </c>
      <c r="E430" s="15" t="s">
        <v>136</v>
      </c>
      <c r="F430" s="15" t="s">
        <v>34</v>
      </c>
      <c r="G430" s="285"/>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46" t="s">
        <v>25</v>
      </c>
      <c r="B431" s="46" t="s">
        <v>347</v>
      </c>
      <c r="C431" s="47">
        <v>0.78819444444444453</v>
      </c>
      <c r="D431" s="46" t="s">
        <v>27</v>
      </c>
      <c r="E431" s="46" t="s">
        <v>44</v>
      </c>
      <c r="F431" s="46" t="s">
        <v>340</v>
      </c>
      <c r="G431" s="285"/>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5" t="s">
        <v>25</v>
      </c>
      <c r="B432" s="15" t="s">
        <v>347</v>
      </c>
      <c r="C432" s="16">
        <v>0.78819444444444453</v>
      </c>
      <c r="D432" s="15" t="s">
        <v>30</v>
      </c>
      <c r="E432" s="15" t="s">
        <v>61</v>
      </c>
      <c r="F432" s="15" t="s">
        <v>342</v>
      </c>
      <c r="G432" s="285"/>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5" t="s">
        <v>25</v>
      </c>
      <c r="B433" s="15" t="s">
        <v>347</v>
      </c>
      <c r="C433" s="16">
        <v>0.78819444444444453</v>
      </c>
      <c r="D433" s="15" t="s">
        <v>33</v>
      </c>
      <c r="E433" s="15" t="s">
        <v>61</v>
      </c>
      <c r="F433" s="15" t="s">
        <v>34</v>
      </c>
      <c r="G433" s="285"/>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46" t="s">
        <v>25</v>
      </c>
      <c r="B434" s="46" t="s">
        <v>343</v>
      </c>
      <c r="C434" s="47">
        <v>0.88888888888888884</v>
      </c>
      <c r="D434" s="46" t="s">
        <v>27</v>
      </c>
      <c r="E434" s="46" t="s">
        <v>91</v>
      </c>
      <c r="F434" s="46" t="s">
        <v>345</v>
      </c>
      <c r="G434" s="285"/>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5" t="s">
        <v>25</v>
      </c>
      <c r="B435" s="15" t="s">
        <v>343</v>
      </c>
      <c r="C435" s="16">
        <v>0.88888888888888884</v>
      </c>
      <c r="D435" s="15" t="s">
        <v>30</v>
      </c>
      <c r="E435" s="15" t="s">
        <v>92</v>
      </c>
      <c r="F435" s="15" t="s">
        <v>346</v>
      </c>
      <c r="G435" s="285"/>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5" t="s">
        <v>25</v>
      </c>
      <c r="B436" s="15" t="s">
        <v>343</v>
      </c>
      <c r="C436" s="16">
        <v>0.88888888888888884</v>
      </c>
      <c r="D436" s="15" t="s">
        <v>33</v>
      </c>
      <c r="E436" s="15" t="s">
        <v>92</v>
      </c>
      <c r="F436" s="15" t="s">
        <v>34</v>
      </c>
      <c r="G436" s="285"/>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211" t="s">
        <v>35</v>
      </c>
      <c r="B437" s="211" t="s">
        <v>319</v>
      </c>
      <c r="C437" s="212">
        <v>8.3333333333333329E-2</v>
      </c>
      <c r="D437" s="211" t="s">
        <v>37</v>
      </c>
      <c r="E437" s="211" t="s">
        <v>38</v>
      </c>
      <c r="F437" s="211" t="s">
        <v>315</v>
      </c>
      <c r="G437" s="285"/>
      <c r="H437" s="37" t="s">
        <v>321</v>
      </c>
      <c r="I437" s="201">
        <v>0.67600000000000005</v>
      </c>
      <c r="J437" s="39">
        <v>121</v>
      </c>
      <c r="K437" s="40">
        <v>45985</v>
      </c>
      <c r="L437" s="39">
        <v>10</v>
      </c>
      <c r="M437" s="39">
        <v>2</v>
      </c>
      <c r="N437" s="39">
        <v>2</v>
      </c>
      <c r="O437" s="41" t="s">
        <v>202</v>
      </c>
      <c r="P437" s="42">
        <v>8.3333333333333329E-2</v>
      </c>
      <c r="Q437" s="39">
        <v>179</v>
      </c>
      <c r="R437" s="43" t="s">
        <v>486</v>
      </c>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205" t="s">
        <v>35</v>
      </c>
      <c r="B438" s="205" t="s">
        <v>430</v>
      </c>
      <c r="C438" s="206">
        <v>0.33333333333333331</v>
      </c>
      <c r="D438" s="205" t="s">
        <v>37</v>
      </c>
      <c r="E438" s="205" t="s">
        <v>76</v>
      </c>
      <c r="F438" s="205" t="s">
        <v>315</v>
      </c>
      <c r="G438" s="285"/>
      <c r="H438" s="19" t="s">
        <v>431</v>
      </c>
      <c r="I438" s="20">
        <v>0.625</v>
      </c>
      <c r="J438" s="21">
        <v>105</v>
      </c>
      <c r="K438" s="22">
        <v>45984</v>
      </c>
      <c r="L438" s="21">
        <v>6</v>
      </c>
      <c r="M438" s="21">
        <v>0</v>
      </c>
      <c r="N438" s="21">
        <v>3</v>
      </c>
      <c r="O438" s="23" t="s">
        <v>202</v>
      </c>
      <c r="P438" s="24">
        <v>0.33333333333333331</v>
      </c>
      <c r="Q438" s="21">
        <v>168</v>
      </c>
      <c r="R438" s="25" t="s">
        <v>487</v>
      </c>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26" t="s">
        <v>35</v>
      </c>
      <c r="B439" s="26" t="s">
        <v>314</v>
      </c>
      <c r="C439" s="27">
        <v>0.31944444444444448</v>
      </c>
      <c r="D439" s="26" t="s">
        <v>37</v>
      </c>
      <c r="E439" s="26" t="s">
        <v>71</v>
      </c>
      <c r="F439" s="26" t="s">
        <v>315</v>
      </c>
      <c r="G439" s="285"/>
      <c r="H439" s="28" t="s">
        <v>316</v>
      </c>
      <c r="I439" s="199">
        <v>0.76539999999999997</v>
      </c>
      <c r="J439" s="30">
        <v>137</v>
      </c>
      <c r="K439" s="31">
        <v>45984</v>
      </c>
      <c r="L439" s="30">
        <v>59</v>
      </c>
      <c r="M439" s="30">
        <v>0</v>
      </c>
      <c r="N439" s="30">
        <v>1</v>
      </c>
      <c r="O439" s="32" t="s">
        <v>488</v>
      </c>
      <c r="P439" s="33">
        <v>0.31944444444444448</v>
      </c>
      <c r="Q439" s="30">
        <v>179</v>
      </c>
      <c r="R439" s="34" t="s">
        <v>489</v>
      </c>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208" t="s">
        <v>35</v>
      </c>
      <c r="B440" s="208" t="s">
        <v>324</v>
      </c>
      <c r="C440" s="209">
        <v>0.51041666666666663</v>
      </c>
      <c r="D440" s="208" t="s">
        <v>37</v>
      </c>
      <c r="E440" s="208" t="s">
        <v>116</v>
      </c>
      <c r="F440" s="208" t="s">
        <v>490</v>
      </c>
      <c r="G440" s="285"/>
      <c r="H440" s="84" t="s">
        <v>326</v>
      </c>
      <c r="I440" s="85">
        <v>0.93300000000000005</v>
      </c>
      <c r="J440" s="86">
        <v>167</v>
      </c>
      <c r="K440" s="87">
        <v>45983</v>
      </c>
      <c r="L440" s="86">
        <v>5</v>
      </c>
      <c r="M440" s="86">
        <v>0</v>
      </c>
      <c r="N440" s="86">
        <v>0</v>
      </c>
      <c r="O440" s="88" t="s">
        <v>491</v>
      </c>
      <c r="P440" s="89">
        <v>0.51041666666666663</v>
      </c>
      <c r="Q440" s="86">
        <v>179</v>
      </c>
      <c r="R440" s="90" t="s">
        <v>492</v>
      </c>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202" t="s">
        <v>35</v>
      </c>
      <c r="B441" s="202" t="s">
        <v>331</v>
      </c>
      <c r="C441" s="203">
        <v>0.63194444444444442</v>
      </c>
      <c r="D441" s="202" t="s">
        <v>131</v>
      </c>
      <c r="E441" s="218"/>
      <c r="F441" s="202" t="s">
        <v>132</v>
      </c>
      <c r="G441" s="285"/>
      <c r="H441" s="179" t="s">
        <v>331</v>
      </c>
      <c r="I441" s="180">
        <v>0.96650000000000003</v>
      </c>
      <c r="J441" s="181">
        <v>173</v>
      </c>
      <c r="K441" s="182">
        <v>45982</v>
      </c>
      <c r="L441" s="181">
        <v>3</v>
      </c>
      <c r="M441" s="181">
        <v>0</v>
      </c>
      <c r="N441" s="181">
        <v>0</v>
      </c>
      <c r="O441" s="183" t="s">
        <v>133</v>
      </c>
      <c r="P441" s="184">
        <v>0.63194444444444442</v>
      </c>
      <c r="Q441" s="181">
        <v>179</v>
      </c>
      <c r="R441" s="185" t="s">
        <v>493</v>
      </c>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44" t="s">
        <v>378</v>
      </c>
      <c r="B442" s="44" t="s">
        <v>420</v>
      </c>
      <c r="C442" s="45">
        <v>0.3888888888888889</v>
      </c>
      <c r="D442" s="44" t="s">
        <v>380</v>
      </c>
      <c r="E442" s="44" t="s">
        <v>381</v>
      </c>
      <c r="F442" s="44" t="s">
        <v>350</v>
      </c>
      <c r="G442" s="285"/>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5" t="s">
        <v>378</v>
      </c>
      <c r="B443" s="15" t="s">
        <v>420</v>
      </c>
      <c r="C443" s="16">
        <v>0.3888888888888889</v>
      </c>
      <c r="D443" s="15" t="s">
        <v>33</v>
      </c>
      <c r="E443" s="15" t="s">
        <v>360</v>
      </c>
      <c r="F443" s="15" t="s">
        <v>469</v>
      </c>
      <c r="G443" s="285"/>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44" t="s">
        <v>78</v>
      </c>
      <c r="B444" s="44" t="s">
        <v>384</v>
      </c>
      <c r="C444" s="45">
        <v>0.37847222222222232</v>
      </c>
      <c r="D444" s="44" t="s">
        <v>87</v>
      </c>
      <c r="E444" s="44" t="s">
        <v>38</v>
      </c>
      <c r="F444" s="44" t="s">
        <v>385</v>
      </c>
      <c r="G444" s="285"/>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5" t="s">
        <v>78</v>
      </c>
      <c r="B445" s="15" t="s">
        <v>384</v>
      </c>
      <c r="C445" s="16">
        <v>0.37847222222222232</v>
      </c>
      <c r="D445" s="15" t="s">
        <v>82</v>
      </c>
      <c r="E445" s="15" t="s">
        <v>88</v>
      </c>
      <c r="F445" s="15" t="s">
        <v>386</v>
      </c>
      <c r="G445" s="285"/>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46" t="s">
        <v>78</v>
      </c>
      <c r="B446" s="46" t="s">
        <v>397</v>
      </c>
      <c r="C446" s="47">
        <v>0.71875</v>
      </c>
      <c r="D446" s="46" t="s">
        <v>87</v>
      </c>
      <c r="E446" s="46" t="s">
        <v>76</v>
      </c>
      <c r="F446" s="46" t="s">
        <v>385</v>
      </c>
      <c r="G446" s="285"/>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78</v>
      </c>
      <c r="B447" s="15" t="s">
        <v>397</v>
      </c>
      <c r="C447" s="16">
        <v>0.71875</v>
      </c>
      <c r="D447" s="15" t="s">
        <v>82</v>
      </c>
      <c r="E447" s="15" t="s">
        <v>88</v>
      </c>
      <c r="F447" s="15" t="s">
        <v>386</v>
      </c>
      <c r="G447" s="285"/>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46" t="s">
        <v>78</v>
      </c>
      <c r="B448" s="46" t="s">
        <v>387</v>
      </c>
      <c r="C448" s="47">
        <v>0.23958333333333329</v>
      </c>
      <c r="D448" s="46" t="s">
        <v>87</v>
      </c>
      <c r="E448" s="46" t="s">
        <v>76</v>
      </c>
      <c r="F448" s="46" t="s">
        <v>385</v>
      </c>
      <c r="G448" s="285"/>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5" t="s">
        <v>78</v>
      </c>
      <c r="B449" s="15" t="s">
        <v>387</v>
      </c>
      <c r="C449" s="16">
        <v>0.23958333333333329</v>
      </c>
      <c r="D449" s="15" t="s">
        <v>82</v>
      </c>
      <c r="E449" s="15" t="s">
        <v>88</v>
      </c>
      <c r="F449" s="15" t="s">
        <v>386</v>
      </c>
      <c r="G449" s="285"/>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46" t="s">
        <v>78</v>
      </c>
      <c r="B450" s="46" t="s">
        <v>400</v>
      </c>
      <c r="C450" s="47">
        <v>0.61111111111111105</v>
      </c>
      <c r="D450" s="46" t="s">
        <v>87</v>
      </c>
      <c r="E450" s="46" t="s">
        <v>76</v>
      </c>
      <c r="F450" s="46" t="s">
        <v>390</v>
      </c>
      <c r="G450" s="285"/>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5" t="s">
        <v>78</v>
      </c>
      <c r="B451" s="15" t="s">
        <v>400</v>
      </c>
      <c r="C451" s="16">
        <v>0.61111111111111105</v>
      </c>
      <c r="D451" s="15" t="s">
        <v>82</v>
      </c>
      <c r="E451" s="15" t="s">
        <v>88</v>
      </c>
      <c r="F451" s="15" t="s">
        <v>391</v>
      </c>
      <c r="G451" s="285"/>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46" t="s">
        <v>78</v>
      </c>
      <c r="B452" s="46" t="s">
        <v>389</v>
      </c>
      <c r="C452" s="47">
        <v>6.9444444444444441E-3</v>
      </c>
      <c r="D452" s="46" t="s">
        <v>87</v>
      </c>
      <c r="E452" s="46" t="s">
        <v>76</v>
      </c>
      <c r="F452" s="46" t="s">
        <v>390</v>
      </c>
      <c r="G452" s="285"/>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78</v>
      </c>
      <c r="B453" s="15" t="s">
        <v>389</v>
      </c>
      <c r="C453" s="16">
        <v>6.9444444444444441E-3</v>
      </c>
      <c r="D453" s="15" t="s">
        <v>82</v>
      </c>
      <c r="E453" s="15" t="s">
        <v>88</v>
      </c>
      <c r="F453" s="15" t="s">
        <v>391</v>
      </c>
      <c r="G453" s="285"/>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46" t="s">
        <v>78</v>
      </c>
      <c r="B454" s="46" t="s">
        <v>388</v>
      </c>
      <c r="C454" s="47">
        <v>0.1423611111111111</v>
      </c>
      <c r="D454" s="46" t="s">
        <v>87</v>
      </c>
      <c r="E454" s="46" t="s">
        <v>76</v>
      </c>
      <c r="F454" s="46" t="s">
        <v>390</v>
      </c>
      <c r="G454" s="285"/>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5" t="s">
        <v>78</v>
      </c>
      <c r="B455" s="15" t="s">
        <v>388</v>
      </c>
      <c r="C455" s="16">
        <v>0.1423611111111111</v>
      </c>
      <c r="D455" s="15" t="s">
        <v>82</v>
      </c>
      <c r="E455" s="15" t="s">
        <v>88</v>
      </c>
      <c r="F455" s="15" t="s">
        <v>391</v>
      </c>
      <c r="G455" s="285"/>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46" t="s">
        <v>78</v>
      </c>
      <c r="B456" s="46" t="s">
        <v>392</v>
      </c>
      <c r="C456" s="47">
        <v>0.93055555555555547</v>
      </c>
      <c r="D456" s="46" t="s">
        <v>87</v>
      </c>
      <c r="E456" s="46" t="s">
        <v>76</v>
      </c>
      <c r="F456" s="46" t="s">
        <v>390</v>
      </c>
      <c r="G456" s="285"/>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78</v>
      </c>
      <c r="B457" s="15" t="s">
        <v>392</v>
      </c>
      <c r="C457" s="16">
        <v>0.93055555555555547</v>
      </c>
      <c r="D457" s="15" t="s">
        <v>82</v>
      </c>
      <c r="E457" s="15" t="s">
        <v>88</v>
      </c>
      <c r="F457" s="15" t="s">
        <v>391</v>
      </c>
      <c r="G457" s="285"/>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46" t="s">
        <v>78</v>
      </c>
      <c r="B458" s="46" t="s">
        <v>393</v>
      </c>
      <c r="C458" s="47">
        <v>0.88888888888888884</v>
      </c>
      <c r="D458" s="46" t="s">
        <v>82</v>
      </c>
      <c r="E458" s="46" t="s">
        <v>102</v>
      </c>
      <c r="F458" s="46" t="s">
        <v>394</v>
      </c>
      <c r="G458" s="285"/>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46" t="s">
        <v>78</v>
      </c>
      <c r="B459" s="46" t="s">
        <v>402</v>
      </c>
      <c r="C459" s="47">
        <v>0.30208333333333331</v>
      </c>
      <c r="D459" s="46" t="s">
        <v>82</v>
      </c>
      <c r="E459" s="46" t="s">
        <v>102</v>
      </c>
      <c r="F459" s="46" t="s">
        <v>394</v>
      </c>
      <c r="G459" s="285"/>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46" t="s">
        <v>78</v>
      </c>
      <c r="B460" s="46" t="s">
        <v>395</v>
      </c>
      <c r="C460" s="47">
        <v>0.12847222222222221</v>
      </c>
      <c r="D460" s="46" t="s">
        <v>82</v>
      </c>
      <c r="E460" s="46" t="s">
        <v>102</v>
      </c>
      <c r="F460" s="46" t="s">
        <v>394</v>
      </c>
      <c r="G460" s="285"/>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46" t="s">
        <v>78</v>
      </c>
      <c r="B461" s="46" t="s">
        <v>396</v>
      </c>
      <c r="C461" s="47">
        <v>0.78819444444444453</v>
      </c>
      <c r="D461" s="46" t="s">
        <v>82</v>
      </c>
      <c r="E461" s="46" t="s">
        <v>102</v>
      </c>
      <c r="F461" s="46" t="s">
        <v>394</v>
      </c>
      <c r="G461" s="285"/>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46" t="s">
        <v>78</v>
      </c>
      <c r="B462" s="46" t="s">
        <v>401</v>
      </c>
      <c r="C462" s="47">
        <v>0.82986111111111116</v>
      </c>
      <c r="D462" s="46" t="s">
        <v>87</v>
      </c>
      <c r="E462" s="46" t="s">
        <v>76</v>
      </c>
      <c r="F462" s="46" t="s">
        <v>482</v>
      </c>
      <c r="G462" s="285"/>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5" t="s">
        <v>78</v>
      </c>
      <c r="B463" s="15" t="s">
        <v>401</v>
      </c>
      <c r="C463" s="16">
        <v>0.82986111111111116</v>
      </c>
      <c r="D463" s="15" t="s">
        <v>82</v>
      </c>
      <c r="E463" s="15" t="s">
        <v>88</v>
      </c>
      <c r="F463" s="15" t="s">
        <v>483</v>
      </c>
      <c r="G463" s="285"/>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44" t="s">
        <v>66</v>
      </c>
      <c r="B464" s="44" t="s">
        <v>416</v>
      </c>
      <c r="C464" s="45">
        <v>0.14583333333333329</v>
      </c>
      <c r="D464" s="44" t="s">
        <v>68</v>
      </c>
      <c r="E464" s="44" t="s">
        <v>38</v>
      </c>
      <c r="F464" s="44" t="s">
        <v>473</v>
      </c>
      <c r="G464" s="285"/>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46" t="s">
        <v>66</v>
      </c>
      <c r="B465" s="46" t="s">
        <v>369</v>
      </c>
      <c r="C465" s="47">
        <v>0.4861111111111111</v>
      </c>
      <c r="D465" s="46" t="s">
        <v>68</v>
      </c>
      <c r="E465" s="46" t="s">
        <v>76</v>
      </c>
      <c r="F465" s="46" t="s">
        <v>419</v>
      </c>
      <c r="G465" s="285"/>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46" t="s">
        <v>66</v>
      </c>
      <c r="B466" s="46" t="s">
        <v>377</v>
      </c>
      <c r="C466" s="47">
        <v>0.22222222222222221</v>
      </c>
      <c r="D466" s="46" t="s">
        <v>68</v>
      </c>
      <c r="E466" s="46" t="s">
        <v>76</v>
      </c>
      <c r="F466" s="46" t="s">
        <v>494</v>
      </c>
      <c r="G466" s="285"/>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46" t="s">
        <v>66</v>
      </c>
      <c r="B467" s="46" t="s">
        <v>375</v>
      </c>
      <c r="C467" s="47">
        <v>0.27777777777777779</v>
      </c>
      <c r="D467" s="46" t="s">
        <v>68</v>
      </c>
      <c r="E467" s="46" t="s">
        <v>50</v>
      </c>
      <c r="F467" s="46" t="s">
        <v>495</v>
      </c>
      <c r="G467" s="285"/>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46" t="s">
        <v>66</v>
      </c>
      <c r="B468" s="46" t="s">
        <v>417</v>
      </c>
      <c r="C468" s="47">
        <v>0.95833333333333337</v>
      </c>
      <c r="D468" s="46" t="s">
        <v>68</v>
      </c>
      <c r="E468" s="46" t="s">
        <v>71</v>
      </c>
      <c r="F468" s="46" t="s">
        <v>495</v>
      </c>
      <c r="G468" s="285"/>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46" t="s">
        <v>66</v>
      </c>
      <c r="B469" s="46" t="s">
        <v>376</v>
      </c>
      <c r="C469" s="47">
        <v>0.77430555555555547</v>
      </c>
      <c r="D469" s="46" t="s">
        <v>68</v>
      </c>
      <c r="E469" s="46" t="s">
        <v>76</v>
      </c>
      <c r="F469" s="46" t="s">
        <v>495</v>
      </c>
      <c r="G469" s="285"/>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61" t="s">
        <v>66</v>
      </c>
      <c r="B470" s="61" t="s">
        <v>373</v>
      </c>
      <c r="C470" s="62">
        <v>1.388888888888889E-2</v>
      </c>
      <c r="D470" s="61" t="s">
        <v>68</v>
      </c>
      <c r="E470" s="61" t="s">
        <v>143</v>
      </c>
      <c r="F470" s="61" t="s">
        <v>496</v>
      </c>
      <c r="G470" s="286"/>
      <c r="H470" s="50"/>
      <c r="I470" s="51"/>
      <c r="J470" s="51"/>
      <c r="K470" s="51"/>
      <c r="L470" s="51"/>
      <c r="M470" s="51"/>
      <c r="N470" s="51"/>
      <c r="O470" s="52"/>
      <c r="P470" s="51"/>
      <c r="Q470" s="53"/>
      <c r="R470" s="5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4.4" customHeight="1" x14ac:dyDescent="0.3">
      <c r="A471" s="288"/>
      <c r="B471" s="289"/>
      <c r="C471" s="289"/>
      <c r="D471" s="289"/>
      <c r="E471" s="289"/>
      <c r="F471" s="289"/>
      <c r="G471" s="289"/>
      <c r="H471" s="289"/>
      <c r="I471" s="289"/>
      <c r="J471" s="289"/>
      <c r="K471" s="289"/>
      <c r="L471" s="289"/>
      <c r="M471" s="289"/>
      <c r="N471" s="289"/>
      <c r="O471" s="289"/>
      <c r="P471" s="289"/>
      <c r="Q471" s="289"/>
      <c r="R471" s="290"/>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sheetData>
  <mergeCells count="33">
    <mergeCell ref="G397:G470"/>
    <mergeCell ref="A471:R471"/>
    <mergeCell ref="H159:R159"/>
    <mergeCell ref="D1:F1"/>
    <mergeCell ref="A82:F82"/>
    <mergeCell ref="A1:C1"/>
    <mergeCell ref="G1:H1"/>
    <mergeCell ref="A325:F325"/>
    <mergeCell ref="A250:R250"/>
    <mergeCell ref="A395:F395"/>
    <mergeCell ref="H325:R325"/>
    <mergeCell ref="J1:M1"/>
    <mergeCell ref="A324:R324"/>
    <mergeCell ref="A81:R81"/>
    <mergeCell ref="G327:G393"/>
    <mergeCell ref="K2:R2"/>
    <mergeCell ref="G253:G323"/>
    <mergeCell ref="O1:Q1"/>
    <mergeCell ref="H395:R395"/>
    <mergeCell ref="H82:R82"/>
    <mergeCell ref="G84:G157"/>
    <mergeCell ref="G6:G80"/>
    <mergeCell ref="A158:R158"/>
    <mergeCell ref="A394:R394"/>
    <mergeCell ref="H4:R4"/>
    <mergeCell ref="A2:F2"/>
    <mergeCell ref="A3:R3"/>
    <mergeCell ref="A251:F251"/>
    <mergeCell ref="A159:F159"/>
    <mergeCell ref="G161:G249"/>
    <mergeCell ref="G2:J2"/>
    <mergeCell ref="H251:R251"/>
    <mergeCell ref="A4:F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3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311</v>
      </c>
      <c r="D2" s="95">
        <v>0.22916666666666671</v>
      </c>
      <c r="E2" s="94" t="s">
        <v>303</v>
      </c>
      <c r="F2" s="94" t="s">
        <v>174</v>
      </c>
      <c r="G2" s="96">
        <v>0.68720000000000003</v>
      </c>
      <c r="H2" s="97">
        <v>179</v>
      </c>
      <c r="I2" s="97">
        <v>123</v>
      </c>
      <c r="J2" s="97">
        <v>0</v>
      </c>
      <c r="K2" s="93">
        <v>45984</v>
      </c>
      <c r="L2" s="97">
        <v>0</v>
      </c>
      <c r="M2" s="97">
        <v>39</v>
      </c>
      <c r="N2" s="97">
        <v>77</v>
      </c>
      <c r="O2" s="94" t="s">
        <v>312</v>
      </c>
      <c r="P2" s="98"/>
      <c r="Q2" s="98"/>
      <c r="R2" s="98"/>
      <c r="S2" s="98"/>
      <c r="T2" s="98"/>
      <c r="U2" s="98"/>
      <c r="V2" s="98"/>
      <c r="W2" s="98"/>
      <c r="X2" s="98"/>
      <c r="Y2" s="97" t="s">
        <v>497</v>
      </c>
      <c r="Z2" s="98"/>
      <c r="AA2" s="98"/>
      <c r="AB2" s="97" t="s">
        <v>192</v>
      </c>
      <c r="AC2" s="97" t="s">
        <v>498</v>
      </c>
      <c r="AD2" s="97" t="s">
        <v>499</v>
      </c>
      <c r="AE2" s="97" t="s">
        <v>500</v>
      </c>
      <c r="AF2" s="98"/>
      <c r="AG2" s="98"/>
      <c r="AH2" s="98"/>
      <c r="AI2" s="98"/>
    </row>
    <row r="3" spans="1:35" ht="18" x14ac:dyDescent="0.3">
      <c r="A3" s="99" t="s">
        <v>173</v>
      </c>
      <c r="B3" s="100">
        <v>45986</v>
      </c>
      <c r="C3" s="101" t="s">
        <v>329</v>
      </c>
      <c r="D3" s="102">
        <v>0.55902777777777779</v>
      </c>
      <c r="E3" s="101" t="s">
        <v>303</v>
      </c>
      <c r="F3" s="101" t="s">
        <v>174</v>
      </c>
      <c r="G3" s="103">
        <v>0.9385</v>
      </c>
      <c r="H3" s="104">
        <v>179</v>
      </c>
      <c r="I3" s="104">
        <v>168</v>
      </c>
      <c r="J3" s="104">
        <v>117</v>
      </c>
      <c r="K3" s="100">
        <v>45979</v>
      </c>
      <c r="L3" s="104">
        <v>0</v>
      </c>
      <c r="M3" s="104">
        <v>0</v>
      </c>
      <c r="N3" s="104">
        <v>12</v>
      </c>
      <c r="O3" s="101" t="s">
        <v>133</v>
      </c>
      <c r="P3" s="105"/>
      <c r="Q3" s="105"/>
      <c r="R3" s="105"/>
      <c r="S3" s="105"/>
      <c r="T3" s="105"/>
      <c r="U3" s="105"/>
      <c r="V3" s="105"/>
      <c r="W3" s="105"/>
      <c r="X3" s="105"/>
      <c r="Y3" s="104" t="s">
        <v>274</v>
      </c>
      <c r="Z3" s="105"/>
      <c r="AA3" s="105"/>
      <c r="AB3" s="104" t="s">
        <v>491</v>
      </c>
      <c r="AC3" s="104" t="s">
        <v>501</v>
      </c>
      <c r="AD3" s="104" t="s">
        <v>502</v>
      </c>
      <c r="AE3" s="104" t="s">
        <v>503</v>
      </c>
      <c r="AF3" s="105"/>
      <c r="AG3" s="105"/>
      <c r="AH3" s="104" t="s">
        <v>504</v>
      </c>
      <c r="AI3" s="104" t="s">
        <v>505</v>
      </c>
    </row>
    <row r="4" spans="1:35" ht="18" x14ac:dyDescent="0.3">
      <c r="A4" s="92" t="s">
        <v>173</v>
      </c>
      <c r="B4" s="93">
        <v>45986</v>
      </c>
      <c r="C4" s="94" t="s">
        <v>331</v>
      </c>
      <c r="D4" s="95">
        <v>0.61458333333333337</v>
      </c>
      <c r="E4" s="94" t="s">
        <v>303</v>
      </c>
      <c r="F4" s="94" t="s">
        <v>174</v>
      </c>
      <c r="G4" s="96">
        <v>0.9385</v>
      </c>
      <c r="H4" s="97">
        <v>179</v>
      </c>
      <c r="I4" s="97">
        <v>168</v>
      </c>
      <c r="J4" s="97">
        <v>82</v>
      </c>
      <c r="K4" s="93">
        <v>45984</v>
      </c>
      <c r="L4" s="97">
        <v>0</v>
      </c>
      <c r="M4" s="97">
        <v>4</v>
      </c>
      <c r="N4" s="97">
        <v>48</v>
      </c>
      <c r="O4" s="94" t="s">
        <v>133</v>
      </c>
      <c r="P4" s="98"/>
      <c r="Q4" s="98"/>
      <c r="R4" s="98"/>
      <c r="S4" s="98"/>
      <c r="T4" s="98"/>
      <c r="U4" s="98"/>
      <c r="V4" s="98"/>
      <c r="W4" s="98"/>
      <c r="X4" s="98"/>
      <c r="Y4" s="97" t="s">
        <v>506</v>
      </c>
      <c r="Z4" s="98"/>
      <c r="AA4" s="98"/>
      <c r="AB4" s="97" t="s">
        <v>275</v>
      </c>
      <c r="AC4" s="97" t="s">
        <v>507</v>
      </c>
      <c r="AD4" s="97" t="s">
        <v>508</v>
      </c>
      <c r="AE4" s="97" t="s">
        <v>503</v>
      </c>
      <c r="AF4" s="98"/>
      <c r="AG4" s="98"/>
      <c r="AH4" s="97" t="s">
        <v>509</v>
      </c>
      <c r="AI4" s="98"/>
    </row>
    <row r="5" spans="1:35" ht="18" x14ac:dyDescent="0.3">
      <c r="A5" s="99" t="s">
        <v>173</v>
      </c>
      <c r="B5" s="100">
        <v>45986</v>
      </c>
      <c r="C5" s="101" t="s">
        <v>326</v>
      </c>
      <c r="D5" s="102">
        <v>0.72916666666666663</v>
      </c>
      <c r="E5" s="101" t="s">
        <v>303</v>
      </c>
      <c r="F5" s="101" t="s">
        <v>174</v>
      </c>
      <c r="G5" s="103">
        <v>0.92179999999999995</v>
      </c>
      <c r="H5" s="104">
        <v>179</v>
      </c>
      <c r="I5" s="104">
        <v>165</v>
      </c>
      <c r="J5" s="104">
        <v>116</v>
      </c>
      <c r="K5" s="100">
        <v>45984</v>
      </c>
      <c r="L5" s="104">
        <v>0</v>
      </c>
      <c r="M5" s="104">
        <v>3</v>
      </c>
      <c r="N5" s="104">
        <v>12</v>
      </c>
      <c r="O5" s="101" t="s">
        <v>327</v>
      </c>
      <c r="P5" s="105"/>
      <c r="Q5" s="105"/>
      <c r="R5" s="105"/>
      <c r="S5" s="105"/>
      <c r="T5" s="105"/>
      <c r="U5" s="105"/>
      <c r="V5" s="105"/>
      <c r="W5" s="105"/>
      <c r="X5" s="105"/>
      <c r="Y5" s="104" t="s">
        <v>200</v>
      </c>
      <c r="Z5" s="104" t="s">
        <v>510</v>
      </c>
      <c r="AA5" s="105"/>
      <c r="AB5" s="104" t="s">
        <v>511</v>
      </c>
      <c r="AC5" s="104" t="s">
        <v>512</v>
      </c>
      <c r="AD5" s="104" t="s">
        <v>513</v>
      </c>
      <c r="AE5" s="104" t="s">
        <v>432</v>
      </c>
      <c r="AF5" s="105"/>
      <c r="AG5" s="105"/>
      <c r="AH5" s="104" t="s">
        <v>514</v>
      </c>
      <c r="AI5" s="105"/>
    </row>
    <row r="6" spans="1:35" ht="18" x14ac:dyDescent="0.3">
      <c r="A6" s="92" t="s">
        <v>173</v>
      </c>
      <c r="B6" s="93">
        <v>45986</v>
      </c>
      <c r="C6" s="94" t="s">
        <v>321</v>
      </c>
      <c r="D6" s="95">
        <v>0.93402777777777779</v>
      </c>
      <c r="E6" s="94" t="s">
        <v>303</v>
      </c>
      <c r="F6" s="94" t="s">
        <v>174</v>
      </c>
      <c r="G6" s="96">
        <v>0.79330000000000001</v>
      </c>
      <c r="H6" s="97">
        <v>179</v>
      </c>
      <c r="I6" s="97">
        <v>142</v>
      </c>
      <c r="J6" s="97">
        <v>86</v>
      </c>
      <c r="K6" s="93">
        <v>45984</v>
      </c>
      <c r="L6" s="97">
        <v>0</v>
      </c>
      <c r="M6" s="97">
        <v>2</v>
      </c>
      <c r="N6" s="97">
        <v>30</v>
      </c>
      <c r="O6" s="94" t="s">
        <v>322</v>
      </c>
      <c r="P6" s="98"/>
      <c r="Q6" s="98"/>
      <c r="R6" s="98"/>
      <c r="S6" s="98"/>
      <c r="T6" s="98"/>
      <c r="U6" s="98"/>
      <c r="V6" s="98"/>
      <c r="W6" s="98"/>
      <c r="X6" s="98"/>
      <c r="Y6" s="97" t="s">
        <v>274</v>
      </c>
      <c r="Z6" s="98"/>
      <c r="AA6" s="98"/>
      <c r="AB6" s="97" t="s">
        <v>216</v>
      </c>
      <c r="AC6" s="97" t="s">
        <v>515</v>
      </c>
      <c r="AD6" s="97" t="s">
        <v>516</v>
      </c>
      <c r="AE6" s="97" t="s">
        <v>503</v>
      </c>
      <c r="AF6" s="98"/>
      <c r="AG6" s="98"/>
      <c r="AH6" s="97" t="s">
        <v>517</v>
      </c>
      <c r="AI6" s="98"/>
    </row>
    <row r="7" spans="1:35" ht="18" x14ac:dyDescent="0.3">
      <c r="A7" s="99" t="s">
        <v>173</v>
      </c>
      <c r="B7" s="100">
        <v>45986</v>
      </c>
      <c r="C7" s="101" t="s">
        <v>316</v>
      </c>
      <c r="D7" s="102">
        <v>0.96875</v>
      </c>
      <c r="E7" s="101" t="s">
        <v>303</v>
      </c>
      <c r="F7" s="101" t="s">
        <v>174</v>
      </c>
      <c r="G7" s="103">
        <v>0.70389999999999997</v>
      </c>
      <c r="H7" s="104">
        <v>179</v>
      </c>
      <c r="I7" s="104">
        <v>126</v>
      </c>
      <c r="J7" s="104">
        <v>46</v>
      </c>
      <c r="K7" s="100">
        <v>45984</v>
      </c>
      <c r="L7" s="104">
        <v>0</v>
      </c>
      <c r="M7" s="104">
        <v>3</v>
      </c>
      <c r="N7" s="104">
        <v>39</v>
      </c>
      <c r="O7" s="101" t="s">
        <v>317</v>
      </c>
      <c r="P7" s="105"/>
      <c r="Q7" s="105"/>
      <c r="R7" s="105"/>
      <c r="S7" s="105"/>
      <c r="T7" s="105"/>
      <c r="U7" s="105"/>
      <c r="V7" s="105"/>
      <c r="W7" s="105"/>
      <c r="X7" s="105"/>
      <c r="Y7" s="105"/>
      <c r="Z7" s="105"/>
      <c r="AA7" s="105"/>
      <c r="AB7" s="104" t="s">
        <v>491</v>
      </c>
      <c r="AC7" s="104" t="s">
        <v>518</v>
      </c>
      <c r="AD7" s="104" t="s">
        <v>519</v>
      </c>
      <c r="AE7" s="104" t="s">
        <v>520</v>
      </c>
      <c r="AF7" s="105"/>
      <c r="AG7" s="105"/>
      <c r="AH7" s="104" t="s">
        <v>521</v>
      </c>
      <c r="AI7" s="105"/>
    </row>
    <row r="8" spans="1:35" ht="18" x14ac:dyDescent="0.3">
      <c r="A8" s="92" t="s">
        <v>273</v>
      </c>
      <c r="B8" s="93">
        <v>45987</v>
      </c>
      <c r="C8" s="94" t="s">
        <v>316</v>
      </c>
      <c r="D8" s="95">
        <v>0.51736111111111105</v>
      </c>
      <c r="E8" s="94" t="s">
        <v>303</v>
      </c>
      <c r="F8" s="94" t="s">
        <v>174</v>
      </c>
      <c r="G8" s="96">
        <v>0.51400000000000001</v>
      </c>
      <c r="H8" s="97">
        <v>179</v>
      </c>
      <c r="I8" s="97">
        <v>92</v>
      </c>
      <c r="J8" s="97">
        <v>0</v>
      </c>
      <c r="K8" s="93">
        <v>45984</v>
      </c>
      <c r="L8" s="97">
        <v>0</v>
      </c>
      <c r="M8" s="97">
        <v>2</v>
      </c>
      <c r="N8" s="97">
        <v>53</v>
      </c>
      <c r="O8" s="94" t="s">
        <v>202</v>
      </c>
      <c r="P8" s="98"/>
      <c r="Q8" s="98"/>
      <c r="R8" s="98"/>
      <c r="S8" s="98"/>
      <c r="T8" s="98"/>
      <c r="U8" s="98"/>
      <c r="V8" s="98"/>
      <c r="W8" s="98"/>
      <c r="X8" s="98"/>
      <c r="Y8" s="98"/>
      <c r="Z8" s="98"/>
      <c r="AA8" s="98"/>
      <c r="AB8" s="98"/>
      <c r="AC8" s="97" t="s">
        <v>522</v>
      </c>
      <c r="AD8" s="97" t="s">
        <v>523</v>
      </c>
      <c r="AE8" s="97" t="s">
        <v>524</v>
      </c>
      <c r="AF8" s="98"/>
      <c r="AG8" s="98"/>
      <c r="AH8" s="98"/>
      <c r="AI8" s="98"/>
    </row>
    <row r="9" spans="1:35" ht="18" x14ac:dyDescent="0.3">
      <c r="A9" s="99" t="s">
        <v>273</v>
      </c>
      <c r="B9" s="100">
        <v>45987</v>
      </c>
      <c r="C9" s="101" t="s">
        <v>326</v>
      </c>
      <c r="D9" s="102">
        <v>0.52083333333333337</v>
      </c>
      <c r="E9" s="101" t="s">
        <v>303</v>
      </c>
      <c r="F9" s="101" t="s">
        <v>174</v>
      </c>
      <c r="G9" s="103">
        <v>0.81559999999999999</v>
      </c>
      <c r="H9" s="104">
        <v>179</v>
      </c>
      <c r="I9" s="104">
        <v>146</v>
      </c>
      <c r="J9" s="104">
        <v>48</v>
      </c>
      <c r="K9" s="100">
        <v>45985</v>
      </c>
      <c r="L9" s="104">
        <v>1</v>
      </c>
      <c r="M9" s="104">
        <v>9</v>
      </c>
      <c r="N9" s="104">
        <v>54</v>
      </c>
      <c r="O9" s="101" t="s">
        <v>202</v>
      </c>
      <c r="P9" s="105"/>
      <c r="Q9" s="105"/>
      <c r="R9" s="105"/>
      <c r="S9" s="105"/>
      <c r="T9" s="105"/>
      <c r="U9" s="105"/>
      <c r="V9" s="105"/>
      <c r="W9" s="105"/>
      <c r="X9" s="105"/>
      <c r="Y9" s="104" t="s">
        <v>506</v>
      </c>
      <c r="Z9" s="104" t="s">
        <v>525</v>
      </c>
      <c r="AA9" s="105"/>
      <c r="AB9" s="105"/>
      <c r="AC9" s="104" t="s">
        <v>515</v>
      </c>
      <c r="AD9" s="104" t="s">
        <v>296</v>
      </c>
      <c r="AE9" s="104" t="s">
        <v>526</v>
      </c>
      <c r="AF9" s="105"/>
      <c r="AG9" s="105"/>
      <c r="AH9" s="104" t="s">
        <v>527</v>
      </c>
      <c r="AI9" s="105"/>
    </row>
    <row r="10" spans="1:35" ht="18" x14ac:dyDescent="0.3">
      <c r="A10" s="92" t="s">
        <v>273</v>
      </c>
      <c r="B10" s="93">
        <v>45987</v>
      </c>
      <c r="C10" s="94" t="s">
        <v>331</v>
      </c>
      <c r="D10" s="95">
        <v>0.61458333333333337</v>
      </c>
      <c r="E10" s="94" t="s">
        <v>303</v>
      </c>
      <c r="F10" s="94" t="s">
        <v>174</v>
      </c>
      <c r="G10" s="96">
        <v>0.73740000000000006</v>
      </c>
      <c r="H10" s="97">
        <v>179</v>
      </c>
      <c r="I10" s="97">
        <v>132</v>
      </c>
      <c r="J10" s="97">
        <v>45</v>
      </c>
      <c r="K10" s="93">
        <v>45985</v>
      </c>
      <c r="L10" s="97">
        <v>2</v>
      </c>
      <c r="M10" s="97">
        <v>7</v>
      </c>
      <c r="N10" s="97">
        <v>34</v>
      </c>
      <c r="O10" s="94" t="s">
        <v>414</v>
      </c>
      <c r="P10" s="98"/>
      <c r="Q10" s="98"/>
      <c r="R10" s="98"/>
      <c r="S10" s="98"/>
      <c r="T10" s="98"/>
      <c r="U10" s="98"/>
      <c r="V10" s="98"/>
      <c r="W10" s="98"/>
      <c r="X10" s="98"/>
      <c r="Y10" s="97" t="s">
        <v>274</v>
      </c>
      <c r="Z10" s="98"/>
      <c r="AA10" s="98"/>
      <c r="AB10" s="97" t="s">
        <v>216</v>
      </c>
      <c r="AC10" s="97" t="s">
        <v>512</v>
      </c>
      <c r="AD10" s="97" t="s">
        <v>528</v>
      </c>
      <c r="AE10" s="97" t="s">
        <v>297</v>
      </c>
      <c r="AF10" s="98"/>
      <c r="AG10" s="98"/>
      <c r="AH10" s="97" t="s">
        <v>529</v>
      </c>
      <c r="AI10" s="97" t="s">
        <v>530</v>
      </c>
    </row>
    <row r="11" spans="1:35" ht="18" x14ac:dyDescent="0.3">
      <c r="A11" s="99" t="s">
        <v>197</v>
      </c>
      <c r="B11" s="100">
        <v>45988</v>
      </c>
      <c r="C11" s="101" t="s">
        <v>321</v>
      </c>
      <c r="D11" s="102">
        <v>4.8611111111111112E-2</v>
      </c>
      <c r="E11" s="101" t="s">
        <v>303</v>
      </c>
      <c r="F11" s="101" t="s">
        <v>174</v>
      </c>
      <c r="G11" s="103">
        <v>0.50280000000000002</v>
      </c>
      <c r="H11" s="104">
        <v>179</v>
      </c>
      <c r="I11" s="104">
        <v>90</v>
      </c>
      <c r="J11" s="104">
        <v>84</v>
      </c>
      <c r="K11" s="100">
        <v>45984</v>
      </c>
      <c r="L11" s="104">
        <v>0</v>
      </c>
      <c r="M11" s="104">
        <v>1</v>
      </c>
      <c r="N11" s="104">
        <v>6</v>
      </c>
      <c r="O11" s="101" t="s">
        <v>202</v>
      </c>
      <c r="P11" s="105"/>
      <c r="Q11" s="105"/>
      <c r="R11" s="105"/>
      <c r="S11" s="105"/>
      <c r="T11" s="105"/>
      <c r="U11" s="105"/>
      <c r="V11" s="105"/>
      <c r="W11" s="105"/>
      <c r="X11" s="105"/>
      <c r="Y11" s="105"/>
      <c r="Z11" s="105"/>
      <c r="AA11" s="105"/>
      <c r="AB11" s="104" t="s">
        <v>491</v>
      </c>
      <c r="AC11" s="104" t="s">
        <v>531</v>
      </c>
      <c r="AD11" s="104" t="s">
        <v>218</v>
      </c>
      <c r="AE11" s="105"/>
      <c r="AF11" s="105"/>
      <c r="AG11" s="105"/>
      <c r="AH11" s="104" t="s">
        <v>532</v>
      </c>
      <c r="AI11" s="105"/>
    </row>
    <row r="12" spans="1:35" ht="18" x14ac:dyDescent="0.3">
      <c r="A12" s="92" t="s">
        <v>197</v>
      </c>
      <c r="B12" s="93">
        <v>45988</v>
      </c>
      <c r="C12" s="94" t="s">
        <v>311</v>
      </c>
      <c r="D12" s="95">
        <v>0.1145833333333333</v>
      </c>
      <c r="E12" s="94" t="s">
        <v>303</v>
      </c>
      <c r="F12" s="94" t="s">
        <v>174</v>
      </c>
      <c r="G12" s="96">
        <v>0.29609999999999997</v>
      </c>
      <c r="H12" s="97">
        <v>179</v>
      </c>
      <c r="I12" s="97">
        <v>53</v>
      </c>
      <c r="J12" s="97">
        <v>0</v>
      </c>
      <c r="K12" s="93">
        <v>45984</v>
      </c>
      <c r="L12" s="97">
        <v>0</v>
      </c>
      <c r="M12" s="97">
        <v>1</v>
      </c>
      <c r="N12" s="97">
        <v>24</v>
      </c>
      <c r="O12" s="94" t="s">
        <v>202</v>
      </c>
      <c r="P12" s="98"/>
      <c r="Q12" s="98"/>
      <c r="R12" s="98"/>
      <c r="S12" s="98"/>
      <c r="T12" s="98"/>
      <c r="U12" s="98"/>
      <c r="V12" s="98"/>
      <c r="W12" s="98"/>
      <c r="X12" s="98"/>
      <c r="Y12" s="97" t="s">
        <v>506</v>
      </c>
      <c r="Z12" s="98"/>
      <c r="AA12" s="98"/>
      <c r="AB12" s="98"/>
      <c r="AC12" s="97" t="s">
        <v>217</v>
      </c>
      <c r="AD12" s="97" t="s">
        <v>513</v>
      </c>
      <c r="AE12" s="97" t="s">
        <v>533</v>
      </c>
      <c r="AF12" s="98"/>
      <c r="AG12" s="98"/>
      <c r="AH12" s="98"/>
      <c r="AI12" s="98"/>
    </row>
    <row r="13" spans="1:35" ht="18" x14ac:dyDescent="0.3">
      <c r="A13" s="99" t="s">
        <v>197</v>
      </c>
      <c r="B13" s="100">
        <v>45988</v>
      </c>
      <c r="C13" s="101" t="s">
        <v>435</v>
      </c>
      <c r="D13" s="102">
        <v>0.25347222222222221</v>
      </c>
      <c r="E13" s="101" t="s">
        <v>303</v>
      </c>
      <c r="F13" s="101" t="s">
        <v>174</v>
      </c>
      <c r="G13" s="103">
        <v>0.3911</v>
      </c>
      <c r="H13" s="104">
        <v>179</v>
      </c>
      <c r="I13" s="104">
        <v>70</v>
      </c>
      <c r="J13" s="104">
        <v>29</v>
      </c>
      <c r="K13" s="100">
        <v>45984</v>
      </c>
      <c r="L13" s="104">
        <v>0</v>
      </c>
      <c r="M13" s="104">
        <v>11</v>
      </c>
      <c r="N13" s="104">
        <v>33</v>
      </c>
      <c r="O13" s="101" t="s">
        <v>436</v>
      </c>
      <c r="P13" s="105"/>
      <c r="Q13" s="105"/>
      <c r="R13" s="105"/>
      <c r="S13" s="105"/>
      <c r="T13" s="105"/>
      <c r="U13" s="105"/>
      <c r="V13" s="105"/>
      <c r="W13" s="105"/>
      <c r="X13" s="105"/>
      <c r="Y13" s="105"/>
      <c r="Z13" s="105"/>
      <c r="AA13" s="105"/>
      <c r="AB13" s="105"/>
      <c r="AC13" s="105"/>
      <c r="AD13" s="105"/>
      <c r="AE13" s="104" t="s">
        <v>534</v>
      </c>
      <c r="AF13" s="104" t="s">
        <v>535</v>
      </c>
      <c r="AG13" s="105"/>
      <c r="AH13" s="105"/>
      <c r="AI13" s="104" t="s">
        <v>204</v>
      </c>
    </row>
    <row r="14" spans="1:35" ht="18" x14ac:dyDescent="0.3">
      <c r="A14" s="92" t="s">
        <v>197</v>
      </c>
      <c r="B14" s="93">
        <v>45988</v>
      </c>
      <c r="C14" s="94" t="s">
        <v>316</v>
      </c>
      <c r="D14" s="95">
        <v>0.33333333333333331</v>
      </c>
      <c r="E14" s="94" t="s">
        <v>303</v>
      </c>
      <c r="F14" s="94" t="s">
        <v>174</v>
      </c>
      <c r="G14" s="96">
        <v>0.81010000000000004</v>
      </c>
      <c r="H14" s="97">
        <v>179</v>
      </c>
      <c r="I14" s="97">
        <v>145</v>
      </c>
      <c r="J14" s="97">
        <v>132</v>
      </c>
      <c r="K14" s="93">
        <v>45982</v>
      </c>
      <c r="L14" s="97">
        <v>0</v>
      </c>
      <c r="M14" s="97">
        <v>0</v>
      </c>
      <c r="N14" s="97">
        <v>2</v>
      </c>
      <c r="O14" s="94" t="s">
        <v>440</v>
      </c>
      <c r="P14" s="98"/>
      <c r="Q14" s="98"/>
      <c r="R14" s="98"/>
      <c r="S14" s="98"/>
      <c r="T14" s="98"/>
      <c r="U14" s="98"/>
      <c r="V14" s="98"/>
      <c r="W14" s="98"/>
      <c r="X14" s="98"/>
      <c r="Y14" s="97" t="s">
        <v>200</v>
      </c>
      <c r="Z14" s="98"/>
      <c r="AA14" s="98"/>
      <c r="AB14" s="98"/>
      <c r="AC14" s="98"/>
      <c r="AD14" s="97" t="s">
        <v>414</v>
      </c>
      <c r="AE14" s="97" t="s">
        <v>187</v>
      </c>
      <c r="AF14" s="98"/>
      <c r="AG14" s="98"/>
      <c r="AH14" s="97" t="s">
        <v>536</v>
      </c>
      <c r="AI14" s="98"/>
    </row>
    <row r="15" spans="1:35" ht="18" x14ac:dyDescent="0.3">
      <c r="A15" s="99" t="s">
        <v>197</v>
      </c>
      <c r="B15" s="100">
        <v>45988</v>
      </c>
      <c r="C15" s="101" t="s">
        <v>431</v>
      </c>
      <c r="D15" s="102">
        <v>0.36458333333333331</v>
      </c>
      <c r="E15" s="101" t="s">
        <v>303</v>
      </c>
      <c r="F15" s="101" t="s">
        <v>174</v>
      </c>
      <c r="G15" s="103">
        <v>0.32400000000000001</v>
      </c>
      <c r="H15" s="104">
        <v>179</v>
      </c>
      <c r="I15" s="104">
        <v>58</v>
      </c>
      <c r="J15" s="104">
        <v>0</v>
      </c>
      <c r="K15" s="100">
        <v>45985</v>
      </c>
      <c r="L15" s="104">
        <v>2</v>
      </c>
      <c r="M15" s="104">
        <v>4</v>
      </c>
      <c r="N15" s="104">
        <v>36</v>
      </c>
      <c r="O15" s="101" t="s">
        <v>432</v>
      </c>
      <c r="P15" s="105"/>
      <c r="Q15" s="105"/>
      <c r="R15" s="105"/>
      <c r="S15" s="105"/>
      <c r="T15" s="105"/>
      <c r="U15" s="105"/>
      <c r="V15" s="105"/>
      <c r="W15" s="105"/>
      <c r="X15" s="105"/>
      <c r="Y15" s="104" t="s">
        <v>200</v>
      </c>
      <c r="Z15" s="105"/>
      <c r="AA15" s="105"/>
      <c r="AB15" s="105"/>
      <c r="AC15" s="105"/>
      <c r="AD15" s="104" t="s">
        <v>488</v>
      </c>
      <c r="AE15" s="104" t="s">
        <v>537</v>
      </c>
      <c r="AF15" s="105"/>
      <c r="AG15" s="105"/>
      <c r="AH15" s="105"/>
      <c r="AI15" s="105"/>
    </row>
    <row r="16" spans="1:35" ht="18" x14ac:dyDescent="0.3">
      <c r="A16" s="92" t="s">
        <v>197</v>
      </c>
      <c r="B16" s="93">
        <v>45988</v>
      </c>
      <c r="C16" s="94" t="s">
        <v>331</v>
      </c>
      <c r="D16" s="95">
        <v>0.58333333333333337</v>
      </c>
      <c r="E16" s="94" t="s">
        <v>303</v>
      </c>
      <c r="F16" s="94" t="s">
        <v>174</v>
      </c>
      <c r="G16" s="96">
        <v>0.96650000000000003</v>
      </c>
      <c r="H16" s="97">
        <v>179</v>
      </c>
      <c r="I16" s="97">
        <v>173</v>
      </c>
      <c r="J16" s="97">
        <v>89</v>
      </c>
      <c r="K16" s="93">
        <v>45984</v>
      </c>
      <c r="L16" s="97">
        <v>0</v>
      </c>
      <c r="M16" s="97">
        <v>16</v>
      </c>
      <c r="N16" s="97">
        <v>54</v>
      </c>
      <c r="O16" s="94" t="s">
        <v>442</v>
      </c>
      <c r="P16" s="98"/>
      <c r="Q16" s="98"/>
      <c r="R16" s="98"/>
      <c r="S16" s="98"/>
      <c r="T16" s="98"/>
      <c r="U16" s="98"/>
      <c r="V16" s="98"/>
      <c r="W16" s="98"/>
      <c r="X16" s="98"/>
      <c r="Y16" s="97" t="s">
        <v>213</v>
      </c>
      <c r="Z16" s="98"/>
      <c r="AA16" s="98"/>
      <c r="AB16" s="98"/>
      <c r="AC16" s="97" t="s">
        <v>538</v>
      </c>
      <c r="AD16" s="97" t="s">
        <v>539</v>
      </c>
      <c r="AE16" s="97" t="s">
        <v>540</v>
      </c>
      <c r="AF16" s="98"/>
      <c r="AG16" s="98"/>
      <c r="AH16" s="97" t="s">
        <v>541</v>
      </c>
      <c r="AI16" s="98"/>
    </row>
    <row r="17" spans="1:35" ht="18" x14ac:dyDescent="0.3">
      <c r="A17" s="99" t="s">
        <v>197</v>
      </c>
      <c r="B17" s="100">
        <v>45988</v>
      </c>
      <c r="C17" s="101" t="s">
        <v>329</v>
      </c>
      <c r="D17" s="102">
        <v>0.73958333333333337</v>
      </c>
      <c r="E17" s="101" t="s">
        <v>303</v>
      </c>
      <c r="F17" s="101" t="s">
        <v>174</v>
      </c>
      <c r="G17" s="103">
        <v>0.70389999999999997</v>
      </c>
      <c r="H17" s="104">
        <v>179</v>
      </c>
      <c r="I17" s="104">
        <v>126</v>
      </c>
      <c r="J17" s="104">
        <v>44</v>
      </c>
      <c r="K17" s="100">
        <v>45984</v>
      </c>
      <c r="L17" s="104">
        <v>0</v>
      </c>
      <c r="M17" s="104">
        <v>2</v>
      </c>
      <c r="N17" s="104">
        <v>53</v>
      </c>
      <c r="O17" s="101" t="s">
        <v>322</v>
      </c>
      <c r="P17" s="105"/>
      <c r="Q17" s="105"/>
      <c r="R17" s="105"/>
      <c r="S17" s="105"/>
      <c r="T17" s="105"/>
      <c r="U17" s="105"/>
      <c r="V17" s="105"/>
      <c r="W17" s="105"/>
      <c r="X17" s="105"/>
      <c r="Y17" s="104" t="s">
        <v>200</v>
      </c>
      <c r="Z17" s="105"/>
      <c r="AA17" s="105"/>
      <c r="AB17" s="105"/>
      <c r="AC17" s="104" t="s">
        <v>217</v>
      </c>
      <c r="AD17" s="104" t="s">
        <v>301</v>
      </c>
      <c r="AE17" s="104" t="s">
        <v>542</v>
      </c>
      <c r="AF17" s="104" t="s">
        <v>177</v>
      </c>
      <c r="AG17" s="105"/>
      <c r="AH17" s="105"/>
      <c r="AI17" s="104" t="s">
        <v>530</v>
      </c>
    </row>
    <row r="18" spans="1:35" ht="18" x14ac:dyDescent="0.3">
      <c r="A18" s="92" t="s">
        <v>543</v>
      </c>
      <c r="B18" s="93">
        <v>45989</v>
      </c>
      <c r="C18" s="94" t="s">
        <v>321</v>
      </c>
      <c r="D18" s="95">
        <v>0.1145833333333333</v>
      </c>
      <c r="E18" s="94" t="s">
        <v>303</v>
      </c>
      <c r="F18" s="94" t="s">
        <v>174</v>
      </c>
      <c r="G18" s="96">
        <v>0.35749999999999998</v>
      </c>
      <c r="H18" s="97">
        <v>179</v>
      </c>
      <c r="I18" s="97">
        <v>64</v>
      </c>
      <c r="J18" s="97">
        <v>0</v>
      </c>
      <c r="K18" s="93">
        <v>45984</v>
      </c>
      <c r="L18" s="97">
        <v>0</v>
      </c>
      <c r="M18" s="97">
        <v>8</v>
      </c>
      <c r="N18" s="97">
        <v>35</v>
      </c>
      <c r="O18" s="94" t="s">
        <v>432</v>
      </c>
      <c r="P18" s="98"/>
      <c r="Q18" s="97" t="s">
        <v>229</v>
      </c>
      <c r="R18" s="98"/>
      <c r="S18" s="98"/>
      <c r="T18" s="98"/>
      <c r="U18" s="98"/>
      <c r="V18" s="98"/>
      <c r="W18" s="98"/>
      <c r="X18" s="98"/>
      <c r="Y18" s="98"/>
      <c r="Z18" s="98"/>
      <c r="AA18" s="98"/>
      <c r="AB18" s="98"/>
      <c r="AC18" s="97" t="s">
        <v>217</v>
      </c>
      <c r="AD18" s="97" t="s">
        <v>202</v>
      </c>
      <c r="AE18" s="97" t="s">
        <v>544</v>
      </c>
      <c r="AF18" s="98"/>
      <c r="AG18" s="98"/>
      <c r="AH18" s="98"/>
      <c r="AI18" s="98"/>
    </row>
    <row r="19" spans="1:35" ht="18" x14ac:dyDescent="0.3">
      <c r="A19" s="99" t="s">
        <v>543</v>
      </c>
      <c r="B19" s="100">
        <v>45989</v>
      </c>
      <c r="C19" s="101" t="s">
        <v>316</v>
      </c>
      <c r="D19" s="102">
        <v>0.31944444444444448</v>
      </c>
      <c r="E19" s="101" t="s">
        <v>303</v>
      </c>
      <c r="F19" s="101" t="s">
        <v>174</v>
      </c>
      <c r="G19" s="103">
        <v>0.35199999999999998</v>
      </c>
      <c r="H19" s="104">
        <v>179</v>
      </c>
      <c r="I19" s="104">
        <v>63</v>
      </c>
      <c r="J19" s="104">
        <v>1</v>
      </c>
      <c r="K19" s="100">
        <v>45984</v>
      </c>
      <c r="L19" s="104">
        <v>0</v>
      </c>
      <c r="M19" s="104">
        <v>5</v>
      </c>
      <c r="N19" s="104">
        <v>33</v>
      </c>
      <c r="O19" s="101" t="s">
        <v>432</v>
      </c>
      <c r="P19" s="105"/>
      <c r="Q19" s="105"/>
      <c r="R19" s="105"/>
      <c r="S19" s="105"/>
      <c r="T19" s="105"/>
      <c r="U19" s="105"/>
      <c r="V19" s="105"/>
      <c r="W19" s="105"/>
      <c r="X19" s="105"/>
      <c r="Y19" s="104" t="s">
        <v>545</v>
      </c>
      <c r="Z19" s="105"/>
      <c r="AA19" s="105"/>
      <c r="AB19" s="105"/>
      <c r="AC19" s="105"/>
      <c r="AD19" s="104" t="s">
        <v>202</v>
      </c>
      <c r="AE19" s="104" t="s">
        <v>544</v>
      </c>
      <c r="AF19" s="105"/>
      <c r="AG19" s="105"/>
      <c r="AH19" s="104" t="s">
        <v>546</v>
      </c>
      <c r="AI19" s="105"/>
    </row>
    <row r="20" spans="1:35" ht="18" x14ac:dyDescent="0.3">
      <c r="A20" s="92" t="s">
        <v>543</v>
      </c>
      <c r="B20" s="93">
        <v>45989</v>
      </c>
      <c r="C20" s="94" t="s">
        <v>331</v>
      </c>
      <c r="D20" s="95">
        <v>0.45833333333333331</v>
      </c>
      <c r="E20" s="94" t="s">
        <v>303</v>
      </c>
      <c r="F20" s="94" t="s">
        <v>174</v>
      </c>
      <c r="G20" s="96">
        <v>0.55310000000000004</v>
      </c>
      <c r="H20" s="97">
        <v>179</v>
      </c>
      <c r="I20" s="97">
        <v>99</v>
      </c>
      <c r="J20" s="97">
        <v>39</v>
      </c>
      <c r="K20" s="93">
        <v>45985</v>
      </c>
      <c r="L20" s="97">
        <v>1</v>
      </c>
      <c r="M20" s="97">
        <v>14</v>
      </c>
      <c r="N20" s="97">
        <v>46</v>
      </c>
      <c r="O20" s="94" t="s">
        <v>176</v>
      </c>
      <c r="P20" s="98"/>
      <c r="Q20" s="98"/>
      <c r="R20" s="98"/>
      <c r="S20" s="98"/>
      <c r="T20" s="98"/>
      <c r="U20" s="98"/>
      <c r="V20" s="98"/>
      <c r="W20" s="98"/>
      <c r="X20" s="98"/>
      <c r="Y20" s="97" t="s">
        <v>200</v>
      </c>
      <c r="Z20" s="98"/>
      <c r="AA20" s="98"/>
      <c r="AB20" s="98"/>
      <c r="AC20" s="98"/>
      <c r="AD20" s="97" t="s">
        <v>547</v>
      </c>
      <c r="AE20" s="97" t="s">
        <v>534</v>
      </c>
      <c r="AF20" s="98"/>
      <c r="AG20" s="98"/>
      <c r="AH20" s="97" t="s">
        <v>548</v>
      </c>
      <c r="AI20" s="98"/>
    </row>
    <row r="21" spans="1:35" ht="18" x14ac:dyDescent="0.3">
      <c r="A21" s="99" t="s">
        <v>543</v>
      </c>
      <c r="B21" s="100">
        <v>45989</v>
      </c>
      <c r="C21" s="101" t="s">
        <v>329</v>
      </c>
      <c r="D21" s="102">
        <v>0.61458333333333337</v>
      </c>
      <c r="E21" s="101" t="s">
        <v>303</v>
      </c>
      <c r="F21" s="101" t="s">
        <v>174</v>
      </c>
      <c r="G21" s="103">
        <v>0.78210000000000002</v>
      </c>
      <c r="H21" s="104">
        <v>179</v>
      </c>
      <c r="I21" s="104">
        <v>140</v>
      </c>
      <c r="J21" s="104">
        <v>68</v>
      </c>
      <c r="K21" s="100">
        <v>45985</v>
      </c>
      <c r="L21" s="104">
        <v>1</v>
      </c>
      <c r="M21" s="104">
        <v>8</v>
      </c>
      <c r="N21" s="104">
        <v>48</v>
      </c>
      <c r="O21" s="101" t="s">
        <v>202</v>
      </c>
      <c r="P21" s="105"/>
      <c r="Q21" s="105"/>
      <c r="R21" s="105"/>
      <c r="S21" s="105"/>
      <c r="T21" s="105"/>
      <c r="U21" s="105"/>
      <c r="V21" s="105"/>
      <c r="W21" s="104" t="s">
        <v>175</v>
      </c>
      <c r="X21" s="104" t="s">
        <v>549</v>
      </c>
      <c r="Y21" s="104" t="s">
        <v>200</v>
      </c>
      <c r="Z21" s="105"/>
      <c r="AA21" s="105"/>
      <c r="AB21" s="105"/>
      <c r="AC21" s="104" t="s">
        <v>538</v>
      </c>
      <c r="AD21" s="104" t="s">
        <v>550</v>
      </c>
      <c r="AE21" s="104" t="s">
        <v>297</v>
      </c>
      <c r="AF21" s="105"/>
      <c r="AG21" s="105"/>
      <c r="AH21" s="104" t="s">
        <v>551</v>
      </c>
      <c r="AI21" s="105"/>
    </row>
    <row r="22" spans="1:35" ht="18" x14ac:dyDescent="0.3">
      <c r="A22" s="92" t="s">
        <v>543</v>
      </c>
      <c r="B22" s="93">
        <v>45989</v>
      </c>
      <c r="C22" s="94" t="s">
        <v>311</v>
      </c>
      <c r="D22" s="95">
        <v>0.73611111111111116</v>
      </c>
      <c r="E22" s="94" t="s">
        <v>303</v>
      </c>
      <c r="F22" s="94" t="s">
        <v>174</v>
      </c>
      <c r="G22" s="96">
        <v>0.56979999999999997</v>
      </c>
      <c r="H22" s="97">
        <v>179</v>
      </c>
      <c r="I22" s="97">
        <v>102</v>
      </c>
      <c r="J22" s="97">
        <v>2</v>
      </c>
      <c r="K22" s="93">
        <v>45984</v>
      </c>
      <c r="L22" s="97">
        <v>0</v>
      </c>
      <c r="M22" s="97">
        <v>6</v>
      </c>
      <c r="N22" s="97">
        <v>63</v>
      </c>
      <c r="O22" s="94" t="s">
        <v>463</v>
      </c>
      <c r="P22" s="98"/>
      <c r="Q22" s="98"/>
      <c r="R22" s="98"/>
      <c r="S22" s="98"/>
      <c r="T22" s="98"/>
      <c r="U22" s="98"/>
      <c r="V22" s="98"/>
      <c r="W22" s="98"/>
      <c r="X22" s="98"/>
      <c r="Y22" s="97" t="s">
        <v>213</v>
      </c>
      <c r="Z22" s="98"/>
      <c r="AA22" s="98"/>
      <c r="AB22" s="98"/>
      <c r="AC22" s="97" t="s">
        <v>552</v>
      </c>
      <c r="AD22" s="97" t="s">
        <v>553</v>
      </c>
      <c r="AE22" s="97" t="s">
        <v>554</v>
      </c>
      <c r="AF22" s="98"/>
      <c r="AG22" s="98"/>
      <c r="AH22" s="97" t="s">
        <v>555</v>
      </c>
      <c r="AI22" s="97" t="s">
        <v>530</v>
      </c>
    </row>
    <row r="23" spans="1:35" ht="18" x14ac:dyDescent="0.3">
      <c r="A23" s="99" t="s">
        <v>543</v>
      </c>
      <c r="B23" s="100">
        <v>45989</v>
      </c>
      <c r="C23" s="101" t="s">
        <v>326</v>
      </c>
      <c r="D23" s="102">
        <v>0.9375</v>
      </c>
      <c r="E23" s="101" t="s">
        <v>303</v>
      </c>
      <c r="F23" s="101" t="s">
        <v>174</v>
      </c>
      <c r="G23" s="103">
        <v>0.9385</v>
      </c>
      <c r="H23" s="104">
        <v>179</v>
      </c>
      <c r="I23" s="104">
        <v>168</v>
      </c>
      <c r="J23" s="104">
        <v>114</v>
      </c>
      <c r="K23" s="100">
        <v>45984</v>
      </c>
      <c r="L23" s="104">
        <v>0</v>
      </c>
      <c r="M23" s="104">
        <v>2</v>
      </c>
      <c r="N23" s="104">
        <v>8</v>
      </c>
      <c r="O23" s="101" t="s">
        <v>133</v>
      </c>
      <c r="P23" s="105"/>
      <c r="Q23" s="105"/>
      <c r="R23" s="105"/>
      <c r="S23" s="105"/>
      <c r="T23" s="105"/>
      <c r="U23" s="105"/>
      <c r="V23" s="105"/>
      <c r="W23" s="105"/>
      <c r="X23" s="105"/>
      <c r="Y23" s="104" t="s">
        <v>506</v>
      </c>
      <c r="Z23" s="104" t="s">
        <v>556</v>
      </c>
      <c r="AA23" s="105"/>
      <c r="AB23" s="105"/>
      <c r="AC23" s="104" t="s">
        <v>557</v>
      </c>
      <c r="AD23" s="104" t="s">
        <v>558</v>
      </c>
      <c r="AE23" s="104" t="s">
        <v>187</v>
      </c>
      <c r="AF23" s="105"/>
      <c r="AG23" s="105"/>
      <c r="AH23" s="104" t="s">
        <v>178</v>
      </c>
      <c r="AI23" s="105"/>
    </row>
    <row r="24" spans="1:35" ht="18" x14ac:dyDescent="0.3">
      <c r="A24" s="92" t="s">
        <v>205</v>
      </c>
      <c r="B24" s="93">
        <v>45990</v>
      </c>
      <c r="C24" s="94" t="s">
        <v>435</v>
      </c>
      <c r="D24" s="95">
        <v>0.2361111111111111</v>
      </c>
      <c r="E24" s="94" t="s">
        <v>303</v>
      </c>
      <c r="F24" s="94" t="s">
        <v>174</v>
      </c>
      <c r="G24" s="96">
        <v>0.82679999999999998</v>
      </c>
      <c r="H24" s="97">
        <v>179</v>
      </c>
      <c r="I24" s="97">
        <v>148</v>
      </c>
      <c r="J24" s="97">
        <v>73</v>
      </c>
      <c r="K24" s="93">
        <v>45984</v>
      </c>
      <c r="L24" s="97">
        <v>0</v>
      </c>
      <c r="M24" s="97">
        <v>14</v>
      </c>
      <c r="N24" s="97">
        <v>95</v>
      </c>
      <c r="O24" s="94" t="s">
        <v>194</v>
      </c>
      <c r="P24" s="98"/>
      <c r="Q24" s="98"/>
      <c r="R24" s="98"/>
      <c r="S24" s="98"/>
      <c r="T24" s="98"/>
      <c r="U24" s="98"/>
      <c r="V24" s="98"/>
      <c r="W24" s="98"/>
      <c r="X24" s="98"/>
      <c r="Y24" s="97" t="s">
        <v>274</v>
      </c>
      <c r="Z24" s="97" t="s">
        <v>525</v>
      </c>
      <c r="AA24" s="98"/>
      <c r="AB24" s="97" t="s">
        <v>192</v>
      </c>
      <c r="AC24" s="97" t="s">
        <v>522</v>
      </c>
      <c r="AD24" s="97" t="s">
        <v>559</v>
      </c>
      <c r="AE24" s="97" t="s">
        <v>297</v>
      </c>
      <c r="AF24" s="98"/>
      <c r="AG24" s="98"/>
      <c r="AH24" s="97" t="s">
        <v>560</v>
      </c>
      <c r="AI24" s="98"/>
    </row>
    <row r="25" spans="1:35" ht="18" x14ac:dyDescent="0.3">
      <c r="A25" s="99" t="s">
        <v>205</v>
      </c>
      <c r="B25" s="100">
        <v>45990</v>
      </c>
      <c r="C25" s="101" t="s">
        <v>316</v>
      </c>
      <c r="D25" s="102">
        <v>0.33333333333333331</v>
      </c>
      <c r="E25" s="101" t="s">
        <v>303</v>
      </c>
      <c r="F25" s="101" t="s">
        <v>174</v>
      </c>
      <c r="G25" s="103">
        <v>0.91620000000000001</v>
      </c>
      <c r="H25" s="104">
        <v>179</v>
      </c>
      <c r="I25" s="104">
        <v>164</v>
      </c>
      <c r="J25" s="104">
        <v>98</v>
      </c>
      <c r="K25" s="100">
        <v>45984</v>
      </c>
      <c r="L25" s="104">
        <v>0</v>
      </c>
      <c r="M25" s="104">
        <v>9</v>
      </c>
      <c r="N25" s="104">
        <v>34</v>
      </c>
      <c r="O25" s="101" t="s">
        <v>463</v>
      </c>
      <c r="P25" s="105"/>
      <c r="Q25" s="105"/>
      <c r="R25" s="105"/>
      <c r="S25" s="105"/>
      <c r="T25" s="105"/>
      <c r="U25" s="105"/>
      <c r="V25" s="105"/>
      <c r="W25" s="105"/>
      <c r="X25" s="105"/>
      <c r="Y25" s="104" t="s">
        <v>545</v>
      </c>
      <c r="Z25" s="105"/>
      <c r="AA25" s="105"/>
      <c r="AB25" s="104" t="s">
        <v>491</v>
      </c>
      <c r="AC25" s="104" t="s">
        <v>185</v>
      </c>
      <c r="AD25" s="104" t="s">
        <v>516</v>
      </c>
      <c r="AE25" s="104" t="s">
        <v>297</v>
      </c>
      <c r="AF25" s="104" t="s">
        <v>561</v>
      </c>
      <c r="AG25" s="105"/>
      <c r="AH25" s="104" t="s">
        <v>562</v>
      </c>
      <c r="AI25" s="105"/>
    </row>
    <row r="26" spans="1:35" ht="18" x14ac:dyDescent="0.3">
      <c r="A26" s="92" t="s">
        <v>205</v>
      </c>
      <c r="B26" s="93">
        <v>45990</v>
      </c>
      <c r="C26" s="94" t="s">
        <v>331</v>
      </c>
      <c r="D26" s="95">
        <v>0.68055555555555547</v>
      </c>
      <c r="E26" s="94" t="s">
        <v>303</v>
      </c>
      <c r="F26" s="94" t="s">
        <v>174</v>
      </c>
      <c r="G26" s="96">
        <v>0.90500000000000003</v>
      </c>
      <c r="H26" s="97">
        <v>179</v>
      </c>
      <c r="I26" s="97">
        <v>162</v>
      </c>
      <c r="J26" s="97">
        <v>107</v>
      </c>
      <c r="K26" s="93">
        <v>45984</v>
      </c>
      <c r="L26" s="97">
        <v>0</v>
      </c>
      <c r="M26" s="97">
        <v>7</v>
      </c>
      <c r="N26" s="97">
        <v>45</v>
      </c>
      <c r="O26" s="94" t="s">
        <v>201</v>
      </c>
      <c r="P26" s="98"/>
      <c r="Q26" s="98"/>
      <c r="R26" s="98"/>
      <c r="S26" s="98"/>
      <c r="T26" s="98"/>
      <c r="U26" s="98"/>
      <c r="V26" s="98"/>
      <c r="W26" s="98"/>
      <c r="X26" s="98"/>
      <c r="Y26" s="97" t="s">
        <v>200</v>
      </c>
      <c r="Z26" s="98"/>
      <c r="AA26" s="97" t="s">
        <v>563</v>
      </c>
      <c r="AB26" s="97" t="s">
        <v>285</v>
      </c>
      <c r="AC26" s="97" t="s">
        <v>518</v>
      </c>
      <c r="AD26" s="97" t="s">
        <v>558</v>
      </c>
      <c r="AE26" s="98"/>
      <c r="AF26" s="98"/>
      <c r="AG26" s="98"/>
      <c r="AH26" s="97" t="s">
        <v>564</v>
      </c>
      <c r="AI26" s="97" t="s">
        <v>565</v>
      </c>
    </row>
    <row r="27" spans="1:35" ht="18" x14ac:dyDescent="0.3">
      <c r="A27" s="99" t="s">
        <v>211</v>
      </c>
      <c r="B27" s="100">
        <v>45991</v>
      </c>
      <c r="C27" s="101" t="s">
        <v>321</v>
      </c>
      <c r="D27" s="102">
        <v>8.3333333333333329E-2</v>
      </c>
      <c r="E27" s="101" t="s">
        <v>303</v>
      </c>
      <c r="F27" s="101" t="s">
        <v>174</v>
      </c>
      <c r="G27" s="103">
        <v>0.67600000000000005</v>
      </c>
      <c r="H27" s="104">
        <v>179</v>
      </c>
      <c r="I27" s="104">
        <v>121</v>
      </c>
      <c r="J27" s="104">
        <v>95</v>
      </c>
      <c r="K27" s="100">
        <v>45985</v>
      </c>
      <c r="L27" s="104">
        <v>2</v>
      </c>
      <c r="M27" s="104">
        <v>2</v>
      </c>
      <c r="N27" s="104">
        <v>10</v>
      </c>
      <c r="O27" s="101" t="s">
        <v>202</v>
      </c>
      <c r="P27" s="105"/>
      <c r="Q27" s="105"/>
      <c r="R27" s="105"/>
      <c r="S27" s="105"/>
      <c r="T27" s="105"/>
      <c r="U27" s="105"/>
      <c r="V27" s="105"/>
      <c r="W27" s="105"/>
      <c r="X27" s="105"/>
      <c r="Y27" s="104" t="s">
        <v>274</v>
      </c>
      <c r="Z27" s="104" t="s">
        <v>510</v>
      </c>
      <c r="AA27" s="105"/>
      <c r="AB27" s="104" t="s">
        <v>192</v>
      </c>
      <c r="AC27" s="104" t="s">
        <v>185</v>
      </c>
      <c r="AD27" s="104" t="s">
        <v>194</v>
      </c>
      <c r="AE27" s="104" t="s">
        <v>312</v>
      </c>
      <c r="AF27" s="105"/>
      <c r="AG27" s="105"/>
      <c r="AH27" s="104" t="s">
        <v>562</v>
      </c>
      <c r="AI27" s="105"/>
    </row>
    <row r="28" spans="1:35" ht="18" x14ac:dyDescent="0.3">
      <c r="A28" s="92" t="s">
        <v>211</v>
      </c>
      <c r="B28" s="93">
        <v>45991</v>
      </c>
      <c r="C28" s="94" t="s">
        <v>316</v>
      </c>
      <c r="D28" s="95">
        <v>0.31944444444444448</v>
      </c>
      <c r="E28" s="94" t="s">
        <v>303</v>
      </c>
      <c r="F28" s="94" t="s">
        <v>174</v>
      </c>
      <c r="G28" s="96">
        <v>0.76539999999999997</v>
      </c>
      <c r="H28" s="97">
        <v>179</v>
      </c>
      <c r="I28" s="97">
        <v>137</v>
      </c>
      <c r="J28" s="97">
        <v>47</v>
      </c>
      <c r="K28" s="93">
        <v>45984</v>
      </c>
      <c r="L28" s="97">
        <v>0</v>
      </c>
      <c r="M28" s="97">
        <v>1</v>
      </c>
      <c r="N28" s="97">
        <v>59</v>
      </c>
      <c r="O28" s="94" t="s">
        <v>488</v>
      </c>
      <c r="P28" s="98"/>
      <c r="Q28" s="98"/>
      <c r="R28" s="98"/>
      <c r="S28" s="98"/>
      <c r="T28" s="98"/>
      <c r="U28" s="98"/>
      <c r="V28" s="98"/>
      <c r="W28" s="98"/>
      <c r="X28" s="98"/>
      <c r="Y28" s="97" t="s">
        <v>274</v>
      </c>
      <c r="Z28" s="98"/>
      <c r="AA28" s="98"/>
      <c r="AB28" s="98"/>
      <c r="AC28" s="97" t="s">
        <v>217</v>
      </c>
      <c r="AD28" s="97" t="s">
        <v>566</v>
      </c>
      <c r="AE28" s="97" t="s">
        <v>540</v>
      </c>
      <c r="AF28" s="98"/>
      <c r="AG28" s="98"/>
      <c r="AH28" s="97" t="s">
        <v>567</v>
      </c>
      <c r="AI28" s="98"/>
    </row>
    <row r="29" spans="1:35" ht="18" x14ac:dyDescent="0.3">
      <c r="A29" s="99" t="s">
        <v>211</v>
      </c>
      <c r="B29" s="100">
        <v>45991</v>
      </c>
      <c r="C29" s="101" t="s">
        <v>431</v>
      </c>
      <c r="D29" s="102">
        <v>0.33333333333333331</v>
      </c>
      <c r="E29" s="101" t="s">
        <v>303</v>
      </c>
      <c r="F29" s="101" t="s">
        <v>174</v>
      </c>
      <c r="G29" s="103">
        <v>0.625</v>
      </c>
      <c r="H29" s="104">
        <v>168</v>
      </c>
      <c r="I29" s="104">
        <v>105</v>
      </c>
      <c r="J29" s="104">
        <v>83</v>
      </c>
      <c r="K29" s="100">
        <v>45984</v>
      </c>
      <c r="L29" s="104">
        <v>0</v>
      </c>
      <c r="M29" s="104">
        <v>3</v>
      </c>
      <c r="N29" s="104">
        <v>6</v>
      </c>
      <c r="O29" s="101" t="s">
        <v>202</v>
      </c>
      <c r="P29" s="105"/>
      <c r="Q29" s="105"/>
      <c r="R29" s="105"/>
      <c r="S29" s="105"/>
      <c r="T29" s="105"/>
      <c r="U29" s="105"/>
      <c r="V29" s="105"/>
      <c r="W29" s="105"/>
      <c r="X29" s="105"/>
      <c r="Y29" s="105"/>
      <c r="Z29" s="105"/>
      <c r="AA29" s="105"/>
      <c r="AB29" s="105"/>
      <c r="AC29" s="104" t="s">
        <v>217</v>
      </c>
      <c r="AD29" s="104" t="s">
        <v>568</v>
      </c>
      <c r="AE29" s="104" t="s">
        <v>569</v>
      </c>
      <c r="AF29" s="105"/>
      <c r="AG29" s="105"/>
      <c r="AH29" s="104" t="s">
        <v>570</v>
      </c>
      <c r="AI29" s="105"/>
    </row>
    <row r="30" spans="1:35" ht="18" x14ac:dyDescent="0.3">
      <c r="A30" s="92" t="s">
        <v>211</v>
      </c>
      <c r="B30" s="93">
        <v>45991</v>
      </c>
      <c r="C30" s="94" t="s">
        <v>326</v>
      </c>
      <c r="D30" s="95">
        <v>0.51041666666666663</v>
      </c>
      <c r="E30" s="94" t="s">
        <v>303</v>
      </c>
      <c r="F30" s="94" t="s">
        <v>174</v>
      </c>
      <c r="G30" s="96">
        <v>0.93300000000000005</v>
      </c>
      <c r="H30" s="97">
        <v>179</v>
      </c>
      <c r="I30" s="97">
        <v>167</v>
      </c>
      <c r="J30" s="97">
        <v>157</v>
      </c>
      <c r="K30" s="93">
        <v>45983</v>
      </c>
      <c r="L30" s="97">
        <v>0</v>
      </c>
      <c r="M30" s="97">
        <v>0</v>
      </c>
      <c r="N30" s="97">
        <v>5</v>
      </c>
      <c r="O30" s="94" t="s">
        <v>491</v>
      </c>
      <c r="P30" s="98"/>
      <c r="Q30" s="98"/>
      <c r="R30" s="98"/>
      <c r="S30" s="98"/>
      <c r="T30" s="98"/>
      <c r="U30" s="98"/>
      <c r="V30" s="98"/>
      <c r="W30" s="98"/>
      <c r="X30" s="98"/>
      <c r="Y30" s="98"/>
      <c r="Z30" s="98"/>
      <c r="AA30" s="98"/>
      <c r="AB30" s="97" t="s">
        <v>571</v>
      </c>
      <c r="AC30" s="98"/>
      <c r="AD30" s="97" t="s">
        <v>442</v>
      </c>
      <c r="AE30" s="97" t="s">
        <v>569</v>
      </c>
      <c r="AF30" s="98"/>
      <c r="AG30" s="98"/>
      <c r="AH30" s="97" t="s">
        <v>572</v>
      </c>
      <c r="AI30" s="98"/>
    </row>
    <row r="31" spans="1:35" ht="18" x14ac:dyDescent="0.3">
      <c r="A31" s="99" t="s">
        <v>211</v>
      </c>
      <c r="B31" s="100">
        <v>45991</v>
      </c>
      <c r="C31" s="101" t="s">
        <v>331</v>
      </c>
      <c r="D31" s="102">
        <v>0.63194444444444442</v>
      </c>
      <c r="E31" s="101" t="s">
        <v>303</v>
      </c>
      <c r="F31" s="101" t="s">
        <v>174</v>
      </c>
      <c r="G31" s="103">
        <v>0.96650000000000003</v>
      </c>
      <c r="H31" s="104">
        <v>179</v>
      </c>
      <c r="I31" s="104">
        <v>173</v>
      </c>
      <c r="J31" s="104">
        <v>135</v>
      </c>
      <c r="K31" s="100">
        <v>45982</v>
      </c>
      <c r="L31" s="104">
        <v>0</v>
      </c>
      <c r="M31" s="104">
        <v>0</v>
      </c>
      <c r="N31" s="104">
        <v>3</v>
      </c>
      <c r="O31" s="101" t="s">
        <v>133</v>
      </c>
      <c r="P31" s="105"/>
      <c r="Q31" s="105"/>
      <c r="R31" s="105"/>
      <c r="S31" s="105"/>
      <c r="T31" s="105"/>
      <c r="U31" s="104" t="s">
        <v>573</v>
      </c>
      <c r="V31" s="105"/>
      <c r="W31" s="105"/>
      <c r="X31" s="105"/>
      <c r="Y31" s="104" t="s">
        <v>213</v>
      </c>
      <c r="Z31" s="105"/>
      <c r="AA31" s="105"/>
      <c r="AB31" s="104" t="s">
        <v>275</v>
      </c>
      <c r="AC31" s="104" t="s">
        <v>276</v>
      </c>
      <c r="AD31" s="104" t="s">
        <v>194</v>
      </c>
      <c r="AE31" s="104" t="s">
        <v>574</v>
      </c>
      <c r="AF31" s="104" t="s">
        <v>575</v>
      </c>
      <c r="AG31" s="105"/>
      <c r="AH31" s="104" t="s">
        <v>576</v>
      </c>
      <c r="AI31" s="104" t="s">
        <v>530</v>
      </c>
    </row>
    <row r="32" spans="1:35" ht="18" x14ac:dyDescent="0.3">
      <c r="A32" s="106" t="s">
        <v>219</v>
      </c>
      <c r="B32" s="107"/>
      <c r="C32" s="108">
        <f>COUNTA(C2:C31)</f>
        <v>30</v>
      </c>
      <c r="D32" s="107"/>
      <c r="E32" s="107"/>
      <c r="F32" s="107"/>
      <c r="G32" s="109">
        <f>AVERAGE(G2:G31)</f>
        <v>0.70705333333333331</v>
      </c>
      <c r="H32" s="110">
        <f>SUM(H2:H31)</f>
        <v>5359</v>
      </c>
      <c r="I32" s="110">
        <f>SUM(I2:I31)</f>
        <v>3790</v>
      </c>
      <c r="J32" s="110">
        <f>SUM(J2:J31)</f>
        <v>1937</v>
      </c>
      <c r="K32" s="107"/>
      <c r="L32" s="110">
        <f>SUM(L2:L31)</f>
        <v>9</v>
      </c>
      <c r="M32" s="110">
        <f>SUM(M2:M31)</f>
        <v>183</v>
      </c>
      <c r="N32" s="110">
        <f>SUM(N2:N31)</f>
        <v>1057</v>
      </c>
      <c r="O32" s="107"/>
      <c r="P32" s="110">
        <f t="shared" ref="P32:AI32" si="0">SUMPRODUCT(--IFERROR(VALUE(SUBSTITUTE(SUBSTITUTE(SUBSTITUTE(SUBSTITUTE(SUBSTITUTE(SUBSTITUTE(SUBSTITUTE(SUBSTITUTE(SUBSTITUTE(SUBSTITUTE(SUBSTITUTE(SUBSTITUTE(SUBSTITUTE(SUBSTITUTE(SUBSTITUTE(SUBSTITUTE(SUBSTITUTE(SUBSTITUTE(SUBSTITUTE(SUBSTITUTE(P2:P31,"Y",""),"B",""),"M",""),"H",""),"Q",""),"K",""),"V",""),"L",""),"G",""),"S",""),"W",""),"T",""),"X",""),"U",""),"O",""),"I",""),"E",""),"A",""),"P",""),"N","")),0))</f>
        <v>0</v>
      </c>
      <c r="Q32" s="110">
        <f t="shared" si="0"/>
        <v>0</v>
      </c>
      <c r="R32" s="110">
        <f t="shared" si="0"/>
        <v>0</v>
      </c>
      <c r="S32" s="110">
        <f t="shared" si="0"/>
        <v>0</v>
      </c>
      <c r="T32" s="110">
        <f t="shared" si="0"/>
        <v>0</v>
      </c>
      <c r="U32" s="110">
        <f t="shared" si="0"/>
        <v>0</v>
      </c>
      <c r="V32" s="110">
        <f t="shared" si="0"/>
        <v>0</v>
      </c>
      <c r="W32" s="110">
        <f t="shared" si="0"/>
        <v>0</v>
      </c>
      <c r="X32" s="110">
        <f t="shared" si="0"/>
        <v>0</v>
      </c>
      <c r="Y32" s="110">
        <f t="shared" si="0"/>
        <v>0</v>
      </c>
      <c r="Z32" s="110">
        <f t="shared" si="0"/>
        <v>0</v>
      </c>
      <c r="AA32" s="110">
        <f t="shared" si="0"/>
        <v>0</v>
      </c>
      <c r="AB32" s="110">
        <f t="shared" si="0"/>
        <v>0</v>
      </c>
      <c r="AC32" s="110">
        <f t="shared" si="0"/>
        <v>0</v>
      </c>
      <c r="AD32" s="110">
        <f t="shared" si="0"/>
        <v>0</v>
      </c>
      <c r="AE32" s="110">
        <f t="shared" si="0"/>
        <v>0</v>
      </c>
      <c r="AF32" s="110">
        <f t="shared" si="0"/>
        <v>0</v>
      </c>
      <c r="AG32" s="110">
        <f t="shared" si="0"/>
        <v>0</v>
      </c>
      <c r="AH32" s="110">
        <f t="shared" si="0"/>
        <v>0</v>
      </c>
      <c r="AI32" s="110">
        <f t="shared" si="0"/>
        <v>0</v>
      </c>
    </row>
  </sheetData>
  <autoFilter ref="A1:AI31"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51"/>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304</v>
      </c>
      <c r="C2" s="114" t="s">
        <v>305</v>
      </c>
      <c r="D2" s="113" t="s">
        <v>303</v>
      </c>
      <c r="E2" s="115">
        <v>1.274305555555556</v>
      </c>
      <c r="F2" s="113" t="s">
        <v>306</v>
      </c>
      <c r="G2" s="116">
        <v>2</v>
      </c>
      <c r="H2" s="117">
        <v>400</v>
      </c>
    </row>
    <row r="3" spans="1:8" ht="18" x14ac:dyDescent="0.3">
      <c r="A3" s="138">
        <v>45986</v>
      </c>
      <c r="B3" s="139" t="s">
        <v>304</v>
      </c>
      <c r="C3" s="140" t="s">
        <v>308</v>
      </c>
      <c r="D3" s="139" t="s">
        <v>303</v>
      </c>
      <c r="E3" s="141">
        <v>1.739583333333333</v>
      </c>
      <c r="F3" s="139" t="s">
        <v>306</v>
      </c>
      <c r="G3" s="142">
        <v>1</v>
      </c>
      <c r="H3" s="143">
        <v>400</v>
      </c>
    </row>
    <row r="4" spans="1:8" ht="18" x14ac:dyDescent="0.3">
      <c r="A4" s="124">
        <v>45986</v>
      </c>
      <c r="B4" s="125" t="s">
        <v>35</v>
      </c>
      <c r="C4" s="126" t="s">
        <v>309</v>
      </c>
      <c r="D4" s="125" t="s">
        <v>303</v>
      </c>
      <c r="E4" s="127">
        <v>1.229166666666667</v>
      </c>
      <c r="F4" s="125" t="s">
        <v>37</v>
      </c>
      <c r="G4" s="128">
        <v>1</v>
      </c>
      <c r="H4" s="129">
        <v>401</v>
      </c>
    </row>
    <row r="5" spans="1:8" ht="18" x14ac:dyDescent="0.3">
      <c r="A5" s="130">
        <v>45986</v>
      </c>
      <c r="B5" s="131" t="s">
        <v>35</v>
      </c>
      <c r="C5" s="132" t="s">
        <v>314</v>
      </c>
      <c r="D5" s="131" t="s">
        <v>303</v>
      </c>
      <c r="E5" s="133">
        <v>1.96875</v>
      </c>
      <c r="F5" s="131" t="s">
        <v>37</v>
      </c>
      <c r="G5" s="134">
        <v>7</v>
      </c>
      <c r="H5" s="135">
        <v>436</v>
      </c>
    </row>
    <row r="6" spans="1:8" ht="18" x14ac:dyDescent="0.3">
      <c r="A6" s="130">
        <v>45986</v>
      </c>
      <c r="B6" s="131" t="s">
        <v>35</v>
      </c>
      <c r="C6" s="132" t="s">
        <v>319</v>
      </c>
      <c r="D6" s="131" t="s">
        <v>303</v>
      </c>
      <c r="E6" s="133">
        <v>1.9340277777777779</v>
      </c>
      <c r="F6" s="131" t="s">
        <v>37</v>
      </c>
      <c r="G6" s="134">
        <v>9</v>
      </c>
      <c r="H6" s="135">
        <v>471</v>
      </c>
    </row>
    <row r="7" spans="1:8" ht="18" x14ac:dyDescent="0.3">
      <c r="A7" s="130">
        <v>45986</v>
      </c>
      <c r="B7" s="131" t="s">
        <v>35</v>
      </c>
      <c r="C7" s="132" t="s">
        <v>324</v>
      </c>
      <c r="D7" s="131" t="s">
        <v>303</v>
      </c>
      <c r="E7" s="133">
        <v>1.729166666666667</v>
      </c>
      <c r="F7" s="131" t="s">
        <v>37</v>
      </c>
      <c r="G7" s="134">
        <v>3</v>
      </c>
      <c r="H7" s="135">
        <v>856</v>
      </c>
    </row>
    <row r="8" spans="1:8" ht="18" x14ac:dyDescent="0.3">
      <c r="A8" s="130">
        <v>45986</v>
      </c>
      <c r="B8" s="131" t="s">
        <v>35</v>
      </c>
      <c r="C8" s="132" t="s">
        <v>329</v>
      </c>
      <c r="D8" s="131" t="s">
        <v>303</v>
      </c>
      <c r="E8" s="133">
        <v>1.5590277777777779</v>
      </c>
      <c r="F8" s="131" t="s">
        <v>131</v>
      </c>
      <c r="G8" s="131"/>
      <c r="H8" s="131" t="s">
        <v>132</v>
      </c>
    </row>
    <row r="9" spans="1:8" ht="18" x14ac:dyDescent="0.3">
      <c r="A9" s="130">
        <v>45986</v>
      </c>
      <c r="B9" s="131" t="s">
        <v>35</v>
      </c>
      <c r="C9" s="132" t="s">
        <v>331</v>
      </c>
      <c r="D9" s="131" t="s">
        <v>303</v>
      </c>
      <c r="E9" s="133">
        <v>1.614583333333333</v>
      </c>
      <c r="F9" s="131" t="s">
        <v>131</v>
      </c>
      <c r="G9" s="131"/>
      <c r="H9" s="131" t="s">
        <v>132</v>
      </c>
    </row>
    <row r="10" spans="1:8" ht="18" x14ac:dyDescent="0.3">
      <c r="A10" s="136">
        <v>45986</v>
      </c>
      <c r="B10" s="113" t="s">
        <v>333</v>
      </c>
      <c r="C10" s="114" t="s">
        <v>334</v>
      </c>
      <c r="D10" s="113" t="s">
        <v>303</v>
      </c>
      <c r="E10" s="115">
        <v>1.0451388888888891</v>
      </c>
      <c r="F10" s="113" t="s">
        <v>306</v>
      </c>
      <c r="G10" s="116">
        <v>1</v>
      </c>
      <c r="H10" s="137">
        <v>401</v>
      </c>
    </row>
    <row r="11" spans="1:8" ht="18" x14ac:dyDescent="0.3">
      <c r="A11" s="138">
        <v>45986</v>
      </c>
      <c r="B11" s="139" t="s">
        <v>333</v>
      </c>
      <c r="C11" s="140" t="s">
        <v>335</v>
      </c>
      <c r="D11" s="139" t="s">
        <v>303</v>
      </c>
      <c r="E11" s="141">
        <v>1.666666666666667</v>
      </c>
      <c r="F11" s="139" t="s">
        <v>306</v>
      </c>
      <c r="G11" s="142">
        <v>9</v>
      </c>
      <c r="H11" s="143">
        <v>599</v>
      </c>
    </row>
    <row r="12" spans="1:8" ht="18" x14ac:dyDescent="0.3">
      <c r="A12" s="138">
        <v>45986</v>
      </c>
      <c r="B12" s="139" t="s">
        <v>333</v>
      </c>
      <c r="C12" s="140" t="s">
        <v>337</v>
      </c>
      <c r="D12" s="139" t="s">
        <v>303</v>
      </c>
      <c r="E12" s="141">
        <v>1.364583333333333</v>
      </c>
      <c r="F12" s="139" t="s">
        <v>306</v>
      </c>
      <c r="G12" s="142">
        <v>9</v>
      </c>
      <c r="H12" s="143">
        <v>599</v>
      </c>
    </row>
    <row r="13" spans="1:8" ht="18" x14ac:dyDescent="0.3">
      <c r="A13" s="136">
        <v>45986</v>
      </c>
      <c r="B13" s="113" t="s">
        <v>25</v>
      </c>
      <c r="C13" s="114" t="s">
        <v>338</v>
      </c>
      <c r="D13" s="113" t="s">
        <v>303</v>
      </c>
      <c r="E13" s="115">
        <v>1.1284722222222221</v>
      </c>
      <c r="F13" s="113" t="s">
        <v>27</v>
      </c>
      <c r="G13" s="116">
        <v>25</v>
      </c>
      <c r="H13" s="137">
        <v>419</v>
      </c>
    </row>
    <row r="14" spans="1:8" ht="18" x14ac:dyDescent="0.3">
      <c r="A14" s="118">
        <v>45986</v>
      </c>
      <c r="B14" s="119" t="s">
        <v>25</v>
      </c>
      <c r="C14" s="120" t="s">
        <v>338</v>
      </c>
      <c r="D14" s="119" t="s">
        <v>303</v>
      </c>
      <c r="E14" s="121">
        <v>1.1284722222222221</v>
      </c>
      <c r="F14" s="119" t="s">
        <v>30</v>
      </c>
      <c r="G14" s="122">
        <v>25</v>
      </c>
      <c r="H14" s="123">
        <v>569</v>
      </c>
    </row>
    <row r="15" spans="1:8" ht="18" x14ac:dyDescent="0.3">
      <c r="A15" s="118">
        <v>45986</v>
      </c>
      <c r="B15" s="119" t="s">
        <v>25</v>
      </c>
      <c r="C15" s="120" t="s">
        <v>338</v>
      </c>
      <c r="D15" s="119" t="s">
        <v>303</v>
      </c>
      <c r="E15" s="121">
        <v>1.1284722222222221</v>
      </c>
      <c r="F15" s="119" t="s">
        <v>33</v>
      </c>
      <c r="G15" s="122">
        <v>25</v>
      </c>
      <c r="H15" s="119" t="s">
        <v>34</v>
      </c>
    </row>
    <row r="16" spans="1:8" ht="18" x14ac:dyDescent="0.3">
      <c r="A16" s="138">
        <v>45986</v>
      </c>
      <c r="B16" s="139" t="s">
        <v>25</v>
      </c>
      <c r="C16" s="140" t="s">
        <v>343</v>
      </c>
      <c r="D16" s="139" t="s">
        <v>303</v>
      </c>
      <c r="E16" s="141">
        <v>1.8888888888888891</v>
      </c>
      <c r="F16" s="139" t="s">
        <v>27</v>
      </c>
      <c r="G16" s="142">
        <v>2</v>
      </c>
      <c r="H16" s="143">
        <v>419</v>
      </c>
    </row>
    <row r="17" spans="1:8" ht="18" x14ac:dyDescent="0.3">
      <c r="A17" s="118">
        <v>45986</v>
      </c>
      <c r="B17" s="119" t="s">
        <v>25</v>
      </c>
      <c r="C17" s="120" t="s">
        <v>343</v>
      </c>
      <c r="D17" s="119" t="s">
        <v>303</v>
      </c>
      <c r="E17" s="121">
        <v>1.8888888888888891</v>
      </c>
      <c r="F17" s="119" t="s">
        <v>30</v>
      </c>
      <c r="G17" s="122">
        <v>2</v>
      </c>
      <c r="H17" s="123">
        <v>569</v>
      </c>
    </row>
    <row r="18" spans="1:8" ht="18" x14ac:dyDescent="0.3">
      <c r="A18" s="118">
        <v>45986</v>
      </c>
      <c r="B18" s="119" t="s">
        <v>25</v>
      </c>
      <c r="C18" s="120" t="s">
        <v>343</v>
      </c>
      <c r="D18" s="119" t="s">
        <v>303</v>
      </c>
      <c r="E18" s="121">
        <v>1.8888888888888891</v>
      </c>
      <c r="F18" s="119" t="s">
        <v>33</v>
      </c>
      <c r="G18" s="122">
        <v>2</v>
      </c>
      <c r="H18" s="119" t="s">
        <v>34</v>
      </c>
    </row>
    <row r="19" spans="1:8" ht="18" x14ac:dyDescent="0.3">
      <c r="A19" s="138">
        <v>45986</v>
      </c>
      <c r="B19" s="139" t="s">
        <v>25</v>
      </c>
      <c r="C19" s="140" t="s">
        <v>344</v>
      </c>
      <c r="D19" s="139" t="s">
        <v>303</v>
      </c>
      <c r="E19" s="141">
        <v>1.302083333333333</v>
      </c>
      <c r="F19" s="139" t="s">
        <v>27</v>
      </c>
      <c r="G19" s="142">
        <v>3</v>
      </c>
      <c r="H19" s="143">
        <v>459</v>
      </c>
    </row>
    <row r="20" spans="1:8" ht="18" x14ac:dyDescent="0.3">
      <c r="A20" s="118">
        <v>45986</v>
      </c>
      <c r="B20" s="119" t="s">
        <v>25</v>
      </c>
      <c r="C20" s="120" t="s">
        <v>344</v>
      </c>
      <c r="D20" s="119" t="s">
        <v>303</v>
      </c>
      <c r="E20" s="121">
        <v>1.302083333333333</v>
      </c>
      <c r="F20" s="119" t="s">
        <v>30</v>
      </c>
      <c r="G20" s="122">
        <v>3</v>
      </c>
      <c r="H20" s="123">
        <v>609</v>
      </c>
    </row>
    <row r="21" spans="1:8" ht="18" x14ac:dyDescent="0.3">
      <c r="A21" s="118">
        <v>45986</v>
      </c>
      <c r="B21" s="119" t="s">
        <v>25</v>
      </c>
      <c r="C21" s="120" t="s">
        <v>344</v>
      </c>
      <c r="D21" s="119" t="s">
        <v>303</v>
      </c>
      <c r="E21" s="121">
        <v>1.302083333333333</v>
      </c>
      <c r="F21" s="119" t="s">
        <v>33</v>
      </c>
      <c r="G21" s="122">
        <v>3</v>
      </c>
      <c r="H21" s="119" t="s">
        <v>34</v>
      </c>
    </row>
    <row r="22" spans="1:8" ht="18" x14ac:dyDescent="0.3">
      <c r="A22" s="138">
        <v>45986</v>
      </c>
      <c r="B22" s="139" t="s">
        <v>25</v>
      </c>
      <c r="C22" s="140" t="s">
        <v>347</v>
      </c>
      <c r="D22" s="139" t="s">
        <v>303</v>
      </c>
      <c r="E22" s="141">
        <v>1.788194444444444</v>
      </c>
      <c r="F22" s="139" t="s">
        <v>27</v>
      </c>
      <c r="G22" s="142">
        <v>14</v>
      </c>
      <c r="H22" s="143">
        <v>459</v>
      </c>
    </row>
    <row r="23" spans="1:8" ht="18" x14ac:dyDescent="0.3">
      <c r="A23" s="118">
        <v>45986</v>
      </c>
      <c r="B23" s="119" t="s">
        <v>25</v>
      </c>
      <c r="C23" s="120" t="s">
        <v>347</v>
      </c>
      <c r="D23" s="119" t="s">
        <v>303</v>
      </c>
      <c r="E23" s="121">
        <v>1.788194444444444</v>
      </c>
      <c r="F23" s="119" t="s">
        <v>30</v>
      </c>
      <c r="G23" s="122">
        <v>14</v>
      </c>
      <c r="H23" s="123">
        <v>609</v>
      </c>
    </row>
    <row r="24" spans="1:8" ht="18" x14ac:dyDescent="0.3">
      <c r="A24" s="118">
        <v>45986</v>
      </c>
      <c r="B24" s="119" t="s">
        <v>25</v>
      </c>
      <c r="C24" s="120" t="s">
        <v>347</v>
      </c>
      <c r="D24" s="119" t="s">
        <v>303</v>
      </c>
      <c r="E24" s="121">
        <v>1.788194444444444</v>
      </c>
      <c r="F24" s="119" t="s">
        <v>33</v>
      </c>
      <c r="G24" s="122">
        <v>14</v>
      </c>
      <c r="H24" s="119" t="s">
        <v>34</v>
      </c>
    </row>
    <row r="25" spans="1:8" ht="18" x14ac:dyDescent="0.3">
      <c r="A25" s="136">
        <v>45986</v>
      </c>
      <c r="B25" s="113" t="s">
        <v>55</v>
      </c>
      <c r="C25" s="114" t="s">
        <v>349</v>
      </c>
      <c r="D25" s="113" t="s">
        <v>303</v>
      </c>
      <c r="E25" s="115">
        <v>1.854166666666667</v>
      </c>
      <c r="F25" s="113" t="s">
        <v>60</v>
      </c>
      <c r="G25" s="116">
        <v>1</v>
      </c>
      <c r="H25" s="137">
        <v>449</v>
      </c>
    </row>
    <row r="26" spans="1:8" ht="18" x14ac:dyDescent="0.3">
      <c r="A26" s="118">
        <v>45986</v>
      </c>
      <c r="B26" s="119" t="s">
        <v>55</v>
      </c>
      <c r="C26" s="120" t="s">
        <v>349</v>
      </c>
      <c r="D26" s="119" t="s">
        <v>303</v>
      </c>
      <c r="E26" s="121">
        <v>1.854166666666667</v>
      </c>
      <c r="F26" s="119" t="s">
        <v>62</v>
      </c>
      <c r="G26" s="122">
        <v>1</v>
      </c>
      <c r="H26" s="123">
        <v>549</v>
      </c>
    </row>
    <row r="27" spans="1:8" ht="18" x14ac:dyDescent="0.3">
      <c r="A27" s="118">
        <v>45986</v>
      </c>
      <c r="B27" s="119" t="s">
        <v>55</v>
      </c>
      <c r="C27" s="120" t="s">
        <v>349</v>
      </c>
      <c r="D27" s="119" t="s">
        <v>303</v>
      </c>
      <c r="E27" s="121">
        <v>1.854166666666667</v>
      </c>
      <c r="F27" s="119" t="s">
        <v>64</v>
      </c>
      <c r="G27" s="122">
        <v>1</v>
      </c>
      <c r="H27" s="123">
        <v>639</v>
      </c>
    </row>
    <row r="28" spans="1:8" ht="18" x14ac:dyDescent="0.3">
      <c r="A28" s="138">
        <v>45986</v>
      </c>
      <c r="B28" s="139" t="s">
        <v>55</v>
      </c>
      <c r="C28" s="140" t="s">
        <v>352</v>
      </c>
      <c r="D28" s="139" t="s">
        <v>303</v>
      </c>
      <c r="E28" s="141">
        <v>1.9027777777777779</v>
      </c>
      <c r="F28" s="139" t="s">
        <v>60</v>
      </c>
      <c r="G28" s="142">
        <v>1</v>
      </c>
      <c r="H28" s="143">
        <v>489</v>
      </c>
    </row>
    <row r="29" spans="1:8" ht="18" x14ac:dyDescent="0.3">
      <c r="A29" s="118">
        <v>45986</v>
      </c>
      <c r="B29" s="119" t="s">
        <v>55</v>
      </c>
      <c r="C29" s="120" t="s">
        <v>352</v>
      </c>
      <c r="D29" s="119" t="s">
        <v>303</v>
      </c>
      <c r="E29" s="121">
        <v>1.9027777777777779</v>
      </c>
      <c r="F29" s="119" t="s">
        <v>62</v>
      </c>
      <c r="G29" s="122">
        <v>1</v>
      </c>
      <c r="H29" s="123">
        <v>589</v>
      </c>
    </row>
    <row r="30" spans="1:8" ht="18" x14ac:dyDescent="0.3">
      <c r="A30" s="118">
        <v>45986</v>
      </c>
      <c r="B30" s="119" t="s">
        <v>55</v>
      </c>
      <c r="C30" s="120" t="s">
        <v>352</v>
      </c>
      <c r="D30" s="119" t="s">
        <v>303</v>
      </c>
      <c r="E30" s="121">
        <v>1.9027777777777779</v>
      </c>
      <c r="F30" s="119" t="s">
        <v>64</v>
      </c>
      <c r="G30" s="122">
        <v>1</v>
      </c>
      <c r="H30" s="123">
        <v>679</v>
      </c>
    </row>
    <row r="31" spans="1:8" ht="18" x14ac:dyDescent="0.3">
      <c r="A31" s="138">
        <v>45986</v>
      </c>
      <c r="B31" s="139" t="s">
        <v>55</v>
      </c>
      <c r="C31" s="140" t="s">
        <v>356</v>
      </c>
      <c r="D31" s="139" t="s">
        <v>303</v>
      </c>
      <c r="E31" s="141">
        <v>1.7986111111111109</v>
      </c>
      <c r="F31" s="139" t="s">
        <v>60</v>
      </c>
      <c r="G31" s="142">
        <v>8</v>
      </c>
      <c r="H31" s="143">
        <v>489</v>
      </c>
    </row>
    <row r="32" spans="1:8" ht="18" x14ac:dyDescent="0.3">
      <c r="A32" s="118">
        <v>45986</v>
      </c>
      <c r="B32" s="119" t="s">
        <v>55</v>
      </c>
      <c r="C32" s="120" t="s">
        <v>356</v>
      </c>
      <c r="D32" s="119" t="s">
        <v>303</v>
      </c>
      <c r="E32" s="121">
        <v>1.7986111111111109</v>
      </c>
      <c r="F32" s="119" t="s">
        <v>62</v>
      </c>
      <c r="G32" s="122">
        <v>8</v>
      </c>
      <c r="H32" s="123">
        <v>589</v>
      </c>
    </row>
    <row r="33" spans="1:8" ht="18" x14ac:dyDescent="0.3">
      <c r="A33" s="118">
        <v>45986</v>
      </c>
      <c r="B33" s="119" t="s">
        <v>55</v>
      </c>
      <c r="C33" s="120" t="s">
        <v>356</v>
      </c>
      <c r="D33" s="119" t="s">
        <v>303</v>
      </c>
      <c r="E33" s="121">
        <v>1.7986111111111109</v>
      </c>
      <c r="F33" s="119" t="s">
        <v>64</v>
      </c>
      <c r="G33" s="122">
        <v>8</v>
      </c>
      <c r="H33" s="123">
        <v>679</v>
      </c>
    </row>
    <row r="34" spans="1:8" ht="18" x14ac:dyDescent="0.3">
      <c r="A34" s="138">
        <v>45986</v>
      </c>
      <c r="B34" s="139" t="s">
        <v>55</v>
      </c>
      <c r="C34" s="140" t="s">
        <v>357</v>
      </c>
      <c r="D34" s="139" t="s">
        <v>303</v>
      </c>
      <c r="E34" s="141">
        <v>1.256944444444444</v>
      </c>
      <c r="F34" s="139" t="s">
        <v>60</v>
      </c>
      <c r="G34" s="142">
        <v>9</v>
      </c>
      <c r="H34" s="143">
        <v>529</v>
      </c>
    </row>
    <row r="35" spans="1:8" ht="18" x14ac:dyDescent="0.3">
      <c r="A35" s="118">
        <v>45986</v>
      </c>
      <c r="B35" s="119" t="s">
        <v>55</v>
      </c>
      <c r="C35" s="120" t="s">
        <v>357</v>
      </c>
      <c r="D35" s="119" t="s">
        <v>303</v>
      </c>
      <c r="E35" s="121">
        <v>1.256944444444444</v>
      </c>
      <c r="F35" s="119" t="s">
        <v>62</v>
      </c>
      <c r="G35" s="122">
        <v>9</v>
      </c>
      <c r="H35" s="123">
        <v>629</v>
      </c>
    </row>
    <row r="36" spans="1:8" ht="18" x14ac:dyDescent="0.3">
      <c r="A36" s="118">
        <v>45986</v>
      </c>
      <c r="B36" s="119" t="s">
        <v>55</v>
      </c>
      <c r="C36" s="120" t="s">
        <v>357</v>
      </c>
      <c r="D36" s="119" t="s">
        <v>303</v>
      </c>
      <c r="E36" s="121">
        <v>1.256944444444444</v>
      </c>
      <c r="F36" s="119" t="s">
        <v>64</v>
      </c>
      <c r="G36" s="122">
        <v>9</v>
      </c>
      <c r="H36" s="123">
        <v>719</v>
      </c>
    </row>
    <row r="37" spans="1:8" ht="18" x14ac:dyDescent="0.3">
      <c r="A37" s="138">
        <v>45986</v>
      </c>
      <c r="B37" s="139" t="s">
        <v>55</v>
      </c>
      <c r="C37" s="140" t="s">
        <v>363</v>
      </c>
      <c r="D37" s="139" t="s">
        <v>303</v>
      </c>
      <c r="E37" s="141">
        <v>1.645833333333333</v>
      </c>
      <c r="F37" s="139" t="s">
        <v>60</v>
      </c>
      <c r="G37" s="142">
        <v>7</v>
      </c>
      <c r="H37" s="143">
        <v>529</v>
      </c>
    </row>
    <row r="38" spans="1:8" ht="18" x14ac:dyDescent="0.3">
      <c r="A38" s="118">
        <v>45986</v>
      </c>
      <c r="B38" s="119" t="s">
        <v>55</v>
      </c>
      <c r="C38" s="120" t="s">
        <v>363</v>
      </c>
      <c r="D38" s="119" t="s">
        <v>303</v>
      </c>
      <c r="E38" s="121">
        <v>1.645833333333333</v>
      </c>
      <c r="F38" s="119" t="s">
        <v>62</v>
      </c>
      <c r="G38" s="122">
        <v>7</v>
      </c>
      <c r="H38" s="123">
        <v>629</v>
      </c>
    </row>
    <row r="39" spans="1:8" ht="18" x14ac:dyDescent="0.3">
      <c r="A39" s="118">
        <v>45986</v>
      </c>
      <c r="B39" s="119" t="s">
        <v>55</v>
      </c>
      <c r="C39" s="120" t="s">
        <v>363</v>
      </c>
      <c r="D39" s="119" t="s">
        <v>303</v>
      </c>
      <c r="E39" s="121">
        <v>1.645833333333333</v>
      </c>
      <c r="F39" s="119" t="s">
        <v>64</v>
      </c>
      <c r="G39" s="122">
        <v>7</v>
      </c>
      <c r="H39" s="123">
        <v>719</v>
      </c>
    </row>
    <row r="40" spans="1:8" ht="18" x14ac:dyDescent="0.3">
      <c r="A40" s="138">
        <v>45986</v>
      </c>
      <c r="B40" s="139" t="s">
        <v>55</v>
      </c>
      <c r="C40" s="140" t="s">
        <v>364</v>
      </c>
      <c r="D40" s="139" t="s">
        <v>303</v>
      </c>
      <c r="E40" s="141">
        <v>1.5173611111111109</v>
      </c>
      <c r="F40" s="139" t="s">
        <v>60</v>
      </c>
      <c r="G40" s="142">
        <v>2</v>
      </c>
      <c r="H40" s="143">
        <v>529</v>
      </c>
    </row>
    <row r="41" spans="1:8" ht="18" x14ac:dyDescent="0.3">
      <c r="A41" s="118">
        <v>45986</v>
      </c>
      <c r="B41" s="119" t="s">
        <v>55</v>
      </c>
      <c r="C41" s="120" t="s">
        <v>364</v>
      </c>
      <c r="D41" s="119" t="s">
        <v>303</v>
      </c>
      <c r="E41" s="121">
        <v>1.5173611111111109</v>
      </c>
      <c r="F41" s="119" t="s">
        <v>62</v>
      </c>
      <c r="G41" s="122">
        <v>2</v>
      </c>
      <c r="H41" s="123">
        <v>629</v>
      </c>
    </row>
    <row r="42" spans="1:8" ht="18" x14ac:dyDescent="0.3">
      <c r="A42" s="118">
        <v>45986</v>
      </c>
      <c r="B42" s="119" t="s">
        <v>55</v>
      </c>
      <c r="C42" s="120" t="s">
        <v>364</v>
      </c>
      <c r="D42" s="119" t="s">
        <v>303</v>
      </c>
      <c r="E42" s="121">
        <v>1.5173611111111109</v>
      </c>
      <c r="F42" s="119" t="s">
        <v>64</v>
      </c>
      <c r="G42" s="122">
        <v>2</v>
      </c>
      <c r="H42" s="123">
        <v>719</v>
      </c>
    </row>
    <row r="43" spans="1:8" ht="18" x14ac:dyDescent="0.3">
      <c r="A43" s="138">
        <v>45986</v>
      </c>
      <c r="B43" s="139" t="s">
        <v>55</v>
      </c>
      <c r="C43" s="140" t="s">
        <v>365</v>
      </c>
      <c r="D43" s="139" t="s">
        <v>303</v>
      </c>
      <c r="E43" s="141">
        <v>1.302083333333333</v>
      </c>
      <c r="F43" s="139" t="s">
        <v>60</v>
      </c>
      <c r="G43" s="142">
        <v>9</v>
      </c>
      <c r="H43" s="143">
        <v>529</v>
      </c>
    </row>
    <row r="44" spans="1:8" ht="18" x14ac:dyDescent="0.3">
      <c r="A44" s="118">
        <v>45986</v>
      </c>
      <c r="B44" s="119" t="s">
        <v>55</v>
      </c>
      <c r="C44" s="120" t="s">
        <v>365</v>
      </c>
      <c r="D44" s="119" t="s">
        <v>303</v>
      </c>
      <c r="E44" s="121">
        <v>1.302083333333333</v>
      </c>
      <c r="F44" s="119" t="s">
        <v>62</v>
      </c>
      <c r="G44" s="122">
        <v>9</v>
      </c>
      <c r="H44" s="123">
        <v>629</v>
      </c>
    </row>
    <row r="45" spans="1:8" ht="18" x14ac:dyDescent="0.3">
      <c r="A45" s="118">
        <v>45986</v>
      </c>
      <c r="B45" s="119" t="s">
        <v>55</v>
      </c>
      <c r="C45" s="120" t="s">
        <v>365</v>
      </c>
      <c r="D45" s="119" t="s">
        <v>303</v>
      </c>
      <c r="E45" s="121">
        <v>1.302083333333333</v>
      </c>
      <c r="F45" s="119" t="s">
        <v>64</v>
      </c>
      <c r="G45" s="122">
        <v>9</v>
      </c>
      <c r="H45" s="123">
        <v>719</v>
      </c>
    </row>
    <row r="46" spans="1:8" ht="18" x14ac:dyDescent="0.3">
      <c r="A46" s="138">
        <v>45986</v>
      </c>
      <c r="B46" s="139" t="s">
        <v>55</v>
      </c>
      <c r="C46" s="140" t="s">
        <v>366</v>
      </c>
      <c r="D46" s="139" t="s">
        <v>303</v>
      </c>
      <c r="E46" s="141">
        <v>1.395833333333333</v>
      </c>
      <c r="F46" s="139" t="s">
        <v>60</v>
      </c>
      <c r="G46" s="142">
        <v>5</v>
      </c>
      <c r="H46" s="143">
        <v>569</v>
      </c>
    </row>
    <row r="47" spans="1:8" ht="18" x14ac:dyDescent="0.3">
      <c r="A47" s="118">
        <v>45986</v>
      </c>
      <c r="B47" s="119" t="s">
        <v>55</v>
      </c>
      <c r="C47" s="120" t="s">
        <v>366</v>
      </c>
      <c r="D47" s="119" t="s">
        <v>303</v>
      </c>
      <c r="E47" s="121">
        <v>1.395833333333333</v>
      </c>
      <c r="F47" s="119" t="s">
        <v>62</v>
      </c>
      <c r="G47" s="122">
        <v>5</v>
      </c>
      <c r="H47" s="123">
        <v>669</v>
      </c>
    </row>
    <row r="48" spans="1:8" ht="18" x14ac:dyDescent="0.3">
      <c r="A48" s="118">
        <v>45986</v>
      </c>
      <c r="B48" s="119" t="s">
        <v>55</v>
      </c>
      <c r="C48" s="120" t="s">
        <v>366</v>
      </c>
      <c r="D48" s="119" t="s">
        <v>303</v>
      </c>
      <c r="E48" s="121">
        <v>1.395833333333333</v>
      </c>
      <c r="F48" s="119" t="s">
        <v>64</v>
      </c>
      <c r="G48" s="122">
        <v>5</v>
      </c>
      <c r="H48" s="123">
        <v>759</v>
      </c>
    </row>
    <row r="49" spans="1:8" ht="18" x14ac:dyDescent="0.3">
      <c r="A49" s="136">
        <v>45986</v>
      </c>
      <c r="B49" s="113" t="s">
        <v>66</v>
      </c>
      <c r="C49" s="114" t="s">
        <v>369</v>
      </c>
      <c r="D49" s="113" t="s">
        <v>303</v>
      </c>
      <c r="E49" s="115">
        <v>1.4861111111111109</v>
      </c>
      <c r="F49" s="113" t="s">
        <v>85</v>
      </c>
      <c r="G49" s="116">
        <v>9</v>
      </c>
      <c r="H49" s="137">
        <v>503</v>
      </c>
    </row>
    <row r="50" spans="1:8" ht="18" x14ac:dyDescent="0.3">
      <c r="A50" s="138">
        <v>45986</v>
      </c>
      <c r="B50" s="139" t="s">
        <v>66</v>
      </c>
      <c r="C50" s="140" t="s">
        <v>371</v>
      </c>
      <c r="D50" s="139" t="s">
        <v>303</v>
      </c>
      <c r="E50" s="141">
        <v>1.5138888888888891</v>
      </c>
      <c r="F50" s="139" t="s">
        <v>68</v>
      </c>
      <c r="G50" s="142">
        <v>9</v>
      </c>
      <c r="H50" s="143">
        <v>537</v>
      </c>
    </row>
    <row r="51" spans="1:8" ht="18" x14ac:dyDescent="0.3">
      <c r="A51" s="138">
        <v>45986</v>
      </c>
      <c r="B51" s="139" t="s">
        <v>66</v>
      </c>
      <c r="C51" s="140" t="s">
        <v>373</v>
      </c>
      <c r="D51" s="139" t="s">
        <v>303</v>
      </c>
      <c r="E51" s="141">
        <v>1.0138888888888891</v>
      </c>
      <c r="F51" s="139" t="s">
        <v>68</v>
      </c>
      <c r="G51" s="142">
        <v>9</v>
      </c>
      <c r="H51" s="143">
        <v>765</v>
      </c>
    </row>
    <row r="52" spans="1:8" ht="18" x14ac:dyDescent="0.3">
      <c r="A52" s="138">
        <v>45986</v>
      </c>
      <c r="B52" s="139" t="s">
        <v>66</v>
      </c>
      <c r="C52" s="140" t="s">
        <v>375</v>
      </c>
      <c r="D52" s="139" t="s">
        <v>303</v>
      </c>
      <c r="E52" s="141">
        <v>1.2777777777777779</v>
      </c>
      <c r="F52" s="139" t="s">
        <v>68</v>
      </c>
      <c r="G52" s="142">
        <v>9</v>
      </c>
      <c r="H52" s="143">
        <v>765</v>
      </c>
    </row>
    <row r="53" spans="1:8" ht="18" x14ac:dyDescent="0.3">
      <c r="A53" s="138">
        <v>45986</v>
      </c>
      <c r="B53" s="139" t="s">
        <v>66</v>
      </c>
      <c r="C53" s="140" t="s">
        <v>376</v>
      </c>
      <c r="D53" s="139" t="s">
        <v>303</v>
      </c>
      <c r="E53" s="141">
        <v>1.774305555555556</v>
      </c>
      <c r="F53" s="139" t="s">
        <v>68</v>
      </c>
      <c r="G53" s="142">
        <v>9</v>
      </c>
      <c r="H53" s="143">
        <v>765</v>
      </c>
    </row>
    <row r="54" spans="1:8" ht="18" x14ac:dyDescent="0.3">
      <c r="A54" s="138">
        <v>45986</v>
      </c>
      <c r="B54" s="139" t="s">
        <v>66</v>
      </c>
      <c r="C54" s="140" t="s">
        <v>377</v>
      </c>
      <c r="D54" s="139" t="s">
        <v>303</v>
      </c>
      <c r="E54" s="141">
        <v>1.2222222222222221</v>
      </c>
      <c r="F54" s="139" t="s">
        <v>68</v>
      </c>
      <c r="G54" s="142">
        <v>9</v>
      </c>
      <c r="H54" s="143">
        <v>765</v>
      </c>
    </row>
    <row r="55" spans="1:8" ht="18" x14ac:dyDescent="0.3">
      <c r="A55" s="136">
        <v>45986</v>
      </c>
      <c r="B55" s="113" t="s">
        <v>378</v>
      </c>
      <c r="C55" s="114" t="s">
        <v>379</v>
      </c>
      <c r="D55" s="113" t="s">
        <v>303</v>
      </c>
      <c r="E55" s="115">
        <v>1.2222222222222221</v>
      </c>
      <c r="F55" s="113" t="s">
        <v>380</v>
      </c>
      <c r="G55" s="116">
        <v>9</v>
      </c>
      <c r="H55" s="137">
        <v>615</v>
      </c>
    </row>
    <row r="56" spans="1:8" ht="18" x14ac:dyDescent="0.3">
      <c r="A56" s="118">
        <v>45986</v>
      </c>
      <c r="B56" s="119" t="s">
        <v>378</v>
      </c>
      <c r="C56" s="120" t="s">
        <v>379</v>
      </c>
      <c r="D56" s="119" t="s">
        <v>303</v>
      </c>
      <c r="E56" s="121">
        <v>1.2222222222222221</v>
      </c>
      <c r="F56" s="119" t="s">
        <v>33</v>
      </c>
      <c r="G56" s="122">
        <v>9</v>
      </c>
      <c r="H56" s="123">
        <v>738</v>
      </c>
    </row>
    <row r="57" spans="1:8" ht="18" x14ac:dyDescent="0.3">
      <c r="A57" s="136">
        <v>45986</v>
      </c>
      <c r="B57" s="113" t="s">
        <v>78</v>
      </c>
      <c r="C57" s="114" t="s">
        <v>384</v>
      </c>
      <c r="D57" s="113" t="s">
        <v>303</v>
      </c>
      <c r="E57" s="115">
        <v>1.3784722222222221</v>
      </c>
      <c r="F57" s="113" t="s">
        <v>87</v>
      </c>
      <c r="G57" s="116">
        <v>9</v>
      </c>
      <c r="H57" s="137">
        <v>935</v>
      </c>
    </row>
    <row r="58" spans="1:8" ht="18" x14ac:dyDescent="0.3">
      <c r="A58" s="118">
        <v>45986</v>
      </c>
      <c r="B58" s="119" t="s">
        <v>78</v>
      </c>
      <c r="C58" s="120" t="s">
        <v>384</v>
      </c>
      <c r="D58" s="119" t="s">
        <v>303</v>
      </c>
      <c r="E58" s="121">
        <v>1.3784722222222221</v>
      </c>
      <c r="F58" s="119" t="s">
        <v>82</v>
      </c>
      <c r="G58" s="122">
        <v>9</v>
      </c>
      <c r="H58" s="123">
        <v>980</v>
      </c>
    </row>
    <row r="59" spans="1:8" ht="18" x14ac:dyDescent="0.3">
      <c r="A59" s="138">
        <v>45986</v>
      </c>
      <c r="B59" s="139" t="s">
        <v>78</v>
      </c>
      <c r="C59" s="140" t="s">
        <v>387</v>
      </c>
      <c r="D59" s="139" t="s">
        <v>303</v>
      </c>
      <c r="E59" s="141">
        <v>1.239583333333333</v>
      </c>
      <c r="F59" s="139" t="s">
        <v>87</v>
      </c>
      <c r="G59" s="142">
        <v>9</v>
      </c>
      <c r="H59" s="143">
        <v>935</v>
      </c>
    </row>
    <row r="60" spans="1:8" ht="18" x14ac:dyDescent="0.3">
      <c r="A60" s="118">
        <v>45986</v>
      </c>
      <c r="B60" s="119" t="s">
        <v>78</v>
      </c>
      <c r="C60" s="120" t="s">
        <v>387</v>
      </c>
      <c r="D60" s="119" t="s">
        <v>303</v>
      </c>
      <c r="E60" s="121">
        <v>1.239583333333333</v>
      </c>
      <c r="F60" s="119" t="s">
        <v>82</v>
      </c>
      <c r="G60" s="122">
        <v>9</v>
      </c>
      <c r="H60" s="123">
        <v>980</v>
      </c>
    </row>
    <row r="61" spans="1:8" ht="18" x14ac:dyDescent="0.3">
      <c r="A61" s="138">
        <v>45986</v>
      </c>
      <c r="B61" s="139" t="s">
        <v>78</v>
      </c>
      <c r="C61" s="140" t="s">
        <v>388</v>
      </c>
      <c r="D61" s="139" t="s">
        <v>303</v>
      </c>
      <c r="E61" s="141">
        <v>1.1423611111111109</v>
      </c>
      <c r="F61" s="139" t="s">
        <v>87</v>
      </c>
      <c r="G61" s="142">
        <v>9</v>
      </c>
      <c r="H61" s="143">
        <v>935</v>
      </c>
    </row>
    <row r="62" spans="1:8" ht="18" x14ac:dyDescent="0.3">
      <c r="A62" s="118">
        <v>45986</v>
      </c>
      <c r="B62" s="119" t="s">
        <v>78</v>
      </c>
      <c r="C62" s="120" t="s">
        <v>388</v>
      </c>
      <c r="D62" s="119" t="s">
        <v>303</v>
      </c>
      <c r="E62" s="121">
        <v>1.1423611111111109</v>
      </c>
      <c r="F62" s="119" t="s">
        <v>82</v>
      </c>
      <c r="G62" s="122">
        <v>9</v>
      </c>
      <c r="H62" s="123">
        <v>980</v>
      </c>
    </row>
    <row r="63" spans="1:8" ht="18" x14ac:dyDescent="0.3">
      <c r="A63" s="138">
        <v>45986</v>
      </c>
      <c r="B63" s="139" t="s">
        <v>78</v>
      </c>
      <c r="C63" s="140" t="s">
        <v>389</v>
      </c>
      <c r="D63" s="139" t="s">
        <v>303</v>
      </c>
      <c r="E63" s="141">
        <v>1.006944444444444</v>
      </c>
      <c r="F63" s="139" t="s">
        <v>87</v>
      </c>
      <c r="G63" s="142">
        <v>9</v>
      </c>
      <c r="H63" s="139" t="s">
        <v>390</v>
      </c>
    </row>
    <row r="64" spans="1:8" ht="18" x14ac:dyDescent="0.3">
      <c r="A64" s="118">
        <v>45986</v>
      </c>
      <c r="B64" s="119" t="s">
        <v>78</v>
      </c>
      <c r="C64" s="120" t="s">
        <v>389</v>
      </c>
      <c r="D64" s="119" t="s">
        <v>303</v>
      </c>
      <c r="E64" s="121">
        <v>1.006944444444444</v>
      </c>
      <c r="F64" s="119" t="s">
        <v>82</v>
      </c>
      <c r="G64" s="122">
        <v>9</v>
      </c>
      <c r="H64" s="119" t="s">
        <v>391</v>
      </c>
    </row>
    <row r="65" spans="1:8" ht="18" x14ac:dyDescent="0.3">
      <c r="A65" s="138">
        <v>45986</v>
      </c>
      <c r="B65" s="139" t="s">
        <v>78</v>
      </c>
      <c r="C65" s="140" t="s">
        <v>392</v>
      </c>
      <c r="D65" s="139" t="s">
        <v>303</v>
      </c>
      <c r="E65" s="141">
        <v>1.930555555555556</v>
      </c>
      <c r="F65" s="139" t="s">
        <v>87</v>
      </c>
      <c r="G65" s="142">
        <v>9</v>
      </c>
      <c r="H65" s="139" t="s">
        <v>390</v>
      </c>
    </row>
    <row r="66" spans="1:8" ht="18" x14ac:dyDescent="0.3">
      <c r="A66" s="118">
        <v>45986</v>
      </c>
      <c r="B66" s="119" t="s">
        <v>78</v>
      </c>
      <c r="C66" s="120" t="s">
        <v>392</v>
      </c>
      <c r="D66" s="119" t="s">
        <v>303</v>
      </c>
      <c r="E66" s="121">
        <v>1.930555555555556</v>
      </c>
      <c r="F66" s="119" t="s">
        <v>82</v>
      </c>
      <c r="G66" s="122">
        <v>9</v>
      </c>
      <c r="H66" s="119" t="s">
        <v>391</v>
      </c>
    </row>
    <row r="67" spans="1:8" ht="18" x14ac:dyDescent="0.3">
      <c r="A67" s="138">
        <v>45986</v>
      </c>
      <c r="B67" s="139" t="s">
        <v>78</v>
      </c>
      <c r="C67" s="140" t="s">
        <v>393</v>
      </c>
      <c r="D67" s="139" t="s">
        <v>303</v>
      </c>
      <c r="E67" s="141">
        <v>1.8888888888888891</v>
      </c>
      <c r="F67" s="139" t="s">
        <v>82</v>
      </c>
      <c r="G67" s="142">
        <v>4</v>
      </c>
      <c r="H67" s="139" t="s">
        <v>394</v>
      </c>
    </row>
    <row r="68" spans="1:8" ht="18" x14ac:dyDescent="0.3">
      <c r="A68" s="138">
        <v>45986</v>
      </c>
      <c r="B68" s="139" t="s">
        <v>78</v>
      </c>
      <c r="C68" s="140" t="s">
        <v>395</v>
      </c>
      <c r="D68" s="139" t="s">
        <v>303</v>
      </c>
      <c r="E68" s="141">
        <v>1.1284722222222221</v>
      </c>
      <c r="F68" s="139" t="s">
        <v>82</v>
      </c>
      <c r="G68" s="142">
        <v>4</v>
      </c>
      <c r="H68" s="139" t="s">
        <v>394</v>
      </c>
    </row>
    <row r="69" spans="1:8" ht="18" x14ac:dyDescent="0.3">
      <c r="A69" s="138">
        <v>45986</v>
      </c>
      <c r="B69" s="139" t="s">
        <v>78</v>
      </c>
      <c r="C69" s="140" t="s">
        <v>396</v>
      </c>
      <c r="D69" s="139" t="s">
        <v>303</v>
      </c>
      <c r="E69" s="141">
        <v>1.788194444444444</v>
      </c>
      <c r="F69" s="139" t="s">
        <v>82</v>
      </c>
      <c r="G69" s="142">
        <v>4</v>
      </c>
      <c r="H69" s="139" t="s">
        <v>394</v>
      </c>
    </row>
    <row r="70" spans="1:8" ht="18" x14ac:dyDescent="0.3">
      <c r="A70" s="138">
        <v>45986</v>
      </c>
      <c r="B70" s="139" t="s">
        <v>78</v>
      </c>
      <c r="C70" s="140" t="s">
        <v>397</v>
      </c>
      <c r="D70" s="139" t="s">
        <v>303</v>
      </c>
      <c r="E70" s="141">
        <v>1.71875</v>
      </c>
      <c r="F70" s="139" t="s">
        <v>87</v>
      </c>
      <c r="G70" s="142">
        <v>9</v>
      </c>
      <c r="H70" s="139" t="s">
        <v>398</v>
      </c>
    </row>
    <row r="71" spans="1:8" ht="18" x14ac:dyDescent="0.3">
      <c r="A71" s="118">
        <v>45986</v>
      </c>
      <c r="B71" s="119" t="s">
        <v>78</v>
      </c>
      <c r="C71" s="120" t="s">
        <v>397</v>
      </c>
      <c r="D71" s="119" t="s">
        <v>303</v>
      </c>
      <c r="E71" s="121">
        <v>1.71875</v>
      </c>
      <c r="F71" s="119" t="s">
        <v>82</v>
      </c>
      <c r="G71" s="122">
        <v>9</v>
      </c>
      <c r="H71" s="119" t="s">
        <v>399</v>
      </c>
    </row>
    <row r="72" spans="1:8" ht="18" x14ac:dyDescent="0.3">
      <c r="A72" s="138">
        <v>45986</v>
      </c>
      <c r="B72" s="139" t="s">
        <v>78</v>
      </c>
      <c r="C72" s="140" t="s">
        <v>400</v>
      </c>
      <c r="D72" s="139" t="s">
        <v>303</v>
      </c>
      <c r="E72" s="141">
        <v>1.6111111111111109</v>
      </c>
      <c r="F72" s="139" t="s">
        <v>87</v>
      </c>
      <c r="G72" s="142">
        <v>9</v>
      </c>
      <c r="H72" s="139" t="s">
        <v>398</v>
      </c>
    </row>
    <row r="73" spans="1:8" ht="18" x14ac:dyDescent="0.3">
      <c r="A73" s="118">
        <v>45986</v>
      </c>
      <c r="B73" s="119" t="s">
        <v>78</v>
      </c>
      <c r="C73" s="120" t="s">
        <v>400</v>
      </c>
      <c r="D73" s="119" t="s">
        <v>303</v>
      </c>
      <c r="E73" s="121">
        <v>1.6111111111111109</v>
      </c>
      <c r="F73" s="119" t="s">
        <v>82</v>
      </c>
      <c r="G73" s="122">
        <v>9</v>
      </c>
      <c r="H73" s="119" t="s">
        <v>399</v>
      </c>
    </row>
    <row r="74" spans="1:8" ht="18" x14ac:dyDescent="0.3">
      <c r="A74" s="138">
        <v>45986</v>
      </c>
      <c r="B74" s="139" t="s">
        <v>78</v>
      </c>
      <c r="C74" s="140" t="s">
        <v>401</v>
      </c>
      <c r="D74" s="139" t="s">
        <v>303</v>
      </c>
      <c r="E74" s="141">
        <v>1.8298611111111109</v>
      </c>
      <c r="F74" s="139" t="s">
        <v>87</v>
      </c>
      <c r="G74" s="142">
        <v>9</v>
      </c>
      <c r="H74" s="139" t="s">
        <v>398</v>
      </c>
    </row>
    <row r="75" spans="1:8" ht="18" x14ac:dyDescent="0.3">
      <c r="A75" s="118">
        <v>45986</v>
      </c>
      <c r="B75" s="119" t="s">
        <v>78</v>
      </c>
      <c r="C75" s="120" t="s">
        <v>401</v>
      </c>
      <c r="D75" s="119" t="s">
        <v>303</v>
      </c>
      <c r="E75" s="121">
        <v>1.8298611111111109</v>
      </c>
      <c r="F75" s="119" t="s">
        <v>82</v>
      </c>
      <c r="G75" s="122">
        <v>9</v>
      </c>
      <c r="H75" s="119" t="s">
        <v>399</v>
      </c>
    </row>
    <row r="76" spans="1:8" ht="18" x14ac:dyDescent="0.3">
      <c r="A76" s="149">
        <v>45986</v>
      </c>
      <c r="B76" s="150" t="s">
        <v>78</v>
      </c>
      <c r="C76" s="151" t="s">
        <v>402</v>
      </c>
      <c r="D76" s="150" t="s">
        <v>303</v>
      </c>
      <c r="E76" s="152">
        <v>1.302083333333333</v>
      </c>
      <c r="F76" s="150" t="s">
        <v>82</v>
      </c>
      <c r="G76" s="153">
        <v>4</v>
      </c>
      <c r="H76" s="150" t="s">
        <v>403</v>
      </c>
    </row>
    <row r="77" spans="1:8" ht="18" x14ac:dyDescent="0.3">
      <c r="A77" s="112">
        <v>45987</v>
      </c>
      <c r="B77" s="113" t="s">
        <v>304</v>
      </c>
      <c r="C77" s="114" t="s">
        <v>305</v>
      </c>
      <c r="D77" s="113" t="s">
        <v>303</v>
      </c>
      <c r="E77" s="115">
        <v>1.270833333333333</v>
      </c>
      <c r="F77" s="113" t="s">
        <v>306</v>
      </c>
      <c r="G77" s="116">
        <v>7</v>
      </c>
      <c r="H77" s="117">
        <v>400</v>
      </c>
    </row>
    <row r="78" spans="1:8" ht="18" x14ac:dyDescent="0.3">
      <c r="A78" s="138">
        <v>45987</v>
      </c>
      <c r="B78" s="139" t="s">
        <v>304</v>
      </c>
      <c r="C78" s="140" t="s">
        <v>308</v>
      </c>
      <c r="D78" s="139" t="s">
        <v>303</v>
      </c>
      <c r="E78" s="141">
        <v>1.8611111111111109</v>
      </c>
      <c r="F78" s="139" t="s">
        <v>306</v>
      </c>
      <c r="G78" s="142">
        <v>2</v>
      </c>
      <c r="H78" s="143">
        <v>645</v>
      </c>
    </row>
    <row r="79" spans="1:8" ht="18" x14ac:dyDescent="0.3">
      <c r="A79" s="136">
        <v>45987</v>
      </c>
      <c r="B79" s="113" t="s">
        <v>25</v>
      </c>
      <c r="C79" s="114" t="s">
        <v>344</v>
      </c>
      <c r="D79" s="113" t="s">
        <v>303</v>
      </c>
      <c r="E79" s="115">
        <v>1.302083333333333</v>
      </c>
      <c r="F79" s="113" t="s">
        <v>27</v>
      </c>
      <c r="G79" s="116">
        <v>5</v>
      </c>
      <c r="H79" s="137">
        <v>419</v>
      </c>
    </row>
    <row r="80" spans="1:8" ht="18" x14ac:dyDescent="0.3">
      <c r="A80" s="118">
        <v>45987</v>
      </c>
      <c r="B80" s="119" t="s">
        <v>25</v>
      </c>
      <c r="C80" s="120" t="s">
        <v>344</v>
      </c>
      <c r="D80" s="119" t="s">
        <v>303</v>
      </c>
      <c r="E80" s="121">
        <v>1.302083333333333</v>
      </c>
      <c r="F80" s="119" t="s">
        <v>30</v>
      </c>
      <c r="G80" s="122">
        <v>5</v>
      </c>
      <c r="H80" s="123">
        <v>569</v>
      </c>
    </row>
    <row r="81" spans="1:8" ht="18" x14ac:dyDescent="0.3">
      <c r="A81" s="118">
        <v>45987</v>
      </c>
      <c r="B81" s="119" t="s">
        <v>25</v>
      </c>
      <c r="C81" s="120" t="s">
        <v>344</v>
      </c>
      <c r="D81" s="119" t="s">
        <v>303</v>
      </c>
      <c r="E81" s="121">
        <v>1.302083333333333</v>
      </c>
      <c r="F81" s="119" t="s">
        <v>33</v>
      </c>
      <c r="G81" s="122">
        <v>5</v>
      </c>
      <c r="H81" s="119" t="s">
        <v>34</v>
      </c>
    </row>
    <row r="82" spans="1:8" ht="18" x14ac:dyDescent="0.3">
      <c r="A82" s="138">
        <v>45987</v>
      </c>
      <c r="B82" s="139" t="s">
        <v>25</v>
      </c>
      <c r="C82" s="140" t="s">
        <v>338</v>
      </c>
      <c r="D82" s="139" t="s">
        <v>303</v>
      </c>
      <c r="E82" s="141">
        <v>1.1284722222222221</v>
      </c>
      <c r="F82" s="139" t="s">
        <v>27</v>
      </c>
      <c r="G82" s="142">
        <v>12</v>
      </c>
      <c r="H82" s="143">
        <v>419</v>
      </c>
    </row>
    <row r="83" spans="1:8" ht="18" x14ac:dyDescent="0.3">
      <c r="A83" s="118">
        <v>45987</v>
      </c>
      <c r="B83" s="119" t="s">
        <v>25</v>
      </c>
      <c r="C83" s="120" t="s">
        <v>338</v>
      </c>
      <c r="D83" s="119" t="s">
        <v>303</v>
      </c>
      <c r="E83" s="121">
        <v>1.1284722222222221</v>
      </c>
      <c r="F83" s="119" t="s">
        <v>30</v>
      </c>
      <c r="G83" s="122">
        <v>12</v>
      </c>
      <c r="H83" s="123">
        <v>569</v>
      </c>
    </row>
    <row r="84" spans="1:8" ht="18" x14ac:dyDescent="0.3">
      <c r="A84" s="118">
        <v>45987</v>
      </c>
      <c r="B84" s="119" t="s">
        <v>25</v>
      </c>
      <c r="C84" s="120" t="s">
        <v>338</v>
      </c>
      <c r="D84" s="119" t="s">
        <v>303</v>
      </c>
      <c r="E84" s="121">
        <v>1.1284722222222221</v>
      </c>
      <c r="F84" s="119" t="s">
        <v>33</v>
      </c>
      <c r="G84" s="122">
        <v>12</v>
      </c>
      <c r="H84" s="119" t="s">
        <v>34</v>
      </c>
    </row>
    <row r="85" spans="1:8" ht="18" x14ac:dyDescent="0.3">
      <c r="A85" s="138">
        <v>45987</v>
      </c>
      <c r="B85" s="139" t="s">
        <v>25</v>
      </c>
      <c r="C85" s="140" t="s">
        <v>347</v>
      </c>
      <c r="D85" s="139" t="s">
        <v>303</v>
      </c>
      <c r="E85" s="141">
        <v>1.788194444444444</v>
      </c>
      <c r="F85" s="139" t="s">
        <v>27</v>
      </c>
      <c r="G85" s="142">
        <v>16</v>
      </c>
      <c r="H85" s="143">
        <v>419</v>
      </c>
    </row>
    <row r="86" spans="1:8" ht="18" x14ac:dyDescent="0.3">
      <c r="A86" s="118">
        <v>45987</v>
      </c>
      <c r="B86" s="119" t="s">
        <v>25</v>
      </c>
      <c r="C86" s="120" t="s">
        <v>347</v>
      </c>
      <c r="D86" s="119" t="s">
        <v>303</v>
      </c>
      <c r="E86" s="121">
        <v>1.788194444444444</v>
      </c>
      <c r="F86" s="119" t="s">
        <v>30</v>
      </c>
      <c r="G86" s="122">
        <v>16</v>
      </c>
      <c r="H86" s="123">
        <v>569</v>
      </c>
    </row>
    <row r="87" spans="1:8" ht="18" x14ac:dyDescent="0.3">
      <c r="A87" s="118">
        <v>45987</v>
      </c>
      <c r="B87" s="119" t="s">
        <v>25</v>
      </c>
      <c r="C87" s="120" t="s">
        <v>347</v>
      </c>
      <c r="D87" s="119" t="s">
        <v>303</v>
      </c>
      <c r="E87" s="121">
        <v>1.788194444444444</v>
      </c>
      <c r="F87" s="119" t="s">
        <v>33</v>
      </c>
      <c r="G87" s="122">
        <v>16</v>
      </c>
      <c r="H87" s="119" t="s">
        <v>34</v>
      </c>
    </row>
    <row r="88" spans="1:8" ht="18" x14ac:dyDescent="0.3">
      <c r="A88" s="138">
        <v>45987</v>
      </c>
      <c r="B88" s="139" t="s">
        <v>25</v>
      </c>
      <c r="C88" s="140" t="s">
        <v>343</v>
      </c>
      <c r="D88" s="139" t="s">
        <v>303</v>
      </c>
      <c r="E88" s="141">
        <v>1.8888888888888891</v>
      </c>
      <c r="F88" s="139" t="s">
        <v>27</v>
      </c>
      <c r="G88" s="142">
        <v>20</v>
      </c>
      <c r="H88" s="143">
        <v>419</v>
      </c>
    </row>
    <row r="89" spans="1:8" ht="18" x14ac:dyDescent="0.3">
      <c r="A89" s="118">
        <v>45987</v>
      </c>
      <c r="B89" s="119" t="s">
        <v>25</v>
      </c>
      <c r="C89" s="120" t="s">
        <v>343</v>
      </c>
      <c r="D89" s="119" t="s">
        <v>303</v>
      </c>
      <c r="E89" s="121">
        <v>1.8888888888888891</v>
      </c>
      <c r="F89" s="119" t="s">
        <v>30</v>
      </c>
      <c r="G89" s="122">
        <v>20</v>
      </c>
      <c r="H89" s="123">
        <v>569</v>
      </c>
    </row>
    <row r="90" spans="1:8" ht="18" x14ac:dyDescent="0.3">
      <c r="A90" s="118">
        <v>45987</v>
      </c>
      <c r="B90" s="119" t="s">
        <v>25</v>
      </c>
      <c r="C90" s="120" t="s">
        <v>343</v>
      </c>
      <c r="D90" s="119" t="s">
        <v>303</v>
      </c>
      <c r="E90" s="121">
        <v>1.8888888888888891</v>
      </c>
      <c r="F90" s="119" t="s">
        <v>33</v>
      </c>
      <c r="G90" s="122">
        <v>20</v>
      </c>
      <c r="H90" s="119" t="s">
        <v>34</v>
      </c>
    </row>
    <row r="91" spans="1:8" ht="18" x14ac:dyDescent="0.3">
      <c r="A91" s="124">
        <v>45987</v>
      </c>
      <c r="B91" s="125" t="s">
        <v>35</v>
      </c>
      <c r="C91" s="126" t="s">
        <v>324</v>
      </c>
      <c r="D91" s="125" t="s">
        <v>303</v>
      </c>
      <c r="E91" s="127">
        <v>1.520833333333333</v>
      </c>
      <c r="F91" s="125" t="s">
        <v>37</v>
      </c>
      <c r="G91" s="128">
        <v>9</v>
      </c>
      <c r="H91" s="129">
        <v>436</v>
      </c>
    </row>
    <row r="92" spans="1:8" ht="18" x14ac:dyDescent="0.3">
      <c r="A92" s="130">
        <v>45987</v>
      </c>
      <c r="B92" s="131" t="s">
        <v>35</v>
      </c>
      <c r="C92" s="132" t="s">
        <v>314</v>
      </c>
      <c r="D92" s="131" t="s">
        <v>303</v>
      </c>
      <c r="E92" s="133">
        <v>1.5173611111111109</v>
      </c>
      <c r="F92" s="131" t="s">
        <v>37</v>
      </c>
      <c r="G92" s="134">
        <v>9</v>
      </c>
      <c r="H92" s="135">
        <v>436</v>
      </c>
    </row>
    <row r="93" spans="1:8" ht="18" x14ac:dyDescent="0.3">
      <c r="A93" s="130">
        <v>45987</v>
      </c>
      <c r="B93" s="131" t="s">
        <v>35</v>
      </c>
      <c r="C93" s="132" t="s">
        <v>413</v>
      </c>
      <c r="D93" s="131" t="s">
        <v>303</v>
      </c>
      <c r="E93" s="133">
        <v>1.614583333333333</v>
      </c>
      <c r="F93" s="131" t="s">
        <v>37</v>
      </c>
      <c r="G93" s="134">
        <v>2</v>
      </c>
      <c r="H93" s="135">
        <v>436</v>
      </c>
    </row>
    <row r="94" spans="1:8" ht="18" x14ac:dyDescent="0.3">
      <c r="A94" s="136">
        <v>45987</v>
      </c>
      <c r="B94" s="113" t="s">
        <v>55</v>
      </c>
      <c r="C94" s="114" t="s">
        <v>357</v>
      </c>
      <c r="D94" s="113" t="s">
        <v>303</v>
      </c>
      <c r="E94" s="115">
        <v>1.256944444444444</v>
      </c>
      <c r="F94" s="113" t="s">
        <v>60</v>
      </c>
      <c r="G94" s="116">
        <v>7</v>
      </c>
      <c r="H94" s="137">
        <v>449</v>
      </c>
    </row>
    <row r="95" spans="1:8" ht="18" x14ac:dyDescent="0.3">
      <c r="A95" s="118">
        <v>45987</v>
      </c>
      <c r="B95" s="119" t="s">
        <v>55</v>
      </c>
      <c r="C95" s="120" t="s">
        <v>357</v>
      </c>
      <c r="D95" s="119" t="s">
        <v>303</v>
      </c>
      <c r="E95" s="121">
        <v>1.256944444444444</v>
      </c>
      <c r="F95" s="119" t="s">
        <v>62</v>
      </c>
      <c r="G95" s="122">
        <v>7</v>
      </c>
      <c r="H95" s="123">
        <v>549</v>
      </c>
    </row>
    <row r="96" spans="1:8" ht="18" x14ac:dyDescent="0.3">
      <c r="A96" s="118">
        <v>45987</v>
      </c>
      <c r="B96" s="119" t="s">
        <v>55</v>
      </c>
      <c r="C96" s="120" t="s">
        <v>357</v>
      </c>
      <c r="D96" s="119" t="s">
        <v>303</v>
      </c>
      <c r="E96" s="121">
        <v>1.256944444444444</v>
      </c>
      <c r="F96" s="119" t="s">
        <v>64</v>
      </c>
      <c r="G96" s="122">
        <v>7</v>
      </c>
      <c r="H96" s="123">
        <v>639</v>
      </c>
    </row>
    <row r="97" spans="1:8" ht="18" x14ac:dyDescent="0.3">
      <c r="A97" s="138">
        <v>45987</v>
      </c>
      <c r="B97" s="139" t="s">
        <v>55</v>
      </c>
      <c r="C97" s="140" t="s">
        <v>352</v>
      </c>
      <c r="D97" s="139" t="s">
        <v>303</v>
      </c>
      <c r="E97" s="141">
        <v>1.9027777777777779</v>
      </c>
      <c r="F97" s="139" t="s">
        <v>60</v>
      </c>
      <c r="G97" s="142">
        <v>7</v>
      </c>
      <c r="H97" s="143">
        <v>449</v>
      </c>
    </row>
    <row r="98" spans="1:8" ht="18" x14ac:dyDescent="0.3">
      <c r="A98" s="118">
        <v>45987</v>
      </c>
      <c r="B98" s="119" t="s">
        <v>55</v>
      </c>
      <c r="C98" s="120" t="s">
        <v>352</v>
      </c>
      <c r="D98" s="119" t="s">
        <v>303</v>
      </c>
      <c r="E98" s="121">
        <v>1.9027777777777779</v>
      </c>
      <c r="F98" s="119" t="s">
        <v>62</v>
      </c>
      <c r="G98" s="122">
        <v>7</v>
      </c>
      <c r="H98" s="123">
        <v>549</v>
      </c>
    </row>
    <row r="99" spans="1:8" ht="18" x14ac:dyDescent="0.3">
      <c r="A99" s="118">
        <v>45987</v>
      </c>
      <c r="B99" s="119" t="s">
        <v>55</v>
      </c>
      <c r="C99" s="120" t="s">
        <v>352</v>
      </c>
      <c r="D99" s="119" t="s">
        <v>303</v>
      </c>
      <c r="E99" s="121">
        <v>1.9027777777777779</v>
      </c>
      <c r="F99" s="119" t="s">
        <v>64</v>
      </c>
      <c r="G99" s="122">
        <v>7</v>
      </c>
      <c r="H99" s="123">
        <v>639</v>
      </c>
    </row>
    <row r="100" spans="1:8" ht="18" x14ac:dyDescent="0.3">
      <c r="A100" s="138">
        <v>45987</v>
      </c>
      <c r="B100" s="139" t="s">
        <v>55</v>
      </c>
      <c r="C100" s="140" t="s">
        <v>349</v>
      </c>
      <c r="D100" s="139" t="s">
        <v>303</v>
      </c>
      <c r="E100" s="141">
        <v>1.854166666666667</v>
      </c>
      <c r="F100" s="139" t="s">
        <v>60</v>
      </c>
      <c r="G100" s="142">
        <v>8</v>
      </c>
      <c r="H100" s="143">
        <v>449</v>
      </c>
    </row>
    <row r="101" spans="1:8" ht="18" x14ac:dyDescent="0.3">
      <c r="A101" s="118">
        <v>45987</v>
      </c>
      <c r="B101" s="119" t="s">
        <v>55</v>
      </c>
      <c r="C101" s="120" t="s">
        <v>349</v>
      </c>
      <c r="D101" s="119" t="s">
        <v>303</v>
      </c>
      <c r="E101" s="121">
        <v>1.854166666666667</v>
      </c>
      <c r="F101" s="119" t="s">
        <v>62</v>
      </c>
      <c r="G101" s="122">
        <v>8</v>
      </c>
      <c r="H101" s="123">
        <v>549</v>
      </c>
    </row>
    <row r="102" spans="1:8" ht="18" x14ac:dyDescent="0.3">
      <c r="A102" s="118">
        <v>45987</v>
      </c>
      <c r="B102" s="119" t="s">
        <v>55</v>
      </c>
      <c r="C102" s="120" t="s">
        <v>349</v>
      </c>
      <c r="D102" s="119" t="s">
        <v>303</v>
      </c>
      <c r="E102" s="121">
        <v>1.854166666666667</v>
      </c>
      <c r="F102" s="119" t="s">
        <v>64</v>
      </c>
      <c r="G102" s="122">
        <v>8</v>
      </c>
      <c r="H102" s="123">
        <v>639</v>
      </c>
    </row>
    <row r="103" spans="1:8" ht="18" x14ac:dyDescent="0.3">
      <c r="A103" s="138">
        <v>45987</v>
      </c>
      <c r="B103" s="139" t="s">
        <v>55</v>
      </c>
      <c r="C103" s="140" t="s">
        <v>366</v>
      </c>
      <c r="D103" s="139" t="s">
        <v>303</v>
      </c>
      <c r="E103" s="141">
        <v>1.395833333333333</v>
      </c>
      <c r="F103" s="139" t="s">
        <v>60</v>
      </c>
      <c r="G103" s="142">
        <v>2</v>
      </c>
      <c r="H103" s="143">
        <v>449</v>
      </c>
    </row>
    <row r="104" spans="1:8" ht="18" x14ac:dyDescent="0.3">
      <c r="A104" s="118">
        <v>45987</v>
      </c>
      <c r="B104" s="119" t="s">
        <v>55</v>
      </c>
      <c r="C104" s="120" t="s">
        <v>366</v>
      </c>
      <c r="D104" s="119" t="s">
        <v>303</v>
      </c>
      <c r="E104" s="121">
        <v>1.395833333333333</v>
      </c>
      <c r="F104" s="119" t="s">
        <v>62</v>
      </c>
      <c r="G104" s="122">
        <v>2</v>
      </c>
      <c r="H104" s="123">
        <v>549</v>
      </c>
    </row>
    <row r="105" spans="1:8" ht="18" x14ac:dyDescent="0.3">
      <c r="A105" s="118">
        <v>45987</v>
      </c>
      <c r="B105" s="119" t="s">
        <v>55</v>
      </c>
      <c r="C105" s="120" t="s">
        <v>366</v>
      </c>
      <c r="D105" s="119" t="s">
        <v>303</v>
      </c>
      <c r="E105" s="121">
        <v>1.395833333333333</v>
      </c>
      <c r="F105" s="119" t="s">
        <v>64</v>
      </c>
      <c r="G105" s="122">
        <v>2</v>
      </c>
      <c r="H105" s="123">
        <v>639</v>
      </c>
    </row>
    <row r="106" spans="1:8" ht="18" x14ac:dyDescent="0.3">
      <c r="A106" s="138">
        <v>45987</v>
      </c>
      <c r="B106" s="139" t="s">
        <v>55</v>
      </c>
      <c r="C106" s="140" t="s">
        <v>365</v>
      </c>
      <c r="D106" s="139" t="s">
        <v>303</v>
      </c>
      <c r="E106" s="141">
        <v>1.302083333333333</v>
      </c>
      <c r="F106" s="139" t="s">
        <v>60</v>
      </c>
      <c r="G106" s="142">
        <v>7</v>
      </c>
      <c r="H106" s="143">
        <v>449</v>
      </c>
    </row>
    <row r="107" spans="1:8" ht="18" x14ac:dyDescent="0.3">
      <c r="A107" s="118">
        <v>45987</v>
      </c>
      <c r="B107" s="119" t="s">
        <v>55</v>
      </c>
      <c r="C107" s="120" t="s">
        <v>365</v>
      </c>
      <c r="D107" s="119" t="s">
        <v>303</v>
      </c>
      <c r="E107" s="121">
        <v>1.302083333333333</v>
      </c>
      <c r="F107" s="119" t="s">
        <v>62</v>
      </c>
      <c r="G107" s="122">
        <v>7</v>
      </c>
      <c r="H107" s="123">
        <v>549</v>
      </c>
    </row>
    <row r="108" spans="1:8" ht="18" x14ac:dyDescent="0.3">
      <c r="A108" s="118">
        <v>45987</v>
      </c>
      <c r="B108" s="119" t="s">
        <v>55</v>
      </c>
      <c r="C108" s="120" t="s">
        <v>365</v>
      </c>
      <c r="D108" s="119" t="s">
        <v>303</v>
      </c>
      <c r="E108" s="121">
        <v>1.302083333333333</v>
      </c>
      <c r="F108" s="119" t="s">
        <v>64</v>
      </c>
      <c r="G108" s="122">
        <v>7</v>
      </c>
      <c r="H108" s="123">
        <v>639</v>
      </c>
    </row>
    <row r="109" spans="1:8" ht="18" x14ac:dyDescent="0.3">
      <c r="A109" s="138">
        <v>45987</v>
      </c>
      <c r="B109" s="139" t="s">
        <v>55</v>
      </c>
      <c r="C109" s="140" t="s">
        <v>363</v>
      </c>
      <c r="D109" s="139" t="s">
        <v>303</v>
      </c>
      <c r="E109" s="141">
        <v>1.645833333333333</v>
      </c>
      <c r="F109" s="139" t="s">
        <v>60</v>
      </c>
      <c r="G109" s="142">
        <v>5</v>
      </c>
      <c r="H109" s="143">
        <v>489</v>
      </c>
    </row>
    <row r="110" spans="1:8" ht="18" x14ac:dyDescent="0.3">
      <c r="A110" s="118">
        <v>45987</v>
      </c>
      <c r="B110" s="119" t="s">
        <v>55</v>
      </c>
      <c r="C110" s="120" t="s">
        <v>363</v>
      </c>
      <c r="D110" s="119" t="s">
        <v>303</v>
      </c>
      <c r="E110" s="121">
        <v>1.645833333333333</v>
      </c>
      <c r="F110" s="119" t="s">
        <v>62</v>
      </c>
      <c r="G110" s="122">
        <v>5</v>
      </c>
      <c r="H110" s="123">
        <v>589</v>
      </c>
    </row>
    <row r="111" spans="1:8" ht="18" x14ac:dyDescent="0.3">
      <c r="A111" s="118">
        <v>45987</v>
      </c>
      <c r="B111" s="119" t="s">
        <v>55</v>
      </c>
      <c r="C111" s="120" t="s">
        <v>363</v>
      </c>
      <c r="D111" s="119" t="s">
        <v>303</v>
      </c>
      <c r="E111" s="121">
        <v>1.645833333333333</v>
      </c>
      <c r="F111" s="119" t="s">
        <v>64</v>
      </c>
      <c r="G111" s="122">
        <v>5</v>
      </c>
      <c r="H111" s="123">
        <v>679</v>
      </c>
    </row>
    <row r="112" spans="1:8" ht="18" x14ac:dyDescent="0.3">
      <c r="A112" s="138">
        <v>45987</v>
      </c>
      <c r="B112" s="139" t="s">
        <v>55</v>
      </c>
      <c r="C112" s="140" t="s">
        <v>356</v>
      </c>
      <c r="D112" s="139" t="s">
        <v>303</v>
      </c>
      <c r="E112" s="141">
        <v>1.7986111111111109</v>
      </c>
      <c r="F112" s="139" t="s">
        <v>60</v>
      </c>
      <c r="G112" s="142">
        <v>1</v>
      </c>
      <c r="H112" s="143">
        <v>489</v>
      </c>
    </row>
    <row r="113" spans="1:8" ht="18" x14ac:dyDescent="0.3">
      <c r="A113" s="118">
        <v>45987</v>
      </c>
      <c r="B113" s="119" t="s">
        <v>55</v>
      </c>
      <c r="C113" s="120" t="s">
        <v>356</v>
      </c>
      <c r="D113" s="119" t="s">
        <v>303</v>
      </c>
      <c r="E113" s="121">
        <v>1.7986111111111109</v>
      </c>
      <c r="F113" s="119" t="s">
        <v>62</v>
      </c>
      <c r="G113" s="122">
        <v>1</v>
      </c>
      <c r="H113" s="123">
        <v>589</v>
      </c>
    </row>
    <row r="114" spans="1:8" ht="18" x14ac:dyDescent="0.3">
      <c r="A114" s="118">
        <v>45987</v>
      </c>
      <c r="B114" s="119" t="s">
        <v>55</v>
      </c>
      <c r="C114" s="120" t="s">
        <v>356</v>
      </c>
      <c r="D114" s="119" t="s">
        <v>303</v>
      </c>
      <c r="E114" s="121">
        <v>1.7986111111111109</v>
      </c>
      <c r="F114" s="119" t="s">
        <v>64</v>
      </c>
      <c r="G114" s="122">
        <v>1</v>
      </c>
      <c r="H114" s="123">
        <v>679</v>
      </c>
    </row>
    <row r="115" spans="1:8" ht="18" x14ac:dyDescent="0.3">
      <c r="A115" s="138">
        <v>45987</v>
      </c>
      <c r="B115" s="139" t="s">
        <v>55</v>
      </c>
      <c r="C115" s="140" t="s">
        <v>364</v>
      </c>
      <c r="D115" s="139" t="s">
        <v>303</v>
      </c>
      <c r="E115" s="141">
        <v>1.5173611111111109</v>
      </c>
      <c r="F115" s="139" t="s">
        <v>60</v>
      </c>
      <c r="G115" s="142">
        <v>9</v>
      </c>
      <c r="H115" s="143">
        <v>529</v>
      </c>
    </row>
    <row r="116" spans="1:8" ht="18" x14ac:dyDescent="0.3">
      <c r="A116" s="118">
        <v>45987</v>
      </c>
      <c r="B116" s="119" t="s">
        <v>55</v>
      </c>
      <c r="C116" s="120" t="s">
        <v>364</v>
      </c>
      <c r="D116" s="119" t="s">
        <v>303</v>
      </c>
      <c r="E116" s="121">
        <v>1.5173611111111109</v>
      </c>
      <c r="F116" s="119" t="s">
        <v>62</v>
      </c>
      <c r="G116" s="122">
        <v>9</v>
      </c>
      <c r="H116" s="123">
        <v>629</v>
      </c>
    </row>
    <row r="117" spans="1:8" ht="18" x14ac:dyDescent="0.3">
      <c r="A117" s="118">
        <v>45987</v>
      </c>
      <c r="B117" s="119" t="s">
        <v>55</v>
      </c>
      <c r="C117" s="120" t="s">
        <v>364</v>
      </c>
      <c r="D117" s="119" t="s">
        <v>303</v>
      </c>
      <c r="E117" s="121">
        <v>1.5173611111111109</v>
      </c>
      <c r="F117" s="119" t="s">
        <v>64</v>
      </c>
      <c r="G117" s="122">
        <v>9</v>
      </c>
      <c r="H117" s="123">
        <v>719</v>
      </c>
    </row>
    <row r="118" spans="1:8" ht="18" x14ac:dyDescent="0.3">
      <c r="A118" s="136">
        <v>45987</v>
      </c>
      <c r="B118" s="113" t="s">
        <v>66</v>
      </c>
      <c r="C118" s="114" t="s">
        <v>369</v>
      </c>
      <c r="D118" s="113" t="s">
        <v>303</v>
      </c>
      <c r="E118" s="115">
        <v>1.4861111111111109</v>
      </c>
      <c r="F118" s="113" t="s">
        <v>85</v>
      </c>
      <c r="G118" s="116">
        <v>9</v>
      </c>
      <c r="H118" s="137">
        <v>503</v>
      </c>
    </row>
    <row r="119" spans="1:8" ht="18" x14ac:dyDescent="0.3">
      <c r="A119" s="138">
        <v>45987</v>
      </c>
      <c r="B119" s="139" t="s">
        <v>66</v>
      </c>
      <c r="C119" s="140" t="s">
        <v>416</v>
      </c>
      <c r="D119" s="139" t="s">
        <v>303</v>
      </c>
      <c r="E119" s="141">
        <v>1.145833333333333</v>
      </c>
      <c r="F119" s="139" t="s">
        <v>85</v>
      </c>
      <c r="G119" s="142">
        <v>9</v>
      </c>
      <c r="H119" s="143">
        <v>503</v>
      </c>
    </row>
    <row r="120" spans="1:8" ht="18" x14ac:dyDescent="0.3">
      <c r="A120" s="138">
        <v>45987</v>
      </c>
      <c r="B120" s="139" t="s">
        <v>66</v>
      </c>
      <c r="C120" s="140" t="s">
        <v>375</v>
      </c>
      <c r="D120" s="139" t="s">
        <v>303</v>
      </c>
      <c r="E120" s="141">
        <v>1.274305555555556</v>
      </c>
      <c r="F120" s="139" t="s">
        <v>85</v>
      </c>
      <c r="G120" s="142">
        <v>9</v>
      </c>
      <c r="H120" s="143">
        <v>503</v>
      </c>
    </row>
    <row r="121" spans="1:8" ht="18" x14ac:dyDescent="0.3">
      <c r="A121" s="138">
        <v>45987</v>
      </c>
      <c r="B121" s="139" t="s">
        <v>66</v>
      </c>
      <c r="C121" s="140" t="s">
        <v>371</v>
      </c>
      <c r="D121" s="139" t="s">
        <v>303</v>
      </c>
      <c r="E121" s="141">
        <v>1.506944444444444</v>
      </c>
      <c r="F121" s="139" t="s">
        <v>85</v>
      </c>
      <c r="G121" s="142">
        <v>9</v>
      </c>
      <c r="H121" s="143">
        <v>503</v>
      </c>
    </row>
    <row r="122" spans="1:8" ht="18" x14ac:dyDescent="0.3">
      <c r="A122" s="138">
        <v>45987</v>
      </c>
      <c r="B122" s="139" t="s">
        <v>66</v>
      </c>
      <c r="C122" s="140" t="s">
        <v>417</v>
      </c>
      <c r="D122" s="139" t="s">
        <v>303</v>
      </c>
      <c r="E122" s="141">
        <v>1.958333333333333</v>
      </c>
      <c r="F122" s="139" t="s">
        <v>85</v>
      </c>
      <c r="G122" s="142">
        <v>9</v>
      </c>
      <c r="H122" s="143">
        <v>503</v>
      </c>
    </row>
    <row r="123" spans="1:8" ht="18" x14ac:dyDescent="0.3">
      <c r="A123" s="138">
        <v>45987</v>
      </c>
      <c r="B123" s="139" t="s">
        <v>66</v>
      </c>
      <c r="C123" s="140" t="s">
        <v>377</v>
      </c>
      <c r="D123" s="139" t="s">
        <v>303</v>
      </c>
      <c r="E123" s="141">
        <v>1.2222222222222221</v>
      </c>
      <c r="F123" s="139" t="s">
        <v>85</v>
      </c>
      <c r="G123" s="142">
        <v>9</v>
      </c>
      <c r="H123" s="143">
        <v>503</v>
      </c>
    </row>
    <row r="124" spans="1:8" ht="18" x14ac:dyDescent="0.3">
      <c r="A124" s="138">
        <v>45987</v>
      </c>
      <c r="B124" s="139" t="s">
        <v>66</v>
      </c>
      <c r="C124" s="140" t="s">
        <v>418</v>
      </c>
      <c r="D124" s="139" t="s">
        <v>303</v>
      </c>
      <c r="E124" s="141">
        <v>1.7847222222222221</v>
      </c>
      <c r="F124" s="139" t="s">
        <v>68</v>
      </c>
      <c r="G124" s="142">
        <v>9</v>
      </c>
      <c r="H124" s="143">
        <v>765</v>
      </c>
    </row>
    <row r="125" spans="1:8" ht="18" x14ac:dyDescent="0.3">
      <c r="A125" s="138">
        <v>45987</v>
      </c>
      <c r="B125" s="139" t="s">
        <v>66</v>
      </c>
      <c r="C125" s="140" t="s">
        <v>373</v>
      </c>
      <c r="D125" s="139" t="s">
        <v>303</v>
      </c>
      <c r="E125" s="141">
        <v>1.0138888888888891</v>
      </c>
      <c r="F125" s="139" t="s">
        <v>68</v>
      </c>
      <c r="G125" s="142">
        <v>9</v>
      </c>
      <c r="H125" s="143">
        <v>765</v>
      </c>
    </row>
    <row r="126" spans="1:8" ht="18" x14ac:dyDescent="0.3">
      <c r="A126" s="138">
        <v>45987</v>
      </c>
      <c r="B126" s="139" t="s">
        <v>66</v>
      </c>
      <c r="C126" s="140" t="s">
        <v>376</v>
      </c>
      <c r="D126" s="139" t="s">
        <v>303</v>
      </c>
      <c r="E126" s="141">
        <v>1.774305555555556</v>
      </c>
      <c r="F126" s="139" t="s">
        <v>68</v>
      </c>
      <c r="G126" s="142">
        <v>2</v>
      </c>
      <c r="H126" s="139" t="s">
        <v>419</v>
      </c>
    </row>
    <row r="127" spans="1:8" ht="18" x14ac:dyDescent="0.3">
      <c r="A127" s="136">
        <v>45987</v>
      </c>
      <c r="B127" s="113" t="s">
        <v>378</v>
      </c>
      <c r="C127" s="114" t="s">
        <v>420</v>
      </c>
      <c r="D127" s="113" t="s">
        <v>303</v>
      </c>
      <c r="E127" s="115">
        <v>1.3923611111111109</v>
      </c>
      <c r="F127" s="113" t="s">
        <v>380</v>
      </c>
      <c r="G127" s="116">
        <v>5</v>
      </c>
      <c r="H127" s="137">
        <v>566</v>
      </c>
    </row>
    <row r="128" spans="1:8" ht="18" x14ac:dyDescent="0.3">
      <c r="A128" s="118">
        <v>45987</v>
      </c>
      <c r="B128" s="119" t="s">
        <v>378</v>
      </c>
      <c r="C128" s="120" t="s">
        <v>420</v>
      </c>
      <c r="D128" s="119" t="s">
        <v>303</v>
      </c>
      <c r="E128" s="121">
        <v>1.3923611111111109</v>
      </c>
      <c r="F128" s="119" t="s">
        <v>33</v>
      </c>
      <c r="G128" s="122">
        <v>5</v>
      </c>
      <c r="H128" s="123">
        <v>690</v>
      </c>
    </row>
    <row r="129" spans="1:8" ht="18" x14ac:dyDescent="0.3">
      <c r="A129" s="136">
        <v>45987</v>
      </c>
      <c r="B129" s="113" t="s">
        <v>333</v>
      </c>
      <c r="C129" s="114" t="s">
        <v>335</v>
      </c>
      <c r="D129" s="113" t="s">
        <v>303</v>
      </c>
      <c r="E129" s="115">
        <v>1.9375</v>
      </c>
      <c r="F129" s="113" t="s">
        <v>306</v>
      </c>
      <c r="G129" s="116">
        <v>8</v>
      </c>
      <c r="H129" s="137">
        <v>599</v>
      </c>
    </row>
    <row r="130" spans="1:8" ht="18" x14ac:dyDescent="0.3">
      <c r="A130" s="138">
        <v>45987</v>
      </c>
      <c r="B130" s="139" t="s">
        <v>333</v>
      </c>
      <c r="C130" s="140" t="s">
        <v>337</v>
      </c>
      <c r="D130" s="139" t="s">
        <v>303</v>
      </c>
      <c r="E130" s="141">
        <v>1.3715277777777779</v>
      </c>
      <c r="F130" s="139" t="s">
        <v>306</v>
      </c>
      <c r="G130" s="142">
        <v>9</v>
      </c>
      <c r="H130" s="143">
        <v>599</v>
      </c>
    </row>
    <row r="131" spans="1:8" ht="18" x14ac:dyDescent="0.3">
      <c r="A131" s="136">
        <v>45987</v>
      </c>
      <c r="B131" s="113" t="s">
        <v>78</v>
      </c>
      <c r="C131" s="114" t="s">
        <v>388</v>
      </c>
      <c r="D131" s="113" t="s">
        <v>303</v>
      </c>
      <c r="E131" s="115">
        <v>1.1423611111111109</v>
      </c>
      <c r="F131" s="113" t="s">
        <v>87</v>
      </c>
      <c r="G131" s="116">
        <v>9</v>
      </c>
      <c r="H131" s="137">
        <v>797</v>
      </c>
    </row>
    <row r="132" spans="1:8" ht="18" x14ac:dyDescent="0.3">
      <c r="A132" s="118">
        <v>45987</v>
      </c>
      <c r="B132" s="119" t="s">
        <v>78</v>
      </c>
      <c r="C132" s="120" t="s">
        <v>388</v>
      </c>
      <c r="D132" s="119" t="s">
        <v>303</v>
      </c>
      <c r="E132" s="121">
        <v>1.1423611111111109</v>
      </c>
      <c r="F132" s="119" t="s">
        <v>82</v>
      </c>
      <c r="G132" s="122">
        <v>9</v>
      </c>
      <c r="H132" s="123">
        <v>842</v>
      </c>
    </row>
    <row r="133" spans="1:8" ht="18" x14ac:dyDescent="0.3">
      <c r="A133" s="138">
        <v>45987</v>
      </c>
      <c r="B133" s="139" t="s">
        <v>78</v>
      </c>
      <c r="C133" s="140" t="s">
        <v>384</v>
      </c>
      <c r="D133" s="139" t="s">
        <v>303</v>
      </c>
      <c r="E133" s="141">
        <v>1.3784722222222221</v>
      </c>
      <c r="F133" s="139" t="s">
        <v>87</v>
      </c>
      <c r="G133" s="142">
        <v>9</v>
      </c>
      <c r="H133" s="143">
        <v>935</v>
      </c>
    </row>
    <row r="134" spans="1:8" ht="18" x14ac:dyDescent="0.3">
      <c r="A134" s="118">
        <v>45987</v>
      </c>
      <c r="B134" s="119" t="s">
        <v>78</v>
      </c>
      <c r="C134" s="120" t="s">
        <v>384</v>
      </c>
      <c r="D134" s="119" t="s">
        <v>303</v>
      </c>
      <c r="E134" s="121">
        <v>1.3784722222222221</v>
      </c>
      <c r="F134" s="119" t="s">
        <v>82</v>
      </c>
      <c r="G134" s="122">
        <v>9</v>
      </c>
      <c r="H134" s="123">
        <v>980</v>
      </c>
    </row>
    <row r="135" spans="1:8" ht="18" x14ac:dyDescent="0.3">
      <c r="A135" s="138">
        <v>45987</v>
      </c>
      <c r="B135" s="139" t="s">
        <v>78</v>
      </c>
      <c r="C135" s="140" t="s">
        <v>389</v>
      </c>
      <c r="D135" s="139" t="s">
        <v>303</v>
      </c>
      <c r="E135" s="141">
        <v>1.006944444444444</v>
      </c>
      <c r="F135" s="139" t="s">
        <v>87</v>
      </c>
      <c r="G135" s="142">
        <v>9</v>
      </c>
      <c r="H135" s="143">
        <v>935</v>
      </c>
    </row>
    <row r="136" spans="1:8" ht="18" x14ac:dyDescent="0.3">
      <c r="A136" s="118">
        <v>45987</v>
      </c>
      <c r="B136" s="119" t="s">
        <v>78</v>
      </c>
      <c r="C136" s="120" t="s">
        <v>389</v>
      </c>
      <c r="D136" s="119" t="s">
        <v>303</v>
      </c>
      <c r="E136" s="121">
        <v>1.006944444444444</v>
      </c>
      <c r="F136" s="119" t="s">
        <v>82</v>
      </c>
      <c r="G136" s="122">
        <v>9</v>
      </c>
      <c r="H136" s="123">
        <v>980</v>
      </c>
    </row>
    <row r="137" spans="1:8" ht="18" x14ac:dyDescent="0.3">
      <c r="A137" s="138">
        <v>45987</v>
      </c>
      <c r="B137" s="139" t="s">
        <v>78</v>
      </c>
      <c r="C137" s="140" t="s">
        <v>387</v>
      </c>
      <c r="D137" s="139" t="s">
        <v>303</v>
      </c>
      <c r="E137" s="141">
        <v>1.239583333333333</v>
      </c>
      <c r="F137" s="139" t="s">
        <v>87</v>
      </c>
      <c r="G137" s="142">
        <v>9</v>
      </c>
      <c r="H137" s="143">
        <v>935</v>
      </c>
    </row>
    <row r="138" spans="1:8" ht="18" x14ac:dyDescent="0.3">
      <c r="A138" s="118">
        <v>45987</v>
      </c>
      <c r="B138" s="119" t="s">
        <v>78</v>
      </c>
      <c r="C138" s="120" t="s">
        <v>387</v>
      </c>
      <c r="D138" s="119" t="s">
        <v>303</v>
      </c>
      <c r="E138" s="121">
        <v>1.239583333333333</v>
      </c>
      <c r="F138" s="119" t="s">
        <v>82</v>
      </c>
      <c r="G138" s="122">
        <v>9</v>
      </c>
      <c r="H138" s="123">
        <v>980</v>
      </c>
    </row>
    <row r="139" spans="1:8" ht="18" x14ac:dyDescent="0.3">
      <c r="A139" s="138">
        <v>45987</v>
      </c>
      <c r="B139" s="139" t="s">
        <v>78</v>
      </c>
      <c r="C139" s="140" t="s">
        <v>392</v>
      </c>
      <c r="D139" s="139" t="s">
        <v>303</v>
      </c>
      <c r="E139" s="141">
        <v>1.930555555555556</v>
      </c>
      <c r="F139" s="139" t="s">
        <v>87</v>
      </c>
      <c r="G139" s="142">
        <v>9</v>
      </c>
      <c r="H139" s="139" t="s">
        <v>390</v>
      </c>
    </row>
    <row r="140" spans="1:8" ht="18" x14ac:dyDescent="0.3">
      <c r="A140" s="118">
        <v>45987</v>
      </c>
      <c r="B140" s="119" t="s">
        <v>78</v>
      </c>
      <c r="C140" s="120" t="s">
        <v>392</v>
      </c>
      <c r="D140" s="119" t="s">
        <v>303</v>
      </c>
      <c r="E140" s="121">
        <v>1.930555555555556</v>
      </c>
      <c r="F140" s="119" t="s">
        <v>82</v>
      </c>
      <c r="G140" s="122">
        <v>9</v>
      </c>
      <c r="H140" s="119" t="s">
        <v>391</v>
      </c>
    </row>
    <row r="141" spans="1:8" ht="18" x14ac:dyDescent="0.3">
      <c r="A141" s="138">
        <v>45987</v>
      </c>
      <c r="B141" s="139" t="s">
        <v>78</v>
      </c>
      <c r="C141" s="140" t="s">
        <v>393</v>
      </c>
      <c r="D141" s="139" t="s">
        <v>303</v>
      </c>
      <c r="E141" s="141">
        <v>1.8888888888888891</v>
      </c>
      <c r="F141" s="139" t="s">
        <v>82</v>
      </c>
      <c r="G141" s="142">
        <v>4</v>
      </c>
      <c r="H141" s="139" t="s">
        <v>394</v>
      </c>
    </row>
    <row r="142" spans="1:8" ht="18" x14ac:dyDescent="0.3">
      <c r="A142" s="138">
        <v>45987</v>
      </c>
      <c r="B142" s="139" t="s">
        <v>78</v>
      </c>
      <c r="C142" s="140" t="s">
        <v>402</v>
      </c>
      <c r="D142" s="139" t="s">
        <v>303</v>
      </c>
      <c r="E142" s="141">
        <v>1.302083333333333</v>
      </c>
      <c r="F142" s="139" t="s">
        <v>82</v>
      </c>
      <c r="G142" s="142">
        <v>4</v>
      </c>
      <c r="H142" s="139" t="s">
        <v>394</v>
      </c>
    </row>
    <row r="143" spans="1:8" ht="18" x14ac:dyDescent="0.3">
      <c r="A143" s="138">
        <v>45987</v>
      </c>
      <c r="B143" s="139" t="s">
        <v>78</v>
      </c>
      <c r="C143" s="140" t="s">
        <v>395</v>
      </c>
      <c r="D143" s="139" t="s">
        <v>303</v>
      </c>
      <c r="E143" s="141">
        <v>1.1284722222222221</v>
      </c>
      <c r="F143" s="139" t="s">
        <v>82</v>
      </c>
      <c r="G143" s="142">
        <v>4</v>
      </c>
      <c r="H143" s="139" t="s">
        <v>394</v>
      </c>
    </row>
    <row r="144" spans="1:8" ht="18" x14ac:dyDescent="0.3">
      <c r="A144" s="138">
        <v>45987</v>
      </c>
      <c r="B144" s="139" t="s">
        <v>78</v>
      </c>
      <c r="C144" s="140" t="s">
        <v>396</v>
      </c>
      <c r="D144" s="139" t="s">
        <v>303</v>
      </c>
      <c r="E144" s="141">
        <v>1.788194444444444</v>
      </c>
      <c r="F144" s="139" t="s">
        <v>82</v>
      </c>
      <c r="G144" s="142">
        <v>4</v>
      </c>
      <c r="H144" s="139" t="s">
        <v>394</v>
      </c>
    </row>
    <row r="145" spans="1:8" ht="18" x14ac:dyDescent="0.3">
      <c r="A145" s="138">
        <v>45987</v>
      </c>
      <c r="B145" s="139" t="s">
        <v>78</v>
      </c>
      <c r="C145" s="140" t="s">
        <v>397</v>
      </c>
      <c r="D145" s="139" t="s">
        <v>303</v>
      </c>
      <c r="E145" s="141">
        <v>1.71875</v>
      </c>
      <c r="F145" s="139" t="s">
        <v>87</v>
      </c>
      <c r="G145" s="142">
        <v>9</v>
      </c>
      <c r="H145" s="139" t="s">
        <v>398</v>
      </c>
    </row>
    <row r="146" spans="1:8" ht="18" x14ac:dyDescent="0.3">
      <c r="A146" s="118">
        <v>45987</v>
      </c>
      <c r="B146" s="119" t="s">
        <v>78</v>
      </c>
      <c r="C146" s="120" t="s">
        <v>397</v>
      </c>
      <c r="D146" s="119" t="s">
        <v>303</v>
      </c>
      <c r="E146" s="121">
        <v>1.71875</v>
      </c>
      <c r="F146" s="119" t="s">
        <v>82</v>
      </c>
      <c r="G146" s="122">
        <v>9</v>
      </c>
      <c r="H146" s="119" t="s">
        <v>399</v>
      </c>
    </row>
    <row r="147" spans="1:8" ht="18" x14ac:dyDescent="0.3">
      <c r="A147" s="138">
        <v>45987</v>
      </c>
      <c r="B147" s="139" t="s">
        <v>78</v>
      </c>
      <c r="C147" s="140" t="s">
        <v>400</v>
      </c>
      <c r="D147" s="139" t="s">
        <v>303</v>
      </c>
      <c r="E147" s="141">
        <v>1.6111111111111109</v>
      </c>
      <c r="F147" s="139" t="s">
        <v>87</v>
      </c>
      <c r="G147" s="142">
        <v>9</v>
      </c>
      <c r="H147" s="139" t="s">
        <v>398</v>
      </c>
    </row>
    <row r="148" spans="1:8" ht="18" x14ac:dyDescent="0.3">
      <c r="A148" s="118">
        <v>45987</v>
      </c>
      <c r="B148" s="119" t="s">
        <v>78</v>
      </c>
      <c r="C148" s="120" t="s">
        <v>400</v>
      </c>
      <c r="D148" s="119" t="s">
        <v>303</v>
      </c>
      <c r="E148" s="121">
        <v>1.6111111111111109</v>
      </c>
      <c r="F148" s="119" t="s">
        <v>82</v>
      </c>
      <c r="G148" s="122">
        <v>9</v>
      </c>
      <c r="H148" s="119" t="s">
        <v>399</v>
      </c>
    </row>
    <row r="149" spans="1:8" ht="18" x14ac:dyDescent="0.3">
      <c r="A149" s="138">
        <v>45987</v>
      </c>
      <c r="B149" s="139" t="s">
        <v>78</v>
      </c>
      <c r="C149" s="140" t="s">
        <v>401</v>
      </c>
      <c r="D149" s="139" t="s">
        <v>303</v>
      </c>
      <c r="E149" s="141">
        <v>1.8298611111111109</v>
      </c>
      <c r="F149" s="139" t="s">
        <v>87</v>
      </c>
      <c r="G149" s="142">
        <v>9</v>
      </c>
      <c r="H149" s="139" t="s">
        <v>398</v>
      </c>
    </row>
    <row r="150" spans="1:8" ht="18" x14ac:dyDescent="0.3">
      <c r="A150" s="144">
        <v>45987</v>
      </c>
      <c r="B150" s="145" t="s">
        <v>78</v>
      </c>
      <c r="C150" s="146" t="s">
        <v>401</v>
      </c>
      <c r="D150" s="145" t="s">
        <v>303</v>
      </c>
      <c r="E150" s="147">
        <v>1.8298611111111109</v>
      </c>
      <c r="F150" s="145" t="s">
        <v>82</v>
      </c>
      <c r="G150" s="148">
        <v>9</v>
      </c>
      <c r="H150" s="145" t="s">
        <v>399</v>
      </c>
    </row>
    <row r="151" spans="1:8" ht="18" x14ac:dyDescent="0.3">
      <c r="A151" s="112">
        <v>45988</v>
      </c>
      <c r="B151" s="113" t="s">
        <v>25</v>
      </c>
      <c r="C151" s="114" t="s">
        <v>344</v>
      </c>
      <c r="D151" s="113" t="s">
        <v>303</v>
      </c>
      <c r="E151" s="115">
        <v>1.302083333333333</v>
      </c>
      <c r="F151" s="113" t="s">
        <v>27</v>
      </c>
      <c r="G151" s="116">
        <v>8</v>
      </c>
      <c r="H151" s="117">
        <v>389</v>
      </c>
    </row>
    <row r="152" spans="1:8" ht="18" x14ac:dyDescent="0.3">
      <c r="A152" s="118">
        <v>45988</v>
      </c>
      <c r="B152" s="119" t="s">
        <v>25</v>
      </c>
      <c r="C152" s="120" t="s">
        <v>344</v>
      </c>
      <c r="D152" s="119" t="s">
        <v>303</v>
      </c>
      <c r="E152" s="121">
        <v>1.302083333333333</v>
      </c>
      <c r="F152" s="119" t="s">
        <v>30</v>
      </c>
      <c r="G152" s="122">
        <v>8</v>
      </c>
      <c r="H152" s="123">
        <v>539</v>
      </c>
    </row>
    <row r="153" spans="1:8" ht="18" x14ac:dyDescent="0.3">
      <c r="A153" s="118">
        <v>45988</v>
      </c>
      <c r="B153" s="119" t="s">
        <v>25</v>
      </c>
      <c r="C153" s="120" t="s">
        <v>344</v>
      </c>
      <c r="D153" s="119" t="s">
        <v>303</v>
      </c>
      <c r="E153" s="121">
        <v>1.302083333333333</v>
      </c>
      <c r="F153" s="119" t="s">
        <v>33</v>
      </c>
      <c r="G153" s="122">
        <v>8</v>
      </c>
      <c r="H153" s="119" t="s">
        <v>34</v>
      </c>
    </row>
    <row r="154" spans="1:8" ht="18" x14ac:dyDescent="0.3">
      <c r="A154" s="138">
        <v>45988</v>
      </c>
      <c r="B154" s="139" t="s">
        <v>25</v>
      </c>
      <c r="C154" s="140" t="s">
        <v>338</v>
      </c>
      <c r="D154" s="139" t="s">
        <v>303</v>
      </c>
      <c r="E154" s="141">
        <v>1.1284722222222221</v>
      </c>
      <c r="F154" s="139" t="s">
        <v>27</v>
      </c>
      <c r="G154" s="142">
        <v>10</v>
      </c>
      <c r="H154" s="143">
        <v>389</v>
      </c>
    </row>
    <row r="155" spans="1:8" ht="18" x14ac:dyDescent="0.3">
      <c r="A155" s="118">
        <v>45988</v>
      </c>
      <c r="B155" s="119" t="s">
        <v>25</v>
      </c>
      <c r="C155" s="120" t="s">
        <v>338</v>
      </c>
      <c r="D155" s="119" t="s">
        <v>303</v>
      </c>
      <c r="E155" s="121">
        <v>1.1284722222222221</v>
      </c>
      <c r="F155" s="119" t="s">
        <v>30</v>
      </c>
      <c r="G155" s="122">
        <v>10</v>
      </c>
      <c r="H155" s="123">
        <v>539</v>
      </c>
    </row>
    <row r="156" spans="1:8" ht="18" x14ac:dyDescent="0.3">
      <c r="A156" s="118">
        <v>45988</v>
      </c>
      <c r="B156" s="119" t="s">
        <v>25</v>
      </c>
      <c r="C156" s="120" t="s">
        <v>338</v>
      </c>
      <c r="D156" s="119" t="s">
        <v>303</v>
      </c>
      <c r="E156" s="121">
        <v>1.1284722222222221</v>
      </c>
      <c r="F156" s="119" t="s">
        <v>33</v>
      </c>
      <c r="G156" s="122">
        <v>10</v>
      </c>
      <c r="H156" s="119" t="s">
        <v>34</v>
      </c>
    </row>
    <row r="157" spans="1:8" ht="18" x14ac:dyDescent="0.3">
      <c r="A157" s="138">
        <v>45988</v>
      </c>
      <c r="B157" s="139" t="s">
        <v>25</v>
      </c>
      <c r="C157" s="140" t="s">
        <v>347</v>
      </c>
      <c r="D157" s="139" t="s">
        <v>303</v>
      </c>
      <c r="E157" s="141">
        <v>1.788194444444444</v>
      </c>
      <c r="F157" s="139" t="s">
        <v>429</v>
      </c>
      <c r="G157" s="142">
        <v>9</v>
      </c>
      <c r="H157" s="143">
        <v>419</v>
      </c>
    </row>
    <row r="158" spans="1:8" ht="18" x14ac:dyDescent="0.3">
      <c r="A158" s="118">
        <v>45988</v>
      </c>
      <c r="B158" s="119" t="s">
        <v>25</v>
      </c>
      <c r="C158" s="120" t="s">
        <v>347</v>
      </c>
      <c r="D158" s="119" t="s">
        <v>303</v>
      </c>
      <c r="E158" s="121">
        <v>1.788194444444444</v>
      </c>
      <c r="F158" s="119" t="s">
        <v>27</v>
      </c>
      <c r="G158" s="122">
        <v>9</v>
      </c>
      <c r="H158" s="123">
        <v>419</v>
      </c>
    </row>
    <row r="159" spans="1:8" ht="18" x14ac:dyDescent="0.3">
      <c r="A159" s="118">
        <v>45988</v>
      </c>
      <c r="B159" s="119" t="s">
        <v>25</v>
      </c>
      <c r="C159" s="120" t="s">
        <v>347</v>
      </c>
      <c r="D159" s="119" t="s">
        <v>303</v>
      </c>
      <c r="E159" s="121">
        <v>1.788194444444444</v>
      </c>
      <c r="F159" s="119" t="s">
        <v>30</v>
      </c>
      <c r="G159" s="122">
        <v>9</v>
      </c>
      <c r="H159" s="123">
        <v>569</v>
      </c>
    </row>
    <row r="160" spans="1:8" ht="18" x14ac:dyDescent="0.3">
      <c r="A160" s="118">
        <v>45988</v>
      </c>
      <c r="B160" s="119" t="s">
        <v>25</v>
      </c>
      <c r="C160" s="120" t="s">
        <v>347</v>
      </c>
      <c r="D160" s="119" t="s">
        <v>303</v>
      </c>
      <c r="E160" s="121">
        <v>1.788194444444444</v>
      </c>
      <c r="F160" s="119" t="s">
        <v>33</v>
      </c>
      <c r="G160" s="122">
        <v>9</v>
      </c>
      <c r="H160" s="119" t="s">
        <v>34</v>
      </c>
    </row>
    <row r="161" spans="1:8" ht="18" x14ac:dyDescent="0.3">
      <c r="A161" s="138">
        <v>45988</v>
      </c>
      <c r="B161" s="139" t="s">
        <v>25</v>
      </c>
      <c r="C161" s="140" t="s">
        <v>343</v>
      </c>
      <c r="D161" s="139" t="s">
        <v>303</v>
      </c>
      <c r="E161" s="141">
        <v>1.8888888888888891</v>
      </c>
      <c r="F161" s="139" t="s">
        <v>27</v>
      </c>
      <c r="G161" s="142">
        <v>8</v>
      </c>
      <c r="H161" s="143">
        <v>419</v>
      </c>
    </row>
    <row r="162" spans="1:8" ht="18" x14ac:dyDescent="0.3">
      <c r="A162" s="118">
        <v>45988</v>
      </c>
      <c r="B162" s="119" t="s">
        <v>25</v>
      </c>
      <c r="C162" s="120" t="s">
        <v>343</v>
      </c>
      <c r="D162" s="119" t="s">
        <v>303</v>
      </c>
      <c r="E162" s="121">
        <v>1.8888888888888891</v>
      </c>
      <c r="F162" s="119" t="s">
        <v>30</v>
      </c>
      <c r="G162" s="122">
        <v>8</v>
      </c>
      <c r="H162" s="123">
        <v>569</v>
      </c>
    </row>
    <row r="163" spans="1:8" ht="18" x14ac:dyDescent="0.3">
      <c r="A163" s="118">
        <v>45988</v>
      </c>
      <c r="B163" s="119" t="s">
        <v>25</v>
      </c>
      <c r="C163" s="120" t="s">
        <v>343</v>
      </c>
      <c r="D163" s="119" t="s">
        <v>303</v>
      </c>
      <c r="E163" s="121">
        <v>1.8888888888888891</v>
      </c>
      <c r="F163" s="119" t="s">
        <v>33</v>
      </c>
      <c r="G163" s="122">
        <v>8</v>
      </c>
      <c r="H163" s="119" t="s">
        <v>34</v>
      </c>
    </row>
    <row r="164" spans="1:8" ht="18" x14ac:dyDescent="0.3">
      <c r="A164" s="136">
        <v>45988</v>
      </c>
      <c r="B164" s="113" t="s">
        <v>304</v>
      </c>
      <c r="C164" s="114" t="s">
        <v>305</v>
      </c>
      <c r="D164" s="113" t="s">
        <v>303</v>
      </c>
      <c r="E164" s="115">
        <v>1.291666666666667</v>
      </c>
      <c r="F164" s="113" t="s">
        <v>306</v>
      </c>
      <c r="G164" s="116">
        <v>9</v>
      </c>
      <c r="H164" s="137">
        <v>400</v>
      </c>
    </row>
    <row r="165" spans="1:8" ht="18" x14ac:dyDescent="0.3">
      <c r="A165" s="138">
        <v>45988</v>
      </c>
      <c r="B165" s="139" t="s">
        <v>304</v>
      </c>
      <c r="C165" s="140" t="s">
        <v>308</v>
      </c>
      <c r="D165" s="139" t="s">
        <v>303</v>
      </c>
      <c r="E165" s="141">
        <v>1.59375</v>
      </c>
      <c r="F165" s="139" t="s">
        <v>306</v>
      </c>
      <c r="G165" s="142">
        <v>9</v>
      </c>
      <c r="H165" s="143">
        <v>400</v>
      </c>
    </row>
    <row r="166" spans="1:8" ht="18" x14ac:dyDescent="0.3">
      <c r="A166" s="124">
        <v>45988</v>
      </c>
      <c r="B166" s="125" t="s">
        <v>35</v>
      </c>
      <c r="C166" s="126" t="s">
        <v>430</v>
      </c>
      <c r="D166" s="125" t="s">
        <v>303</v>
      </c>
      <c r="E166" s="127">
        <v>1.364583333333333</v>
      </c>
      <c r="F166" s="125" t="s">
        <v>37</v>
      </c>
      <c r="G166" s="128">
        <v>9</v>
      </c>
      <c r="H166" s="129">
        <v>401</v>
      </c>
    </row>
    <row r="167" spans="1:8" ht="18" x14ac:dyDescent="0.3">
      <c r="A167" s="130">
        <v>45988</v>
      </c>
      <c r="B167" s="131" t="s">
        <v>35</v>
      </c>
      <c r="C167" s="132" t="s">
        <v>434</v>
      </c>
      <c r="D167" s="131" t="s">
        <v>303</v>
      </c>
      <c r="E167" s="133">
        <v>1.2534722222222221</v>
      </c>
      <c r="F167" s="131" t="s">
        <v>37</v>
      </c>
      <c r="G167" s="134">
        <v>2</v>
      </c>
      <c r="H167" s="135">
        <v>401</v>
      </c>
    </row>
    <row r="168" spans="1:8" ht="18" x14ac:dyDescent="0.3">
      <c r="A168" s="130">
        <v>45988</v>
      </c>
      <c r="B168" s="131" t="s">
        <v>35</v>
      </c>
      <c r="C168" s="132" t="s">
        <v>319</v>
      </c>
      <c r="D168" s="131" t="s">
        <v>303</v>
      </c>
      <c r="E168" s="133">
        <v>1.0486111111111109</v>
      </c>
      <c r="F168" s="131" t="s">
        <v>37</v>
      </c>
      <c r="G168" s="134">
        <v>9</v>
      </c>
      <c r="H168" s="135">
        <v>436</v>
      </c>
    </row>
    <row r="169" spans="1:8" ht="18" x14ac:dyDescent="0.3">
      <c r="A169" s="130">
        <v>45988</v>
      </c>
      <c r="B169" s="131" t="s">
        <v>35</v>
      </c>
      <c r="C169" s="132" t="s">
        <v>309</v>
      </c>
      <c r="D169" s="131" t="s">
        <v>303</v>
      </c>
      <c r="E169" s="133">
        <v>1.114583333333333</v>
      </c>
      <c r="F169" s="131" t="s">
        <v>37</v>
      </c>
      <c r="G169" s="134">
        <v>9</v>
      </c>
      <c r="H169" s="135">
        <v>436</v>
      </c>
    </row>
    <row r="170" spans="1:8" ht="18" x14ac:dyDescent="0.3">
      <c r="A170" s="130">
        <v>45988</v>
      </c>
      <c r="B170" s="131" t="s">
        <v>35</v>
      </c>
      <c r="C170" s="132" t="s">
        <v>314</v>
      </c>
      <c r="D170" s="131" t="s">
        <v>303</v>
      </c>
      <c r="E170" s="133">
        <v>1.333333333333333</v>
      </c>
      <c r="F170" s="131" t="s">
        <v>37</v>
      </c>
      <c r="G170" s="134">
        <v>5</v>
      </c>
      <c r="H170" s="135">
        <v>436</v>
      </c>
    </row>
    <row r="171" spans="1:8" ht="18" x14ac:dyDescent="0.3">
      <c r="A171" s="130">
        <v>45988</v>
      </c>
      <c r="B171" s="131" t="s">
        <v>35</v>
      </c>
      <c r="C171" s="132" t="s">
        <v>413</v>
      </c>
      <c r="D171" s="131" t="s">
        <v>303</v>
      </c>
      <c r="E171" s="133">
        <v>1.583333333333333</v>
      </c>
      <c r="F171" s="131" t="s">
        <v>37</v>
      </c>
      <c r="G171" s="134">
        <v>3</v>
      </c>
      <c r="H171" s="135">
        <v>436</v>
      </c>
    </row>
    <row r="172" spans="1:8" ht="18" x14ac:dyDescent="0.3">
      <c r="A172" s="130">
        <v>45988</v>
      </c>
      <c r="B172" s="131" t="s">
        <v>35</v>
      </c>
      <c r="C172" s="132" t="s">
        <v>444</v>
      </c>
      <c r="D172" s="131" t="s">
        <v>303</v>
      </c>
      <c r="E172" s="133">
        <v>1.739583333333333</v>
      </c>
      <c r="F172" s="131" t="s">
        <v>37</v>
      </c>
      <c r="G172" s="134">
        <v>9</v>
      </c>
      <c r="H172" s="135">
        <v>471</v>
      </c>
    </row>
    <row r="173" spans="1:8" ht="18" x14ac:dyDescent="0.3">
      <c r="A173" s="136">
        <v>45988</v>
      </c>
      <c r="B173" s="113" t="s">
        <v>333</v>
      </c>
      <c r="C173" s="114" t="s">
        <v>335</v>
      </c>
      <c r="D173" s="113" t="s">
        <v>303</v>
      </c>
      <c r="E173" s="115">
        <v>1.666666666666667</v>
      </c>
      <c r="F173" s="113" t="s">
        <v>306</v>
      </c>
      <c r="G173" s="116">
        <v>2</v>
      </c>
      <c r="H173" s="137">
        <v>401</v>
      </c>
    </row>
    <row r="174" spans="1:8" ht="18" x14ac:dyDescent="0.3">
      <c r="A174" s="136">
        <v>45988</v>
      </c>
      <c r="B174" s="113" t="s">
        <v>55</v>
      </c>
      <c r="C174" s="114" t="s">
        <v>365</v>
      </c>
      <c r="D174" s="113" t="s">
        <v>303</v>
      </c>
      <c r="E174" s="115">
        <v>1.302083333333333</v>
      </c>
      <c r="F174" s="113" t="s">
        <v>57</v>
      </c>
      <c r="G174" s="116">
        <v>2</v>
      </c>
      <c r="H174" s="137">
        <v>409</v>
      </c>
    </row>
    <row r="175" spans="1:8" ht="18" x14ac:dyDescent="0.3">
      <c r="A175" s="118">
        <v>45988</v>
      </c>
      <c r="B175" s="119" t="s">
        <v>55</v>
      </c>
      <c r="C175" s="120" t="s">
        <v>365</v>
      </c>
      <c r="D175" s="119" t="s">
        <v>303</v>
      </c>
      <c r="E175" s="121">
        <v>1.302083333333333</v>
      </c>
      <c r="F175" s="119" t="s">
        <v>60</v>
      </c>
      <c r="G175" s="122">
        <v>2</v>
      </c>
      <c r="H175" s="123">
        <v>409</v>
      </c>
    </row>
    <row r="176" spans="1:8" ht="18" x14ac:dyDescent="0.3">
      <c r="A176" s="118">
        <v>45988</v>
      </c>
      <c r="B176" s="119" t="s">
        <v>55</v>
      </c>
      <c r="C176" s="120" t="s">
        <v>365</v>
      </c>
      <c r="D176" s="119" t="s">
        <v>303</v>
      </c>
      <c r="E176" s="121">
        <v>1.302083333333333</v>
      </c>
      <c r="F176" s="119" t="s">
        <v>62</v>
      </c>
      <c r="G176" s="122">
        <v>2</v>
      </c>
      <c r="H176" s="123">
        <v>509</v>
      </c>
    </row>
    <row r="177" spans="1:8" ht="18" x14ac:dyDescent="0.3">
      <c r="A177" s="118">
        <v>45988</v>
      </c>
      <c r="B177" s="119" t="s">
        <v>55</v>
      </c>
      <c r="C177" s="120" t="s">
        <v>365</v>
      </c>
      <c r="D177" s="119" t="s">
        <v>303</v>
      </c>
      <c r="E177" s="121">
        <v>1.302083333333333</v>
      </c>
      <c r="F177" s="119" t="s">
        <v>64</v>
      </c>
      <c r="G177" s="122">
        <v>2</v>
      </c>
      <c r="H177" s="123">
        <v>599</v>
      </c>
    </row>
    <row r="178" spans="1:8" ht="18" x14ac:dyDescent="0.3">
      <c r="A178" s="138">
        <v>45988</v>
      </c>
      <c r="B178" s="139" t="s">
        <v>55</v>
      </c>
      <c r="C178" s="140" t="s">
        <v>357</v>
      </c>
      <c r="D178" s="139" t="s">
        <v>303</v>
      </c>
      <c r="E178" s="141">
        <v>1.256944444444444</v>
      </c>
      <c r="F178" s="139" t="s">
        <v>57</v>
      </c>
      <c r="G178" s="142">
        <v>7</v>
      </c>
      <c r="H178" s="143">
        <v>449</v>
      </c>
    </row>
    <row r="179" spans="1:8" ht="18" x14ac:dyDescent="0.3">
      <c r="A179" s="118">
        <v>45988</v>
      </c>
      <c r="B179" s="119" t="s">
        <v>55</v>
      </c>
      <c r="C179" s="120" t="s">
        <v>357</v>
      </c>
      <c r="D179" s="119" t="s">
        <v>303</v>
      </c>
      <c r="E179" s="121">
        <v>1.256944444444444</v>
      </c>
      <c r="F179" s="119" t="s">
        <v>60</v>
      </c>
      <c r="G179" s="122">
        <v>7</v>
      </c>
      <c r="H179" s="123">
        <v>449</v>
      </c>
    </row>
    <row r="180" spans="1:8" ht="18" x14ac:dyDescent="0.3">
      <c r="A180" s="118">
        <v>45988</v>
      </c>
      <c r="B180" s="119" t="s">
        <v>55</v>
      </c>
      <c r="C180" s="120" t="s">
        <v>357</v>
      </c>
      <c r="D180" s="119" t="s">
        <v>303</v>
      </c>
      <c r="E180" s="121">
        <v>1.256944444444444</v>
      </c>
      <c r="F180" s="119" t="s">
        <v>62</v>
      </c>
      <c r="G180" s="122">
        <v>7</v>
      </c>
      <c r="H180" s="123">
        <v>549</v>
      </c>
    </row>
    <row r="181" spans="1:8" ht="18" x14ac:dyDescent="0.3">
      <c r="A181" s="118">
        <v>45988</v>
      </c>
      <c r="B181" s="119" t="s">
        <v>55</v>
      </c>
      <c r="C181" s="120" t="s">
        <v>357</v>
      </c>
      <c r="D181" s="119" t="s">
        <v>303</v>
      </c>
      <c r="E181" s="121">
        <v>1.256944444444444</v>
      </c>
      <c r="F181" s="119" t="s">
        <v>64</v>
      </c>
      <c r="G181" s="122">
        <v>7</v>
      </c>
      <c r="H181" s="123">
        <v>639</v>
      </c>
    </row>
    <row r="182" spans="1:8" ht="18" x14ac:dyDescent="0.3">
      <c r="A182" s="138">
        <v>45988</v>
      </c>
      <c r="B182" s="139" t="s">
        <v>55</v>
      </c>
      <c r="C182" s="140" t="s">
        <v>352</v>
      </c>
      <c r="D182" s="139" t="s">
        <v>303</v>
      </c>
      <c r="E182" s="141">
        <v>1.9027777777777779</v>
      </c>
      <c r="F182" s="139" t="s">
        <v>57</v>
      </c>
      <c r="G182" s="142">
        <v>6</v>
      </c>
      <c r="H182" s="143">
        <v>449</v>
      </c>
    </row>
    <row r="183" spans="1:8" ht="18" x14ac:dyDescent="0.3">
      <c r="A183" s="118">
        <v>45988</v>
      </c>
      <c r="B183" s="119" t="s">
        <v>55</v>
      </c>
      <c r="C183" s="120" t="s">
        <v>352</v>
      </c>
      <c r="D183" s="119" t="s">
        <v>303</v>
      </c>
      <c r="E183" s="121">
        <v>1.9027777777777779</v>
      </c>
      <c r="F183" s="119" t="s">
        <v>60</v>
      </c>
      <c r="G183" s="122">
        <v>6</v>
      </c>
      <c r="H183" s="123">
        <v>449</v>
      </c>
    </row>
    <row r="184" spans="1:8" ht="18" x14ac:dyDescent="0.3">
      <c r="A184" s="118">
        <v>45988</v>
      </c>
      <c r="B184" s="119" t="s">
        <v>55</v>
      </c>
      <c r="C184" s="120" t="s">
        <v>352</v>
      </c>
      <c r="D184" s="119" t="s">
        <v>303</v>
      </c>
      <c r="E184" s="121">
        <v>1.9027777777777779</v>
      </c>
      <c r="F184" s="119" t="s">
        <v>62</v>
      </c>
      <c r="G184" s="122">
        <v>6</v>
      </c>
      <c r="H184" s="123">
        <v>549</v>
      </c>
    </row>
    <row r="185" spans="1:8" ht="18" x14ac:dyDescent="0.3">
      <c r="A185" s="118">
        <v>45988</v>
      </c>
      <c r="B185" s="119" t="s">
        <v>55</v>
      </c>
      <c r="C185" s="120" t="s">
        <v>352</v>
      </c>
      <c r="D185" s="119" t="s">
        <v>303</v>
      </c>
      <c r="E185" s="121">
        <v>1.9027777777777779</v>
      </c>
      <c r="F185" s="119" t="s">
        <v>64</v>
      </c>
      <c r="G185" s="122">
        <v>6</v>
      </c>
      <c r="H185" s="123">
        <v>639</v>
      </c>
    </row>
    <row r="186" spans="1:8" ht="18" x14ac:dyDescent="0.3">
      <c r="A186" s="138">
        <v>45988</v>
      </c>
      <c r="B186" s="139" t="s">
        <v>55</v>
      </c>
      <c r="C186" s="140" t="s">
        <v>363</v>
      </c>
      <c r="D186" s="139" t="s">
        <v>303</v>
      </c>
      <c r="E186" s="141">
        <v>1.6597222222222221</v>
      </c>
      <c r="F186" s="139" t="s">
        <v>57</v>
      </c>
      <c r="G186" s="142">
        <v>3</v>
      </c>
      <c r="H186" s="143">
        <v>449</v>
      </c>
    </row>
    <row r="187" spans="1:8" ht="18" x14ac:dyDescent="0.3">
      <c r="A187" s="118">
        <v>45988</v>
      </c>
      <c r="B187" s="119" t="s">
        <v>55</v>
      </c>
      <c r="C187" s="120" t="s">
        <v>363</v>
      </c>
      <c r="D187" s="119" t="s">
        <v>303</v>
      </c>
      <c r="E187" s="121">
        <v>1.6597222222222221</v>
      </c>
      <c r="F187" s="119" t="s">
        <v>60</v>
      </c>
      <c r="G187" s="122">
        <v>3</v>
      </c>
      <c r="H187" s="123">
        <v>449</v>
      </c>
    </row>
    <row r="188" spans="1:8" ht="18" x14ac:dyDescent="0.3">
      <c r="A188" s="118">
        <v>45988</v>
      </c>
      <c r="B188" s="119" t="s">
        <v>55</v>
      </c>
      <c r="C188" s="120" t="s">
        <v>363</v>
      </c>
      <c r="D188" s="119" t="s">
        <v>303</v>
      </c>
      <c r="E188" s="121">
        <v>1.6597222222222221</v>
      </c>
      <c r="F188" s="119" t="s">
        <v>62</v>
      </c>
      <c r="G188" s="122">
        <v>3</v>
      </c>
      <c r="H188" s="123">
        <v>549</v>
      </c>
    </row>
    <row r="189" spans="1:8" ht="18" x14ac:dyDescent="0.3">
      <c r="A189" s="118">
        <v>45988</v>
      </c>
      <c r="B189" s="119" t="s">
        <v>55</v>
      </c>
      <c r="C189" s="120" t="s">
        <v>363</v>
      </c>
      <c r="D189" s="119" t="s">
        <v>303</v>
      </c>
      <c r="E189" s="121">
        <v>1.6597222222222221</v>
      </c>
      <c r="F189" s="119" t="s">
        <v>64</v>
      </c>
      <c r="G189" s="122">
        <v>3</v>
      </c>
      <c r="H189" s="123">
        <v>639</v>
      </c>
    </row>
    <row r="190" spans="1:8" ht="18" x14ac:dyDescent="0.3">
      <c r="A190" s="138">
        <v>45988</v>
      </c>
      <c r="B190" s="139" t="s">
        <v>55</v>
      </c>
      <c r="C190" s="140" t="s">
        <v>364</v>
      </c>
      <c r="D190" s="139" t="s">
        <v>303</v>
      </c>
      <c r="E190" s="141">
        <v>1.5173611111111109</v>
      </c>
      <c r="F190" s="139" t="s">
        <v>57</v>
      </c>
      <c r="G190" s="142">
        <v>9</v>
      </c>
      <c r="H190" s="143">
        <v>449</v>
      </c>
    </row>
    <row r="191" spans="1:8" ht="18" x14ac:dyDescent="0.3">
      <c r="A191" s="118">
        <v>45988</v>
      </c>
      <c r="B191" s="119" t="s">
        <v>55</v>
      </c>
      <c r="C191" s="120" t="s">
        <v>364</v>
      </c>
      <c r="D191" s="119" t="s">
        <v>303</v>
      </c>
      <c r="E191" s="121">
        <v>1.5173611111111109</v>
      </c>
      <c r="F191" s="119" t="s">
        <v>60</v>
      </c>
      <c r="G191" s="122">
        <v>9</v>
      </c>
      <c r="H191" s="123">
        <v>449</v>
      </c>
    </row>
    <row r="192" spans="1:8" ht="18" x14ac:dyDescent="0.3">
      <c r="A192" s="118">
        <v>45988</v>
      </c>
      <c r="B192" s="119" t="s">
        <v>55</v>
      </c>
      <c r="C192" s="120" t="s">
        <v>364</v>
      </c>
      <c r="D192" s="119" t="s">
        <v>303</v>
      </c>
      <c r="E192" s="121">
        <v>1.5173611111111109</v>
      </c>
      <c r="F192" s="119" t="s">
        <v>62</v>
      </c>
      <c r="G192" s="122">
        <v>9</v>
      </c>
      <c r="H192" s="123">
        <v>549</v>
      </c>
    </row>
    <row r="193" spans="1:8" ht="18" x14ac:dyDescent="0.3">
      <c r="A193" s="118">
        <v>45988</v>
      </c>
      <c r="B193" s="119" t="s">
        <v>55</v>
      </c>
      <c r="C193" s="120" t="s">
        <v>364</v>
      </c>
      <c r="D193" s="119" t="s">
        <v>303</v>
      </c>
      <c r="E193" s="121">
        <v>1.5173611111111109</v>
      </c>
      <c r="F193" s="119" t="s">
        <v>64</v>
      </c>
      <c r="G193" s="122">
        <v>9</v>
      </c>
      <c r="H193" s="123">
        <v>639</v>
      </c>
    </row>
    <row r="194" spans="1:8" ht="18" x14ac:dyDescent="0.3">
      <c r="A194" s="138">
        <v>45988</v>
      </c>
      <c r="B194" s="139" t="s">
        <v>55</v>
      </c>
      <c r="C194" s="140" t="s">
        <v>366</v>
      </c>
      <c r="D194" s="139" t="s">
        <v>303</v>
      </c>
      <c r="E194" s="141">
        <v>1.395833333333333</v>
      </c>
      <c r="F194" s="139" t="s">
        <v>57</v>
      </c>
      <c r="G194" s="142">
        <v>9</v>
      </c>
      <c r="H194" s="143">
        <v>449</v>
      </c>
    </row>
    <row r="195" spans="1:8" ht="18" x14ac:dyDescent="0.3">
      <c r="A195" s="118">
        <v>45988</v>
      </c>
      <c r="B195" s="119" t="s">
        <v>55</v>
      </c>
      <c r="C195" s="120" t="s">
        <v>366</v>
      </c>
      <c r="D195" s="119" t="s">
        <v>303</v>
      </c>
      <c r="E195" s="121">
        <v>1.395833333333333</v>
      </c>
      <c r="F195" s="119" t="s">
        <v>60</v>
      </c>
      <c r="G195" s="122">
        <v>9</v>
      </c>
      <c r="H195" s="123">
        <v>449</v>
      </c>
    </row>
    <row r="196" spans="1:8" ht="18" x14ac:dyDescent="0.3">
      <c r="A196" s="118">
        <v>45988</v>
      </c>
      <c r="B196" s="119" t="s">
        <v>55</v>
      </c>
      <c r="C196" s="120" t="s">
        <v>366</v>
      </c>
      <c r="D196" s="119" t="s">
        <v>303</v>
      </c>
      <c r="E196" s="121">
        <v>1.395833333333333</v>
      </c>
      <c r="F196" s="119" t="s">
        <v>62</v>
      </c>
      <c r="G196" s="122">
        <v>9</v>
      </c>
      <c r="H196" s="123">
        <v>549</v>
      </c>
    </row>
    <row r="197" spans="1:8" ht="18" x14ac:dyDescent="0.3">
      <c r="A197" s="118">
        <v>45988</v>
      </c>
      <c r="B197" s="119" t="s">
        <v>55</v>
      </c>
      <c r="C197" s="120" t="s">
        <v>366</v>
      </c>
      <c r="D197" s="119" t="s">
        <v>303</v>
      </c>
      <c r="E197" s="121">
        <v>1.395833333333333</v>
      </c>
      <c r="F197" s="119" t="s">
        <v>64</v>
      </c>
      <c r="G197" s="122">
        <v>9</v>
      </c>
      <c r="H197" s="123">
        <v>639</v>
      </c>
    </row>
    <row r="198" spans="1:8" ht="18" x14ac:dyDescent="0.3">
      <c r="A198" s="138">
        <v>45988</v>
      </c>
      <c r="B198" s="139" t="s">
        <v>55</v>
      </c>
      <c r="C198" s="140" t="s">
        <v>349</v>
      </c>
      <c r="D198" s="139" t="s">
        <v>303</v>
      </c>
      <c r="E198" s="141">
        <v>1.854166666666667</v>
      </c>
      <c r="F198" s="139" t="s">
        <v>57</v>
      </c>
      <c r="G198" s="142">
        <v>9</v>
      </c>
      <c r="H198" s="143">
        <v>489</v>
      </c>
    </row>
    <row r="199" spans="1:8" ht="18" x14ac:dyDescent="0.3">
      <c r="A199" s="118">
        <v>45988</v>
      </c>
      <c r="B199" s="119" t="s">
        <v>55</v>
      </c>
      <c r="C199" s="120" t="s">
        <v>349</v>
      </c>
      <c r="D199" s="119" t="s">
        <v>303</v>
      </c>
      <c r="E199" s="121">
        <v>1.854166666666667</v>
      </c>
      <c r="F199" s="119" t="s">
        <v>60</v>
      </c>
      <c r="G199" s="122">
        <v>9</v>
      </c>
      <c r="H199" s="123">
        <v>489</v>
      </c>
    </row>
    <row r="200" spans="1:8" ht="18" x14ac:dyDescent="0.3">
      <c r="A200" s="118">
        <v>45988</v>
      </c>
      <c r="B200" s="119" t="s">
        <v>55</v>
      </c>
      <c r="C200" s="120" t="s">
        <v>349</v>
      </c>
      <c r="D200" s="119" t="s">
        <v>303</v>
      </c>
      <c r="E200" s="121">
        <v>1.854166666666667</v>
      </c>
      <c r="F200" s="119" t="s">
        <v>62</v>
      </c>
      <c r="G200" s="122">
        <v>9</v>
      </c>
      <c r="H200" s="123">
        <v>589</v>
      </c>
    </row>
    <row r="201" spans="1:8" ht="18" x14ac:dyDescent="0.3">
      <c r="A201" s="118">
        <v>45988</v>
      </c>
      <c r="B201" s="119" t="s">
        <v>55</v>
      </c>
      <c r="C201" s="120" t="s">
        <v>349</v>
      </c>
      <c r="D201" s="119" t="s">
        <v>303</v>
      </c>
      <c r="E201" s="121">
        <v>1.854166666666667</v>
      </c>
      <c r="F201" s="119" t="s">
        <v>64</v>
      </c>
      <c r="G201" s="122">
        <v>9</v>
      </c>
      <c r="H201" s="123">
        <v>679</v>
      </c>
    </row>
    <row r="202" spans="1:8" ht="18" x14ac:dyDescent="0.3">
      <c r="A202" s="138">
        <v>45988</v>
      </c>
      <c r="B202" s="139" t="s">
        <v>55</v>
      </c>
      <c r="C202" s="140" t="s">
        <v>356</v>
      </c>
      <c r="D202" s="139" t="s">
        <v>303</v>
      </c>
      <c r="E202" s="141">
        <v>1.7986111111111109</v>
      </c>
      <c r="F202" s="139" t="s">
        <v>57</v>
      </c>
      <c r="G202" s="142">
        <v>9</v>
      </c>
      <c r="H202" s="143">
        <v>489</v>
      </c>
    </row>
    <row r="203" spans="1:8" ht="18" x14ac:dyDescent="0.3">
      <c r="A203" s="118">
        <v>45988</v>
      </c>
      <c r="B203" s="119" t="s">
        <v>55</v>
      </c>
      <c r="C203" s="120" t="s">
        <v>356</v>
      </c>
      <c r="D203" s="119" t="s">
        <v>303</v>
      </c>
      <c r="E203" s="121">
        <v>1.7986111111111109</v>
      </c>
      <c r="F203" s="119" t="s">
        <v>60</v>
      </c>
      <c r="G203" s="122">
        <v>9</v>
      </c>
      <c r="H203" s="123">
        <v>489</v>
      </c>
    </row>
    <row r="204" spans="1:8" ht="18" x14ac:dyDescent="0.3">
      <c r="A204" s="118">
        <v>45988</v>
      </c>
      <c r="B204" s="119" t="s">
        <v>55</v>
      </c>
      <c r="C204" s="120" t="s">
        <v>356</v>
      </c>
      <c r="D204" s="119" t="s">
        <v>303</v>
      </c>
      <c r="E204" s="121">
        <v>1.7986111111111109</v>
      </c>
      <c r="F204" s="119" t="s">
        <v>62</v>
      </c>
      <c r="G204" s="122">
        <v>9</v>
      </c>
      <c r="H204" s="123">
        <v>589</v>
      </c>
    </row>
    <row r="205" spans="1:8" ht="18" x14ac:dyDescent="0.3">
      <c r="A205" s="118">
        <v>45988</v>
      </c>
      <c r="B205" s="119" t="s">
        <v>55</v>
      </c>
      <c r="C205" s="120" t="s">
        <v>356</v>
      </c>
      <c r="D205" s="119" t="s">
        <v>303</v>
      </c>
      <c r="E205" s="121">
        <v>1.7986111111111109</v>
      </c>
      <c r="F205" s="119" t="s">
        <v>64</v>
      </c>
      <c r="G205" s="122">
        <v>9</v>
      </c>
      <c r="H205" s="123">
        <v>679</v>
      </c>
    </row>
    <row r="206" spans="1:8" ht="18" x14ac:dyDescent="0.3">
      <c r="A206" s="136">
        <v>45988</v>
      </c>
      <c r="B206" s="113" t="s">
        <v>378</v>
      </c>
      <c r="C206" s="114" t="s">
        <v>420</v>
      </c>
      <c r="D206" s="113" t="s">
        <v>303</v>
      </c>
      <c r="E206" s="115">
        <v>1.3298611111111109</v>
      </c>
      <c r="F206" s="113" t="s">
        <v>380</v>
      </c>
      <c r="G206" s="116">
        <v>9</v>
      </c>
      <c r="H206" s="137">
        <v>480</v>
      </c>
    </row>
    <row r="207" spans="1:8" ht="18" x14ac:dyDescent="0.3">
      <c r="A207" s="118">
        <v>45988</v>
      </c>
      <c r="B207" s="119" t="s">
        <v>378</v>
      </c>
      <c r="C207" s="120" t="s">
        <v>420</v>
      </c>
      <c r="D207" s="119" t="s">
        <v>303</v>
      </c>
      <c r="E207" s="121">
        <v>1.3298611111111109</v>
      </c>
      <c r="F207" s="119" t="s">
        <v>33</v>
      </c>
      <c r="G207" s="122">
        <v>9</v>
      </c>
      <c r="H207" s="123">
        <v>604</v>
      </c>
    </row>
    <row r="208" spans="1:8" ht="18" x14ac:dyDescent="0.3">
      <c r="A208" s="136">
        <v>45988</v>
      </c>
      <c r="B208" s="113" t="s">
        <v>66</v>
      </c>
      <c r="C208" s="114" t="s">
        <v>373</v>
      </c>
      <c r="D208" s="113" t="s">
        <v>303</v>
      </c>
      <c r="E208" s="115">
        <v>1.0138888888888891</v>
      </c>
      <c r="F208" s="113" t="s">
        <v>85</v>
      </c>
      <c r="G208" s="116">
        <v>9</v>
      </c>
      <c r="H208" s="137">
        <v>503</v>
      </c>
    </row>
    <row r="209" spans="1:8" ht="18" x14ac:dyDescent="0.3">
      <c r="A209" s="138">
        <v>45988</v>
      </c>
      <c r="B209" s="139" t="s">
        <v>66</v>
      </c>
      <c r="C209" s="140" t="s">
        <v>369</v>
      </c>
      <c r="D209" s="139" t="s">
        <v>303</v>
      </c>
      <c r="E209" s="141">
        <v>1.4861111111111109</v>
      </c>
      <c r="F209" s="139" t="s">
        <v>85</v>
      </c>
      <c r="G209" s="142">
        <v>9</v>
      </c>
      <c r="H209" s="143">
        <v>503</v>
      </c>
    </row>
    <row r="210" spans="1:8" ht="18" x14ac:dyDescent="0.3">
      <c r="A210" s="138">
        <v>45988</v>
      </c>
      <c r="B210" s="139" t="s">
        <v>66</v>
      </c>
      <c r="C210" s="140" t="s">
        <v>416</v>
      </c>
      <c r="D210" s="139" t="s">
        <v>303</v>
      </c>
      <c r="E210" s="141">
        <v>1.145833333333333</v>
      </c>
      <c r="F210" s="139" t="s">
        <v>85</v>
      </c>
      <c r="G210" s="142">
        <v>9</v>
      </c>
      <c r="H210" s="143">
        <v>503</v>
      </c>
    </row>
    <row r="211" spans="1:8" ht="18" x14ac:dyDescent="0.3">
      <c r="A211" s="138">
        <v>45988</v>
      </c>
      <c r="B211" s="139" t="s">
        <v>66</v>
      </c>
      <c r="C211" s="140" t="s">
        <v>375</v>
      </c>
      <c r="D211" s="139" t="s">
        <v>303</v>
      </c>
      <c r="E211" s="141">
        <v>1.2777777777777779</v>
      </c>
      <c r="F211" s="139" t="s">
        <v>85</v>
      </c>
      <c r="G211" s="142">
        <v>9</v>
      </c>
      <c r="H211" s="143">
        <v>503</v>
      </c>
    </row>
    <row r="212" spans="1:8" ht="18" x14ac:dyDescent="0.3">
      <c r="A212" s="138">
        <v>45988</v>
      </c>
      <c r="B212" s="139" t="s">
        <v>66</v>
      </c>
      <c r="C212" s="140" t="s">
        <v>371</v>
      </c>
      <c r="D212" s="139" t="s">
        <v>303</v>
      </c>
      <c r="E212" s="141">
        <v>1.5138888888888891</v>
      </c>
      <c r="F212" s="139" t="s">
        <v>85</v>
      </c>
      <c r="G212" s="142">
        <v>9</v>
      </c>
      <c r="H212" s="143">
        <v>503</v>
      </c>
    </row>
    <row r="213" spans="1:8" ht="18" x14ac:dyDescent="0.3">
      <c r="A213" s="138">
        <v>45988</v>
      </c>
      <c r="B213" s="139" t="s">
        <v>66</v>
      </c>
      <c r="C213" s="140" t="s">
        <v>417</v>
      </c>
      <c r="D213" s="139" t="s">
        <v>303</v>
      </c>
      <c r="E213" s="141">
        <v>1.958333333333333</v>
      </c>
      <c r="F213" s="139" t="s">
        <v>85</v>
      </c>
      <c r="G213" s="142">
        <v>9</v>
      </c>
      <c r="H213" s="143">
        <v>503</v>
      </c>
    </row>
    <row r="214" spans="1:8" ht="18" x14ac:dyDescent="0.3">
      <c r="A214" s="138">
        <v>45988</v>
      </c>
      <c r="B214" s="139" t="s">
        <v>66</v>
      </c>
      <c r="C214" s="140" t="s">
        <v>377</v>
      </c>
      <c r="D214" s="139" t="s">
        <v>303</v>
      </c>
      <c r="E214" s="141">
        <v>1.2222222222222221</v>
      </c>
      <c r="F214" s="139" t="s">
        <v>85</v>
      </c>
      <c r="G214" s="142">
        <v>9</v>
      </c>
      <c r="H214" s="143">
        <v>503</v>
      </c>
    </row>
    <row r="215" spans="1:8" ht="18" x14ac:dyDescent="0.3">
      <c r="A215" s="138">
        <v>45988</v>
      </c>
      <c r="B215" s="139" t="s">
        <v>66</v>
      </c>
      <c r="C215" s="140" t="s">
        <v>376</v>
      </c>
      <c r="D215" s="139" t="s">
        <v>303</v>
      </c>
      <c r="E215" s="141">
        <v>1.774305555555556</v>
      </c>
      <c r="F215" s="139" t="s">
        <v>68</v>
      </c>
      <c r="G215" s="142">
        <v>9</v>
      </c>
      <c r="H215" s="143">
        <v>673</v>
      </c>
    </row>
    <row r="216" spans="1:8" ht="18" x14ac:dyDescent="0.3">
      <c r="A216" s="136">
        <v>45988</v>
      </c>
      <c r="B216" s="113" t="s">
        <v>78</v>
      </c>
      <c r="C216" s="114" t="s">
        <v>387</v>
      </c>
      <c r="D216" s="113" t="s">
        <v>303</v>
      </c>
      <c r="E216" s="115">
        <v>1.243055555555556</v>
      </c>
      <c r="F216" s="113" t="s">
        <v>87</v>
      </c>
      <c r="G216" s="116">
        <v>9</v>
      </c>
      <c r="H216" s="137">
        <v>678</v>
      </c>
    </row>
    <row r="217" spans="1:8" ht="18" x14ac:dyDescent="0.3">
      <c r="A217" s="118">
        <v>45988</v>
      </c>
      <c r="B217" s="119" t="s">
        <v>78</v>
      </c>
      <c r="C217" s="120" t="s">
        <v>387</v>
      </c>
      <c r="D217" s="119" t="s">
        <v>303</v>
      </c>
      <c r="E217" s="121">
        <v>1.243055555555556</v>
      </c>
      <c r="F217" s="119" t="s">
        <v>82</v>
      </c>
      <c r="G217" s="122">
        <v>9</v>
      </c>
      <c r="H217" s="123">
        <v>723</v>
      </c>
    </row>
    <row r="218" spans="1:8" ht="18" x14ac:dyDescent="0.3">
      <c r="A218" s="138">
        <v>45988</v>
      </c>
      <c r="B218" s="139" t="s">
        <v>78</v>
      </c>
      <c r="C218" s="140" t="s">
        <v>388</v>
      </c>
      <c r="D218" s="139" t="s">
        <v>303</v>
      </c>
      <c r="E218" s="141">
        <v>1.1423611111111109</v>
      </c>
      <c r="F218" s="139" t="s">
        <v>87</v>
      </c>
      <c r="G218" s="142">
        <v>9</v>
      </c>
      <c r="H218" s="143">
        <v>678</v>
      </c>
    </row>
    <row r="219" spans="1:8" ht="18" x14ac:dyDescent="0.3">
      <c r="A219" s="118">
        <v>45988</v>
      </c>
      <c r="B219" s="119" t="s">
        <v>78</v>
      </c>
      <c r="C219" s="120" t="s">
        <v>388</v>
      </c>
      <c r="D219" s="119" t="s">
        <v>303</v>
      </c>
      <c r="E219" s="121">
        <v>1.1423611111111109</v>
      </c>
      <c r="F219" s="119" t="s">
        <v>82</v>
      </c>
      <c r="G219" s="122">
        <v>9</v>
      </c>
      <c r="H219" s="123">
        <v>723</v>
      </c>
    </row>
    <row r="220" spans="1:8" ht="18" x14ac:dyDescent="0.3">
      <c r="A220" s="138">
        <v>45988</v>
      </c>
      <c r="B220" s="139" t="s">
        <v>78</v>
      </c>
      <c r="C220" s="140" t="s">
        <v>384</v>
      </c>
      <c r="D220" s="139" t="s">
        <v>303</v>
      </c>
      <c r="E220" s="141">
        <v>1.3784722222222221</v>
      </c>
      <c r="F220" s="139" t="s">
        <v>87</v>
      </c>
      <c r="G220" s="142">
        <v>9</v>
      </c>
      <c r="H220" s="143">
        <v>935</v>
      </c>
    </row>
    <row r="221" spans="1:8" ht="18" x14ac:dyDescent="0.3">
      <c r="A221" s="118">
        <v>45988</v>
      </c>
      <c r="B221" s="119" t="s">
        <v>78</v>
      </c>
      <c r="C221" s="120" t="s">
        <v>384</v>
      </c>
      <c r="D221" s="119" t="s">
        <v>303</v>
      </c>
      <c r="E221" s="121">
        <v>1.3784722222222221</v>
      </c>
      <c r="F221" s="119" t="s">
        <v>82</v>
      </c>
      <c r="G221" s="122">
        <v>9</v>
      </c>
      <c r="H221" s="123">
        <v>980</v>
      </c>
    </row>
    <row r="222" spans="1:8" ht="18" x14ac:dyDescent="0.3">
      <c r="A222" s="138">
        <v>45988</v>
      </c>
      <c r="B222" s="139" t="s">
        <v>78</v>
      </c>
      <c r="C222" s="140" t="s">
        <v>389</v>
      </c>
      <c r="D222" s="139" t="s">
        <v>303</v>
      </c>
      <c r="E222" s="141">
        <v>1.006944444444444</v>
      </c>
      <c r="F222" s="139" t="s">
        <v>87</v>
      </c>
      <c r="G222" s="142">
        <v>9</v>
      </c>
      <c r="H222" s="143">
        <v>935</v>
      </c>
    </row>
    <row r="223" spans="1:8" ht="18" x14ac:dyDescent="0.3">
      <c r="A223" s="118">
        <v>45988</v>
      </c>
      <c r="B223" s="119" t="s">
        <v>78</v>
      </c>
      <c r="C223" s="120" t="s">
        <v>389</v>
      </c>
      <c r="D223" s="119" t="s">
        <v>303</v>
      </c>
      <c r="E223" s="121">
        <v>1.006944444444444</v>
      </c>
      <c r="F223" s="119" t="s">
        <v>82</v>
      </c>
      <c r="G223" s="122">
        <v>9</v>
      </c>
      <c r="H223" s="123">
        <v>980</v>
      </c>
    </row>
    <row r="224" spans="1:8" ht="18" x14ac:dyDescent="0.3">
      <c r="A224" s="138">
        <v>45988</v>
      </c>
      <c r="B224" s="139" t="s">
        <v>78</v>
      </c>
      <c r="C224" s="140" t="s">
        <v>400</v>
      </c>
      <c r="D224" s="139" t="s">
        <v>303</v>
      </c>
      <c r="E224" s="141">
        <v>1.6111111111111109</v>
      </c>
      <c r="F224" s="139" t="s">
        <v>87</v>
      </c>
      <c r="G224" s="142">
        <v>9</v>
      </c>
      <c r="H224" s="139" t="s">
        <v>453</v>
      </c>
    </row>
    <row r="225" spans="1:8" ht="18" x14ac:dyDescent="0.3">
      <c r="A225" s="118">
        <v>45988</v>
      </c>
      <c r="B225" s="119" t="s">
        <v>78</v>
      </c>
      <c r="C225" s="120" t="s">
        <v>400</v>
      </c>
      <c r="D225" s="119" t="s">
        <v>303</v>
      </c>
      <c r="E225" s="121">
        <v>1.6111111111111109</v>
      </c>
      <c r="F225" s="119" t="s">
        <v>82</v>
      </c>
      <c r="G225" s="122">
        <v>9</v>
      </c>
      <c r="H225" s="119" t="s">
        <v>454</v>
      </c>
    </row>
    <row r="226" spans="1:8" ht="18" x14ac:dyDescent="0.3">
      <c r="A226" s="138">
        <v>45988</v>
      </c>
      <c r="B226" s="139" t="s">
        <v>78</v>
      </c>
      <c r="C226" s="140" t="s">
        <v>397</v>
      </c>
      <c r="D226" s="139" t="s">
        <v>303</v>
      </c>
      <c r="E226" s="141">
        <v>1.71875</v>
      </c>
      <c r="F226" s="139" t="s">
        <v>85</v>
      </c>
      <c r="G226" s="142">
        <v>9</v>
      </c>
      <c r="H226" s="139" t="s">
        <v>455</v>
      </c>
    </row>
    <row r="227" spans="1:8" ht="18" x14ac:dyDescent="0.3">
      <c r="A227" s="118">
        <v>45988</v>
      </c>
      <c r="B227" s="119" t="s">
        <v>78</v>
      </c>
      <c r="C227" s="120" t="s">
        <v>397</v>
      </c>
      <c r="D227" s="119" t="s">
        <v>303</v>
      </c>
      <c r="E227" s="121">
        <v>1.71875</v>
      </c>
      <c r="F227" s="119" t="s">
        <v>87</v>
      </c>
      <c r="G227" s="122">
        <v>9</v>
      </c>
      <c r="H227" s="119" t="s">
        <v>455</v>
      </c>
    </row>
    <row r="228" spans="1:8" ht="18" x14ac:dyDescent="0.3">
      <c r="A228" s="118">
        <v>45988</v>
      </c>
      <c r="B228" s="119" t="s">
        <v>78</v>
      </c>
      <c r="C228" s="120" t="s">
        <v>397</v>
      </c>
      <c r="D228" s="119" t="s">
        <v>303</v>
      </c>
      <c r="E228" s="121">
        <v>1.71875</v>
      </c>
      <c r="F228" s="119" t="s">
        <v>82</v>
      </c>
      <c r="G228" s="122">
        <v>9</v>
      </c>
      <c r="H228" s="119" t="s">
        <v>456</v>
      </c>
    </row>
    <row r="229" spans="1:8" ht="18" x14ac:dyDescent="0.3">
      <c r="A229" s="138">
        <v>45988</v>
      </c>
      <c r="B229" s="139" t="s">
        <v>78</v>
      </c>
      <c r="C229" s="140" t="s">
        <v>402</v>
      </c>
      <c r="D229" s="139" t="s">
        <v>303</v>
      </c>
      <c r="E229" s="141">
        <v>1.302083333333333</v>
      </c>
      <c r="F229" s="139" t="s">
        <v>68</v>
      </c>
      <c r="G229" s="142">
        <v>4</v>
      </c>
      <c r="H229" s="139" t="s">
        <v>457</v>
      </c>
    </row>
    <row r="230" spans="1:8" ht="18" x14ac:dyDescent="0.3">
      <c r="A230" s="118">
        <v>45988</v>
      </c>
      <c r="B230" s="119" t="s">
        <v>78</v>
      </c>
      <c r="C230" s="120" t="s">
        <v>402</v>
      </c>
      <c r="D230" s="119" t="s">
        <v>303</v>
      </c>
      <c r="E230" s="121">
        <v>1.302083333333333</v>
      </c>
      <c r="F230" s="119" t="s">
        <v>82</v>
      </c>
      <c r="G230" s="122">
        <v>4</v>
      </c>
      <c r="H230" s="119" t="s">
        <v>457</v>
      </c>
    </row>
    <row r="231" spans="1:8" ht="18" x14ac:dyDescent="0.3">
      <c r="A231" s="138">
        <v>45988</v>
      </c>
      <c r="B231" s="139" t="s">
        <v>78</v>
      </c>
      <c r="C231" s="140" t="s">
        <v>395</v>
      </c>
      <c r="D231" s="139" t="s">
        <v>303</v>
      </c>
      <c r="E231" s="141">
        <v>1.1284722222222221</v>
      </c>
      <c r="F231" s="139" t="s">
        <v>82</v>
      </c>
      <c r="G231" s="142">
        <v>4</v>
      </c>
      <c r="H231" s="139" t="s">
        <v>457</v>
      </c>
    </row>
    <row r="232" spans="1:8" ht="18" x14ac:dyDescent="0.3">
      <c r="A232" s="138">
        <v>45988</v>
      </c>
      <c r="B232" s="139" t="s">
        <v>78</v>
      </c>
      <c r="C232" s="140" t="s">
        <v>392</v>
      </c>
      <c r="D232" s="139" t="s">
        <v>303</v>
      </c>
      <c r="E232" s="141">
        <v>1.930555555555556</v>
      </c>
      <c r="F232" s="139" t="s">
        <v>85</v>
      </c>
      <c r="G232" s="142">
        <v>9</v>
      </c>
      <c r="H232" s="139" t="s">
        <v>390</v>
      </c>
    </row>
    <row r="233" spans="1:8" ht="18" x14ac:dyDescent="0.3">
      <c r="A233" s="118">
        <v>45988</v>
      </c>
      <c r="B233" s="119" t="s">
        <v>78</v>
      </c>
      <c r="C233" s="120" t="s">
        <v>392</v>
      </c>
      <c r="D233" s="119" t="s">
        <v>303</v>
      </c>
      <c r="E233" s="121">
        <v>1.930555555555556</v>
      </c>
      <c r="F233" s="119" t="s">
        <v>87</v>
      </c>
      <c r="G233" s="122">
        <v>9</v>
      </c>
      <c r="H233" s="119" t="s">
        <v>390</v>
      </c>
    </row>
    <row r="234" spans="1:8" ht="18" x14ac:dyDescent="0.3">
      <c r="A234" s="118">
        <v>45988</v>
      </c>
      <c r="B234" s="119" t="s">
        <v>78</v>
      </c>
      <c r="C234" s="120" t="s">
        <v>392</v>
      </c>
      <c r="D234" s="119" t="s">
        <v>303</v>
      </c>
      <c r="E234" s="121">
        <v>1.930555555555556</v>
      </c>
      <c r="F234" s="119" t="s">
        <v>82</v>
      </c>
      <c r="G234" s="122">
        <v>9</v>
      </c>
      <c r="H234" s="119" t="s">
        <v>391</v>
      </c>
    </row>
    <row r="235" spans="1:8" ht="18" x14ac:dyDescent="0.3">
      <c r="A235" s="138">
        <v>45988</v>
      </c>
      <c r="B235" s="139" t="s">
        <v>78</v>
      </c>
      <c r="C235" s="140" t="s">
        <v>393</v>
      </c>
      <c r="D235" s="139" t="s">
        <v>303</v>
      </c>
      <c r="E235" s="141">
        <v>1.8888888888888891</v>
      </c>
      <c r="F235" s="139" t="s">
        <v>82</v>
      </c>
      <c r="G235" s="142">
        <v>4</v>
      </c>
      <c r="H235" s="139" t="s">
        <v>394</v>
      </c>
    </row>
    <row r="236" spans="1:8" ht="18" x14ac:dyDescent="0.3">
      <c r="A236" s="138">
        <v>45988</v>
      </c>
      <c r="B236" s="139" t="s">
        <v>78</v>
      </c>
      <c r="C236" s="140" t="s">
        <v>396</v>
      </c>
      <c r="D236" s="139" t="s">
        <v>303</v>
      </c>
      <c r="E236" s="141">
        <v>1.788194444444444</v>
      </c>
      <c r="F236" s="139" t="s">
        <v>82</v>
      </c>
      <c r="G236" s="142">
        <v>4</v>
      </c>
      <c r="H236" s="139" t="s">
        <v>394</v>
      </c>
    </row>
    <row r="237" spans="1:8" ht="18" x14ac:dyDescent="0.3">
      <c r="A237" s="138">
        <v>45988</v>
      </c>
      <c r="B237" s="139" t="s">
        <v>78</v>
      </c>
      <c r="C237" s="140" t="s">
        <v>401</v>
      </c>
      <c r="D237" s="139" t="s">
        <v>303</v>
      </c>
      <c r="E237" s="141">
        <v>1.8298611111111109</v>
      </c>
      <c r="F237" s="139" t="s">
        <v>85</v>
      </c>
      <c r="G237" s="142">
        <v>9</v>
      </c>
      <c r="H237" s="139" t="s">
        <v>458</v>
      </c>
    </row>
    <row r="238" spans="1:8" ht="18" x14ac:dyDescent="0.3">
      <c r="A238" s="118">
        <v>45988</v>
      </c>
      <c r="B238" s="119" t="s">
        <v>78</v>
      </c>
      <c r="C238" s="120" t="s">
        <v>401</v>
      </c>
      <c r="D238" s="119" t="s">
        <v>303</v>
      </c>
      <c r="E238" s="121">
        <v>1.8298611111111109</v>
      </c>
      <c r="F238" s="119" t="s">
        <v>87</v>
      </c>
      <c r="G238" s="122">
        <v>9</v>
      </c>
      <c r="H238" s="119" t="s">
        <v>458</v>
      </c>
    </row>
    <row r="239" spans="1:8" ht="18" x14ac:dyDescent="0.3">
      <c r="A239" s="144">
        <v>45988</v>
      </c>
      <c r="B239" s="145" t="s">
        <v>78</v>
      </c>
      <c r="C239" s="146" t="s">
        <v>401</v>
      </c>
      <c r="D239" s="145" t="s">
        <v>303</v>
      </c>
      <c r="E239" s="147">
        <v>1.8298611111111109</v>
      </c>
      <c r="F239" s="145" t="s">
        <v>82</v>
      </c>
      <c r="G239" s="148">
        <v>9</v>
      </c>
      <c r="H239" s="145" t="s">
        <v>459</v>
      </c>
    </row>
    <row r="240" spans="1:8" ht="18" x14ac:dyDescent="0.3">
      <c r="A240" s="187">
        <v>45989</v>
      </c>
      <c r="B240" s="125" t="s">
        <v>35</v>
      </c>
      <c r="C240" s="126" t="s">
        <v>319</v>
      </c>
      <c r="D240" s="125" t="s">
        <v>303</v>
      </c>
      <c r="E240" s="127">
        <v>1.114583333333333</v>
      </c>
      <c r="F240" s="125" t="s">
        <v>37</v>
      </c>
      <c r="G240" s="128">
        <v>9</v>
      </c>
      <c r="H240" s="200">
        <v>401</v>
      </c>
    </row>
    <row r="241" spans="1:8" ht="18" x14ac:dyDescent="0.3">
      <c r="A241" s="130">
        <v>45989</v>
      </c>
      <c r="B241" s="131" t="s">
        <v>35</v>
      </c>
      <c r="C241" s="132" t="s">
        <v>314</v>
      </c>
      <c r="D241" s="131" t="s">
        <v>303</v>
      </c>
      <c r="E241" s="133">
        <v>1.319444444444444</v>
      </c>
      <c r="F241" s="131" t="s">
        <v>37</v>
      </c>
      <c r="G241" s="134">
        <v>9</v>
      </c>
      <c r="H241" s="135">
        <v>401</v>
      </c>
    </row>
    <row r="242" spans="1:8" ht="18" x14ac:dyDescent="0.3">
      <c r="A242" s="130">
        <v>45989</v>
      </c>
      <c r="B242" s="131" t="s">
        <v>35</v>
      </c>
      <c r="C242" s="132" t="s">
        <v>413</v>
      </c>
      <c r="D242" s="131" t="s">
        <v>303</v>
      </c>
      <c r="E242" s="133">
        <v>1.458333333333333</v>
      </c>
      <c r="F242" s="131" t="s">
        <v>37</v>
      </c>
      <c r="G242" s="134">
        <v>4</v>
      </c>
      <c r="H242" s="135">
        <v>401</v>
      </c>
    </row>
    <row r="243" spans="1:8" ht="18" x14ac:dyDescent="0.3">
      <c r="A243" s="130">
        <v>45989</v>
      </c>
      <c r="B243" s="131" t="s">
        <v>35</v>
      </c>
      <c r="C243" s="132" t="s">
        <v>309</v>
      </c>
      <c r="D243" s="131" t="s">
        <v>303</v>
      </c>
      <c r="E243" s="133">
        <v>1.7361111111111109</v>
      </c>
      <c r="F243" s="131" t="s">
        <v>37</v>
      </c>
      <c r="G243" s="134">
        <v>1</v>
      </c>
      <c r="H243" s="135">
        <v>436</v>
      </c>
    </row>
    <row r="244" spans="1:8" ht="18" x14ac:dyDescent="0.3">
      <c r="A244" s="130">
        <v>45989</v>
      </c>
      <c r="B244" s="131" t="s">
        <v>35</v>
      </c>
      <c r="C244" s="132" t="s">
        <v>444</v>
      </c>
      <c r="D244" s="131" t="s">
        <v>303</v>
      </c>
      <c r="E244" s="133">
        <v>1.614583333333333</v>
      </c>
      <c r="F244" s="131" t="s">
        <v>37</v>
      </c>
      <c r="G244" s="134">
        <v>9</v>
      </c>
      <c r="H244" s="135">
        <v>436</v>
      </c>
    </row>
    <row r="245" spans="1:8" ht="18" x14ac:dyDescent="0.3">
      <c r="A245" s="130">
        <v>45989</v>
      </c>
      <c r="B245" s="131" t="s">
        <v>35</v>
      </c>
      <c r="C245" s="132" t="s">
        <v>326</v>
      </c>
      <c r="D245" s="131" t="s">
        <v>303</v>
      </c>
      <c r="E245" s="133">
        <v>1.9375</v>
      </c>
      <c r="F245" s="131" t="s">
        <v>131</v>
      </c>
      <c r="G245" s="131"/>
      <c r="H245" s="131" t="s">
        <v>132</v>
      </c>
    </row>
    <row r="246" spans="1:8" ht="18" x14ac:dyDescent="0.3">
      <c r="A246" s="136">
        <v>45989</v>
      </c>
      <c r="B246" s="113" t="s">
        <v>25</v>
      </c>
      <c r="C246" s="114" t="s">
        <v>344</v>
      </c>
      <c r="D246" s="113" t="s">
        <v>303</v>
      </c>
      <c r="E246" s="115">
        <v>1.302083333333333</v>
      </c>
      <c r="F246" s="113" t="s">
        <v>27</v>
      </c>
      <c r="G246" s="116">
        <v>7</v>
      </c>
      <c r="H246" s="137">
        <v>419</v>
      </c>
    </row>
    <row r="247" spans="1:8" ht="18" x14ac:dyDescent="0.3">
      <c r="A247" s="118">
        <v>45989</v>
      </c>
      <c r="B247" s="119" t="s">
        <v>25</v>
      </c>
      <c r="C247" s="120" t="s">
        <v>344</v>
      </c>
      <c r="D247" s="119" t="s">
        <v>303</v>
      </c>
      <c r="E247" s="121">
        <v>1.302083333333333</v>
      </c>
      <c r="F247" s="119" t="s">
        <v>30</v>
      </c>
      <c r="G247" s="122">
        <v>7</v>
      </c>
      <c r="H247" s="123">
        <v>569</v>
      </c>
    </row>
    <row r="248" spans="1:8" ht="18" x14ac:dyDescent="0.3">
      <c r="A248" s="118">
        <v>45989</v>
      </c>
      <c r="B248" s="119" t="s">
        <v>25</v>
      </c>
      <c r="C248" s="120" t="s">
        <v>344</v>
      </c>
      <c r="D248" s="119" t="s">
        <v>303</v>
      </c>
      <c r="E248" s="121">
        <v>1.302083333333333</v>
      </c>
      <c r="F248" s="119" t="s">
        <v>33</v>
      </c>
      <c r="G248" s="122">
        <v>7</v>
      </c>
      <c r="H248" s="119" t="s">
        <v>34</v>
      </c>
    </row>
    <row r="249" spans="1:8" ht="18" x14ac:dyDescent="0.3">
      <c r="A249" s="138">
        <v>45989</v>
      </c>
      <c r="B249" s="139" t="s">
        <v>25</v>
      </c>
      <c r="C249" s="140" t="s">
        <v>338</v>
      </c>
      <c r="D249" s="139" t="s">
        <v>303</v>
      </c>
      <c r="E249" s="141">
        <v>1.1284722222222221</v>
      </c>
      <c r="F249" s="139" t="s">
        <v>27</v>
      </c>
      <c r="G249" s="142">
        <v>6</v>
      </c>
      <c r="H249" s="143">
        <v>419</v>
      </c>
    </row>
    <row r="250" spans="1:8" ht="18" x14ac:dyDescent="0.3">
      <c r="A250" s="118">
        <v>45989</v>
      </c>
      <c r="B250" s="119" t="s">
        <v>25</v>
      </c>
      <c r="C250" s="120" t="s">
        <v>338</v>
      </c>
      <c r="D250" s="119" t="s">
        <v>303</v>
      </c>
      <c r="E250" s="121">
        <v>1.1284722222222221</v>
      </c>
      <c r="F250" s="119" t="s">
        <v>30</v>
      </c>
      <c r="G250" s="122">
        <v>6</v>
      </c>
      <c r="H250" s="123">
        <v>569</v>
      </c>
    </row>
    <row r="251" spans="1:8" ht="18" x14ac:dyDescent="0.3">
      <c r="A251" s="118">
        <v>45989</v>
      </c>
      <c r="B251" s="119" t="s">
        <v>25</v>
      </c>
      <c r="C251" s="120" t="s">
        <v>338</v>
      </c>
      <c r="D251" s="119" t="s">
        <v>303</v>
      </c>
      <c r="E251" s="121">
        <v>1.1284722222222221</v>
      </c>
      <c r="F251" s="119" t="s">
        <v>33</v>
      </c>
      <c r="G251" s="122">
        <v>6</v>
      </c>
      <c r="H251" s="119" t="s">
        <v>34</v>
      </c>
    </row>
    <row r="252" spans="1:8" ht="18" x14ac:dyDescent="0.3">
      <c r="A252" s="138">
        <v>45989</v>
      </c>
      <c r="B252" s="139" t="s">
        <v>25</v>
      </c>
      <c r="C252" s="140" t="s">
        <v>347</v>
      </c>
      <c r="D252" s="139" t="s">
        <v>303</v>
      </c>
      <c r="E252" s="141">
        <v>1.788194444444444</v>
      </c>
      <c r="F252" s="139" t="s">
        <v>27</v>
      </c>
      <c r="G252" s="142">
        <v>11</v>
      </c>
      <c r="H252" s="143">
        <v>419</v>
      </c>
    </row>
    <row r="253" spans="1:8" ht="18" x14ac:dyDescent="0.3">
      <c r="A253" s="118">
        <v>45989</v>
      </c>
      <c r="B253" s="119" t="s">
        <v>25</v>
      </c>
      <c r="C253" s="120" t="s">
        <v>347</v>
      </c>
      <c r="D253" s="119" t="s">
        <v>303</v>
      </c>
      <c r="E253" s="121">
        <v>1.788194444444444</v>
      </c>
      <c r="F253" s="119" t="s">
        <v>30</v>
      </c>
      <c r="G253" s="122">
        <v>11</v>
      </c>
      <c r="H253" s="123">
        <v>569</v>
      </c>
    </row>
    <row r="254" spans="1:8" ht="18" x14ac:dyDescent="0.3">
      <c r="A254" s="118">
        <v>45989</v>
      </c>
      <c r="B254" s="119" t="s">
        <v>25</v>
      </c>
      <c r="C254" s="120" t="s">
        <v>347</v>
      </c>
      <c r="D254" s="119" t="s">
        <v>303</v>
      </c>
      <c r="E254" s="121">
        <v>1.788194444444444</v>
      </c>
      <c r="F254" s="119" t="s">
        <v>33</v>
      </c>
      <c r="G254" s="122">
        <v>11</v>
      </c>
      <c r="H254" s="119" t="s">
        <v>34</v>
      </c>
    </row>
    <row r="255" spans="1:8" ht="18" x14ac:dyDescent="0.3">
      <c r="A255" s="138">
        <v>45989</v>
      </c>
      <c r="B255" s="139" t="s">
        <v>25</v>
      </c>
      <c r="C255" s="140" t="s">
        <v>343</v>
      </c>
      <c r="D255" s="139" t="s">
        <v>303</v>
      </c>
      <c r="E255" s="141">
        <v>1.8888888888888891</v>
      </c>
      <c r="F255" s="139" t="s">
        <v>27</v>
      </c>
      <c r="G255" s="142">
        <v>6</v>
      </c>
      <c r="H255" s="143">
        <v>419</v>
      </c>
    </row>
    <row r="256" spans="1:8" ht="18" x14ac:dyDescent="0.3">
      <c r="A256" s="118">
        <v>45989</v>
      </c>
      <c r="B256" s="119" t="s">
        <v>25</v>
      </c>
      <c r="C256" s="120" t="s">
        <v>343</v>
      </c>
      <c r="D256" s="119" t="s">
        <v>303</v>
      </c>
      <c r="E256" s="121">
        <v>1.8888888888888891</v>
      </c>
      <c r="F256" s="119" t="s">
        <v>30</v>
      </c>
      <c r="G256" s="122">
        <v>6</v>
      </c>
      <c r="H256" s="123">
        <v>569</v>
      </c>
    </row>
    <row r="257" spans="1:8" ht="18" x14ac:dyDescent="0.3">
      <c r="A257" s="118">
        <v>45989</v>
      </c>
      <c r="B257" s="119" t="s">
        <v>25</v>
      </c>
      <c r="C257" s="120" t="s">
        <v>343</v>
      </c>
      <c r="D257" s="119" t="s">
        <v>303</v>
      </c>
      <c r="E257" s="121">
        <v>1.8888888888888891</v>
      </c>
      <c r="F257" s="119" t="s">
        <v>33</v>
      </c>
      <c r="G257" s="122">
        <v>6</v>
      </c>
      <c r="H257" s="119" t="s">
        <v>34</v>
      </c>
    </row>
    <row r="258" spans="1:8" ht="18" x14ac:dyDescent="0.3">
      <c r="A258" s="136">
        <v>45989</v>
      </c>
      <c r="B258" s="113" t="s">
        <v>55</v>
      </c>
      <c r="C258" s="114" t="s">
        <v>357</v>
      </c>
      <c r="D258" s="113" t="s">
        <v>303</v>
      </c>
      <c r="E258" s="115">
        <v>1.256944444444444</v>
      </c>
      <c r="F258" s="113" t="s">
        <v>60</v>
      </c>
      <c r="G258" s="116">
        <v>6</v>
      </c>
      <c r="H258" s="137">
        <v>449</v>
      </c>
    </row>
    <row r="259" spans="1:8" ht="18" x14ac:dyDescent="0.3">
      <c r="A259" s="118">
        <v>45989</v>
      </c>
      <c r="B259" s="119" t="s">
        <v>55</v>
      </c>
      <c r="C259" s="120" t="s">
        <v>357</v>
      </c>
      <c r="D259" s="119" t="s">
        <v>303</v>
      </c>
      <c r="E259" s="121">
        <v>1.256944444444444</v>
      </c>
      <c r="F259" s="119" t="s">
        <v>62</v>
      </c>
      <c r="G259" s="122">
        <v>6</v>
      </c>
      <c r="H259" s="123">
        <v>549</v>
      </c>
    </row>
    <row r="260" spans="1:8" ht="18" x14ac:dyDescent="0.3">
      <c r="A260" s="118">
        <v>45989</v>
      </c>
      <c r="B260" s="119" t="s">
        <v>55</v>
      </c>
      <c r="C260" s="120" t="s">
        <v>357</v>
      </c>
      <c r="D260" s="119" t="s">
        <v>303</v>
      </c>
      <c r="E260" s="121">
        <v>1.256944444444444</v>
      </c>
      <c r="F260" s="119" t="s">
        <v>64</v>
      </c>
      <c r="G260" s="122">
        <v>6</v>
      </c>
      <c r="H260" s="123">
        <v>639</v>
      </c>
    </row>
    <row r="261" spans="1:8" ht="18" x14ac:dyDescent="0.3">
      <c r="A261" s="138">
        <v>45989</v>
      </c>
      <c r="B261" s="139" t="s">
        <v>55</v>
      </c>
      <c r="C261" s="140" t="s">
        <v>366</v>
      </c>
      <c r="D261" s="139" t="s">
        <v>303</v>
      </c>
      <c r="E261" s="141">
        <v>1.395833333333333</v>
      </c>
      <c r="F261" s="139" t="s">
        <v>60</v>
      </c>
      <c r="G261" s="142">
        <v>4</v>
      </c>
      <c r="H261" s="143">
        <v>449</v>
      </c>
    </row>
    <row r="262" spans="1:8" ht="18" x14ac:dyDescent="0.3">
      <c r="A262" s="118">
        <v>45989</v>
      </c>
      <c r="B262" s="119" t="s">
        <v>55</v>
      </c>
      <c r="C262" s="120" t="s">
        <v>366</v>
      </c>
      <c r="D262" s="119" t="s">
        <v>303</v>
      </c>
      <c r="E262" s="121">
        <v>1.395833333333333</v>
      </c>
      <c r="F262" s="119" t="s">
        <v>62</v>
      </c>
      <c r="G262" s="122">
        <v>4</v>
      </c>
      <c r="H262" s="123">
        <v>549</v>
      </c>
    </row>
    <row r="263" spans="1:8" ht="18" x14ac:dyDescent="0.3">
      <c r="A263" s="118">
        <v>45989</v>
      </c>
      <c r="B263" s="119" t="s">
        <v>55</v>
      </c>
      <c r="C263" s="120" t="s">
        <v>366</v>
      </c>
      <c r="D263" s="119" t="s">
        <v>303</v>
      </c>
      <c r="E263" s="121">
        <v>1.395833333333333</v>
      </c>
      <c r="F263" s="119" t="s">
        <v>64</v>
      </c>
      <c r="G263" s="122">
        <v>4</v>
      </c>
      <c r="H263" s="123">
        <v>639</v>
      </c>
    </row>
    <row r="264" spans="1:8" ht="18" x14ac:dyDescent="0.3">
      <c r="A264" s="138">
        <v>45989</v>
      </c>
      <c r="B264" s="139" t="s">
        <v>55</v>
      </c>
      <c r="C264" s="140" t="s">
        <v>356</v>
      </c>
      <c r="D264" s="139" t="s">
        <v>303</v>
      </c>
      <c r="E264" s="141">
        <v>1.7986111111111109</v>
      </c>
      <c r="F264" s="139" t="s">
        <v>60</v>
      </c>
      <c r="G264" s="142">
        <v>1</v>
      </c>
      <c r="H264" s="143">
        <v>449</v>
      </c>
    </row>
    <row r="265" spans="1:8" ht="18" x14ac:dyDescent="0.3">
      <c r="A265" s="118">
        <v>45989</v>
      </c>
      <c r="B265" s="119" t="s">
        <v>55</v>
      </c>
      <c r="C265" s="120" t="s">
        <v>356</v>
      </c>
      <c r="D265" s="119" t="s">
        <v>303</v>
      </c>
      <c r="E265" s="121">
        <v>1.7986111111111109</v>
      </c>
      <c r="F265" s="119" t="s">
        <v>62</v>
      </c>
      <c r="G265" s="122">
        <v>1</v>
      </c>
      <c r="H265" s="123">
        <v>549</v>
      </c>
    </row>
    <row r="266" spans="1:8" ht="18" x14ac:dyDescent="0.3">
      <c r="A266" s="118">
        <v>45989</v>
      </c>
      <c r="B266" s="119" t="s">
        <v>55</v>
      </c>
      <c r="C266" s="120" t="s">
        <v>356</v>
      </c>
      <c r="D266" s="119" t="s">
        <v>303</v>
      </c>
      <c r="E266" s="121">
        <v>1.7986111111111109</v>
      </c>
      <c r="F266" s="119" t="s">
        <v>64</v>
      </c>
      <c r="G266" s="122">
        <v>1</v>
      </c>
      <c r="H266" s="123">
        <v>639</v>
      </c>
    </row>
    <row r="267" spans="1:8" ht="18" x14ac:dyDescent="0.3">
      <c r="A267" s="138">
        <v>45989</v>
      </c>
      <c r="B267" s="139" t="s">
        <v>55</v>
      </c>
      <c r="C267" s="140" t="s">
        <v>352</v>
      </c>
      <c r="D267" s="139" t="s">
        <v>303</v>
      </c>
      <c r="E267" s="141">
        <v>1.9027777777777779</v>
      </c>
      <c r="F267" s="139" t="s">
        <v>60</v>
      </c>
      <c r="G267" s="142">
        <v>7</v>
      </c>
      <c r="H267" s="143">
        <v>489</v>
      </c>
    </row>
    <row r="268" spans="1:8" ht="18" x14ac:dyDescent="0.3">
      <c r="A268" s="118">
        <v>45989</v>
      </c>
      <c r="B268" s="119" t="s">
        <v>55</v>
      </c>
      <c r="C268" s="120" t="s">
        <v>352</v>
      </c>
      <c r="D268" s="119" t="s">
        <v>303</v>
      </c>
      <c r="E268" s="121">
        <v>1.9027777777777779</v>
      </c>
      <c r="F268" s="119" t="s">
        <v>62</v>
      </c>
      <c r="G268" s="122">
        <v>7</v>
      </c>
      <c r="H268" s="123">
        <v>589</v>
      </c>
    </row>
    <row r="269" spans="1:8" ht="18" x14ac:dyDescent="0.3">
      <c r="A269" s="118">
        <v>45989</v>
      </c>
      <c r="B269" s="119" t="s">
        <v>55</v>
      </c>
      <c r="C269" s="120" t="s">
        <v>352</v>
      </c>
      <c r="D269" s="119" t="s">
        <v>303</v>
      </c>
      <c r="E269" s="121">
        <v>1.9027777777777779</v>
      </c>
      <c r="F269" s="119" t="s">
        <v>64</v>
      </c>
      <c r="G269" s="122">
        <v>7</v>
      </c>
      <c r="H269" s="123">
        <v>679</v>
      </c>
    </row>
    <row r="270" spans="1:8" ht="18" x14ac:dyDescent="0.3">
      <c r="A270" s="138">
        <v>45989</v>
      </c>
      <c r="B270" s="139" t="s">
        <v>55</v>
      </c>
      <c r="C270" s="140" t="s">
        <v>363</v>
      </c>
      <c r="D270" s="139" t="s">
        <v>303</v>
      </c>
      <c r="E270" s="141">
        <v>1.645833333333333</v>
      </c>
      <c r="F270" s="139" t="s">
        <v>60</v>
      </c>
      <c r="G270" s="142">
        <v>9</v>
      </c>
      <c r="H270" s="143">
        <v>489</v>
      </c>
    </row>
    <row r="271" spans="1:8" ht="18" x14ac:dyDescent="0.3">
      <c r="A271" s="118">
        <v>45989</v>
      </c>
      <c r="B271" s="119" t="s">
        <v>55</v>
      </c>
      <c r="C271" s="120" t="s">
        <v>363</v>
      </c>
      <c r="D271" s="119" t="s">
        <v>303</v>
      </c>
      <c r="E271" s="121">
        <v>1.645833333333333</v>
      </c>
      <c r="F271" s="119" t="s">
        <v>62</v>
      </c>
      <c r="G271" s="122">
        <v>9</v>
      </c>
      <c r="H271" s="123">
        <v>589</v>
      </c>
    </row>
    <row r="272" spans="1:8" ht="18" x14ac:dyDescent="0.3">
      <c r="A272" s="118">
        <v>45989</v>
      </c>
      <c r="B272" s="119" t="s">
        <v>55</v>
      </c>
      <c r="C272" s="120" t="s">
        <v>363</v>
      </c>
      <c r="D272" s="119" t="s">
        <v>303</v>
      </c>
      <c r="E272" s="121">
        <v>1.645833333333333</v>
      </c>
      <c r="F272" s="119" t="s">
        <v>64</v>
      </c>
      <c r="G272" s="122">
        <v>9</v>
      </c>
      <c r="H272" s="123">
        <v>679</v>
      </c>
    </row>
    <row r="273" spans="1:8" ht="18" x14ac:dyDescent="0.3">
      <c r="A273" s="138">
        <v>45989</v>
      </c>
      <c r="B273" s="139" t="s">
        <v>55</v>
      </c>
      <c r="C273" s="140" t="s">
        <v>364</v>
      </c>
      <c r="D273" s="139" t="s">
        <v>303</v>
      </c>
      <c r="E273" s="141">
        <v>1.5173611111111109</v>
      </c>
      <c r="F273" s="139" t="s">
        <v>60</v>
      </c>
      <c r="G273" s="142">
        <v>8</v>
      </c>
      <c r="H273" s="143">
        <v>489</v>
      </c>
    </row>
    <row r="274" spans="1:8" ht="18" x14ac:dyDescent="0.3">
      <c r="A274" s="118">
        <v>45989</v>
      </c>
      <c r="B274" s="119" t="s">
        <v>55</v>
      </c>
      <c r="C274" s="120" t="s">
        <v>364</v>
      </c>
      <c r="D274" s="119" t="s">
        <v>303</v>
      </c>
      <c r="E274" s="121">
        <v>1.5173611111111109</v>
      </c>
      <c r="F274" s="119" t="s">
        <v>62</v>
      </c>
      <c r="G274" s="122">
        <v>8</v>
      </c>
      <c r="H274" s="123">
        <v>589</v>
      </c>
    </row>
    <row r="275" spans="1:8" ht="18" x14ac:dyDescent="0.3">
      <c r="A275" s="118">
        <v>45989</v>
      </c>
      <c r="B275" s="119" t="s">
        <v>55</v>
      </c>
      <c r="C275" s="120" t="s">
        <v>364</v>
      </c>
      <c r="D275" s="119" t="s">
        <v>303</v>
      </c>
      <c r="E275" s="121">
        <v>1.5173611111111109</v>
      </c>
      <c r="F275" s="119" t="s">
        <v>64</v>
      </c>
      <c r="G275" s="122">
        <v>8</v>
      </c>
      <c r="H275" s="123">
        <v>679</v>
      </c>
    </row>
    <row r="276" spans="1:8" ht="18" x14ac:dyDescent="0.3">
      <c r="A276" s="138">
        <v>45989</v>
      </c>
      <c r="B276" s="139" t="s">
        <v>55</v>
      </c>
      <c r="C276" s="140" t="s">
        <v>349</v>
      </c>
      <c r="D276" s="139" t="s">
        <v>303</v>
      </c>
      <c r="E276" s="141">
        <v>1.854166666666667</v>
      </c>
      <c r="F276" s="139" t="s">
        <v>60</v>
      </c>
      <c r="G276" s="142">
        <v>6</v>
      </c>
      <c r="H276" s="143">
        <v>489</v>
      </c>
    </row>
    <row r="277" spans="1:8" ht="18" x14ac:dyDescent="0.3">
      <c r="A277" s="118">
        <v>45989</v>
      </c>
      <c r="B277" s="119" t="s">
        <v>55</v>
      </c>
      <c r="C277" s="120" t="s">
        <v>349</v>
      </c>
      <c r="D277" s="119" t="s">
        <v>303</v>
      </c>
      <c r="E277" s="121">
        <v>1.854166666666667</v>
      </c>
      <c r="F277" s="119" t="s">
        <v>62</v>
      </c>
      <c r="G277" s="122">
        <v>6</v>
      </c>
      <c r="H277" s="123">
        <v>589</v>
      </c>
    </row>
    <row r="278" spans="1:8" ht="18" x14ac:dyDescent="0.3">
      <c r="A278" s="118">
        <v>45989</v>
      </c>
      <c r="B278" s="119" t="s">
        <v>55</v>
      </c>
      <c r="C278" s="120" t="s">
        <v>349</v>
      </c>
      <c r="D278" s="119" t="s">
        <v>303</v>
      </c>
      <c r="E278" s="121">
        <v>1.854166666666667</v>
      </c>
      <c r="F278" s="119" t="s">
        <v>64</v>
      </c>
      <c r="G278" s="122">
        <v>6</v>
      </c>
      <c r="H278" s="123">
        <v>679</v>
      </c>
    </row>
    <row r="279" spans="1:8" ht="18" x14ac:dyDescent="0.3">
      <c r="A279" s="136">
        <v>45989</v>
      </c>
      <c r="B279" s="113" t="s">
        <v>378</v>
      </c>
      <c r="C279" s="114" t="s">
        <v>420</v>
      </c>
      <c r="D279" s="113" t="s">
        <v>303</v>
      </c>
      <c r="E279" s="115">
        <v>1.3923611111111109</v>
      </c>
      <c r="F279" s="113" t="s">
        <v>380</v>
      </c>
      <c r="G279" s="116">
        <v>9</v>
      </c>
      <c r="H279" s="137">
        <v>449</v>
      </c>
    </row>
    <row r="280" spans="1:8" ht="18" x14ac:dyDescent="0.3">
      <c r="A280" s="118">
        <v>45989</v>
      </c>
      <c r="B280" s="119" t="s">
        <v>378</v>
      </c>
      <c r="C280" s="120" t="s">
        <v>420</v>
      </c>
      <c r="D280" s="119" t="s">
        <v>303</v>
      </c>
      <c r="E280" s="121">
        <v>1.3923611111111109</v>
      </c>
      <c r="F280" s="119" t="s">
        <v>33</v>
      </c>
      <c r="G280" s="122">
        <v>9</v>
      </c>
      <c r="H280" s="123">
        <v>572</v>
      </c>
    </row>
    <row r="281" spans="1:8" ht="18" x14ac:dyDescent="0.3">
      <c r="A281" s="138">
        <v>45989</v>
      </c>
      <c r="B281" s="139" t="s">
        <v>378</v>
      </c>
      <c r="C281" s="140" t="s">
        <v>470</v>
      </c>
      <c r="D281" s="139" t="s">
        <v>303</v>
      </c>
      <c r="E281" s="141">
        <v>1.975694444444444</v>
      </c>
      <c r="F281" s="139" t="s">
        <v>380</v>
      </c>
      <c r="G281" s="142">
        <v>9</v>
      </c>
      <c r="H281" s="143">
        <v>456</v>
      </c>
    </row>
    <row r="282" spans="1:8" ht="18" x14ac:dyDescent="0.3">
      <c r="A282" s="118">
        <v>45989</v>
      </c>
      <c r="B282" s="119" t="s">
        <v>378</v>
      </c>
      <c r="C282" s="120" t="s">
        <v>470</v>
      </c>
      <c r="D282" s="119" t="s">
        <v>303</v>
      </c>
      <c r="E282" s="121">
        <v>1.975694444444444</v>
      </c>
      <c r="F282" s="119" t="s">
        <v>33</v>
      </c>
      <c r="G282" s="122">
        <v>9</v>
      </c>
      <c r="H282" s="123">
        <v>579</v>
      </c>
    </row>
    <row r="283" spans="1:8" ht="18" x14ac:dyDescent="0.3">
      <c r="A283" s="136">
        <v>45989</v>
      </c>
      <c r="B283" s="113" t="s">
        <v>333</v>
      </c>
      <c r="C283" s="114" t="s">
        <v>335</v>
      </c>
      <c r="D283" s="113" t="s">
        <v>303</v>
      </c>
      <c r="E283" s="115">
        <v>1.666666666666667</v>
      </c>
      <c r="F283" s="113" t="s">
        <v>306</v>
      </c>
      <c r="G283" s="116">
        <v>2</v>
      </c>
      <c r="H283" s="137">
        <v>599</v>
      </c>
    </row>
    <row r="284" spans="1:8" ht="18" x14ac:dyDescent="0.3">
      <c r="A284" s="136">
        <v>45989</v>
      </c>
      <c r="B284" s="113" t="s">
        <v>78</v>
      </c>
      <c r="C284" s="114" t="s">
        <v>384</v>
      </c>
      <c r="D284" s="113" t="s">
        <v>303</v>
      </c>
      <c r="E284" s="115">
        <v>1.3784722222222221</v>
      </c>
      <c r="F284" s="113" t="s">
        <v>87</v>
      </c>
      <c r="G284" s="116">
        <v>9</v>
      </c>
      <c r="H284" s="137">
        <v>678</v>
      </c>
    </row>
    <row r="285" spans="1:8" ht="18" x14ac:dyDescent="0.3">
      <c r="A285" s="118">
        <v>45989</v>
      </c>
      <c r="B285" s="119" t="s">
        <v>78</v>
      </c>
      <c r="C285" s="120" t="s">
        <v>384</v>
      </c>
      <c r="D285" s="119" t="s">
        <v>303</v>
      </c>
      <c r="E285" s="121">
        <v>1.3784722222222221</v>
      </c>
      <c r="F285" s="119" t="s">
        <v>82</v>
      </c>
      <c r="G285" s="122">
        <v>9</v>
      </c>
      <c r="H285" s="123">
        <v>723</v>
      </c>
    </row>
    <row r="286" spans="1:8" ht="18" x14ac:dyDescent="0.3">
      <c r="A286" s="138">
        <v>45989</v>
      </c>
      <c r="B286" s="139" t="s">
        <v>78</v>
      </c>
      <c r="C286" s="140" t="s">
        <v>400</v>
      </c>
      <c r="D286" s="139" t="s">
        <v>303</v>
      </c>
      <c r="E286" s="141">
        <v>1.6111111111111109</v>
      </c>
      <c r="F286" s="139" t="s">
        <v>87</v>
      </c>
      <c r="G286" s="142">
        <v>9</v>
      </c>
      <c r="H286" s="143">
        <v>678</v>
      </c>
    </row>
    <row r="287" spans="1:8" ht="18" x14ac:dyDescent="0.3">
      <c r="A287" s="118">
        <v>45989</v>
      </c>
      <c r="B287" s="119" t="s">
        <v>78</v>
      </c>
      <c r="C287" s="120" t="s">
        <v>400</v>
      </c>
      <c r="D287" s="119" t="s">
        <v>303</v>
      </c>
      <c r="E287" s="121">
        <v>1.6111111111111109</v>
      </c>
      <c r="F287" s="119" t="s">
        <v>82</v>
      </c>
      <c r="G287" s="122">
        <v>9</v>
      </c>
      <c r="H287" s="123">
        <v>723</v>
      </c>
    </row>
    <row r="288" spans="1:8" ht="18" x14ac:dyDescent="0.3">
      <c r="A288" s="138">
        <v>45989</v>
      </c>
      <c r="B288" s="139" t="s">
        <v>78</v>
      </c>
      <c r="C288" s="140" t="s">
        <v>397</v>
      </c>
      <c r="D288" s="139" t="s">
        <v>303</v>
      </c>
      <c r="E288" s="141">
        <v>1.71875</v>
      </c>
      <c r="F288" s="139" t="s">
        <v>87</v>
      </c>
      <c r="G288" s="142">
        <v>9</v>
      </c>
      <c r="H288" s="143">
        <v>797</v>
      </c>
    </row>
    <row r="289" spans="1:8" ht="18" x14ac:dyDescent="0.3">
      <c r="A289" s="118">
        <v>45989</v>
      </c>
      <c r="B289" s="119" t="s">
        <v>78</v>
      </c>
      <c r="C289" s="120" t="s">
        <v>397</v>
      </c>
      <c r="D289" s="119" t="s">
        <v>303</v>
      </c>
      <c r="E289" s="121">
        <v>1.71875</v>
      </c>
      <c r="F289" s="119" t="s">
        <v>82</v>
      </c>
      <c r="G289" s="122">
        <v>9</v>
      </c>
      <c r="H289" s="123">
        <v>842</v>
      </c>
    </row>
    <row r="290" spans="1:8" ht="18" x14ac:dyDescent="0.3">
      <c r="A290" s="138">
        <v>45989</v>
      </c>
      <c r="B290" s="139" t="s">
        <v>78</v>
      </c>
      <c r="C290" s="140" t="s">
        <v>387</v>
      </c>
      <c r="D290" s="139" t="s">
        <v>303</v>
      </c>
      <c r="E290" s="141">
        <v>1.239583333333333</v>
      </c>
      <c r="F290" s="139" t="s">
        <v>87</v>
      </c>
      <c r="G290" s="142">
        <v>9</v>
      </c>
      <c r="H290" s="143">
        <v>935</v>
      </c>
    </row>
    <row r="291" spans="1:8" ht="18" x14ac:dyDescent="0.3">
      <c r="A291" s="118">
        <v>45989</v>
      </c>
      <c r="B291" s="119" t="s">
        <v>78</v>
      </c>
      <c r="C291" s="120" t="s">
        <v>387</v>
      </c>
      <c r="D291" s="119" t="s">
        <v>303</v>
      </c>
      <c r="E291" s="121">
        <v>1.239583333333333</v>
      </c>
      <c r="F291" s="119" t="s">
        <v>82</v>
      </c>
      <c r="G291" s="122">
        <v>9</v>
      </c>
      <c r="H291" s="123">
        <v>980</v>
      </c>
    </row>
    <row r="292" spans="1:8" ht="18" x14ac:dyDescent="0.3">
      <c r="A292" s="138">
        <v>45989</v>
      </c>
      <c r="B292" s="139" t="s">
        <v>78</v>
      </c>
      <c r="C292" s="140" t="s">
        <v>388</v>
      </c>
      <c r="D292" s="139" t="s">
        <v>303</v>
      </c>
      <c r="E292" s="141">
        <v>1.1423611111111109</v>
      </c>
      <c r="F292" s="139" t="s">
        <v>87</v>
      </c>
      <c r="G292" s="142">
        <v>9</v>
      </c>
      <c r="H292" s="143">
        <v>935</v>
      </c>
    </row>
    <row r="293" spans="1:8" ht="18" x14ac:dyDescent="0.3">
      <c r="A293" s="118">
        <v>45989</v>
      </c>
      <c r="B293" s="119" t="s">
        <v>78</v>
      </c>
      <c r="C293" s="120" t="s">
        <v>388</v>
      </c>
      <c r="D293" s="119" t="s">
        <v>303</v>
      </c>
      <c r="E293" s="121">
        <v>1.1423611111111109</v>
      </c>
      <c r="F293" s="119" t="s">
        <v>82</v>
      </c>
      <c r="G293" s="122">
        <v>9</v>
      </c>
      <c r="H293" s="123">
        <v>980</v>
      </c>
    </row>
    <row r="294" spans="1:8" ht="18" x14ac:dyDescent="0.3">
      <c r="A294" s="138">
        <v>45989</v>
      </c>
      <c r="B294" s="139" t="s">
        <v>78</v>
      </c>
      <c r="C294" s="140" t="s">
        <v>392</v>
      </c>
      <c r="D294" s="139" t="s">
        <v>303</v>
      </c>
      <c r="E294" s="141">
        <v>1.930555555555556</v>
      </c>
      <c r="F294" s="139" t="s">
        <v>87</v>
      </c>
      <c r="G294" s="142">
        <v>9</v>
      </c>
      <c r="H294" s="143">
        <v>935</v>
      </c>
    </row>
    <row r="295" spans="1:8" ht="18" x14ac:dyDescent="0.3">
      <c r="A295" s="118">
        <v>45989</v>
      </c>
      <c r="B295" s="119" t="s">
        <v>78</v>
      </c>
      <c r="C295" s="120" t="s">
        <v>392</v>
      </c>
      <c r="D295" s="119" t="s">
        <v>303</v>
      </c>
      <c r="E295" s="121">
        <v>1.930555555555556</v>
      </c>
      <c r="F295" s="119" t="s">
        <v>82</v>
      </c>
      <c r="G295" s="122">
        <v>9</v>
      </c>
      <c r="H295" s="123">
        <v>980</v>
      </c>
    </row>
    <row r="296" spans="1:8" ht="18" x14ac:dyDescent="0.3">
      <c r="A296" s="138">
        <v>45989</v>
      </c>
      <c r="B296" s="139" t="s">
        <v>78</v>
      </c>
      <c r="C296" s="140" t="s">
        <v>401</v>
      </c>
      <c r="D296" s="139" t="s">
        <v>303</v>
      </c>
      <c r="E296" s="141">
        <v>1.8298611111111109</v>
      </c>
      <c r="F296" s="139" t="s">
        <v>87</v>
      </c>
      <c r="G296" s="142">
        <v>9</v>
      </c>
      <c r="H296" s="143">
        <v>935</v>
      </c>
    </row>
    <row r="297" spans="1:8" ht="18" x14ac:dyDescent="0.3">
      <c r="A297" s="118">
        <v>45989</v>
      </c>
      <c r="B297" s="119" t="s">
        <v>78</v>
      </c>
      <c r="C297" s="120" t="s">
        <v>401</v>
      </c>
      <c r="D297" s="119" t="s">
        <v>303</v>
      </c>
      <c r="E297" s="121">
        <v>1.8298611111111109</v>
      </c>
      <c r="F297" s="119" t="s">
        <v>82</v>
      </c>
      <c r="G297" s="122">
        <v>9</v>
      </c>
      <c r="H297" s="123">
        <v>980</v>
      </c>
    </row>
    <row r="298" spans="1:8" ht="18" x14ac:dyDescent="0.3">
      <c r="A298" s="138">
        <v>45989</v>
      </c>
      <c r="B298" s="139" t="s">
        <v>78</v>
      </c>
      <c r="C298" s="140" t="s">
        <v>389</v>
      </c>
      <c r="D298" s="139" t="s">
        <v>303</v>
      </c>
      <c r="E298" s="141">
        <v>1.006944444444444</v>
      </c>
      <c r="F298" s="139" t="s">
        <v>87</v>
      </c>
      <c r="G298" s="142">
        <v>9</v>
      </c>
      <c r="H298" s="139" t="s">
        <v>390</v>
      </c>
    </row>
    <row r="299" spans="1:8" ht="18" x14ac:dyDescent="0.3">
      <c r="A299" s="118">
        <v>45989</v>
      </c>
      <c r="B299" s="119" t="s">
        <v>78</v>
      </c>
      <c r="C299" s="120" t="s">
        <v>389</v>
      </c>
      <c r="D299" s="119" t="s">
        <v>303</v>
      </c>
      <c r="E299" s="121">
        <v>1.006944444444444</v>
      </c>
      <c r="F299" s="119" t="s">
        <v>82</v>
      </c>
      <c r="G299" s="122">
        <v>9</v>
      </c>
      <c r="H299" s="119" t="s">
        <v>391</v>
      </c>
    </row>
    <row r="300" spans="1:8" ht="18" x14ac:dyDescent="0.3">
      <c r="A300" s="138">
        <v>45989</v>
      </c>
      <c r="B300" s="139" t="s">
        <v>78</v>
      </c>
      <c r="C300" s="140" t="s">
        <v>393</v>
      </c>
      <c r="D300" s="139" t="s">
        <v>303</v>
      </c>
      <c r="E300" s="141">
        <v>1.8888888888888891</v>
      </c>
      <c r="F300" s="139" t="s">
        <v>82</v>
      </c>
      <c r="G300" s="142">
        <v>4</v>
      </c>
      <c r="H300" s="139" t="s">
        <v>394</v>
      </c>
    </row>
    <row r="301" spans="1:8" ht="18" x14ac:dyDescent="0.3">
      <c r="A301" s="138">
        <v>45989</v>
      </c>
      <c r="B301" s="139" t="s">
        <v>78</v>
      </c>
      <c r="C301" s="140" t="s">
        <v>402</v>
      </c>
      <c r="D301" s="139" t="s">
        <v>303</v>
      </c>
      <c r="E301" s="141">
        <v>1.302083333333333</v>
      </c>
      <c r="F301" s="139" t="s">
        <v>82</v>
      </c>
      <c r="G301" s="142">
        <v>4</v>
      </c>
      <c r="H301" s="139" t="s">
        <v>394</v>
      </c>
    </row>
    <row r="302" spans="1:8" ht="18" x14ac:dyDescent="0.3">
      <c r="A302" s="138">
        <v>45989</v>
      </c>
      <c r="B302" s="139" t="s">
        <v>78</v>
      </c>
      <c r="C302" s="140" t="s">
        <v>395</v>
      </c>
      <c r="D302" s="139" t="s">
        <v>303</v>
      </c>
      <c r="E302" s="141">
        <v>1.1284722222222221</v>
      </c>
      <c r="F302" s="139" t="s">
        <v>82</v>
      </c>
      <c r="G302" s="142">
        <v>4</v>
      </c>
      <c r="H302" s="139" t="s">
        <v>394</v>
      </c>
    </row>
    <row r="303" spans="1:8" ht="18" x14ac:dyDescent="0.3">
      <c r="A303" s="138">
        <v>45989</v>
      </c>
      <c r="B303" s="139" t="s">
        <v>78</v>
      </c>
      <c r="C303" s="140" t="s">
        <v>396</v>
      </c>
      <c r="D303" s="139" t="s">
        <v>303</v>
      </c>
      <c r="E303" s="141">
        <v>1.788194444444444</v>
      </c>
      <c r="F303" s="139" t="s">
        <v>82</v>
      </c>
      <c r="G303" s="142">
        <v>4</v>
      </c>
      <c r="H303" s="139" t="s">
        <v>394</v>
      </c>
    </row>
    <row r="304" spans="1:8" ht="18" x14ac:dyDescent="0.3">
      <c r="A304" s="136">
        <v>45989</v>
      </c>
      <c r="B304" s="113" t="s">
        <v>66</v>
      </c>
      <c r="C304" s="114" t="s">
        <v>373</v>
      </c>
      <c r="D304" s="113" t="s">
        <v>303</v>
      </c>
      <c r="E304" s="115">
        <v>1.0138888888888891</v>
      </c>
      <c r="F304" s="113" t="s">
        <v>68</v>
      </c>
      <c r="G304" s="116">
        <v>9</v>
      </c>
      <c r="H304" s="137">
        <v>765</v>
      </c>
    </row>
    <row r="305" spans="1:8" ht="18" x14ac:dyDescent="0.3">
      <c r="A305" s="138">
        <v>45989</v>
      </c>
      <c r="B305" s="139" t="s">
        <v>66</v>
      </c>
      <c r="C305" s="140" t="s">
        <v>377</v>
      </c>
      <c r="D305" s="139" t="s">
        <v>303</v>
      </c>
      <c r="E305" s="141">
        <v>1.229166666666667</v>
      </c>
      <c r="F305" s="139" t="s">
        <v>68</v>
      </c>
      <c r="G305" s="142">
        <v>9</v>
      </c>
      <c r="H305" s="143">
        <v>765</v>
      </c>
    </row>
    <row r="306" spans="1:8" ht="18" x14ac:dyDescent="0.3">
      <c r="A306" s="138">
        <v>45989</v>
      </c>
      <c r="B306" s="139" t="s">
        <v>66</v>
      </c>
      <c r="C306" s="140" t="s">
        <v>416</v>
      </c>
      <c r="D306" s="139" t="s">
        <v>303</v>
      </c>
      <c r="E306" s="141">
        <v>1.145833333333333</v>
      </c>
      <c r="F306" s="139" t="s">
        <v>68</v>
      </c>
      <c r="G306" s="142">
        <v>9</v>
      </c>
      <c r="H306" s="143">
        <v>842</v>
      </c>
    </row>
    <row r="307" spans="1:8" ht="18" x14ac:dyDescent="0.3">
      <c r="A307" s="138">
        <v>45989</v>
      </c>
      <c r="B307" s="139" t="s">
        <v>66</v>
      </c>
      <c r="C307" s="140" t="s">
        <v>375</v>
      </c>
      <c r="D307" s="139" t="s">
        <v>303</v>
      </c>
      <c r="E307" s="141">
        <v>1.2777777777777779</v>
      </c>
      <c r="F307" s="139" t="s">
        <v>68</v>
      </c>
      <c r="G307" s="142">
        <v>9</v>
      </c>
      <c r="H307" s="143">
        <v>842</v>
      </c>
    </row>
    <row r="308" spans="1:8" ht="18" x14ac:dyDescent="0.3">
      <c r="A308" s="138">
        <v>45989</v>
      </c>
      <c r="B308" s="139" t="s">
        <v>66</v>
      </c>
      <c r="C308" s="140" t="s">
        <v>369</v>
      </c>
      <c r="D308" s="139" t="s">
        <v>303</v>
      </c>
      <c r="E308" s="141">
        <v>1.4722222222222221</v>
      </c>
      <c r="F308" s="139" t="s">
        <v>68</v>
      </c>
      <c r="G308" s="142">
        <v>9</v>
      </c>
      <c r="H308" s="143">
        <v>970</v>
      </c>
    </row>
    <row r="309" spans="1:8" ht="18" x14ac:dyDescent="0.3">
      <c r="A309" s="138">
        <v>45989</v>
      </c>
      <c r="B309" s="139" t="s">
        <v>66</v>
      </c>
      <c r="C309" s="140" t="s">
        <v>376</v>
      </c>
      <c r="D309" s="139" t="s">
        <v>303</v>
      </c>
      <c r="E309" s="141">
        <v>1.770833333333333</v>
      </c>
      <c r="F309" s="139" t="s">
        <v>68</v>
      </c>
      <c r="G309" s="142">
        <v>9</v>
      </c>
      <c r="H309" s="143">
        <v>970</v>
      </c>
    </row>
    <row r="310" spans="1:8" ht="18" x14ac:dyDescent="0.3">
      <c r="A310" s="149">
        <v>45989</v>
      </c>
      <c r="B310" s="150" t="s">
        <v>66</v>
      </c>
      <c r="C310" s="151" t="s">
        <v>417</v>
      </c>
      <c r="D310" s="150" t="s">
        <v>303</v>
      </c>
      <c r="E310" s="152">
        <v>1.958333333333333</v>
      </c>
      <c r="F310" s="150" t="s">
        <v>68</v>
      </c>
      <c r="G310" s="153">
        <v>9</v>
      </c>
      <c r="H310" s="150" t="s">
        <v>419</v>
      </c>
    </row>
    <row r="311" spans="1:8" ht="18" x14ac:dyDescent="0.3">
      <c r="A311" s="112">
        <v>45990</v>
      </c>
      <c r="B311" s="113" t="s">
        <v>304</v>
      </c>
      <c r="C311" s="114" t="s">
        <v>305</v>
      </c>
      <c r="D311" s="113" t="s">
        <v>303</v>
      </c>
      <c r="E311" s="115">
        <v>1.270833333333333</v>
      </c>
      <c r="F311" s="113" t="s">
        <v>306</v>
      </c>
      <c r="G311" s="116">
        <v>2</v>
      </c>
      <c r="H311" s="117">
        <v>400</v>
      </c>
    </row>
    <row r="312" spans="1:8" ht="18" x14ac:dyDescent="0.3">
      <c r="A312" s="136">
        <v>45990</v>
      </c>
      <c r="B312" s="113" t="s">
        <v>333</v>
      </c>
      <c r="C312" s="114" t="s">
        <v>335</v>
      </c>
      <c r="D312" s="113" t="s">
        <v>303</v>
      </c>
      <c r="E312" s="115">
        <v>1.666666666666667</v>
      </c>
      <c r="F312" s="113" t="s">
        <v>306</v>
      </c>
      <c r="G312" s="116">
        <v>4</v>
      </c>
      <c r="H312" s="137">
        <v>401</v>
      </c>
    </row>
    <row r="313" spans="1:8" ht="18" x14ac:dyDescent="0.3">
      <c r="A313" s="138">
        <v>45990</v>
      </c>
      <c r="B313" s="139" t="s">
        <v>333</v>
      </c>
      <c r="C313" s="140" t="s">
        <v>337</v>
      </c>
      <c r="D313" s="139" t="s">
        <v>303</v>
      </c>
      <c r="E313" s="141">
        <v>1.21875</v>
      </c>
      <c r="F313" s="139" t="s">
        <v>306</v>
      </c>
      <c r="G313" s="142">
        <v>9</v>
      </c>
      <c r="H313" s="143">
        <v>401</v>
      </c>
    </row>
    <row r="314" spans="1:8" ht="18" x14ac:dyDescent="0.3">
      <c r="A314" s="136">
        <v>45990</v>
      </c>
      <c r="B314" s="113" t="s">
        <v>25</v>
      </c>
      <c r="C314" s="114" t="s">
        <v>344</v>
      </c>
      <c r="D314" s="113" t="s">
        <v>303</v>
      </c>
      <c r="E314" s="115">
        <v>1.302083333333333</v>
      </c>
      <c r="F314" s="113" t="s">
        <v>27</v>
      </c>
      <c r="G314" s="116">
        <v>6</v>
      </c>
      <c r="H314" s="137">
        <v>419</v>
      </c>
    </row>
    <row r="315" spans="1:8" ht="18" x14ac:dyDescent="0.3">
      <c r="A315" s="118">
        <v>45990</v>
      </c>
      <c r="B315" s="119" t="s">
        <v>25</v>
      </c>
      <c r="C315" s="120" t="s">
        <v>344</v>
      </c>
      <c r="D315" s="119" t="s">
        <v>303</v>
      </c>
      <c r="E315" s="121">
        <v>1.302083333333333</v>
      </c>
      <c r="F315" s="119" t="s">
        <v>30</v>
      </c>
      <c r="G315" s="122">
        <v>6</v>
      </c>
      <c r="H315" s="123">
        <v>569</v>
      </c>
    </row>
    <row r="316" spans="1:8" ht="18" x14ac:dyDescent="0.3">
      <c r="A316" s="118">
        <v>45990</v>
      </c>
      <c r="B316" s="119" t="s">
        <v>25</v>
      </c>
      <c r="C316" s="120" t="s">
        <v>344</v>
      </c>
      <c r="D316" s="119" t="s">
        <v>303</v>
      </c>
      <c r="E316" s="121">
        <v>1.302083333333333</v>
      </c>
      <c r="F316" s="119" t="s">
        <v>33</v>
      </c>
      <c r="G316" s="122">
        <v>6</v>
      </c>
      <c r="H316" s="119" t="s">
        <v>34</v>
      </c>
    </row>
    <row r="317" spans="1:8" ht="18" x14ac:dyDescent="0.3">
      <c r="A317" s="138">
        <v>45990</v>
      </c>
      <c r="B317" s="139" t="s">
        <v>25</v>
      </c>
      <c r="C317" s="140" t="s">
        <v>338</v>
      </c>
      <c r="D317" s="139" t="s">
        <v>303</v>
      </c>
      <c r="E317" s="141">
        <v>1.1284722222222221</v>
      </c>
      <c r="F317" s="139" t="s">
        <v>27</v>
      </c>
      <c r="G317" s="142">
        <v>7</v>
      </c>
      <c r="H317" s="143">
        <v>419</v>
      </c>
    </row>
    <row r="318" spans="1:8" ht="18" x14ac:dyDescent="0.3">
      <c r="A318" s="118">
        <v>45990</v>
      </c>
      <c r="B318" s="119" t="s">
        <v>25</v>
      </c>
      <c r="C318" s="120" t="s">
        <v>338</v>
      </c>
      <c r="D318" s="119" t="s">
        <v>303</v>
      </c>
      <c r="E318" s="121">
        <v>1.1284722222222221</v>
      </c>
      <c r="F318" s="119" t="s">
        <v>30</v>
      </c>
      <c r="G318" s="122">
        <v>7</v>
      </c>
      <c r="H318" s="123">
        <v>569</v>
      </c>
    </row>
    <row r="319" spans="1:8" ht="18" x14ac:dyDescent="0.3">
      <c r="A319" s="118">
        <v>45990</v>
      </c>
      <c r="B319" s="119" t="s">
        <v>25</v>
      </c>
      <c r="C319" s="120" t="s">
        <v>338</v>
      </c>
      <c r="D319" s="119" t="s">
        <v>303</v>
      </c>
      <c r="E319" s="121">
        <v>1.1284722222222221</v>
      </c>
      <c r="F319" s="119" t="s">
        <v>33</v>
      </c>
      <c r="G319" s="122">
        <v>7</v>
      </c>
      <c r="H319" s="119" t="s">
        <v>34</v>
      </c>
    </row>
    <row r="320" spans="1:8" ht="18" x14ac:dyDescent="0.3">
      <c r="A320" s="138">
        <v>45990</v>
      </c>
      <c r="B320" s="139" t="s">
        <v>25</v>
      </c>
      <c r="C320" s="140" t="s">
        <v>347</v>
      </c>
      <c r="D320" s="139" t="s">
        <v>303</v>
      </c>
      <c r="E320" s="141">
        <v>1.788194444444444</v>
      </c>
      <c r="F320" s="139" t="s">
        <v>27</v>
      </c>
      <c r="G320" s="142">
        <v>4</v>
      </c>
      <c r="H320" s="143">
        <v>419</v>
      </c>
    </row>
    <row r="321" spans="1:8" ht="18" x14ac:dyDescent="0.3">
      <c r="A321" s="118">
        <v>45990</v>
      </c>
      <c r="B321" s="119" t="s">
        <v>25</v>
      </c>
      <c r="C321" s="120" t="s">
        <v>347</v>
      </c>
      <c r="D321" s="119" t="s">
        <v>303</v>
      </c>
      <c r="E321" s="121">
        <v>1.788194444444444</v>
      </c>
      <c r="F321" s="119" t="s">
        <v>30</v>
      </c>
      <c r="G321" s="122">
        <v>4</v>
      </c>
      <c r="H321" s="123">
        <v>569</v>
      </c>
    </row>
    <row r="322" spans="1:8" ht="18" x14ac:dyDescent="0.3">
      <c r="A322" s="118">
        <v>45990</v>
      </c>
      <c r="B322" s="119" t="s">
        <v>25</v>
      </c>
      <c r="C322" s="120" t="s">
        <v>347</v>
      </c>
      <c r="D322" s="119" t="s">
        <v>303</v>
      </c>
      <c r="E322" s="121">
        <v>1.788194444444444</v>
      </c>
      <c r="F322" s="119" t="s">
        <v>33</v>
      </c>
      <c r="G322" s="122">
        <v>4</v>
      </c>
      <c r="H322" s="119" t="s">
        <v>34</v>
      </c>
    </row>
    <row r="323" spans="1:8" ht="18" x14ac:dyDescent="0.3">
      <c r="A323" s="138">
        <v>45990</v>
      </c>
      <c r="B323" s="139" t="s">
        <v>25</v>
      </c>
      <c r="C323" s="140" t="s">
        <v>343</v>
      </c>
      <c r="D323" s="139" t="s">
        <v>303</v>
      </c>
      <c r="E323" s="141">
        <v>1.8888888888888891</v>
      </c>
      <c r="F323" s="139" t="s">
        <v>27</v>
      </c>
      <c r="G323" s="142">
        <v>5</v>
      </c>
      <c r="H323" s="143">
        <v>419</v>
      </c>
    </row>
    <row r="324" spans="1:8" ht="18" x14ac:dyDescent="0.3">
      <c r="A324" s="118">
        <v>45990</v>
      </c>
      <c r="B324" s="119" t="s">
        <v>25</v>
      </c>
      <c r="C324" s="120" t="s">
        <v>343</v>
      </c>
      <c r="D324" s="119" t="s">
        <v>303</v>
      </c>
      <c r="E324" s="121">
        <v>1.8888888888888891</v>
      </c>
      <c r="F324" s="119" t="s">
        <v>30</v>
      </c>
      <c r="G324" s="122">
        <v>5</v>
      </c>
      <c r="H324" s="123">
        <v>569</v>
      </c>
    </row>
    <row r="325" spans="1:8" ht="18" x14ac:dyDescent="0.3">
      <c r="A325" s="118">
        <v>45990</v>
      </c>
      <c r="B325" s="119" t="s">
        <v>25</v>
      </c>
      <c r="C325" s="120" t="s">
        <v>343</v>
      </c>
      <c r="D325" s="119" t="s">
        <v>303</v>
      </c>
      <c r="E325" s="121">
        <v>1.8888888888888891</v>
      </c>
      <c r="F325" s="119" t="s">
        <v>33</v>
      </c>
      <c r="G325" s="122">
        <v>5</v>
      </c>
      <c r="H325" s="119" t="s">
        <v>34</v>
      </c>
    </row>
    <row r="326" spans="1:8" ht="18" x14ac:dyDescent="0.3">
      <c r="A326" s="136">
        <v>45990</v>
      </c>
      <c r="B326" s="113" t="s">
        <v>378</v>
      </c>
      <c r="C326" s="114" t="s">
        <v>379</v>
      </c>
      <c r="D326" s="113" t="s">
        <v>303</v>
      </c>
      <c r="E326" s="115">
        <v>1.2152777777777779</v>
      </c>
      <c r="F326" s="113" t="s">
        <v>380</v>
      </c>
      <c r="G326" s="116">
        <v>9</v>
      </c>
      <c r="H326" s="137">
        <v>430</v>
      </c>
    </row>
    <row r="327" spans="1:8" ht="18" x14ac:dyDescent="0.3">
      <c r="A327" s="118">
        <v>45990</v>
      </c>
      <c r="B327" s="119" t="s">
        <v>378</v>
      </c>
      <c r="C327" s="120" t="s">
        <v>379</v>
      </c>
      <c r="D327" s="119" t="s">
        <v>303</v>
      </c>
      <c r="E327" s="121">
        <v>1.2152777777777779</v>
      </c>
      <c r="F327" s="119" t="s">
        <v>33</v>
      </c>
      <c r="G327" s="122">
        <v>9</v>
      </c>
      <c r="H327" s="123">
        <v>553</v>
      </c>
    </row>
    <row r="328" spans="1:8" ht="18" x14ac:dyDescent="0.3">
      <c r="A328" s="138">
        <v>45990</v>
      </c>
      <c r="B328" s="139" t="s">
        <v>378</v>
      </c>
      <c r="C328" s="140" t="s">
        <v>420</v>
      </c>
      <c r="D328" s="139" t="s">
        <v>303</v>
      </c>
      <c r="E328" s="141">
        <v>1.3298611111111109</v>
      </c>
      <c r="F328" s="139" t="s">
        <v>380</v>
      </c>
      <c r="G328" s="142">
        <v>9</v>
      </c>
      <c r="H328" s="143">
        <v>464</v>
      </c>
    </row>
    <row r="329" spans="1:8" ht="18" x14ac:dyDescent="0.3">
      <c r="A329" s="118">
        <v>45990</v>
      </c>
      <c r="B329" s="119" t="s">
        <v>378</v>
      </c>
      <c r="C329" s="120" t="s">
        <v>420</v>
      </c>
      <c r="D329" s="119" t="s">
        <v>303</v>
      </c>
      <c r="E329" s="121">
        <v>1.3298611111111109</v>
      </c>
      <c r="F329" s="119" t="s">
        <v>33</v>
      </c>
      <c r="G329" s="122">
        <v>9</v>
      </c>
      <c r="H329" s="123">
        <v>587</v>
      </c>
    </row>
    <row r="330" spans="1:8" ht="18" x14ac:dyDescent="0.3">
      <c r="A330" s="124">
        <v>45990</v>
      </c>
      <c r="B330" s="125" t="s">
        <v>35</v>
      </c>
      <c r="C330" s="126" t="s">
        <v>434</v>
      </c>
      <c r="D330" s="125" t="s">
        <v>303</v>
      </c>
      <c r="E330" s="127">
        <v>1.2361111111111109</v>
      </c>
      <c r="F330" s="125" t="s">
        <v>37</v>
      </c>
      <c r="G330" s="128">
        <v>8</v>
      </c>
      <c r="H330" s="129">
        <v>436</v>
      </c>
    </row>
    <row r="331" spans="1:8" ht="18" x14ac:dyDescent="0.3">
      <c r="A331" s="130">
        <v>45990</v>
      </c>
      <c r="B331" s="131" t="s">
        <v>35</v>
      </c>
      <c r="C331" s="132" t="s">
        <v>314</v>
      </c>
      <c r="D331" s="131" t="s">
        <v>303</v>
      </c>
      <c r="E331" s="133">
        <v>1.333333333333333</v>
      </c>
      <c r="F331" s="131" t="s">
        <v>37</v>
      </c>
      <c r="G331" s="134">
        <v>1</v>
      </c>
      <c r="H331" s="135">
        <v>436</v>
      </c>
    </row>
    <row r="332" spans="1:8" ht="18" x14ac:dyDescent="0.3">
      <c r="A332" s="130">
        <v>45990</v>
      </c>
      <c r="B332" s="131" t="s">
        <v>35</v>
      </c>
      <c r="C332" s="132" t="s">
        <v>413</v>
      </c>
      <c r="D332" s="131" t="s">
        <v>303</v>
      </c>
      <c r="E332" s="133">
        <v>1.680555555555556</v>
      </c>
      <c r="F332" s="131" t="s">
        <v>37</v>
      </c>
      <c r="G332" s="134">
        <v>6</v>
      </c>
      <c r="H332" s="135">
        <v>471</v>
      </c>
    </row>
    <row r="333" spans="1:8" ht="18" x14ac:dyDescent="0.3">
      <c r="A333" s="136">
        <v>45990</v>
      </c>
      <c r="B333" s="113" t="s">
        <v>55</v>
      </c>
      <c r="C333" s="114" t="s">
        <v>357</v>
      </c>
      <c r="D333" s="113" t="s">
        <v>303</v>
      </c>
      <c r="E333" s="115">
        <v>1.256944444444444</v>
      </c>
      <c r="F333" s="113" t="s">
        <v>60</v>
      </c>
      <c r="G333" s="116">
        <v>2</v>
      </c>
      <c r="H333" s="137">
        <v>449</v>
      </c>
    </row>
    <row r="334" spans="1:8" ht="18" x14ac:dyDescent="0.3">
      <c r="A334" s="118">
        <v>45990</v>
      </c>
      <c r="B334" s="119" t="s">
        <v>55</v>
      </c>
      <c r="C334" s="120" t="s">
        <v>357</v>
      </c>
      <c r="D334" s="119" t="s">
        <v>303</v>
      </c>
      <c r="E334" s="121">
        <v>1.256944444444444</v>
      </c>
      <c r="F334" s="119" t="s">
        <v>62</v>
      </c>
      <c r="G334" s="122">
        <v>2</v>
      </c>
      <c r="H334" s="123">
        <v>549</v>
      </c>
    </row>
    <row r="335" spans="1:8" ht="18" x14ac:dyDescent="0.3">
      <c r="A335" s="118">
        <v>45990</v>
      </c>
      <c r="B335" s="119" t="s">
        <v>55</v>
      </c>
      <c r="C335" s="120" t="s">
        <v>357</v>
      </c>
      <c r="D335" s="119" t="s">
        <v>303</v>
      </c>
      <c r="E335" s="121">
        <v>1.256944444444444</v>
      </c>
      <c r="F335" s="119" t="s">
        <v>64</v>
      </c>
      <c r="G335" s="122">
        <v>2</v>
      </c>
      <c r="H335" s="123">
        <v>639</v>
      </c>
    </row>
    <row r="336" spans="1:8" ht="18" x14ac:dyDescent="0.3">
      <c r="A336" s="138">
        <v>45990</v>
      </c>
      <c r="B336" s="139" t="s">
        <v>55</v>
      </c>
      <c r="C336" s="140" t="s">
        <v>352</v>
      </c>
      <c r="D336" s="139" t="s">
        <v>303</v>
      </c>
      <c r="E336" s="141">
        <v>1.9027777777777779</v>
      </c>
      <c r="F336" s="139" t="s">
        <v>60</v>
      </c>
      <c r="G336" s="142">
        <v>9</v>
      </c>
      <c r="H336" s="143">
        <v>449</v>
      </c>
    </row>
    <row r="337" spans="1:8" ht="18" x14ac:dyDescent="0.3">
      <c r="A337" s="118">
        <v>45990</v>
      </c>
      <c r="B337" s="119" t="s">
        <v>55</v>
      </c>
      <c r="C337" s="120" t="s">
        <v>352</v>
      </c>
      <c r="D337" s="119" t="s">
        <v>303</v>
      </c>
      <c r="E337" s="121">
        <v>1.9027777777777779</v>
      </c>
      <c r="F337" s="119" t="s">
        <v>62</v>
      </c>
      <c r="G337" s="122">
        <v>9</v>
      </c>
      <c r="H337" s="123">
        <v>549</v>
      </c>
    </row>
    <row r="338" spans="1:8" ht="18" x14ac:dyDescent="0.3">
      <c r="A338" s="118">
        <v>45990</v>
      </c>
      <c r="B338" s="119" t="s">
        <v>55</v>
      </c>
      <c r="C338" s="120" t="s">
        <v>352</v>
      </c>
      <c r="D338" s="119" t="s">
        <v>303</v>
      </c>
      <c r="E338" s="121">
        <v>1.9027777777777779</v>
      </c>
      <c r="F338" s="119" t="s">
        <v>64</v>
      </c>
      <c r="G338" s="122">
        <v>9</v>
      </c>
      <c r="H338" s="123">
        <v>639</v>
      </c>
    </row>
    <row r="339" spans="1:8" ht="18" x14ac:dyDescent="0.3">
      <c r="A339" s="138">
        <v>45990</v>
      </c>
      <c r="B339" s="139" t="s">
        <v>55</v>
      </c>
      <c r="C339" s="140" t="s">
        <v>363</v>
      </c>
      <c r="D339" s="139" t="s">
        <v>303</v>
      </c>
      <c r="E339" s="141">
        <v>1.6597222222222221</v>
      </c>
      <c r="F339" s="139" t="s">
        <v>60</v>
      </c>
      <c r="G339" s="142">
        <v>3</v>
      </c>
      <c r="H339" s="143">
        <v>449</v>
      </c>
    </row>
    <row r="340" spans="1:8" ht="18" x14ac:dyDescent="0.3">
      <c r="A340" s="118">
        <v>45990</v>
      </c>
      <c r="B340" s="119" t="s">
        <v>55</v>
      </c>
      <c r="C340" s="120" t="s">
        <v>363</v>
      </c>
      <c r="D340" s="119" t="s">
        <v>303</v>
      </c>
      <c r="E340" s="121">
        <v>1.6597222222222221</v>
      </c>
      <c r="F340" s="119" t="s">
        <v>62</v>
      </c>
      <c r="G340" s="122">
        <v>3</v>
      </c>
      <c r="H340" s="123">
        <v>549</v>
      </c>
    </row>
    <row r="341" spans="1:8" ht="18" x14ac:dyDescent="0.3">
      <c r="A341" s="118">
        <v>45990</v>
      </c>
      <c r="B341" s="119" t="s">
        <v>55</v>
      </c>
      <c r="C341" s="120" t="s">
        <v>363</v>
      </c>
      <c r="D341" s="119" t="s">
        <v>303</v>
      </c>
      <c r="E341" s="121">
        <v>1.6597222222222221</v>
      </c>
      <c r="F341" s="119" t="s">
        <v>64</v>
      </c>
      <c r="G341" s="122">
        <v>3</v>
      </c>
      <c r="H341" s="123">
        <v>639</v>
      </c>
    </row>
    <row r="342" spans="1:8" ht="18" x14ac:dyDescent="0.3">
      <c r="A342" s="138">
        <v>45990</v>
      </c>
      <c r="B342" s="139" t="s">
        <v>55</v>
      </c>
      <c r="C342" s="140" t="s">
        <v>364</v>
      </c>
      <c r="D342" s="139" t="s">
        <v>303</v>
      </c>
      <c r="E342" s="141">
        <v>1.5173611111111109</v>
      </c>
      <c r="F342" s="139" t="s">
        <v>60</v>
      </c>
      <c r="G342" s="142">
        <v>9</v>
      </c>
      <c r="H342" s="143">
        <v>489</v>
      </c>
    </row>
    <row r="343" spans="1:8" ht="18" x14ac:dyDescent="0.3">
      <c r="A343" s="118">
        <v>45990</v>
      </c>
      <c r="B343" s="119" t="s">
        <v>55</v>
      </c>
      <c r="C343" s="120" t="s">
        <v>364</v>
      </c>
      <c r="D343" s="119" t="s">
        <v>303</v>
      </c>
      <c r="E343" s="121">
        <v>1.5173611111111109</v>
      </c>
      <c r="F343" s="119" t="s">
        <v>62</v>
      </c>
      <c r="G343" s="122">
        <v>9</v>
      </c>
      <c r="H343" s="123">
        <v>589</v>
      </c>
    </row>
    <row r="344" spans="1:8" ht="18" x14ac:dyDescent="0.3">
      <c r="A344" s="118">
        <v>45990</v>
      </c>
      <c r="B344" s="119" t="s">
        <v>55</v>
      </c>
      <c r="C344" s="120" t="s">
        <v>364</v>
      </c>
      <c r="D344" s="119" t="s">
        <v>303</v>
      </c>
      <c r="E344" s="121">
        <v>1.5173611111111109</v>
      </c>
      <c r="F344" s="119" t="s">
        <v>64</v>
      </c>
      <c r="G344" s="122">
        <v>9</v>
      </c>
      <c r="H344" s="123">
        <v>679</v>
      </c>
    </row>
    <row r="345" spans="1:8" ht="18" x14ac:dyDescent="0.3">
      <c r="A345" s="138">
        <v>45990</v>
      </c>
      <c r="B345" s="139" t="s">
        <v>55</v>
      </c>
      <c r="C345" s="140" t="s">
        <v>349</v>
      </c>
      <c r="D345" s="139" t="s">
        <v>303</v>
      </c>
      <c r="E345" s="141">
        <v>1.854166666666667</v>
      </c>
      <c r="F345" s="139" t="s">
        <v>60</v>
      </c>
      <c r="G345" s="142">
        <v>9</v>
      </c>
      <c r="H345" s="143">
        <v>489</v>
      </c>
    </row>
    <row r="346" spans="1:8" ht="18" x14ac:dyDescent="0.3">
      <c r="A346" s="118">
        <v>45990</v>
      </c>
      <c r="B346" s="119" t="s">
        <v>55</v>
      </c>
      <c r="C346" s="120" t="s">
        <v>349</v>
      </c>
      <c r="D346" s="119" t="s">
        <v>303</v>
      </c>
      <c r="E346" s="121">
        <v>1.854166666666667</v>
      </c>
      <c r="F346" s="119" t="s">
        <v>62</v>
      </c>
      <c r="G346" s="122">
        <v>9</v>
      </c>
      <c r="H346" s="123">
        <v>589</v>
      </c>
    </row>
    <row r="347" spans="1:8" ht="18" x14ac:dyDescent="0.3">
      <c r="A347" s="118">
        <v>45990</v>
      </c>
      <c r="B347" s="119" t="s">
        <v>55</v>
      </c>
      <c r="C347" s="120" t="s">
        <v>349</v>
      </c>
      <c r="D347" s="119" t="s">
        <v>303</v>
      </c>
      <c r="E347" s="121">
        <v>1.854166666666667</v>
      </c>
      <c r="F347" s="119" t="s">
        <v>64</v>
      </c>
      <c r="G347" s="122">
        <v>9</v>
      </c>
      <c r="H347" s="123">
        <v>679</v>
      </c>
    </row>
    <row r="348" spans="1:8" ht="18" x14ac:dyDescent="0.3">
      <c r="A348" s="138">
        <v>45990</v>
      </c>
      <c r="B348" s="139" t="s">
        <v>55</v>
      </c>
      <c r="C348" s="140" t="s">
        <v>366</v>
      </c>
      <c r="D348" s="139" t="s">
        <v>303</v>
      </c>
      <c r="E348" s="141">
        <v>1.395833333333333</v>
      </c>
      <c r="F348" s="139" t="s">
        <v>60</v>
      </c>
      <c r="G348" s="142">
        <v>9</v>
      </c>
      <c r="H348" s="143">
        <v>489</v>
      </c>
    </row>
    <row r="349" spans="1:8" ht="18" x14ac:dyDescent="0.3">
      <c r="A349" s="118">
        <v>45990</v>
      </c>
      <c r="B349" s="119" t="s">
        <v>55</v>
      </c>
      <c r="C349" s="120" t="s">
        <v>366</v>
      </c>
      <c r="D349" s="119" t="s">
        <v>303</v>
      </c>
      <c r="E349" s="121">
        <v>1.395833333333333</v>
      </c>
      <c r="F349" s="119" t="s">
        <v>62</v>
      </c>
      <c r="G349" s="122">
        <v>9</v>
      </c>
      <c r="H349" s="123">
        <v>589</v>
      </c>
    </row>
    <row r="350" spans="1:8" ht="18" x14ac:dyDescent="0.3">
      <c r="A350" s="118">
        <v>45990</v>
      </c>
      <c r="B350" s="119" t="s">
        <v>55</v>
      </c>
      <c r="C350" s="120" t="s">
        <v>366</v>
      </c>
      <c r="D350" s="119" t="s">
        <v>303</v>
      </c>
      <c r="E350" s="121">
        <v>1.395833333333333</v>
      </c>
      <c r="F350" s="119" t="s">
        <v>64</v>
      </c>
      <c r="G350" s="122">
        <v>9</v>
      </c>
      <c r="H350" s="123">
        <v>679</v>
      </c>
    </row>
    <row r="351" spans="1:8" ht="18" x14ac:dyDescent="0.3">
      <c r="A351" s="138">
        <v>45990</v>
      </c>
      <c r="B351" s="139" t="s">
        <v>55</v>
      </c>
      <c r="C351" s="140" t="s">
        <v>356</v>
      </c>
      <c r="D351" s="139" t="s">
        <v>303</v>
      </c>
      <c r="E351" s="141">
        <v>1.7986111111111109</v>
      </c>
      <c r="F351" s="139" t="s">
        <v>60</v>
      </c>
      <c r="G351" s="142">
        <v>8</v>
      </c>
      <c r="H351" s="143">
        <v>489</v>
      </c>
    </row>
    <row r="352" spans="1:8" ht="18" x14ac:dyDescent="0.3">
      <c r="A352" s="118">
        <v>45990</v>
      </c>
      <c r="B352" s="119" t="s">
        <v>55</v>
      </c>
      <c r="C352" s="120" t="s">
        <v>356</v>
      </c>
      <c r="D352" s="119" t="s">
        <v>303</v>
      </c>
      <c r="E352" s="121">
        <v>1.7986111111111109</v>
      </c>
      <c r="F352" s="119" t="s">
        <v>62</v>
      </c>
      <c r="G352" s="122">
        <v>8</v>
      </c>
      <c r="H352" s="123">
        <v>589</v>
      </c>
    </row>
    <row r="353" spans="1:8" ht="18" x14ac:dyDescent="0.3">
      <c r="A353" s="118">
        <v>45990</v>
      </c>
      <c r="B353" s="119" t="s">
        <v>55</v>
      </c>
      <c r="C353" s="120" t="s">
        <v>356</v>
      </c>
      <c r="D353" s="119" t="s">
        <v>303</v>
      </c>
      <c r="E353" s="121">
        <v>1.7986111111111109</v>
      </c>
      <c r="F353" s="119" t="s">
        <v>64</v>
      </c>
      <c r="G353" s="122">
        <v>8</v>
      </c>
      <c r="H353" s="123">
        <v>679</v>
      </c>
    </row>
    <row r="354" spans="1:8" ht="18" x14ac:dyDescent="0.3">
      <c r="A354" s="136">
        <v>45990</v>
      </c>
      <c r="B354" s="113" t="s">
        <v>66</v>
      </c>
      <c r="C354" s="114" t="s">
        <v>377</v>
      </c>
      <c r="D354" s="113" t="s">
        <v>303</v>
      </c>
      <c r="E354" s="115">
        <v>1.229166666666667</v>
      </c>
      <c r="F354" s="113" t="s">
        <v>68</v>
      </c>
      <c r="G354" s="116">
        <v>9</v>
      </c>
      <c r="H354" s="137">
        <v>541</v>
      </c>
    </row>
    <row r="355" spans="1:8" ht="18" x14ac:dyDescent="0.3">
      <c r="A355" s="138">
        <v>45990</v>
      </c>
      <c r="B355" s="139" t="s">
        <v>66</v>
      </c>
      <c r="C355" s="140" t="s">
        <v>375</v>
      </c>
      <c r="D355" s="139" t="s">
        <v>303</v>
      </c>
      <c r="E355" s="141">
        <v>1.28125</v>
      </c>
      <c r="F355" s="139" t="s">
        <v>68</v>
      </c>
      <c r="G355" s="142">
        <v>9</v>
      </c>
      <c r="H355" s="143">
        <v>619</v>
      </c>
    </row>
    <row r="356" spans="1:8" ht="18" x14ac:dyDescent="0.3">
      <c r="A356" s="138">
        <v>45990</v>
      </c>
      <c r="B356" s="139" t="s">
        <v>66</v>
      </c>
      <c r="C356" s="140" t="s">
        <v>373</v>
      </c>
      <c r="D356" s="139" t="s">
        <v>303</v>
      </c>
      <c r="E356" s="141">
        <v>1.0138888888888891</v>
      </c>
      <c r="F356" s="139" t="s">
        <v>68</v>
      </c>
      <c r="G356" s="142">
        <v>8</v>
      </c>
      <c r="H356" s="143">
        <v>769</v>
      </c>
    </row>
    <row r="357" spans="1:8" ht="18" x14ac:dyDescent="0.3">
      <c r="A357" s="138">
        <v>45990</v>
      </c>
      <c r="B357" s="139" t="s">
        <v>66</v>
      </c>
      <c r="C357" s="140" t="s">
        <v>376</v>
      </c>
      <c r="D357" s="139" t="s">
        <v>303</v>
      </c>
      <c r="E357" s="141">
        <v>1.774305555555556</v>
      </c>
      <c r="F357" s="139" t="s">
        <v>68</v>
      </c>
      <c r="G357" s="142">
        <v>9</v>
      </c>
      <c r="H357" s="139" t="s">
        <v>419</v>
      </c>
    </row>
    <row r="358" spans="1:8" ht="18" x14ac:dyDescent="0.3">
      <c r="A358" s="136">
        <v>45990</v>
      </c>
      <c r="B358" s="113" t="s">
        <v>78</v>
      </c>
      <c r="C358" s="114" t="s">
        <v>389</v>
      </c>
      <c r="D358" s="113" t="s">
        <v>303</v>
      </c>
      <c r="E358" s="115">
        <v>1.006944444444444</v>
      </c>
      <c r="F358" s="113" t="s">
        <v>87</v>
      </c>
      <c r="G358" s="116">
        <v>9</v>
      </c>
      <c r="H358" s="137">
        <v>678</v>
      </c>
    </row>
    <row r="359" spans="1:8" ht="18" x14ac:dyDescent="0.3">
      <c r="A359" s="118">
        <v>45990</v>
      </c>
      <c r="B359" s="119" t="s">
        <v>78</v>
      </c>
      <c r="C359" s="120" t="s">
        <v>389</v>
      </c>
      <c r="D359" s="119" t="s">
        <v>303</v>
      </c>
      <c r="E359" s="121">
        <v>1.006944444444444</v>
      </c>
      <c r="F359" s="119" t="s">
        <v>82</v>
      </c>
      <c r="G359" s="122">
        <v>9</v>
      </c>
      <c r="H359" s="123">
        <v>723</v>
      </c>
    </row>
    <row r="360" spans="1:8" ht="18" x14ac:dyDescent="0.3">
      <c r="A360" s="138">
        <v>45990</v>
      </c>
      <c r="B360" s="139" t="s">
        <v>78</v>
      </c>
      <c r="C360" s="140" t="s">
        <v>387</v>
      </c>
      <c r="D360" s="139" t="s">
        <v>303</v>
      </c>
      <c r="E360" s="141">
        <v>1.243055555555556</v>
      </c>
      <c r="F360" s="139" t="s">
        <v>87</v>
      </c>
      <c r="G360" s="142">
        <v>9</v>
      </c>
      <c r="H360" s="143">
        <v>678</v>
      </c>
    </row>
    <row r="361" spans="1:8" ht="18" x14ac:dyDescent="0.3">
      <c r="A361" s="118">
        <v>45990</v>
      </c>
      <c r="B361" s="119" t="s">
        <v>78</v>
      </c>
      <c r="C361" s="120" t="s">
        <v>387</v>
      </c>
      <c r="D361" s="119" t="s">
        <v>303</v>
      </c>
      <c r="E361" s="121">
        <v>1.243055555555556</v>
      </c>
      <c r="F361" s="119" t="s">
        <v>82</v>
      </c>
      <c r="G361" s="122">
        <v>9</v>
      </c>
      <c r="H361" s="123">
        <v>723</v>
      </c>
    </row>
    <row r="362" spans="1:8" ht="18" x14ac:dyDescent="0.3">
      <c r="A362" s="138">
        <v>45990</v>
      </c>
      <c r="B362" s="139" t="s">
        <v>78</v>
      </c>
      <c r="C362" s="140" t="s">
        <v>384</v>
      </c>
      <c r="D362" s="139" t="s">
        <v>303</v>
      </c>
      <c r="E362" s="141">
        <v>1.3784722222222221</v>
      </c>
      <c r="F362" s="139" t="s">
        <v>87</v>
      </c>
      <c r="G362" s="142">
        <v>9</v>
      </c>
      <c r="H362" s="143">
        <v>935</v>
      </c>
    </row>
    <row r="363" spans="1:8" ht="18" x14ac:dyDescent="0.3">
      <c r="A363" s="118">
        <v>45990</v>
      </c>
      <c r="B363" s="119" t="s">
        <v>78</v>
      </c>
      <c r="C363" s="120" t="s">
        <v>384</v>
      </c>
      <c r="D363" s="119" t="s">
        <v>303</v>
      </c>
      <c r="E363" s="121">
        <v>1.3784722222222221</v>
      </c>
      <c r="F363" s="119" t="s">
        <v>82</v>
      </c>
      <c r="G363" s="122">
        <v>9</v>
      </c>
      <c r="H363" s="123">
        <v>980</v>
      </c>
    </row>
    <row r="364" spans="1:8" ht="18" x14ac:dyDescent="0.3">
      <c r="A364" s="138">
        <v>45990</v>
      </c>
      <c r="B364" s="139" t="s">
        <v>78</v>
      </c>
      <c r="C364" s="140" t="s">
        <v>397</v>
      </c>
      <c r="D364" s="139" t="s">
        <v>303</v>
      </c>
      <c r="E364" s="141">
        <v>1.71875</v>
      </c>
      <c r="F364" s="139" t="s">
        <v>87</v>
      </c>
      <c r="G364" s="142">
        <v>9</v>
      </c>
      <c r="H364" s="143">
        <v>935</v>
      </c>
    </row>
    <row r="365" spans="1:8" ht="18" x14ac:dyDescent="0.3">
      <c r="A365" s="118">
        <v>45990</v>
      </c>
      <c r="B365" s="119" t="s">
        <v>78</v>
      </c>
      <c r="C365" s="120" t="s">
        <v>397</v>
      </c>
      <c r="D365" s="119" t="s">
        <v>303</v>
      </c>
      <c r="E365" s="121">
        <v>1.71875</v>
      </c>
      <c r="F365" s="119" t="s">
        <v>82</v>
      </c>
      <c r="G365" s="122">
        <v>9</v>
      </c>
      <c r="H365" s="123">
        <v>980</v>
      </c>
    </row>
    <row r="366" spans="1:8" ht="18" x14ac:dyDescent="0.3">
      <c r="A366" s="138">
        <v>45990</v>
      </c>
      <c r="B366" s="139" t="s">
        <v>78</v>
      </c>
      <c r="C366" s="140" t="s">
        <v>388</v>
      </c>
      <c r="D366" s="139" t="s">
        <v>303</v>
      </c>
      <c r="E366" s="141">
        <v>1.1423611111111109</v>
      </c>
      <c r="F366" s="139" t="s">
        <v>87</v>
      </c>
      <c r="G366" s="142">
        <v>9</v>
      </c>
      <c r="H366" s="143">
        <v>935</v>
      </c>
    </row>
    <row r="367" spans="1:8" ht="18" x14ac:dyDescent="0.3">
      <c r="A367" s="118">
        <v>45990</v>
      </c>
      <c r="B367" s="119" t="s">
        <v>78</v>
      </c>
      <c r="C367" s="120" t="s">
        <v>388</v>
      </c>
      <c r="D367" s="119" t="s">
        <v>303</v>
      </c>
      <c r="E367" s="121">
        <v>1.1423611111111109</v>
      </c>
      <c r="F367" s="119" t="s">
        <v>82</v>
      </c>
      <c r="G367" s="122">
        <v>9</v>
      </c>
      <c r="H367" s="123">
        <v>980</v>
      </c>
    </row>
    <row r="368" spans="1:8" ht="18" x14ac:dyDescent="0.3">
      <c r="A368" s="138">
        <v>45990</v>
      </c>
      <c r="B368" s="139" t="s">
        <v>78</v>
      </c>
      <c r="C368" s="140" t="s">
        <v>400</v>
      </c>
      <c r="D368" s="139" t="s">
        <v>303</v>
      </c>
      <c r="E368" s="141">
        <v>1.6111111111111109</v>
      </c>
      <c r="F368" s="139" t="s">
        <v>87</v>
      </c>
      <c r="G368" s="142">
        <v>9</v>
      </c>
      <c r="H368" s="139" t="s">
        <v>390</v>
      </c>
    </row>
    <row r="369" spans="1:8" ht="18" x14ac:dyDescent="0.3">
      <c r="A369" s="118">
        <v>45990</v>
      </c>
      <c r="B369" s="119" t="s">
        <v>78</v>
      </c>
      <c r="C369" s="120" t="s">
        <v>400</v>
      </c>
      <c r="D369" s="119" t="s">
        <v>303</v>
      </c>
      <c r="E369" s="121">
        <v>1.6111111111111109</v>
      </c>
      <c r="F369" s="119" t="s">
        <v>82</v>
      </c>
      <c r="G369" s="122">
        <v>9</v>
      </c>
      <c r="H369" s="119" t="s">
        <v>391</v>
      </c>
    </row>
    <row r="370" spans="1:8" ht="18" x14ac:dyDescent="0.3">
      <c r="A370" s="138">
        <v>45990</v>
      </c>
      <c r="B370" s="139" t="s">
        <v>78</v>
      </c>
      <c r="C370" s="140" t="s">
        <v>392</v>
      </c>
      <c r="D370" s="139" t="s">
        <v>303</v>
      </c>
      <c r="E370" s="141">
        <v>1.930555555555556</v>
      </c>
      <c r="F370" s="139" t="s">
        <v>87</v>
      </c>
      <c r="G370" s="142">
        <v>9</v>
      </c>
      <c r="H370" s="139" t="s">
        <v>390</v>
      </c>
    </row>
    <row r="371" spans="1:8" ht="18" x14ac:dyDescent="0.3">
      <c r="A371" s="118">
        <v>45990</v>
      </c>
      <c r="B371" s="119" t="s">
        <v>78</v>
      </c>
      <c r="C371" s="120" t="s">
        <v>392</v>
      </c>
      <c r="D371" s="119" t="s">
        <v>303</v>
      </c>
      <c r="E371" s="121">
        <v>1.930555555555556</v>
      </c>
      <c r="F371" s="119" t="s">
        <v>82</v>
      </c>
      <c r="G371" s="122">
        <v>9</v>
      </c>
      <c r="H371" s="119" t="s">
        <v>391</v>
      </c>
    </row>
    <row r="372" spans="1:8" ht="18" x14ac:dyDescent="0.3">
      <c r="A372" s="138">
        <v>45990</v>
      </c>
      <c r="B372" s="139" t="s">
        <v>78</v>
      </c>
      <c r="C372" s="140" t="s">
        <v>393</v>
      </c>
      <c r="D372" s="139" t="s">
        <v>303</v>
      </c>
      <c r="E372" s="141">
        <v>1.8888888888888891</v>
      </c>
      <c r="F372" s="139" t="s">
        <v>82</v>
      </c>
      <c r="G372" s="142">
        <v>4</v>
      </c>
      <c r="H372" s="139" t="s">
        <v>394</v>
      </c>
    </row>
    <row r="373" spans="1:8" ht="18" x14ac:dyDescent="0.3">
      <c r="A373" s="138">
        <v>45990</v>
      </c>
      <c r="B373" s="139" t="s">
        <v>78</v>
      </c>
      <c r="C373" s="140" t="s">
        <v>402</v>
      </c>
      <c r="D373" s="139" t="s">
        <v>303</v>
      </c>
      <c r="E373" s="141">
        <v>1.302083333333333</v>
      </c>
      <c r="F373" s="139" t="s">
        <v>82</v>
      </c>
      <c r="G373" s="142">
        <v>4</v>
      </c>
      <c r="H373" s="139" t="s">
        <v>394</v>
      </c>
    </row>
    <row r="374" spans="1:8" ht="18" x14ac:dyDescent="0.3">
      <c r="A374" s="138">
        <v>45990</v>
      </c>
      <c r="B374" s="139" t="s">
        <v>78</v>
      </c>
      <c r="C374" s="140" t="s">
        <v>395</v>
      </c>
      <c r="D374" s="139" t="s">
        <v>303</v>
      </c>
      <c r="E374" s="141">
        <v>1.1284722222222221</v>
      </c>
      <c r="F374" s="139" t="s">
        <v>82</v>
      </c>
      <c r="G374" s="142">
        <v>4</v>
      </c>
      <c r="H374" s="139" t="s">
        <v>394</v>
      </c>
    </row>
    <row r="375" spans="1:8" ht="18" x14ac:dyDescent="0.3">
      <c r="A375" s="138">
        <v>45990</v>
      </c>
      <c r="B375" s="139" t="s">
        <v>78</v>
      </c>
      <c r="C375" s="140" t="s">
        <v>396</v>
      </c>
      <c r="D375" s="139" t="s">
        <v>303</v>
      </c>
      <c r="E375" s="141">
        <v>1.788194444444444</v>
      </c>
      <c r="F375" s="139" t="s">
        <v>82</v>
      </c>
      <c r="G375" s="142">
        <v>4</v>
      </c>
      <c r="H375" s="139" t="s">
        <v>394</v>
      </c>
    </row>
    <row r="376" spans="1:8" ht="18" x14ac:dyDescent="0.3">
      <c r="A376" s="138">
        <v>45990</v>
      </c>
      <c r="B376" s="139" t="s">
        <v>78</v>
      </c>
      <c r="C376" s="140" t="s">
        <v>401</v>
      </c>
      <c r="D376" s="139" t="s">
        <v>303</v>
      </c>
      <c r="E376" s="141">
        <v>1.8298611111111109</v>
      </c>
      <c r="F376" s="139" t="s">
        <v>87</v>
      </c>
      <c r="G376" s="142">
        <v>1</v>
      </c>
      <c r="H376" s="139" t="s">
        <v>482</v>
      </c>
    </row>
    <row r="377" spans="1:8" ht="18" x14ac:dyDescent="0.3">
      <c r="A377" s="144">
        <v>45990</v>
      </c>
      <c r="B377" s="145" t="s">
        <v>78</v>
      </c>
      <c r="C377" s="146" t="s">
        <v>401</v>
      </c>
      <c r="D377" s="145" t="s">
        <v>303</v>
      </c>
      <c r="E377" s="147">
        <v>1.8298611111111109</v>
      </c>
      <c r="F377" s="145" t="s">
        <v>82</v>
      </c>
      <c r="G377" s="148">
        <v>1</v>
      </c>
      <c r="H377" s="145" t="s">
        <v>483</v>
      </c>
    </row>
    <row r="378" spans="1:8" ht="18" x14ac:dyDescent="0.3">
      <c r="A378" s="112">
        <v>45991</v>
      </c>
      <c r="B378" s="113" t="s">
        <v>304</v>
      </c>
      <c r="C378" s="114" t="s">
        <v>305</v>
      </c>
      <c r="D378" s="113" t="s">
        <v>303</v>
      </c>
      <c r="E378" s="115">
        <v>1.274305555555556</v>
      </c>
      <c r="F378" s="113" t="s">
        <v>306</v>
      </c>
      <c r="G378" s="116">
        <v>6</v>
      </c>
      <c r="H378" s="117">
        <v>400</v>
      </c>
    </row>
    <row r="379" spans="1:8" ht="18" x14ac:dyDescent="0.3">
      <c r="A379" s="138">
        <v>45991</v>
      </c>
      <c r="B379" s="139" t="s">
        <v>304</v>
      </c>
      <c r="C379" s="140" t="s">
        <v>484</v>
      </c>
      <c r="D379" s="139" t="s">
        <v>303</v>
      </c>
      <c r="E379" s="141">
        <v>1.3472222222222221</v>
      </c>
      <c r="F379" s="139" t="s">
        <v>306</v>
      </c>
      <c r="G379" s="142">
        <v>1</v>
      </c>
      <c r="H379" s="143">
        <v>745</v>
      </c>
    </row>
    <row r="380" spans="1:8" ht="18" x14ac:dyDescent="0.3">
      <c r="A380" s="136">
        <v>45991</v>
      </c>
      <c r="B380" s="113" t="s">
        <v>333</v>
      </c>
      <c r="C380" s="114" t="s">
        <v>337</v>
      </c>
      <c r="D380" s="113" t="s">
        <v>303</v>
      </c>
      <c r="E380" s="115">
        <v>1.381944444444444</v>
      </c>
      <c r="F380" s="113" t="s">
        <v>306</v>
      </c>
      <c r="G380" s="116">
        <v>7</v>
      </c>
      <c r="H380" s="137">
        <v>401</v>
      </c>
    </row>
    <row r="381" spans="1:8" ht="18" x14ac:dyDescent="0.3">
      <c r="A381" s="138">
        <v>45991</v>
      </c>
      <c r="B381" s="139" t="s">
        <v>333</v>
      </c>
      <c r="C381" s="140" t="s">
        <v>335</v>
      </c>
      <c r="D381" s="139" t="s">
        <v>303</v>
      </c>
      <c r="E381" s="141">
        <v>1.666666666666667</v>
      </c>
      <c r="F381" s="139" t="s">
        <v>306</v>
      </c>
      <c r="G381" s="142">
        <v>7</v>
      </c>
      <c r="H381" s="143">
        <v>599</v>
      </c>
    </row>
    <row r="382" spans="1:8" ht="18" x14ac:dyDescent="0.3">
      <c r="A382" s="136">
        <v>45991</v>
      </c>
      <c r="B382" s="113" t="s">
        <v>55</v>
      </c>
      <c r="C382" s="114" t="s">
        <v>363</v>
      </c>
      <c r="D382" s="113" t="s">
        <v>303</v>
      </c>
      <c r="E382" s="115">
        <v>1.645833333333333</v>
      </c>
      <c r="F382" s="113" t="s">
        <v>60</v>
      </c>
      <c r="G382" s="116">
        <v>2</v>
      </c>
      <c r="H382" s="137">
        <v>409</v>
      </c>
    </row>
    <row r="383" spans="1:8" ht="18" x14ac:dyDescent="0.3">
      <c r="A383" s="118">
        <v>45991</v>
      </c>
      <c r="B383" s="119" t="s">
        <v>55</v>
      </c>
      <c r="C383" s="120" t="s">
        <v>363</v>
      </c>
      <c r="D383" s="119" t="s">
        <v>303</v>
      </c>
      <c r="E383" s="121">
        <v>1.645833333333333</v>
      </c>
      <c r="F383" s="119" t="s">
        <v>62</v>
      </c>
      <c r="G383" s="122">
        <v>2</v>
      </c>
      <c r="H383" s="123">
        <v>509</v>
      </c>
    </row>
    <row r="384" spans="1:8" ht="18" x14ac:dyDescent="0.3">
      <c r="A384" s="118">
        <v>45991</v>
      </c>
      <c r="B384" s="119" t="s">
        <v>55</v>
      </c>
      <c r="C384" s="120" t="s">
        <v>363</v>
      </c>
      <c r="D384" s="119" t="s">
        <v>303</v>
      </c>
      <c r="E384" s="121">
        <v>1.645833333333333</v>
      </c>
      <c r="F384" s="119" t="s">
        <v>64</v>
      </c>
      <c r="G384" s="122">
        <v>2</v>
      </c>
      <c r="H384" s="123">
        <v>599</v>
      </c>
    </row>
    <row r="385" spans="1:8" ht="18" x14ac:dyDescent="0.3">
      <c r="A385" s="138">
        <v>45991</v>
      </c>
      <c r="B385" s="139" t="s">
        <v>55</v>
      </c>
      <c r="C385" s="140" t="s">
        <v>364</v>
      </c>
      <c r="D385" s="139" t="s">
        <v>303</v>
      </c>
      <c r="E385" s="141">
        <v>1.5173611111111109</v>
      </c>
      <c r="F385" s="139" t="s">
        <v>60</v>
      </c>
      <c r="G385" s="142">
        <v>9</v>
      </c>
      <c r="H385" s="143">
        <v>449</v>
      </c>
    </row>
    <row r="386" spans="1:8" ht="18" x14ac:dyDescent="0.3">
      <c r="A386" s="118">
        <v>45991</v>
      </c>
      <c r="B386" s="119" t="s">
        <v>55</v>
      </c>
      <c r="C386" s="120" t="s">
        <v>364</v>
      </c>
      <c r="D386" s="119" t="s">
        <v>303</v>
      </c>
      <c r="E386" s="121">
        <v>1.5173611111111109</v>
      </c>
      <c r="F386" s="119" t="s">
        <v>62</v>
      </c>
      <c r="G386" s="122">
        <v>9</v>
      </c>
      <c r="H386" s="123">
        <v>549</v>
      </c>
    </row>
    <row r="387" spans="1:8" ht="18" x14ac:dyDescent="0.3">
      <c r="A387" s="118">
        <v>45991</v>
      </c>
      <c r="B387" s="119" t="s">
        <v>55</v>
      </c>
      <c r="C387" s="120" t="s">
        <v>364</v>
      </c>
      <c r="D387" s="119" t="s">
        <v>303</v>
      </c>
      <c r="E387" s="121">
        <v>1.5173611111111109</v>
      </c>
      <c r="F387" s="119" t="s">
        <v>64</v>
      </c>
      <c r="G387" s="122">
        <v>9</v>
      </c>
      <c r="H387" s="123">
        <v>639</v>
      </c>
    </row>
    <row r="388" spans="1:8" ht="18" x14ac:dyDescent="0.3">
      <c r="A388" s="138">
        <v>45991</v>
      </c>
      <c r="B388" s="139" t="s">
        <v>55</v>
      </c>
      <c r="C388" s="140" t="s">
        <v>349</v>
      </c>
      <c r="D388" s="139" t="s">
        <v>303</v>
      </c>
      <c r="E388" s="141">
        <v>1.854166666666667</v>
      </c>
      <c r="F388" s="139" t="s">
        <v>60</v>
      </c>
      <c r="G388" s="142">
        <v>6</v>
      </c>
      <c r="H388" s="143">
        <v>449</v>
      </c>
    </row>
    <row r="389" spans="1:8" ht="18" x14ac:dyDescent="0.3">
      <c r="A389" s="118">
        <v>45991</v>
      </c>
      <c r="B389" s="119" t="s">
        <v>55</v>
      </c>
      <c r="C389" s="120" t="s">
        <v>349</v>
      </c>
      <c r="D389" s="119" t="s">
        <v>303</v>
      </c>
      <c r="E389" s="121">
        <v>1.854166666666667</v>
      </c>
      <c r="F389" s="119" t="s">
        <v>62</v>
      </c>
      <c r="G389" s="122">
        <v>6</v>
      </c>
      <c r="H389" s="123">
        <v>549</v>
      </c>
    </row>
    <row r="390" spans="1:8" ht="18" x14ac:dyDescent="0.3">
      <c r="A390" s="118">
        <v>45991</v>
      </c>
      <c r="B390" s="119" t="s">
        <v>55</v>
      </c>
      <c r="C390" s="120" t="s">
        <v>349</v>
      </c>
      <c r="D390" s="119" t="s">
        <v>303</v>
      </c>
      <c r="E390" s="121">
        <v>1.854166666666667</v>
      </c>
      <c r="F390" s="119" t="s">
        <v>64</v>
      </c>
      <c r="G390" s="122">
        <v>6</v>
      </c>
      <c r="H390" s="123">
        <v>639</v>
      </c>
    </row>
    <row r="391" spans="1:8" ht="18" x14ac:dyDescent="0.3">
      <c r="A391" s="138">
        <v>45991</v>
      </c>
      <c r="B391" s="139" t="s">
        <v>55</v>
      </c>
      <c r="C391" s="140" t="s">
        <v>366</v>
      </c>
      <c r="D391" s="139" t="s">
        <v>303</v>
      </c>
      <c r="E391" s="141">
        <v>1.395833333333333</v>
      </c>
      <c r="F391" s="139" t="s">
        <v>60</v>
      </c>
      <c r="G391" s="142">
        <v>9</v>
      </c>
      <c r="H391" s="143">
        <v>449</v>
      </c>
    </row>
    <row r="392" spans="1:8" ht="18" x14ac:dyDescent="0.3">
      <c r="A392" s="118">
        <v>45991</v>
      </c>
      <c r="B392" s="119" t="s">
        <v>55</v>
      </c>
      <c r="C392" s="120" t="s">
        <v>366</v>
      </c>
      <c r="D392" s="119" t="s">
        <v>303</v>
      </c>
      <c r="E392" s="121">
        <v>1.395833333333333</v>
      </c>
      <c r="F392" s="119" t="s">
        <v>62</v>
      </c>
      <c r="G392" s="122">
        <v>9</v>
      </c>
      <c r="H392" s="123">
        <v>549</v>
      </c>
    </row>
    <row r="393" spans="1:8" ht="18" x14ac:dyDescent="0.3">
      <c r="A393" s="118">
        <v>45991</v>
      </c>
      <c r="B393" s="119" t="s">
        <v>55</v>
      </c>
      <c r="C393" s="120" t="s">
        <v>366</v>
      </c>
      <c r="D393" s="119" t="s">
        <v>303</v>
      </c>
      <c r="E393" s="121">
        <v>1.395833333333333</v>
      </c>
      <c r="F393" s="119" t="s">
        <v>64</v>
      </c>
      <c r="G393" s="122">
        <v>9</v>
      </c>
      <c r="H393" s="123">
        <v>639</v>
      </c>
    </row>
    <row r="394" spans="1:8" ht="18" x14ac:dyDescent="0.3">
      <c r="A394" s="138">
        <v>45991</v>
      </c>
      <c r="B394" s="139" t="s">
        <v>55</v>
      </c>
      <c r="C394" s="140" t="s">
        <v>365</v>
      </c>
      <c r="D394" s="139" t="s">
        <v>303</v>
      </c>
      <c r="E394" s="141">
        <v>1.302083333333333</v>
      </c>
      <c r="F394" s="139" t="s">
        <v>60</v>
      </c>
      <c r="G394" s="142">
        <v>9</v>
      </c>
      <c r="H394" s="143">
        <v>449</v>
      </c>
    </row>
    <row r="395" spans="1:8" ht="18" x14ac:dyDescent="0.3">
      <c r="A395" s="118">
        <v>45991</v>
      </c>
      <c r="B395" s="119" t="s">
        <v>55</v>
      </c>
      <c r="C395" s="120" t="s">
        <v>365</v>
      </c>
      <c r="D395" s="119" t="s">
        <v>303</v>
      </c>
      <c r="E395" s="121">
        <v>1.302083333333333</v>
      </c>
      <c r="F395" s="119" t="s">
        <v>62</v>
      </c>
      <c r="G395" s="122">
        <v>9</v>
      </c>
      <c r="H395" s="123">
        <v>549</v>
      </c>
    </row>
    <row r="396" spans="1:8" ht="18" x14ac:dyDescent="0.3">
      <c r="A396" s="118">
        <v>45991</v>
      </c>
      <c r="B396" s="119" t="s">
        <v>55</v>
      </c>
      <c r="C396" s="120" t="s">
        <v>365</v>
      </c>
      <c r="D396" s="119" t="s">
        <v>303</v>
      </c>
      <c r="E396" s="121">
        <v>1.302083333333333</v>
      </c>
      <c r="F396" s="119" t="s">
        <v>64</v>
      </c>
      <c r="G396" s="122">
        <v>9</v>
      </c>
      <c r="H396" s="123">
        <v>639</v>
      </c>
    </row>
    <row r="397" spans="1:8" ht="18" x14ac:dyDescent="0.3">
      <c r="A397" s="138">
        <v>45991</v>
      </c>
      <c r="B397" s="139" t="s">
        <v>55</v>
      </c>
      <c r="C397" s="140" t="s">
        <v>357</v>
      </c>
      <c r="D397" s="139" t="s">
        <v>303</v>
      </c>
      <c r="E397" s="141">
        <v>1.256944444444444</v>
      </c>
      <c r="F397" s="139" t="s">
        <v>60</v>
      </c>
      <c r="G397" s="142">
        <v>9</v>
      </c>
      <c r="H397" s="143">
        <v>489</v>
      </c>
    </row>
    <row r="398" spans="1:8" ht="18" x14ac:dyDescent="0.3">
      <c r="A398" s="118">
        <v>45991</v>
      </c>
      <c r="B398" s="119" t="s">
        <v>55</v>
      </c>
      <c r="C398" s="120" t="s">
        <v>357</v>
      </c>
      <c r="D398" s="119" t="s">
        <v>303</v>
      </c>
      <c r="E398" s="121">
        <v>1.256944444444444</v>
      </c>
      <c r="F398" s="119" t="s">
        <v>62</v>
      </c>
      <c r="G398" s="122">
        <v>9</v>
      </c>
      <c r="H398" s="123">
        <v>589</v>
      </c>
    </row>
    <row r="399" spans="1:8" ht="18" x14ac:dyDescent="0.3">
      <c r="A399" s="118">
        <v>45991</v>
      </c>
      <c r="B399" s="119" t="s">
        <v>55</v>
      </c>
      <c r="C399" s="120" t="s">
        <v>357</v>
      </c>
      <c r="D399" s="119" t="s">
        <v>303</v>
      </c>
      <c r="E399" s="121">
        <v>1.256944444444444</v>
      </c>
      <c r="F399" s="119" t="s">
        <v>64</v>
      </c>
      <c r="G399" s="122">
        <v>9</v>
      </c>
      <c r="H399" s="123">
        <v>679</v>
      </c>
    </row>
    <row r="400" spans="1:8" ht="18" x14ac:dyDescent="0.3">
      <c r="A400" s="138">
        <v>45991</v>
      </c>
      <c r="B400" s="139" t="s">
        <v>55</v>
      </c>
      <c r="C400" s="140" t="s">
        <v>352</v>
      </c>
      <c r="D400" s="139" t="s">
        <v>303</v>
      </c>
      <c r="E400" s="141">
        <v>1.9027777777777779</v>
      </c>
      <c r="F400" s="139" t="s">
        <v>60</v>
      </c>
      <c r="G400" s="142">
        <v>9</v>
      </c>
      <c r="H400" s="143">
        <v>489</v>
      </c>
    </row>
    <row r="401" spans="1:8" ht="18" x14ac:dyDescent="0.3">
      <c r="A401" s="118">
        <v>45991</v>
      </c>
      <c r="B401" s="119" t="s">
        <v>55</v>
      </c>
      <c r="C401" s="120" t="s">
        <v>352</v>
      </c>
      <c r="D401" s="119" t="s">
        <v>303</v>
      </c>
      <c r="E401" s="121">
        <v>1.9027777777777779</v>
      </c>
      <c r="F401" s="119" t="s">
        <v>62</v>
      </c>
      <c r="G401" s="122">
        <v>9</v>
      </c>
      <c r="H401" s="123">
        <v>589</v>
      </c>
    </row>
    <row r="402" spans="1:8" ht="18" x14ac:dyDescent="0.3">
      <c r="A402" s="118">
        <v>45991</v>
      </c>
      <c r="B402" s="119" t="s">
        <v>55</v>
      </c>
      <c r="C402" s="120" t="s">
        <v>352</v>
      </c>
      <c r="D402" s="119" t="s">
        <v>303</v>
      </c>
      <c r="E402" s="121">
        <v>1.9027777777777779</v>
      </c>
      <c r="F402" s="119" t="s">
        <v>64</v>
      </c>
      <c r="G402" s="122">
        <v>9</v>
      </c>
      <c r="H402" s="123">
        <v>679</v>
      </c>
    </row>
    <row r="403" spans="1:8" ht="18" x14ac:dyDescent="0.3">
      <c r="A403" s="138">
        <v>45991</v>
      </c>
      <c r="B403" s="139" t="s">
        <v>55</v>
      </c>
      <c r="C403" s="140" t="s">
        <v>356</v>
      </c>
      <c r="D403" s="139" t="s">
        <v>303</v>
      </c>
      <c r="E403" s="141">
        <v>1.7986111111111109</v>
      </c>
      <c r="F403" s="139" t="s">
        <v>60</v>
      </c>
      <c r="G403" s="142">
        <v>9</v>
      </c>
      <c r="H403" s="143">
        <v>489</v>
      </c>
    </row>
    <row r="404" spans="1:8" ht="18" x14ac:dyDescent="0.3">
      <c r="A404" s="118">
        <v>45991</v>
      </c>
      <c r="B404" s="119" t="s">
        <v>55</v>
      </c>
      <c r="C404" s="120" t="s">
        <v>356</v>
      </c>
      <c r="D404" s="119" t="s">
        <v>303</v>
      </c>
      <c r="E404" s="121">
        <v>1.7986111111111109</v>
      </c>
      <c r="F404" s="119" t="s">
        <v>62</v>
      </c>
      <c r="G404" s="122">
        <v>9</v>
      </c>
      <c r="H404" s="123">
        <v>589</v>
      </c>
    </row>
    <row r="405" spans="1:8" ht="18" x14ac:dyDescent="0.3">
      <c r="A405" s="118">
        <v>45991</v>
      </c>
      <c r="B405" s="119" t="s">
        <v>55</v>
      </c>
      <c r="C405" s="120" t="s">
        <v>356</v>
      </c>
      <c r="D405" s="119" t="s">
        <v>303</v>
      </c>
      <c r="E405" s="121">
        <v>1.7986111111111109</v>
      </c>
      <c r="F405" s="119" t="s">
        <v>64</v>
      </c>
      <c r="G405" s="122">
        <v>9</v>
      </c>
      <c r="H405" s="123">
        <v>679</v>
      </c>
    </row>
    <row r="406" spans="1:8" ht="18" x14ac:dyDescent="0.3">
      <c r="A406" s="136">
        <v>45991</v>
      </c>
      <c r="B406" s="113" t="s">
        <v>25</v>
      </c>
      <c r="C406" s="114" t="s">
        <v>344</v>
      </c>
      <c r="D406" s="113" t="s">
        <v>303</v>
      </c>
      <c r="E406" s="115">
        <v>1.302083333333333</v>
      </c>
      <c r="F406" s="113" t="s">
        <v>27</v>
      </c>
      <c r="G406" s="116">
        <v>3</v>
      </c>
      <c r="H406" s="137">
        <v>419</v>
      </c>
    </row>
    <row r="407" spans="1:8" ht="18" x14ac:dyDescent="0.3">
      <c r="A407" s="118">
        <v>45991</v>
      </c>
      <c r="B407" s="119" t="s">
        <v>25</v>
      </c>
      <c r="C407" s="120" t="s">
        <v>344</v>
      </c>
      <c r="D407" s="119" t="s">
        <v>303</v>
      </c>
      <c r="E407" s="121">
        <v>1.302083333333333</v>
      </c>
      <c r="F407" s="119" t="s">
        <v>30</v>
      </c>
      <c r="G407" s="122">
        <v>3</v>
      </c>
      <c r="H407" s="123">
        <v>569</v>
      </c>
    </row>
    <row r="408" spans="1:8" ht="18" x14ac:dyDescent="0.3">
      <c r="A408" s="118">
        <v>45991</v>
      </c>
      <c r="B408" s="119" t="s">
        <v>25</v>
      </c>
      <c r="C408" s="120" t="s">
        <v>344</v>
      </c>
      <c r="D408" s="119" t="s">
        <v>303</v>
      </c>
      <c r="E408" s="121">
        <v>1.302083333333333</v>
      </c>
      <c r="F408" s="119" t="s">
        <v>33</v>
      </c>
      <c r="G408" s="122">
        <v>3</v>
      </c>
      <c r="H408" s="119" t="s">
        <v>34</v>
      </c>
    </row>
    <row r="409" spans="1:8" ht="18" x14ac:dyDescent="0.3">
      <c r="A409" s="138">
        <v>45991</v>
      </c>
      <c r="B409" s="139" t="s">
        <v>25</v>
      </c>
      <c r="C409" s="140" t="s">
        <v>338</v>
      </c>
      <c r="D409" s="139" t="s">
        <v>303</v>
      </c>
      <c r="E409" s="141">
        <v>1.1284722222222221</v>
      </c>
      <c r="F409" s="139" t="s">
        <v>27</v>
      </c>
      <c r="G409" s="142">
        <v>3</v>
      </c>
      <c r="H409" s="143">
        <v>419</v>
      </c>
    </row>
    <row r="410" spans="1:8" ht="18" x14ac:dyDescent="0.3">
      <c r="A410" s="118">
        <v>45991</v>
      </c>
      <c r="B410" s="119" t="s">
        <v>25</v>
      </c>
      <c r="C410" s="120" t="s">
        <v>338</v>
      </c>
      <c r="D410" s="119" t="s">
        <v>303</v>
      </c>
      <c r="E410" s="121">
        <v>1.1284722222222221</v>
      </c>
      <c r="F410" s="119" t="s">
        <v>30</v>
      </c>
      <c r="G410" s="122">
        <v>3</v>
      </c>
      <c r="H410" s="123">
        <v>569</v>
      </c>
    </row>
    <row r="411" spans="1:8" ht="18" x14ac:dyDescent="0.3">
      <c r="A411" s="118">
        <v>45991</v>
      </c>
      <c r="B411" s="119" t="s">
        <v>25</v>
      </c>
      <c r="C411" s="120" t="s">
        <v>338</v>
      </c>
      <c r="D411" s="119" t="s">
        <v>303</v>
      </c>
      <c r="E411" s="121">
        <v>1.1284722222222221</v>
      </c>
      <c r="F411" s="119" t="s">
        <v>33</v>
      </c>
      <c r="G411" s="122">
        <v>3</v>
      </c>
      <c r="H411" s="119" t="s">
        <v>34</v>
      </c>
    </row>
    <row r="412" spans="1:8" ht="18" x14ac:dyDescent="0.3">
      <c r="A412" s="138">
        <v>45991</v>
      </c>
      <c r="B412" s="139" t="s">
        <v>25</v>
      </c>
      <c r="C412" s="140" t="s">
        <v>347</v>
      </c>
      <c r="D412" s="139" t="s">
        <v>303</v>
      </c>
      <c r="E412" s="141">
        <v>1.788194444444444</v>
      </c>
      <c r="F412" s="139" t="s">
        <v>27</v>
      </c>
      <c r="G412" s="142">
        <v>8</v>
      </c>
      <c r="H412" s="143">
        <v>419</v>
      </c>
    </row>
    <row r="413" spans="1:8" ht="18" x14ac:dyDescent="0.3">
      <c r="A413" s="118">
        <v>45991</v>
      </c>
      <c r="B413" s="119" t="s">
        <v>25</v>
      </c>
      <c r="C413" s="120" t="s">
        <v>347</v>
      </c>
      <c r="D413" s="119" t="s">
        <v>303</v>
      </c>
      <c r="E413" s="121">
        <v>1.788194444444444</v>
      </c>
      <c r="F413" s="119" t="s">
        <v>30</v>
      </c>
      <c r="G413" s="122">
        <v>8</v>
      </c>
      <c r="H413" s="123">
        <v>569</v>
      </c>
    </row>
    <row r="414" spans="1:8" ht="18" x14ac:dyDescent="0.3">
      <c r="A414" s="118">
        <v>45991</v>
      </c>
      <c r="B414" s="119" t="s">
        <v>25</v>
      </c>
      <c r="C414" s="120" t="s">
        <v>347</v>
      </c>
      <c r="D414" s="119" t="s">
        <v>303</v>
      </c>
      <c r="E414" s="121">
        <v>1.788194444444444</v>
      </c>
      <c r="F414" s="119" t="s">
        <v>33</v>
      </c>
      <c r="G414" s="122">
        <v>8</v>
      </c>
      <c r="H414" s="119" t="s">
        <v>34</v>
      </c>
    </row>
    <row r="415" spans="1:8" ht="18" x14ac:dyDescent="0.3">
      <c r="A415" s="138">
        <v>45991</v>
      </c>
      <c r="B415" s="139" t="s">
        <v>25</v>
      </c>
      <c r="C415" s="140" t="s">
        <v>343</v>
      </c>
      <c r="D415" s="139" t="s">
        <v>303</v>
      </c>
      <c r="E415" s="141">
        <v>1.8888888888888891</v>
      </c>
      <c r="F415" s="139" t="s">
        <v>27</v>
      </c>
      <c r="G415" s="142">
        <v>5</v>
      </c>
      <c r="H415" s="143">
        <v>459</v>
      </c>
    </row>
    <row r="416" spans="1:8" ht="18" x14ac:dyDescent="0.3">
      <c r="A416" s="118">
        <v>45991</v>
      </c>
      <c r="B416" s="119" t="s">
        <v>25</v>
      </c>
      <c r="C416" s="120" t="s">
        <v>343</v>
      </c>
      <c r="D416" s="119" t="s">
        <v>303</v>
      </c>
      <c r="E416" s="121">
        <v>1.8888888888888891</v>
      </c>
      <c r="F416" s="119" t="s">
        <v>30</v>
      </c>
      <c r="G416" s="122">
        <v>5</v>
      </c>
      <c r="H416" s="123">
        <v>609</v>
      </c>
    </row>
    <row r="417" spans="1:8" ht="18" x14ac:dyDescent="0.3">
      <c r="A417" s="118">
        <v>45991</v>
      </c>
      <c r="B417" s="119" t="s">
        <v>25</v>
      </c>
      <c r="C417" s="120" t="s">
        <v>343</v>
      </c>
      <c r="D417" s="119" t="s">
        <v>303</v>
      </c>
      <c r="E417" s="121">
        <v>1.8888888888888891</v>
      </c>
      <c r="F417" s="119" t="s">
        <v>33</v>
      </c>
      <c r="G417" s="122">
        <v>5</v>
      </c>
      <c r="H417" s="119" t="s">
        <v>34</v>
      </c>
    </row>
    <row r="418" spans="1:8" ht="18" x14ac:dyDescent="0.3">
      <c r="A418" s="124">
        <v>45991</v>
      </c>
      <c r="B418" s="125" t="s">
        <v>35</v>
      </c>
      <c r="C418" s="126" t="s">
        <v>319</v>
      </c>
      <c r="D418" s="125" t="s">
        <v>303</v>
      </c>
      <c r="E418" s="127">
        <v>1.083333333333333</v>
      </c>
      <c r="F418" s="125" t="s">
        <v>37</v>
      </c>
      <c r="G418" s="128">
        <v>9</v>
      </c>
      <c r="H418" s="129">
        <v>436</v>
      </c>
    </row>
    <row r="419" spans="1:8" ht="18" x14ac:dyDescent="0.3">
      <c r="A419" s="130">
        <v>45991</v>
      </c>
      <c r="B419" s="131" t="s">
        <v>35</v>
      </c>
      <c r="C419" s="132" t="s">
        <v>430</v>
      </c>
      <c r="D419" s="131" t="s">
        <v>303</v>
      </c>
      <c r="E419" s="133">
        <v>1.333333333333333</v>
      </c>
      <c r="F419" s="131" t="s">
        <v>37</v>
      </c>
      <c r="G419" s="134">
        <v>9</v>
      </c>
      <c r="H419" s="135">
        <v>436</v>
      </c>
    </row>
    <row r="420" spans="1:8" ht="18" x14ac:dyDescent="0.3">
      <c r="A420" s="130">
        <v>45991</v>
      </c>
      <c r="B420" s="131" t="s">
        <v>35</v>
      </c>
      <c r="C420" s="132" t="s">
        <v>314</v>
      </c>
      <c r="D420" s="131" t="s">
        <v>303</v>
      </c>
      <c r="E420" s="133">
        <v>1.319444444444444</v>
      </c>
      <c r="F420" s="131" t="s">
        <v>37</v>
      </c>
      <c r="G420" s="134">
        <v>6</v>
      </c>
      <c r="H420" s="135">
        <v>436</v>
      </c>
    </row>
    <row r="421" spans="1:8" ht="18" x14ac:dyDescent="0.3">
      <c r="A421" s="130">
        <v>45991</v>
      </c>
      <c r="B421" s="131" t="s">
        <v>35</v>
      </c>
      <c r="C421" s="132" t="s">
        <v>324</v>
      </c>
      <c r="D421" s="131" t="s">
        <v>303</v>
      </c>
      <c r="E421" s="133">
        <v>1.510416666666667</v>
      </c>
      <c r="F421" s="131" t="s">
        <v>37</v>
      </c>
      <c r="G421" s="134">
        <v>1</v>
      </c>
      <c r="H421" s="135">
        <v>526</v>
      </c>
    </row>
    <row r="422" spans="1:8" ht="18" x14ac:dyDescent="0.3">
      <c r="A422" s="130">
        <v>45991</v>
      </c>
      <c r="B422" s="131" t="s">
        <v>35</v>
      </c>
      <c r="C422" s="132" t="s">
        <v>331</v>
      </c>
      <c r="D422" s="131" t="s">
        <v>303</v>
      </c>
      <c r="E422" s="133">
        <v>1.631944444444444</v>
      </c>
      <c r="F422" s="131" t="s">
        <v>131</v>
      </c>
      <c r="G422" s="131"/>
      <c r="H422" s="131" t="s">
        <v>132</v>
      </c>
    </row>
    <row r="423" spans="1:8" ht="18" x14ac:dyDescent="0.3">
      <c r="A423" s="136">
        <v>45991</v>
      </c>
      <c r="B423" s="113" t="s">
        <v>378</v>
      </c>
      <c r="C423" s="114" t="s">
        <v>420</v>
      </c>
      <c r="D423" s="113" t="s">
        <v>303</v>
      </c>
      <c r="E423" s="115">
        <v>1.3888888888888891</v>
      </c>
      <c r="F423" s="113" t="s">
        <v>380</v>
      </c>
      <c r="G423" s="116">
        <v>9</v>
      </c>
      <c r="H423" s="137">
        <v>449</v>
      </c>
    </row>
    <row r="424" spans="1:8" ht="18" x14ac:dyDescent="0.3">
      <c r="A424" s="118">
        <v>45991</v>
      </c>
      <c r="B424" s="119" t="s">
        <v>378</v>
      </c>
      <c r="C424" s="120" t="s">
        <v>420</v>
      </c>
      <c r="D424" s="119" t="s">
        <v>303</v>
      </c>
      <c r="E424" s="121">
        <v>1.3888888888888891</v>
      </c>
      <c r="F424" s="119" t="s">
        <v>33</v>
      </c>
      <c r="G424" s="122">
        <v>9</v>
      </c>
      <c r="H424" s="123">
        <v>572</v>
      </c>
    </row>
    <row r="425" spans="1:8" ht="18" x14ac:dyDescent="0.3">
      <c r="A425" s="136">
        <v>45991</v>
      </c>
      <c r="B425" s="113" t="s">
        <v>78</v>
      </c>
      <c r="C425" s="114" t="s">
        <v>384</v>
      </c>
      <c r="D425" s="113" t="s">
        <v>303</v>
      </c>
      <c r="E425" s="115">
        <v>1.3784722222222221</v>
      </c>
      <c r="F425" s="113" t="s">
        <v>87</v>
      </c>
      <c r="G425" s="116">
        <v>9</v>
      </c>
      <c r="H425" s="137">
        <v>935</v>
      </c>
    </row>
    <row r="426" spans="1:8" ht="18" x14ac:dyDescent="0.3">
      <c r="A426" s="118">
        <v>45991</v>
      </c>
      <c r="B426" s="119" t="s">
        <v>78</v>
      </c>
      <c r="C426" s="120" t="s">
        <v>384</v>
      </c>
      <c r="D426" s="119" t="s">
        <v>303</v>
      </c>
      <c r="E426" s="121">
        <v>1.3784722222222221</v>
      </c>
      <c r="F426" s="119" t="s">
        <v>82</v>
      </c>
      <c r="G426" s="122">
        <v>9</v>
      </c>
      <c r="H426" s="123">
        <v>980</v>
      </c>
    </row>
    <row r="427" spans="1:8" ht="18" x14ac:dyDescent="0.3">
      <c r="A427" s="138">
        <v>45991</v>
      </c>
      <c r="B427" s="139" t="s">
        <v>78</v>
      </c>
      <c r="C427" s="140" t="s">
        <v>397</v>
      </c>
      <c r="D427" s="139" t="s">
        <v>303</v>
      </c>
      <c r="E427" s="141">
        <v>1.71875</v>
      </c>
      <c r="F427" s="139" t="s">
        <v>87</v>
      </c>
      <c r="G427" s="142">
        <v>9</v>
      </c>
      <c r="H427" s="143">
        <v>935</v>
      </c>
    </row>
    <row r="428" spans="1:8" ht="18" x14ac:dyDescent="0.3">
      <c r="A428" s="118">
        <v>45991</v>
      </c>
      <c r="B428" s="119" t="s">
        <v>78</v>
      </c>
      <c r="C428" s="120" t="s">
        <v>397</v>
      </c>
      <c r="D428" s="119" t="s">
        <v>303</v>
      </c>
      <c r="E428" s="121">
        <v>1.71875</v>
      </c>
      <c r="F428" s="119" t="s">
        <v>82</v>
      </c>
      <c r="G428" s="122">
        <v>9</v>
      </c>
      <c r="H428" s="123">
        <v>980</v>
      </c>
    </row>
    <row r="429" spans="1:8" ht="18" x14ac:dyDescent="0.3">
      <c r="A429" s="138">
        <v>45991</v>
      </c>
      <c r="B429" s="139" t="s">
        <v>78</v>
      </c>
      <c r="C429" s="140" t="s">
        <v>387</v>
      </c>
      <c r="D429" s="139" t="s">
        <v>303</v>
      </c>
      <c r="E429" s="141">
        <v>1.239583333333333</v>
      </c>
      <c r="F429" s="139" t="s">
        <v>87</v>
      </c>
      <c r="G429" s="142">
        <v>9</v>
      </c>
      <c r="H429" s="143">
        <v>935</v>
      </c>
    </row>
    <row r="430" spans="1:8" ht="18" x14ac:dyDescent="0.3">
      <c r="A430" s="118">
        <v>45991</v>
      </c>
      <c r="B430" s="119" t="s">
        <v>78</v>
      </c>
      <c r="C430" s="120" t="s">
        <v>387</v>
      </c>
      <c r="D430" s="119" t="s">
        <v>303</v>
      </c>
      <c r="E430" s="121">
        <v>1.239583333333333</v>
      </c>
      <c r="F430" s="119" t="s">
        <v>82</v>
      </c>
      <c r="G430" s="122">
        <v>9</v>
      </c>
      <c r="H430" s="123">
        <v>980</v>
      </c>
    </row>
    <row r="431" spans="1:8" ht="18" x14ac:dyDescent="0.3">
      <c r="A431" s="138">
        <v>45991</v>
      </c>
      <c r="B431" s="139" t="s">
        <v>78</v>
      </c>
      <c r="C431" s="140" t="s">
        <v>400</v>
      </c>
      <c r="D431" s="139" t="s">
        <v>303</v>
      </c>
      <c r="E431" s="141">
        <v>1.6111111111111109</v>
      </c>
      <c r="F431" s="139" t="s">
        <v>87</v>
      </c>
      <c r="G431" s="142">
        <v>9</v>
      </c>
      <c r="H431" s="139" t="s">
        <v>390</v>
      </c>
    </row>
    <row r="432" spans="1:8" ht="18" x14ac:dyDescent="0.3">
      <c r="A432" s="118">
        <v>45991</v>
      </c>
      <c r="B432" s="119" t="s">
        <v>78</v>
      </c>
      <c r="C432" s="120" t="s">
        <v>400</v>
      </c>
      <c r="D432" s="119" t="s">
        <v>303</v>
      </c>
      <c r="E432" s="121">
        <v>1.6111111111111109</v>
      </c>
      <c r="F432" s="119" t="s">
        <v>82</v>
      </c>
      <c r="G432" s="122">
        <v>9</v>
      </c>
      <c r="H432" s="119" t="s">
        <v>391</v>
      </c>
    </row>
    <row r="433" spans="1:8" ht="18" x14ac:dyDescent="0.3">
      <c r="A433" s="138">
        <v>45991</v>
      </c>
      <c r="B433" s="139" t="s">
        <v>78</v>
      </c>
      <c r="C433" s="140" t="s">
        <v>389</v>
      </c>
      <c r="D433" s="139" t="s">
        <v>303</v>
      </c>
      <c r="E433" s="141">
        <v>1.006944444444444</v>
      </c>
      <c r="F433" s="139" t="s">
        <v>87</v>
      </c>
      <c r="G433" s="142">
        <v>9</v>
      </c>
      <c r="H433" s="139" t="s">
        <v>390</v>
      </c>
    </row>
    <row r="434" spans="1:8" ht="18" x14ac:dyDescent="0.3">
      <c r="A434" s="118">
        <v>45991</v>
      </c>
      <c r="B434" s="119" t="s">
        <v>78</v>
      </c>
      <c r="C434" s="120" t="s">
        <v>389</v>
      </c>
      <c r="D434" s="119" t="s">
        <v>303</v>
      </c>
      <c r="E434" s="121">
        <v>1.006944444444444</v>
      </c>
      <c r="F434" s="119" t="s">
        <v>82</v>
      </c>
      <c r="G434" s="122">
        <v>9</v>
      </c>
      <c r="H434" s="119" t="s">
        <v>391</v>
      </c>
    </row>
    <row r="435" spans="1:8" ht="18" x14ac:dyDescent="0.3">
      <c r="A435" s="138">
        <v>45991</v>
      </c>
      <c r="B435" s="139" t="s">
        <v>78</v>
      </c>
      <c r="C435" s="140" t="s">
        <v>388</v>
      </c>
      <c r="D435" s="139" t="s">
        <v>303</v>
      </c>
      <c r="E435" s="141">
        <v>1.1423611111111109</v>
      </c>
      <c r="F435" s="139" t="s">
        <v>87</v>
      </c>
      <c r="G435" s="142">
        <v>9</v>
      </c>
      <c r="H435" s="139" t="s">
        <v>390</v>
      </c>
    </row>
    <row r="436" spans="1:8" ht="18" x14ac:dyDescent="0.3">
      <c r="A436" s="118">
        <v>45991</v>
      </c>
      <c r="B436" s="119" t="s">
        <v>78</v>
      </c>
      <c r="C436" s="120" t="s">
        <v>388</v>
      </c>
      <c r="D436" s="119" t="s">
        <v>303</v>
      </c>
      <c r="E436" s="121">
        <v>1.1423611111111109</v>
      </c>
      <c r="F436" s="119" t="s">
        <v>82</v>
      </c>
      <c r="G436" s="122">
        <v>9</v>
      </c>
      <c r="H436" s="119" t="s">
        <v>391</v>
      </c>
    </row>
    <row r="437" spans="1:8" ht="18" x14ac:dyDescent="0.3">
      <c r="A437" s="138">
        <v>45991</v>
      </c>
      <c r="B437" s="139" t="s">
        <v>78</v>
      </c>
      <c r="C437" s="140" t="s">
        <v>392</v>
      </c>
      <c r="D437" s="139" t="s">
        <v>303</v>
      </c>
      <c r="E437" s="141">
        <v>1.930555555555556</v>
      </c>
      <c r="F437" s="139" t="s">
        <v>87</v>
      </c>
      <c r="G437" s="142">
        <v>9</v>
      </c>
      <c r="H437" s="139" t="s">
        <v>390</v>
      </c>
    </row>
    <row r="438" spans="1:8" ht="18" x14ac:dyDescent="0.3">
      <c r="A438" s="118">
        <v>45991</v>
      </c>
      <c r="B438" s="119" t="s">
        <v>78</v>
      </c>
      <c r="C438" s="120" t="s">
        <v>392</v>
      </c>
      <c r="D438" s="119" t="s">
        <v>303</v>
      </c>
      <c r="E438" s="121">
        <v>1.930555555555556</v>
      </c>
      <c r="F438" s="119" t="s">
        <v>82</v>
      </c>
      <c r="G438" s="122">
        <v>9</v>
      </c>
      <c r="H438" s="119" t="s">
        <v>391</v>
      </c>
    </row>
    <row r="439" spans="1:8" ht="18" x14ac:dyDescent="0.3">
      <c r="A439" s="138">
        <v>45991</v>
      </c>
      <c r="B439" s="139" t="s">
        <v>78</v>
      </c>
      <c r="C439" s="140" t="s">
        <v>393</v>
      </c>
      <c r="D439" s="139" t="s">
        <v>303</v>
      </c>
      <c r="E439" s="141">
        <v>1.8888888888888891</v>
      </c>
      <c r="F439" s="139" t="s">
        <v>82</v>
      </c>
      <c r="G439" s="142">
        <v>4</v>
      </c>
      <c r="H439" s="139" t="s">
        <v>394</v>
      </c>
    </row>
    <row r="440" spans="1:8" ht="18" x14ac:dyDescent="0.3">
      <c r="A440" s="138">
        <v>45991</v>
      </c>
      <c r="B440" s="139" t="s">
        <v>78</v>
      </c>
      <c r="C440" s="140" t="s">
        <v>402</v>
      </c>
      <c r="D440" s="139" t="s">
        <v>303</v>
      </c>
      <c r="E440" s="141">
        <v>1.302083333333333</v>
      </c>
      <c r="F440" s="139" t="s">
        <v>82</v>
      </c>
      <c r="G440" s="142">
        <v>4</v>
      </c>
      <c r="H440" s="139" t="s">
        <v>394</v>
      </c>
    </row>
    <row r="441" spans="1:8" ht="18" x14ac:dyDescent="0.3">
      <c r="A441" s="138">
        <v>45991</v>
      </c>
      <c r="B441" s="139" t="s">
        <v>78</v>
      </c>
      <c r="C441" s="140" t="s">
        <v>395</v>
      </c>
      <c r="D441" s="139" t="s">
        <v>303</v>
      </c>
      <c r="E441" s="141">
        <v>1.1284722222222221</v>
      </c>
      <c r="F441" s="139" t="s">
        <v>82</v>
      </c>
      <c r="G441" s="142">
        <v>4</v>
      </c>
      <c r="H441" s="139" t="s">
        <v>394</v>
      </c>
    </row>
    <row r="442" spans="1:8" ht="18" x14ac:dyDescent="0.3">
      <c r="A442" s="138">
        <v>45991</v>
      </c>
      <c r="B442" s="139" t="s">
        <v>78</v>
      </c>
      <c r="C442" s="140" t="s">
        <v>396</v>
      </c>
      <c r="D442" s="139" t="s">
        <v>303</v>
      </c>
      <c r="E442" s="141">
        <v>1.788194444444444</v>
      </c>
      <c r="F442" s="139" t="s">
        <v>82</v>
      </c>
      <c r="G442" s="142">
        <v>4</v>
      </c>
      <c r="H442" s="139" t="s">
        <v>394</v>
      </c>
    </row>
    <row r="443" spans="1:8" ht="18" x14ac:dyDescent="0.3">
      <c r="A443" s="138">
        <v>45991</v>
      </c>
      <c r="B443" s="139" t="s">
        <v>78</v>
      </c>
      <c r="C443" s="140" t="s">
        <v>401</v>
      </c>
      <c r="D443" s="139" t="s">
        <v>303</v>
      </c>
      <c r="E443" s="141">
        <v>1.8298611111111109</v>
      </c>
      <c r="F443" s="139" t="s">
        <v>87</v>
      </c>
      <c r="G443" s="142">
        <v>9</v>
      </c>
      <c r="H443" s="139" t="s">
        <v>482</v>
      </c>
    </row>
    <row r="444" spans="1:8" ht="18" x14ac:dyDescent="0.3">
      <c r="A444" s="118">
        <v>45991</v>
      </c>
      <c r="B444" s="119" t="s">
        <v>78</v>
      </c>
      <c r="C444" s="120" t="s">
        <v>401</v>
      </c>
      <c r="D444" s="119" t="s">
        <v>303</v>
      </c>
      <c r="E444" s="121">
        <v>1.8298611111111109</v>
      </c>
      <c r="F444" s="119" t="s">
        <v>82</v>
      </c>
      <c r="G444" s="122">
        <v>9</v>
      </c>
      <c r="H444" s="119" t="s">
        <v>483</v>
      </c>
    </row>
    <row r="445" spans="1:8" ht="18" x14ac:dyDescent="0.3">
      <c r="A445" s="136">
        <v>45991</v>
      </c>
      <c r="B445" s="113" t="s">
        <v>66</v>
      </c>
      <c r="C445" s="114" t="s">
        <v>416</v>
      </c>
      <c r="D445" s="113" t="s">
        <v>303</v>
      </c>
      <c r="E445" s="115">
        <v>1.145833333333333</v>
      </c>
      <c r="F445" s="113" t="s">
        <v>68</v>
      </c>
      <c r="G445" s="116">
        <v>9</v>
      </c>
      <c r="H445" s="137">
        <v>970</v>
      </c>
    </row>
    <row r="446" spans="1:8" ht="18" x14ac:dyDescent="0.3">
      <c r="A446" s="138">
        <v>45991</v>
      </c>
      <c r="B446" s="139" t="s">
        <v>66</v>
      </c>
      <c r="C446" s="140" t="s">
        <v>369</v>
      </c>
      <c r="D446" s="139" t="s">
        <v>303</v>
      </c>
      <c r="E446" s="141">
        <v>1.4861111111111109</v>
      </c>
      <c r="F446" s="139" t="s">
        <v>68</v>
      </c>
      <c r="G446" s="142">
        <v>9</v>
      </c>
      <c r="H446" s="139" t="s">
        <v>419</v>
      </c>
    </row>
    <row r="447" spans="1:8" ht="18" x14ac:dyDescent="0.3">
      <c r="A447" s="138">
        <v>45991</v>
      </c>
      <c r="B447" s="139" t="s">
        <v>66</v>
      </c>
      <c r="C447" s="140" t="s">
        <v>377</v>
      </c>
      <c r="D447" s="139" t="s">
        <v>303</v>
      </c>
      <c r="E447" s="141">
        <v>1.2222222222222221</v>
      </c>
      <c r="F447" s="139" t="s">
        <v>68</v>
      </c>
      <c r="G447" s="142">
        <v>9</v>
      </c>
      <c r="H447" s="139" t="s">
        <v>494</v>
      </c>
    </row>
    <row r="448" spans="1:8" ht="18" x14ac:dyDescent="0.3">
      <c r="A448" s="138">
        <v>45991</v>
      </c>
      <c r="B448" s="139" t="s">
        <v>66</v>
      </c>
      <c r="C448" s="140" t="s">
        <v>375</v>
      </c>
      <c r="D448" s="139" t="s">
        <v>303</v>
      </c>
      <c r="E448" s="141">
        <v>1.2777777777777779</v>
      </c>
      <c r="F448" s="139" t="s">
        <v>68</v>
      </c>
      <c r="G448" s="142">
        <v>2</v>
      </c>
      <c r="H448" s="139" t="s">
        <v>495</v>
      </c>
    </row>
    <row r="449" spans="1:8" ht="18" x14ac:dyDescent="0.3">
      <c r="A449" s="138">
        <v>45991</v>
      </c>
      <c r="B449" s="139" t="s">
        <v>66</v>
      </c>
      <c r="C449" s="140" t="s">
        <v>417</v>
      </c>
      <c r="D449" s="139" t="s">
        <v>303</v>
      </c>
      <c r="E449" s="141">
        <v>1.958333333333333</v>
      </c>
      <c r="F449" s="139" t="s">
        <v>68</v>
      </c>
      <c r="G449" s="142">
        <v>6</v>
      </c>
      <c r="H449" s="139" t="s">
        <v>495</v>
      </c>
    </row>
    <row r="450" spans="1:8" ht="18" x14ac:dyDescent="0.3">
      <c r="A450" s="138">
        <v>45991</v>
      </c>
      <c r="B450" s="139" t="s">
        <v>66</v>
      </c>
      <c r="C450" s="140" t="s">
        <v>376</v>
      </c>
      <c r="D450" s="139" t="s">
        <v>303</v>
      </c>
      <c r="E450" s="141">
        <v>1.774305555555556</v>
      </c>
      <c r="F450" s="139" t="s">
        <v>68</v>
      </c>
      <c r="G450" s="142">
        <v>9</v>
      </c>
      <c r="H450" s="139" t="s">
        <v>495</v>
      </c>
    </row>
    <row r="451" spans="1:8" ht="18" x14ac:dyDescent="0.3">
      <c r="A451" s="149">
        <v>45991</v>
      </c>
      <c r="B451" s="150" t="s">
        <v>66</v>
      </c>
      <c r="C451" s="151" t="s">
        <v>373</v>
      </c>
      <c r="D451" s="150" t="s">
        <v>303</v>
      </c>
      <c r="E451" s="152">
        <v>1.0138888888888891</v>
      </c>
      <c r="F451" s="150" t="s">
        <v>68</v>
      </c>
      <c r="G451" s="153">
        <v>3</v>
      </c>
      <c r="H451" s="150" t="s">
        <v>496</v>
      </c>
    </row>
  </sheetData>
  <dataValidations count="30">
    <dataValidation type="custom" allowBlank="1" showInputMessage="1" promptTitle="LOAD FACTOR ANALYSIS" prompt="SM-472_x000d__x000a_LF 68.7%_x000d__x000a_SOLD 123_x000d__x000a_LST-SOLD 23NOV_x000d__x000a_WEEKLY 77_x000d__x000a_TO-DAY NIL_x000d__x000a_Y-DAY 39_x000d__x000a_LOWEST AVAIL I1_x000d__x000a_CAPACITY 179_x000d__x000a_CLASSES S13 &amp; X3 &amp; U14 &amp; +2 more" sqref="A4 B4 C4 D4 E4 F4 G4 H4" xr:uid="{00000000-0002-0000-0C00-000000000000}">
      <formula1>TRUE</formula1>
    </dataValidation>
    <dataValidation type="custom" allowBlank="1" showInputMessage="1" promptTitle="LOAD FACTOR ANALYSIS" prompt="SM-476_x000d__x000a_LF 70.4%_x000d__x000a_SOLD 126_x000d__x000a_LST-SOLD 23NOV_x000d__x000a_WEEKLY 39_x000d__x000a_TO-DAY NIL_x000d__x000a_Y-DAY 3_x000d__x000a_LOWEST AVAIL O7_x000d__x000a_CAPACITY 179_x000d__x000a_CLASSES X1 &amp; U11 &amp; O39 &amp; +2 more" sqref="A5 B5 C5 D5 E5 F5 G5 H5" xr:uid="{00000000-0002-0000-0C00-000001000000}">
      <formula1>TRUE</formula1>
    </dataValidation>
    <dataValidation type="custom" allowBlank="1" showInputMessage="1" promptTitle="LOAD FACTOR ANALYSIS" prompt="SM-424_x000d__x000a_LF 79.3%_x000d__x000a_SOLD 142_x000d__x000a_LST-SOLD 23NOV_x000d__x000a_WEEKLY 30_x000d__x000a_TO-DAY NIL_x000d__x000a_Y-DAY 2_x000d__x000a_LOWEST AVAIL U9_x000d__x000a_CAPACITY 179_x000d__x000a_CLASSES S2 &amp; X4 &amp; U7 &amp; +3 more" sqref="A6 B6 C6 D6 E6 F6 G6 H6" xr:uid="{00000000-0002-0000-0C00-000002000000}">
      <formula1>TRUE</formula1>
    </dataValidation>
    <dataValidation type="custom" allowBlank="1" showInputMessage="1" promptTitle="LOAD FACTOR ANALYSIS" prompt="SM-460_x000d__x000a_LF 92.2%_x000d__x000a_SOLD 165_x000d__x000a_LST-SOLD 23NOV_x000d__x000a_WEEKLY 12_x000d__x000a_TO-DAY NIL_x000d__x000a_Y-DAY 3_x000d__x000a_LOWEST AVAIL L3_x000d__x000a_CAPACITY 179_x000d__x000a_CLASSES S1 &amp; W2 &amp; X5 &amp; +4 more" sqref="A7 B7 C7 D7 E7 F7 G7 H7" xr:uid="{00000000-0002-0000-0C00-000003000000}">
      <formula1>TRUE</formula1>
    </dataValidation>
    <dataValidation type="custom" allowBlank="1" showInputMessage="1" promptTitle="LOAD FACTOR ANALYSIS" prompt="SM480_x000d__x000a_LF 93.8%_x000d__x000a_SOLD 168_x000d__x000a_LST-SOLD 18NOV_x000d__x000a_WEEKLY 12_x000d__x000a_TO-DAY NIL_x000d__x000a_Y-DAY NIL_x000d__x000a_LOWEST AVAIL CLOSED_x000d__x000a_CAPACITY 179_x000d__x000a_CLASSES S2 &amp; X1 &amp; U15 &amp; +4 more" sqref="A8 B8 C8 D8 E8 F8 G8 H8" xr:uid="{00000000-0002-0000-0C00-000004000000}">
      <formula1>TRUE</formula1>
    </dataValidation>
    <dataValidation type="custom" allowBlank="1" showInputMessage="1" promptTitle="LOAD FACTOR ANALYSIS" prompt="SM478_x000d__x000a_LF 93.8%_x000d__x000a_SOLD 168_x000d__x000a_LST-SOLD 23NOV_x000d__x000a_WEEKLY 48_x000d__x000a_TO-DAY NIL_x000d__x000a_Y-DAY 4_x000d__x000a_LOWEST AVAIL CLOSED_x000d__x000a_CAPACITY 179_x000d__x000a_CLASSES S5 &amp; X7 &amp; U24 &amp; +3 more" sqref="A9 B9 C9 D9 E9 F9 G9 H9" xr:uid="{00000000-0002-0000-0C00-000005000000}">
      <formula1>TRUE</formula1>
    </dataValidation>
    <dataValidation type="custom" allowBlank="1" showInputMessage="1" promptTitle="LOAD FACTOR ANALYSIS" prompt="SM-460_x000d__x000a_LF 81.6%_x000d__x000a_SOLD 146_x000d__x000a_LST-SOLD 24NOV_x000d__x000a_WEEKLY 54_x000d__x000a_TO-DAY 1_x000d__x000a_Y-DAY 9_x000d__x000a_LOWEST AVAIL O9_x000d__x000a_CAPACITY 179_x000d__x000a_CLASSES S5 &amp; W1 &amp; U7 &amp; +3 more" sqref="A91 B91 C91 D91 E91 F91 G91 H91" xr:uid="{00000000-0002-0000-0C00-000006000000}">
      <formula1>TRUE</formula1>
    </dataValidation>
    <dataValidation type="custom" allowBlank="1" showInputMessage="1" promptTitle="LOAD FACTOR ANALYSIS" prompt="SM-476_x000d__x000a_LF 51.4%_x000d__x000a_SOLD 92_x000d__x000a_LST-SOLD 23NOV_x000d__x000a_WEEKLY 53_x000d__x000a_TO-DAY NIL_x000d__x000a_Y-DAY 2_x000d__x000a_LOWEST AVAIL O9_x000d__x000a_CAPACITY 179_x000d__x000a_CLASSES U2 &amp; O26 &amp; I64" sqref="A92 B92 C92 D92 E92 F92 G92 H92" xr:uid="{00000000-0002-0000-0C00-000007000000}">
      <formula1>TRUE</formula1>
    </dataValidation>
    <dataValidation type="custom" allowBlank="1" showInputMessage="1" promptTitle="LOAD FACTOR ANALYSIS" prompt="SM-478_x000d__x000a_LF 73.7%_x000d__x000a_SOLD 132_x000d__x000a_LST-SOLD 24NOV_x000d__x000a_WEEKLY 34_x000d__x000a_TO-DAY 2_x000d__x000a_Y-DAY 7_x000d__x000a_LOWEST AVAIL O2_x000d__x000a_CAPACITY 179_x000d__x000a_CLASSES S2 &amp; X4 &amp; U18 &amp; +4 more" sqref="A93 B93 C93 D93 E93 F93 G93 H93" xr:uid="{00000000-0002-0000-0C00-000008000000}">
      <formula1>TRUE</formula1>
    </dataValidation>
    <dataValidation type="custom" allowBlank="1" showInputMessage="1" promptTitle="LOAD FACTOR ANALYSIS" prompt="SM-432_x000d__x000a_LF 32.4%_x000d__x000a_SOLD 58_x000d__x000a_LST-SOLD 24NOV_x000d__x000a_WEEKLY 36_x000d__x000a_TO-DAY 2_x000d__x000a_Y-DAY 4_x000d__x000a_LOWEST AVAIL I9_x000d__x000a_CAPACITY 179_x000d__x000a_CLASSES S1 &amp; O6 &amp; I51" sqref="A166 B166 C166 D166 E166 F166 G166 H166" xr:uid="{00000000-0002-0000-0C00-000009000000}">
      <formula1>TRUE</formula1>
    </dataValidation>
    <dataValidation type="custom" allowBlank="1" showInputMessage="1" promptTitle="LOAD FACTOR ANALYSIS" prompt="SM-450_x000d__x000a_LF 39.1%_x000d__x000a_SOLD 70_x000d__x000a_LST-SOLD 23NOV_x000d__x000a_WEEKLY 33_x000d__x000a_TO-DAY NIL_x000d__x000a_Y-DAY 11_x000d__x000a_LOWEST AVAIL I2_x000d__x000a_CAPACITY 179_x000d__x000a_CLASSES I41 &amp; E28 &amp; N1" sqref="A167 B167 C167 D167 E167 F167 G167 H167" xr:uid="{00000000-0002-0000-0C00-00000A000000}">
      <formula1>TRUE</formula1>
    </dataValidation>
    <dataValidation type="custom" allowBlank="1" showInputMessage="1" promptTitle="LOAD FACTOR ANALYSIS" prompt="SM-424_x000d__x000a_LF 50.3%_x000d__x000a_SOLD 90_x000d__x000a_LST-SOLD 23NOV_x000d__x000a_WEEKLY 6_x000d__x000a_TO-DAY NIL_x000d__x000a_Y-DAY 1_x000d__x000a_LOWEST AVAIL O9_x000d__x000a_CAPACITY 179_x000d__x000a_CLASSES X1 &amp; U1 &amp; O4 &amp; +1 more" sqref="A168 B168 C168 D168 E168 F168 G168 H168" xr:uid="{00000000-0002-0000-0C00-00000B000000}">
      <formula1>TRUE</formula1>
    </dataValidation>
    <dataValidation type="custom" allowBlank="1" showInputMessage="1" promptTitle="LOAD FACTOR ANALYSIS" prompt="SM-472_x000d__x000a_LF 29.6%_x000d__x000a_SOLD 53_x000d__x000a_LST-SOLD 23NOV_x000d__x000a_WEEKLY 24_x000d__x000a_TO-DAY NIL_x000d__x000a_Y-DAY 1_x000d__x000a_LOWEST AVAIL O9_x000d__x000a_CAPACITY 179_x000d__x000a_CLASSES S5 &amp; U4 &amp; O14 &amp; +1 more" sqref="A169 B169 C169 D169 E169 F169 G169 H169" xr:uid="{00000000-0002-0000-0C00-00000C000000}">
      <formula1>TRUE</formula1>
    </dataValidation>
    <dataValidation type="custom" allowBlank="1" showInputMessage="1" promptTitle="LOAD FACTOR ANALYSIS" prompt="SM-476_x000d__x000a_LF 81.0%_x000d__x000a_SOLD 145_x000d__x000a_LST-SOLD 21NOV_x000d__x000a_WEEKLY 2_x000d__x000a_TO-DAY NIL_x000d__x000a_Y-DAY NIL_x000d__x000a_LOWEST AVAIL O5_x000d__x000a_CAPACITY 179_x000d__x000a_CLASSES S1 &amp; O2 &amp; I10 &amp; +1 more" sqref="A170 B170 C170 D170 E170 F170 G170 H170" xr:uid="{00000000-0002-0000-0C00-00000D000000}">
      <formula1>TRUE</formula1>
    </dataValidation>
    <dataValidation type="custom" allowBlank="1" showInputMessage="1" promptTitle="LOAD FACTOR ANALYSIS" prompt="SM-478_x000d__x000a_LF 96.7%_x000d__x000a_SOLD 173_x000d__x000a_LST-SOLD 23NOV_x000d__x000a_WEEKLY 54_x000d__x000a_TO-DAY NIL_x000d__x000a_Y-DAY 16_x000d__x000a_LOWEST AVAIL O3_x000d__x000a_CAPACITY 179_x000d__x000a_CLASSES S4 &amp; U3 &amp; O22 &amp; +2 more" sqref="A171 B171 C171 D171 E171 F171 G171 H171" xr:uid="{00000000-0002-0000-0C00-00000E000000}">
      <formula1>TRUE</formula1>
    </dataValidation>
    <dataValidation type="custom" allowBlank="1" showInputMessage="1" promptTitle="LOAD FACTOR ANALYSIS" prompt="SM-480_x000d__x000a_LF 70.4%_x000d__x000a_SOLD 126_x000d__x000a_LST-SOLD 23NOV_x000d__x000a_WEEKLY 53_x000d__x000a_TO-DAY NIL_x000d__x000a_Y-DAY 2_x000d__x000a_LOWEST AVAIL U9_x000d__x000a_CAPACITY 179_x000d__x000a_CLASSES S1 &amp; U4 &amp; O30 &amp; +3 more" sqref="A172 B172 C172 D172 E172 F172 G172 H172" xr:uid="{00000000-0002-0000-0C00-00000F000000}">
      <formula1>TRUE</formula1>
    </dataValidation>
    <dataValidation type="custom" allowBlank="1" showInputMessage="1" promptTitle="LOAD FACTOR ANALYSIS" prompt="SM-424_x000d__x000a_LF 35.8%_x000d__x000a_SOLD 64_x000d__x000a_LST-SOLD 23NOV_x000d__x000a_WEEKLY 35_x000d__x000a_TO-DAY NIL_x000d__x000a_Y-DAY 8_x000d__x000a_LOWEST AVAIL I9_x000d__x000a_CAPACITY 179_x000d__x000a_CLASSES B1 &amp; U4 &amp; O9 &amp; +1 more" sqref="A240 B240 C240 D240 E240 F240 G240 H240" xr:uid="{00000000-0002-0000-0C00-000010000000}">
      <formula1>TRUE</formula1>
    </dataValidation>
    <dataValidation type="custom" allowBlank="1" showInputMessage="1" promptTitle="LOAD FACTOR ANALYSIS" prompt="SM-476_x000d__x000a_LF 35.2%_x000d__x000a_SOLD 63_x000d__x000a_LST-SOLD 23NOV_x000d__x000a_WEEKLY 33_x000d__x000a_TO-DAY NIL_x000d__x000a_Y-DAY 5_x000d__x000a_LOWEST AVAIL I9_x000d__x000a_CAPACITY 179_x000d__x000a_CLASSES S3 &amp; O9 &amp; I50 &amp; +1 more" sqref="A241 B241 C241 D241 E241 F241 G241 H241" xr:uid="{00000000-0002-0000-0C00-000011000000}">
      <formula1>TRUE</formula1>
    </dataValidation>
    <dataValidation type="custom" allowBlank="1" showInputMessage="1" promptTitle="LOAD FACTOR ANALYSIS" prompt="SM-478_x000d__x000a_LF 55.3%_x000d__x000a_SOLD 99_x000d__x000a_LST-SOLD 24NOV_x000d__x000a_WEEKLY 46_x000d__x000a_TO-DAY 1_x000d__x000a_Y-DAY 14_x000d__x000a_LOWEST AVAIL I4_x000d__x000a_CAPACITY 179_x000d__x000a_CLASSES S1 &amp; O18 &amp; I41 &amp; +1 more" sqref="A242 B242 C242 D242 E242 F242 G242 H242" xr:uid="{00000000-0002-0000-0C00-000012000000}">
      <formula1>TRUE</formula1>
    </dataValidation>
    <dataValidation type="custom" allowBlank="1" showInputMessage="1" promptTitle="LOAD FACTOR ANALYSIS" prompt="SM-472_x000d__x000a_LF 57.0%_x000d__x000a_SOLD 102_x000d__x000a_LST-SOLD 23NOV_x000d__x000a_WEEKLY 63_x000d__x000a_TO-DAY NIL_x000d__x000a_Y-DAY 6_x000d__x000a_LOWEST AVAIL O1_x000d__x000a_CAPACITY 179_x000d__x000a_CLASSES S4 &amp; U12 &amp; O46 &amp; +3 more" sqref="A243 B243 C243 D243 E243 F243 G243 H243" xr:uid="{00000000-0002-0000-0C00-000013000000}">
      <formula1>TRUE</formula1>
    </dataValidation>
    <dataValidation type="custom" allowBlank="1" showInputMessage="1" promptTitle="LOAD FACTOR ANALYSIS" prompt="SM-480_x000d__x000a_LF 78.2%_x000d__x000a_SOLD 140_x000d__x000a_LST-SOLD 24NOV_x000d__x000a_WEEKLY 48_x000d__x000a_TO-DAY 1_x000d__x000a_Y-DAY 8_x000d__x000a_LOWEST AVAIL O9_x000d__x000a_CAPACITY 179_x000d__x000a_CLASSES L1 &amp; G1 &amp; S1 &amp; +4 more" sqref="A244 B244 C244 D244 E244 F244 G244 H244" xr:uid="{00000000-0002-0000-0C00-000014000000}">
      <formula1>TRUE</formula1>
    </dataValidation>
    <dataValidation type="custom" allowBlank="1" showInputMessage="1" promptTitle="LOAD FACTOR ANALYSIS" prompt="SM460_x000d__x000a_LF 93.8%_x000d__x000a_SOLD 168_x000d__x000a_LST-SOLD 23NOV_x000d__x000a_WEEKLY 8_x000d__x000a_TO-DAY NIL_x000d__x000a_Y-DAY 2_x000d__x000a_LOWEST AVAIL CLOSED_x000d__x000a_CAPACITY 179_x000d__x000a_CLASSES S5 &amp; W3 &amp; U16 &amp; +3 more" sqref="A245 B245 C245 D245 E245 F245 G245 H245" xr:uid="{00000000-0002-0000-0C00-000015000000}">
      <formula1>TRUE</formula1>
    </dataValidation>
    <dataValidation type="custom" allowBlank="1" showInputMessage="1" promptTitle="LOAD FACTOR ANALYSIS" prompt="SM-450_x000d__x000a_LF 82.7%_x000d__x000a_SOLD 148_x000d__x000a_LST-SOLD 23NOV_x000d__x000a_WEEKLY 95_x000d__x000a_TO-DAY NIL_x000d__x000a_Y-DAY 14_x000d__x000a_LOWEST AVAIL O8_x000d__x000a_CAPACITY 179_x000d__x000a_CLASSES S2 &amp; W1 &amp; X3 &amp; +4 more" sqref="A330 B330 C330 D330 E330 F330 G330 H330" xr:uid="{00000000-0002-0000-0C00-000016000000}">
      <formula1>TRUE</formula1>
    </dataValidation>
    <dataValidation type="custom" allowBlank="1" showInputMessage="1" promptTitle="LOAD FACTOR ANALYSIS" prompt="SM-476_x000d__x000a_LF 91.6%_x000d__x000a_SOLD 164_x000d__x000a_LST-SOLD 23NOV_x000d__x000a_WEEKLY 34_x000d__x000a_TO-DAY NIL_x000d__x000a_Y-DAY 9_x000d__x000a_LOWEST AVAIL O1_x000d__x000a_CAPACITY 179_x000d__x000a_CLASSES S3 &amp; X1 &amp; U10 &amp; +4 more" sqref="A331 B331 C331 D331 E331 F331 G331 H331" xr:uid="{00000000-0002-0000-0C00-000017000000}">
      <formula1>TRUE</formula1>
    </dataValidation>
    <dataValidation type="custom" allowBlank="1" showInputMessage="1" promptTitle="LOAD FACTOR ANALYSIS" prompt="SM-478_x000d__x000a_LF 90.5%_x000d__x000a_SOLD 162_x000d__x000a_LST-SOLD 23NOV_x000d__x000a_WEEKLY 45_x000d__x000a_TO-DAY NIL_x000d__x000a_Y-DAY 7_x000d__x000a_LOWEST AVAIL U6_x000d__x000a_CAPACITY 179_x000d__x000a_CLASSES S1 &amp; T9 &amp; X9 &amp; +4 more" sqref="A332 B332 C332 D332 E332 F332 G332 H332" xr:uid="{00000000-0002-0000-0C00-000018000000}">
      <formula1>TRUE</formula1>
    </dataValidation>
    <dataValidation type="custom" allowBlank="1" showInputMessage="1" promptTitle="LOAD FACTOR ANALYSIS" prompt="SM-424_x000d__x000a_LF 67.6%_x000d__x000a_SOLD 121_x000d__x000a_LST-SOLD 24NOV_x000d__x000a_WEEKLY 10_x000d__x000a_TO-DAY 2_x000d__x000a_Y-DAY 2_x000d__x000a_LOWEST AVAIL O9_x000d__x000a_CAPACITY 179_x000d__x000a_CLASSES S2 &amp; W2 &amp; X3 &amp; +4 more" sqref="A418 B418 C418 D418 E418 F418 G418 H418" xr:uid="{00000000-0002-0000-0C00-000019000000}">
      <formula1>TRUE</formula1>
    </dataValidation>
    <dataValidation type="custom" allowBlank="1" showInputMessage="1" promptTitle="LOAD FACTOR ANALYSIS" prompt="SM-432_x000d__x000a_LF 62.5%_x000d__x000a_SOLD 105_x000d__x000a_LST-SOLD 23NOV_x000d__x000a_WEEKLY 6_x000d__x000a_TO-DAY NIL_x000d__x000a_Y-DAY 3_x000d__x000a_LOWEST AVAIL O9_x000d__x000a_CAPACITY 168_x000d__x000a_CLASSES U4 &amp; O13 &amp; I5 &amp; +1 more" sqref="A419 B419 C419 D419 E419 F419 G419 H419" xr:uid="{00000000-0002-0000-0C00-00001A000000}">
      <formula1>TRUE</formula1>
    </dataValidation>
    <dataValidation type="custom" allowBlank="1" showInputMessage="1" promptTitle="LOAD FACTOR ANALYSIS" prompt="SM-476_x000d__x000a_LF 76.5%_x000d__x000a_SOLD 137_x000d__x000a_LST-SOLD 23NOV_x000d__x000a_WEEKLY 59_x000d__x000a_TO-DAY NIL_x000d__x000a_Y-DAY 1_x000d__x000a_LOWEST AVAIL O6_x000d__x000a_CAPACITY 179_x000d__x000a_CLASSES S2 &amp; U4 &amp; O29 &amp; +2 more" sqref="A420 B420 C420 D420 E420 F420 G420 H420" xr:uid="{00000000-0002-0000-0C00-00001B000000}">
      <formula1>TRUE</formula1>
    </dataValidation>
    <dataValidation type="custom" allowBlank="1" showInputMessage="1" promptTitle="LOAD FACTOR ANALYSIS" prompt="SM-460_x000d__x000a_LF 93.3%_x000d__x000a_SOLD 167_x000d__x000a_LST-SOLD 22NOV_x000d__x000a_WEEKLY 5_x000d__x000a_TO-DAY NIL_x000d__x000a_Y-DAY NIL_x000d__x000a_LOWEST AVAIL X1_x000d__x000a_CAPACITY 179_x000d__x000a_CLASSES X2 &amp; O3 &amp; I5 &amp; +1 more" sqref="A421 B421 C421 D421 E421 F421 G421 H421" xr:uid="{00000000-0002-0000-0C00-00001C000000}">
      <formula1>TRUE</formula1>
    </dataValidation>
    <dataValidation type="custom" allowBlank="1" showInputMessage="1" promptTitle="LOAD FACTOR ANALYSIS" prompt="SM478_x000d__x000a_LF 96.7%_x000d__x000a_SOLD 173_x000d__x000a_LST-SOLD 21NOV_x000d__x000a_WEEKLY 3_x000d__x000a_TO-DAY NIL_x000d__x000a_Y-DAY NIL_x000d__x000a_LOWEST AVAIL CLOSED_x000d__x000a_CAPACITY 179_x000d__x000a_CLASSES K1 &amp; S4 &amp; X7 &amp; +6 more" sqref="A422 B422 C422 D422 E422 F422 G422 H422" xr:uid="{00000000-0002-0000-0C00-00001D000000}">
      <formula1>TRUE</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147"/>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20.7773437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9.21875" bestFit="1" customWidth="1"/>
  </cols>
  <sheetData>
    <row r="1" spans="1:92" ht="28.8" customHeight="1" x14ac:dyDescent="0.3">
      <c r="A1" s="305" t="s">
        <v>0</v>
      </c>
      <c r="B1" s="281"/>
      <c r="C1" s="281"/>
      <c r="D1" s="305" t="s">
        <v>577</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45985.360340014297</v>
      </c>
      <c r="H2" s="292"/>
      <c r="I2" s="292"/>
      <c r="J2" s="292"/>
      <c r="K2" s="303">
        <v>45985.360340014828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378</v>
      </c>
      <c r="B6" s="8" t="s">
        <v>578</v>
      </c>
      <c r="C6" s="9">
        <v>0.1875</v>
      </c>
      <c r="D6" s="8" t="s">
        <v>579</v>
      </c>
      <c r="E6" s="8" t="s">
        <v>381</v>
      </c>
      <c r="F6" s="8" t="s">
        <v>580</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378</v>
      </c>
      <c r="B7" s="15" t="s">
        <v>578</v>
      </c>
      <c r="C7" s="16">
        <v>0.1875</v>
      </c>
      <c r="D7" s="15" t="s">
        <v>581</v>
      </c>
      <c r="E7" s="15" t="s">
        <v>360</v>
      </c>
      <c r="F7" s="15" t="s">
        <v>582</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378</v>
      </c>
      <c r="B8" s="15" t="s">
        <v>578</v>
      </c>
      <c r="C8" s="16">
        <v>0.1875</v>
      </c>
      <c r="D8" s="15" t="s">
        <v>33</v>
      </c>
      <c r="E8" s="15" t="s">
        <v>360</v>
      </c>
      <c r="F8" s="15" t="s">
        <v>583</v>
      </c>
      <c r="G8" s="285"/>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46" t="s">
        <v>378</v>
      </c>
      <c r="B9" s="46" t="s">
        <v>584</v>
      </c>
      <c r="C9" s="47">
        <v>0.52777777777777779</v>
      </c>
      <c r="D9" s="46" t="s">
        <v>579</v>
      </c>
      <c r="E9" s="46" t="s">
        <v>358</v>
      </c>
      <c r="F9" s="46" t="s">
        <v>585</v>
      </c>
      <c r="G9" s="285"/>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378</v>
      </c>
      <c r="B10" s="15" t="s">
        <v>584</v>
      </c>
      <c r="C10" s="16">
        <v>0.52777777777777779</v>
      </c>
      <c r="D10" s="15" t="s">
        <v>581</v>
      </c>
      <c r="E10" s="15" t="s">
        <v>360</v>
      </c>
      <c r="F10" s="15" t="s">
        <v>586</v>
      </c>
      <c r="G10" s="285"/>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378</v>
      </c>
      <c r="B11" s="15" t="s">
        <v>584</v>
      </c>
      <c r="C11" s="16">
        <v>0.52777777777777779</v>
      </c>
      <c r="D11" s="15" t="s">
        <v>33</v>
      </c>
      <c r="E11" s="15" t="s">
        <v>360</v>
      </c>
      <c r="F11" s="15" t="s">
        <v>107</v>
      </c>
      <c r="G11" s="285"/>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4" t="s">
        <v>25</v>
      </c>
      <c r="B12" s="44" t="s">
        <v>587</v>
      </c>
      <c r="C12" s="45">
        <v>0.25694444444444448</v>
      </c>
      <c r="D12" s="44" t="s">
        <v>588</v>
      </c>
      <c r="E12" s="44" t="s">
        <v>95</v>
      </c>
      <c r="F12" s="44" t="s">
        <v>342</v>
      </c>
      <c r="G12" s="285"/>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25</v>
      </c>
      <c r="B13" s="15" t="s">
        <v>587</v>
      </c>
      <c r="C13" s="16">
        <v>0.25694444444444448</v>
      </c>
      <c r="D13" s="15" t="s">
        <v>579</v>
      </c>
      <c r="E13" s="15" t="s">
        <v>97</v>
      </c>
      <c r="F13" s="15" t="s">
        <v>589</v>
      </c>
      <c r="G13" s="285"/>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25</v>
      </c>
      <c r="B14" s="15" t="s">
        <v>587</v>
      </c>
      <c r="C14" s="16">
        <v>0.25694444444444448</v>
      </c>
      <c r="D14" s="15" t="s">
        <v>581</v>
      </c>
      <c r="E14" s="15" t="s">
        <v>97</v>
      </c>
      <c r="F14" s="15" t="s">
        <v>590</v>
      </c>
      <c r="G14" s="285"/>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25</v>
      </c>
      <c r="B15" s="15" t="s">
        <v>587</v>
      </c>
      <c r="C15" s="16">
        <v>0.25694444444444448</v>
      </c>
      <c r="D15" s="15" t="s">
        <v>591</v>
      </c>
      <c r="E15" s="15" t="s">
        <v>97</v>
      </c>
      <c r="F15" s="15" t="s">
        <v>592</v>
      </c>
      <c r="G15" s="285"/>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4" t="s">
        <v>78</v>
      </c>
      <c r="B16" s="44" t="s">
        <v>593</v>
      </c>
      <c r="C16" s="45">
        <v>0.34027777777777768</v>
      </c>
      <c r="D16" s="44" t="s">
        <v>87</v>
      </c>
      <c r="E16" s="44" t="s">
        <v>58</v>
      </c>
      <c r="F16" s="44" t="s">
        <v>594</v>
      </c>
      <c r="G16" s="285"/>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78</v>
      </c>
      <c r="B17" s="15" t="s">
        <v>593</v>
      </c>
      <c r="C17" s="16">
        <v>0.34027777777777768</v>
      </c>
      <c r="D17" s="15" t="s">
        <v>82</v>
      </c>
      <c r="E17" s="15" t="s">
        <v>61</v>
      </c>
      <c r="F17" s="15" t="s">
        <v>595</v>
      </c>
      <c r="G17" s="285"/>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46" t="s">
        <v>78</v>
      </c>
      <c r="B18" s="46" t="s">
        <v>596</v>
      </c>
      <c r="C18" s="47">
        <v>0.71180555555555547</v>
      </c>
      <c r="D18" s="46" t="s">
        <v>87</v>
      </c>
      <c r="E18" s="46" t="s">
        <v>76</v>
      </c>
      <c r="F18" s="46" t="s">
        <v>594</v>
      </c>
      <c r="G18" s="285"/>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78</v>
      </c>
      <c r="B19" s="15" t="s">
        <v>596</v>
      </c>
      <c r="C19" s="16">
        <v>0.71180555555555547</v>
      </c>
      <c r="D19" s="15" t="s">
        <v>82</v>
      </c>
      <c r="E19" s="15" t="s">
        <v>88</v>
      </c>
      <c r="F19" s="15" t="s">
        <v>595</v>
      </c>
      <c r="G19" s="285"/>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69" t="s">
        <v>35</v>
      </c>
      <c r="B20" s="169" t="s">
        <v>597</v>
      </c>
      <c r="C20" s="170">
        <v>0.70833333333333337</v>
      </c>
      <c r="D20" s="169" t="s">
        <v>131</v>
      </c>
      <c r="E20" s="219"/>
      <c r="F20" s="169" t="s">
        <v>132</v>
      </c>
      <c r="G20" s="285"/>
      <c r="H20" s="28" t="s">
        <v>597</v>
      </c>
      <c r="I20" s="29">
        <v>1</v>
      </c>
      <c r="J20" s="30">
        <v>179</v>
      </c>
      <c r="K20" s="31">
        <v>45985</v>
      </c>
      <c r="L20" s="30">
        <v>8</v>
      </c>
      <c r="M20" s="30">
        <v>3</v>
      </c>
      <c r="N20" s="30">
        <v>0</v>
      </c>
      <c r="O20" s="32" t="s">
        <v>133</v>
      </c>
      <c r="P20" s="33">
        <v>0.70833333333333337</v>
      </c>
      <c r="Q20" s="30">
        <v>179</v>
      </c>
      <c r="R20" s="34" t="s">
        <v>598</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8" x14ac:dyDescent="0.3">
      <c r="A21" s="306" t="s">
        <v>599</v>
      </c>
      <c r="B21" s="307"/>
      <c r="C21" s="307"/>
      <c r="D21" s="307"/>
      <c r="E21" s="307"/>
      <c r="F21" s="307"/>
      <c r="G21" s="285"/>
      <c r="H21" s="171"/>
      <c r="I21" s="171"/>
      <c r="J21" s="171"/>
      <c r="K21" s="171"/>
      <c r="L21" s="171"/>
      <c r="M21" s="171"/>
      <c r="N21" s="171"/>
      <c r="O21" s="172"/>
      <c r="P21" s="171"/>
      <c r="Q21" s="173"/>
      <c r="R21" s="17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46" t="s">
        <v>304</v>
      </c>
      <c r="B22" s="46" t="s">
        <v>305</v>
      </c>
      <c r="C22" s="47" t="s">
        <v>600</v>
      </c>
      <c r="D22" s="46" t="s">
        <v>306</v>
      </c>
      <c r="E22" s="46" t="s">
        <v>246</v>
      </c>
      <c r="F22" s="46" t="s">
        <v>307</v>
      </c>
      <c r="G22" s="285"/>
      <c r="H22" s="171"/>
      <c r="I22" s="171"/>
      <c r="J22" s="171"/>
      <c r="K22" s="171"/>
      <c r="L22" s="171"/>
      <c r="M22" s="171"/>
      <c r="N22" s="171"/>
      <c r="O22" s="172"/>
      <c r="P22" s="171"/>
      <c r="Q22" s="173"/>
      <c r="R22" s="17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46" t="s">
        <v>304</v>
      </c>
      <c r="B23" s="46" t="s">
        <v>308</v>
      </c>
      <c r="C23" s="47" t="s">
        <v>601</v>
      </c>
      <c r="D23" s="46" t="s">
        <v>306</v>
      </c>
      <c r="E23" s="46" t="s">
        <v>248</v>
      </c>
      <c r="F23" s="46" t="s">
        <v>307</v>
      </c>
      <c r="G23" s="285"/>
      <c r="H23" s="171"/>
      <c r="I23" s="171"/>
      <c r="J23" s="171"/>
      <c r="K23" s="171"/>
      <c r="L23" s="171"/>
      <c r="M23" s="171"/>
      <c r="N23" s="171"/>
      <c r="O23" s="172"/>
      <c r="P23" s="171"/>
      <c r="Q23" s="173"/>
      <c r="R23" s="17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46" t="s">
        <v>35</v>
      </c>
      <c r="B24" s="46" t="s">
        <v>309</v>
      </c>
      <c r="C24" s="47" t="s">
        <v>602</v>
      </c>
      <c r="D24" s="46" t="s">
        <v>37</v>
      </c>
      <c r="E24" s="46" t="s">
        <v>248</v>
      </c>
      <c r="F24" s="46" t="s">
        <v>310</v>
      </c>
      <c r="G24" s="285"/>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6" t="s">
        <v>333</v>
      </c>
      <c r="B25" s="46" t="s">
        <v>334</v>
      </c>
      <c r="C25" s="47" t="s">
        <v>603</v>
      </c>
      <c r="D25" s="46" t="s">
        <v>306</v>
      </c>
      <c r="E25" s="46" t="s">
        <v>248</v>
      </c>
      <c r="F25" s="46" t="s">
        <v>310</v>
      </c>
      <c r="G25" s="285"/>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46" t="s">
        <v>25</v>
      </c>
      <c r="B26" s="46" t="s">
        <v>338</v>
      </c>
      <c r="C26" s="47" t="s">
        <v>604</v>
      </c>
      <c r="D26" s="46" t="s">
        <v>27</v>
      </c>
      <c r="E26" s="46" t="s">
        <v>605</v>
      </c>
      <c r="F26" s="46" t="s">
        <v>340</v>
      </c>
      <c r="G26" s="285"/>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46" t="s">
        <v>25</v>
      </c>
      <c r="B27" s="46" t="s">
        <v>343</v>
      </c>
      <c r="C27" s="47" t="s">
        <v>606</v>
      </c>
      <c r="D27" s="46" t="s">
        <v>27</v>
      </c>
      <c r="E27" s="46" t="s">
        <v>246</v>
      </c>
      <c r="F27" s="46" t="s">
        <v>340</v>
      </c>
      <c r="G27" s="285"/>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46" t="s">
        <v>35</v>
      </c>
      <c r="B28" s="46" t="s">
        <v>314</v>
      </c>
      <c r="C28" s="47" t="s">
        <v>607</v>
      </c>
      <c r="D28" s="46" t="s">
        <v>37</v>
      </c>
      <c r="E28" s="46" t="s">
        <v>233</v>
      </c>
      <c r="F28" s="46" t="s">
        <v>315</v>
      </c>
      <c r="G28" s="285"/>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6" t="s">
        <v>55</v>
      </c>
      <c r="B29" s="46" t="s">
        <v>349</v>
      </c>
      <c r="C29" s="47" t="s">
        <v>608</v>
      </c>
      <c r="D29" s="46" t="s">
        <v>60</v>
      </c>
      <c r="E29" s="46" t="s">
        <v>248</v>
      </c>
      <c r="F29" s="46" t="s">
        <v>350</v>
      </c>
      <c r="G29" s="285"/>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46" t="s">
        <v>25</v>
      </c>
      <c r="B30" s="46" t="s">
        <v>344</v>
      </c>
      <c r="C30" s="47" t="s">
        <v>609</v>
      </c>
      <c r="D30" s="46" t="s">
        <v>27</v>
      </c>
      <c r="E30" s="46" t="s">
        <v>264</v>
      </c>
      <c r="F30" s="46" t="s">
        <v>345</v>
      </c>
      <c r="G30" s="285"/>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61" t="s">
        <v>25</v>
      </c>
      <c r="B31" s="61" t="s">
        <v>347</v>
      </c>
      <c r="C31" s="62" t="s">
        <v>610</v>
      </c>
      <c r="D31" s="61" t="s">
        <v>27</v>
      </c>
      <c r="E31" s="61" t="s">
        <v>247</v>
      </c>
      <c r="F31" s="61" t="s">
        <v>345</v>
      </c>
      <c r="G31" s="286"/>
      <c r="H31" s="174"/>
      <c r="I31" s="174"/>
      <c r="J31" s="174"/>
      <c r="K31" s="174"/>
      <c r="L31" s="174"/>
      <c r="M31" s="174"/>
      <c r="N31" s="174"/>
      <c r="O31" s="175"/>
      <c r="P31" s="174"/>
      <c r="Q31" s="176"/>
      <c r="R31" s="17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295"/>
      <c r="B32" s="296"/>
      <c r="C32" s="296"/>
      <c r="D32" s="296"/>
      <c r="E32" s="296"/>
      <c r="F32" s="296"/>
      <c r="G32" s="289"/>
      <c r="H32" s="297"/>
      <c r="I32" s="297"/>
      <c r="J32" s="297"/>
      <c r="K32" s="297"/>
      <c r="L32" s="297"/>
      <c r="M32" s="297"/>
      <c r="N32" s="297"/>
      <c r="O32" s="298"/>
      <c r="P32" s="297"/>
      <c r="Q32" s="289"/>
      <c r="R32" s="29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05" customHeight="1" x14ac:dyDescent="0.3">
      <c r="A33" s="282" t="s">
        <v>5</v>
      </c>
      <c r="B33" s="283"/>
      <c r="C33" s="283"/>
      <c r="D33" s="283"/>
      <c r="E33" s="283"/>
      <c r="F33" s="283"/>
      <c r="G33" s="5">
        <v>45987</v>
      </c>
      <c r="H33" s="278" t="s">
        <v>6</v>
      </c>
      <c r="I33" s="279"/>
      <c r="J33" s="279"/>
      <c r="K33" s="279"/>
      <c r="L33" s="279"/>
      <c r="M33" s="279"/>
      <c r="N33" s="279"/>
      <c r="O33" s="279"/>
      <c r="P33" s="279"/>
      <c r="Q33" s="279"/>
      <c r="R33" s="27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x14ac:dyDescent="0.3">
      <c r="A34" s="55" t="s">
        <v>7</v>
      </c>
      <c r="B34" s="55" t="s">
        <v>8</v>
      </c>
      <c r="C34" s="56" t="s">
        <v>9</v>
      </c>
      <c r="D34" s="55" t="s">
        <v>10</v>
      </c>
      <c r="E34" s="55" t="s">
        <v>11</v>
      </c>
      <c r="F34" s="55" t="s">
        <v>12</v>
      </c>
      <c r="G34" s="57" t="s">
        <v>13</v>
      </c>
      <c r="H34" s="55" t="s">
        <v>14</v>
      </c>
      <c r="I34" s="58" t="s">
        <v>15</v>
      </c>
      <c r="J34" s="59" t="s">
        <v>16</v>
      </c>
      <c r="K34" s="60" t="s">
        <v>17</v>
      </c>
      <c r="L34" s="59" t="s">
        <v>18</v>
      </c>
      <c r="M34" s="59" t="s">
        <v>19</v>
      </c>
      <c r="N34" s="59" t="s">
        <v>20</v>
      </c>
      <c r="O34" s="55" t="s">
        <v>21</v>
      </c>
      <c r="P34" s="56" t="s">
        <v>22</v>
      </c>
      <c r="Q34" s="59" t="s">
        <v>23</v>
      </c>
      <c r="R34" s="55"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8" t="s">
        <v>378</v>
      </c>
      <c r="B35" s="8" t="s">
        <v>578</v>
      </c>
      <c r="C35" s="9">
        <v>0.3298611111111111</v>
      </c>
      <c r="D35" s="8" t="s">
        <v>579</v>
      </c>
      <c r="E35" s="8" t="s">
        <v>58</v>
      </c>
      <c r="F35" s="8" t="s">
        <v>611</v>
      </c>
      <c r="G35" s="284"/>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378</v>
      </c>
      <c r="B36" s="15" t="s">
        <v>578</v>
      </c>
      <c r="C36" s="16">
        <v>0.3298611111111111</v>
      </c>
      <c r="D36" s="15" t="s">
        <v>581</v>
      </c>
      <c r="E36" s="15" t="s">
        <v>61</v>
      </c>
      <c r="F36" s="15" t="s">
        <v>612</v>
      </c>
      <c r="G36" s="285"/>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378</v>
      </c>
      <c r="B37" s="15" t="s">
        <v>578</v>
      </c>
      <c r="C37" s="16">
        <v>0.3298611111111111</v>
      </c>
      <c r="D37" s="15" t="s">
        <v>33</v>
      </c>
      <c r="E37" s="15" t="s">
        <v>61</v>
      </c>
      <c r="F37" s="15" t="s">
        <v>613</v>
      </c>
      <c r="G37" s="285"/>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44" t="s">
        <v>66</v>
      </c>
      <c r="B38" s="44" t="s">
        <v>614</v>
      </c>
      <c r="C38" s="45">
        <v>0.60416666666666663</v>
      </c>
      <c r="D38" s="44" t="s">
        <v>68</v>
      </c>
      <c r="E38" s="44" t="s">
        <v>95</v>
      </c>
      <c r="F38" s="44" t="s">
        <v>615</v>
      </c>
      <c r="G38" s="285"/>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44" t="s">
        <v>78</v>
      </c>
      <c r="B39" s="44" t="s">
        <v>596</v>
      </c>
      <c r="C39" s="45">
        <v>0.71180555555555547</v>
      </c>
      <c r="D39" s="44" t="s">
        <v>87</v>
      </c>
      <c r="E39" s="44" t="s">
        <v>135</v>
      </c>
      <c r="F39" s="44" t="s">
        <v>594</v>
      </c>
      <c r="G39" s="285"/>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78</v>
      </c>
      <c r="B40" s="15" t="s">
        <v>596</v>
      </c>
      <c r="C40" s="16">
        <v>0.71180555555555547</v>
      </c>
      <c r="D40" s="15" t="s">
        <v>82</v>
      </c>
      <c r="E40" s="15" t="s">
        <v>136</v>
      </c>
      <c r="F40" s="15" t="s">
        <v>595</v>
      </c>
      <c r="G40" s="285"/>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211" t="s">
        <v>35</v>
      </c>
      <c r="B41" s="211" t="s">
        <v>616</v>
      </c>
      <c r="C41" s="212">
        <v>0.40972222222222232</v>
      </c>
      <c r="D41" s="211" t="s">
        <v>131</v>
      </c>
      <c r="E41" s="220"/>
      <c r="F41" s="211" t="s">
        <v>132</v>
      </c>
      <c r="G41" s="285"/>
      <c r="H41" s="37" t="s">
        <v>616</v>
      </c>
      <c r="I41" s="38">
        <v>1</v>
      </c>
      <c r="J41" s="39">
        <v>179</v>
      </c>
      <c r="K41" s="40">
        <v>45985</v>
      </c>
      <c r="L41" s="39">
        <v>16</v>
      </c>
      <c r="M41" s="39">
        <v>5</v>
      </c>
      <c r="N41" s="39">
        <v>0</v>
      </c>
      <c r="O41" s="41" t="s">
        <v>133</v>
      </c>
      <c r="P41" s="42">
        <v>0.40972222222222232</v>
      </c>
      <c r="Q41" s="39">
        <v>179</v>
      </c>
      <c r="R41" s="43" t="s">
        <v>617</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208" t="s">
        <v>35</v>
      </c>
      <c r="B42" s="208" t="s">
        <v>597</v>
      </c>
      <c r="C42" s="209">
        <v>0.65625</v>
      </c>
      <c r="D42" s="208" t="s">
        <v>131</v>
      </c>
      <c r="E42" s="210"/>
      <c r="F42" s="208" t="s">
        <v>132</v>
      </c>
      <c r="G42" s="285"/>
      <c r="H42" s="84" t="s">
        <v>597</v>
      </c>
      <c r="I42" s="85">
        <v>1</v>
      </c>
      <c r="J42" s="86">
        <v>179</v>
      </c>
      <c r="K42" s="87">
        <v>45979</v>
      </c>
      <c r="L42" s="86">
        <v>12</v>
      </c>
      <c r="M42" s="86">
        <v>0</v>
      </c>
      <c r="N42" s="86">
        <v>0</v>
      </c>
      <c r="O42" s="88" t="s">
        <v>133</v>
      </c>
      <c r="P42" s="89">
        <v>0.65625</v>
      </c>
      <c r="Q42" s="86">
        <v>179</v>
      </c>
      <c r="R42" s="90" t="s">
        <v>618</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26" t="s">
        <v>35</v>
      </c>
      <c r="B43" s="26" t="s">
        <v>619</v>
      </c>
      <c r="C43" s="27">
        <v>0.71875</v>
      </c>
      <c r="D43" s="26" t="s">
        <v>131</v>
      </c>
      <c r="E43" s="221"/>
      <c r="F43" s="26" t="s">
        <v>132</v>
      </c>
      <c r="G43" s="285"/>
      <c r="H43" s="28" t="s">
        <v>619</v>
      </c>
      <c r="I43" s="29">
        <v>1</v>
      </c>
      <c r="J43" s="30">
        <v>179</v>
      </c>
      <c r="K43" s="31">
        <v>45982</v>
      </c>
      <c r="L43" s="30">
        <v>15</v>
      </c>
      <c r="M43" s="30">
        <v>0</v>
      </c>
      <c r="N43" s="30">
        <v>0</v>
      </c>
      <c r="O43" s="32" t="s">
        <v>133</v>
      </c>
      <c r="P43" s="33">
        <v>0.71875</v>
      </c>
      <c r="Q43" s="30">
        <v>179</v>
      </c>
      <c r="R43" s="34" t="s">
        <v>620</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8" x14ac:dyDescent="0.3">
      <c r="A44" s="306" t="s">
        <v>599</v>
      </c>
      <c r="B44" s="307"/>
      <c r="C44" s="307"/>
      <c r="D44" s="307"/>
      <c r="E44" s="307"/>
      <c r="F44" s="307"/>
      <c r="G44" s="285"/>
      <c r="H44" s="171"/>
      <c r="I44" s="171"/>
      <c r="J44" s="171"/>
      <c r="K44" s="171"/>
      <c r="L44" s="171"/>
      <c r="M44" s="171"/>
      <c r="N44" s="171"/>
      <c r="O44" s="172"/>
      <c r="P44" s="171"/>
      <c r="Q44" s="173"/>
      <c r="R44" s="17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46" t="s">
        <v>304</v>
      </c>
      <c r="B45" s="46" t="s">
        <v>305</v>
      </c>
      <c r="C45" s="47" t="s">
        <v>621</v>
      </c>
      <c r="D45" s="46" t="s">
        <v>306</v>
      </c>
      <c r="E45" s="46" t="s">
        <v>233</v>
      </c>
      <c r="F45" s="46" t="s">
        <v>307</v>
      </c>
      <c r="G45" s="285"/>
      <c r="H45" s="171"/>
      <c r="I45" s="171"/>
      <c r="J45" s="171"/>
      <c r="K45" s="171"/>
      <c r="L45" s="171"/>
      <c r="M45" s="171"/>
      <c r="N45" s="171"/>
      <c r="O45" s="172"/>
      <c r="P45" s="171"/>
      <c r="Q45" s="173"/>
      <c r="R45" s="17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46" t="s">
        <v>25</v>
      </c>
      <c r="B46" s="46" t="s">
        <v>344</v>
      </c>
      <c r="C46" s="47" t="s">
        <v>609</v>
      </c>
      <c r="D46" s="46" t="s">
        <v>27</v>
      </c>
      <c r="E46" s="46" t="s">
        <v>259</v>
      </c>
      <c r="F46" s="46" t="s">
        <v>340</v>
      </c>
      <c r="G46" s="285"/>
      <c r="H46" s="171"/>
      <c r="I46" s="171"/>
      <c r="J46" s="171"/>
      <c r="K46" s="171"/>
      <c r="L46" s="171"/>
      <c r="M46" s="171"/>
      <c r="N46" s="171"/>
      <c r="O46" s="172"/>
      <c r="P46" s="171"/>
      <c r="Q46" s="173"/>
      <c r="R46" s="17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46" t="s">
        <v>25</v>
      </c>
      <c r="B47" s="46" t="s">
        <v>338</v>
      </c>
      <c r="C47" s="47" t="s">
        <v>604</v>
      </c>
      <c r="D47" s="46" t="s">
        <v>27</v>
      </c>
      <c r="E47" s="46" t="s">
        <v>622</v>
      </c>
      <c r="F47" s="46" t="s">
        <v>340</v>
      </c>
      <c r="G47" s="285"/>
      <c r="H47" s="171"/>
      <c r="I47" s="171"/>
      <c r="J47" s="171"/>
      <c r="K47" s="171"/>
      <c r="L47" s="171"/>
      <c r="M47" s="171"/>
      <c r="N47" s="171"/>
      <c r="O47" s="172"/>
      <c r="P47" s="171"/>
      <c r="Q47" s="173"/>
      <c r="R47" s="17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46" t="s">
        <v>25</v>
      </c>
      <c r="B48" s="46" t="s">
        <v>347</v>
      </c>
      <c r="C48" s="47" t="s">
        <v>610</v>
      </c>
      <c r="D48" s="46" t="s">
        <v>27</v>
      </c>
      <c r="E48" s="46" t="s">
        <v>623</v>
      </c>
      <c r="F48" s="46" t="s">
        <v>340</v>
      </c>
      <c r="G48" s="285"/>
      <c r="H48" s="171"/>
      <c r="I48" s="171"/>
      <c r="J48" s="171"/>
      <c r="K48" s="171"/>
      <c r="L48" s="171"/>
      <c r="M48" s="171"/>
      <c r="N48" s="171"/>
      <c r="O48" s="172"/>
      <c r="P48" s="171"/>
      <c r="Q48" s="173"/>
      <c r="R48" s="17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46" t="s">
        <v>25</v>
      </c>
      <c r="B49" s="46" t="s">
        <v>343</v>
      </c>
      <c r="C49" s="47" t="s">
        <v>606</v>
      </c>
      <c r="D49" s="46" t="s">
        <v>27</v>
      </c>
      <c r="E49" s="46" t="s">
        <v>624</v>
      </c>
      <c r="F49" s="46" t="s">
        <v>340</v>
      </c>
      <c r="G49" s="285"/>
      <c r="H49" s="171"/>
      <c r="I49" s="171"/>
      <c r="J49" s="171"/>
      <c r="K49" s="171"/>
      <c r="L49" s="171"/>
      <c r="M49" s="171"/>
      <c r="N49" s="171"/>
      <c r="O49" s="172"/>
      <c r="P49" s="171"/>
      <c r="Q49" s="173"/>
      <c r="R49" s="17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46" t="s">
        <v>35</v>
      </c>
      <c r="B50" s="46" t="s">
        <v>324</v>
      </c>
      <c r="C50" s="47" t="s">
        <v>625</v>
      </c>
      <c r="D50" s="46" t="s">
        <v>37</v>
      </c>
      <c r="E50" s="46" t="s">
        <v>235</v>
      </c>
      <c r="F50" s="46" t="s">
        <v>315</v>
      </c>
      <c r="G50" s="285"/>
      <c r="H50" s="171"/>
      <c r="I50" s="171"/>
      <c r="J50" s="171"/>
      <c r="K50" s="171"/>
      <c r="L50" s="171"/>
      <c r="M50" s="171"/>
      <c r="N50" s="171"/>
      <c r="O50" s="172"/>
      <c r="P50" s="171"/>
      <c r="Q50" s="173"/>
      <c r="R50" s="17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46" t="s">
        <v>35</v>
      </c>
      <c r="B51" s="46" t="s">
        <v>314</v>
      </c>
      <c r="C51" s="47" t="s">
        <v>626</v>
      </c>
      <c r="D51" s="46" t="s">
        <v>37</v>
      </c>
      <c r="E51" s="46" t="s">
        <v>235</v>
      </c>
      <c r="F51" s="46" t="s">
        <v>315</v>
      </c>
      <c r="G51" s="285"/>
      <c r="H51" s="171"/>
      <c r="I51" s="171"/>
      <c r="J51" s="171"/>
      <c r="K51" s="171"/>
      <c r="L51" s="171"/>
      <c r="M51" s="171"/>
      <c r="N51" s="171"/>
      <c r="O51" s="172"/>
      <c r="P51" s="171"/>
      <c r="Q51" s="173"/>
      <c r="R51" s="17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46" t="s">
        <v>35</v>
      </c>
      <c r="B52" s="46" t="s">
        <v>413</v>
      </c>
      <c r="C52" s="47" t="s">
        <v>627</v>
      </c>
      <c r="D52" s="46" t="s">
        <v>37</v>
      </c>
      <c r="E52" s="46" t="s">
        <v>246</v>
      </c>
      <c r="F52" s="46" t="s">
        <v>315</v>
      </c>
      <c r="G52" s="285"/>
      <c r="H52" s="171"/>
      <c r="I52" s="171"/>
      <c r="J52" s="171"/>
      <c r="K52" s="171"/>
      <c r="L52" s="171"/>
      <c r="M52" s="171"/>
      <c r="N52" s="171"/>
      <c r="O52" s="172"/>
      <c r="P52" s="171"/>
      <c r="Q52" s="173"/>
      <c r="R52" s="17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46" t="s">
        <v>55</v>
      </c>
      <c r="B53" s="46" t="s">
        <v>357</v>
      </c>
      <c r="C53" s="47" t="s">
        <v>628</v>
      </c>
      <c r="D53" s="46" t="s">
        <v>60</v>
      </c>
      <c r="E53" s="46" t="s">
        <v>233</v>
      </c>
      <c r="F53" s="46" t="s">
        <v>350</v>
      </c>
      <c r="G53" s="285"/>
      <c r="H53" s="171"/>
      <c r="I53" s="171"/>
      <c r="J53" s="171"/>
      <c r="K53" s="171"/>
      <c r="L53" s="171"/>
      <c r="M53" s="171"/>
      <c r="N53" s="171"/>
      <c r="O53" s="172"/>
      <c r="P53" s="171"/>
      <c r="Q53" s="173"/>
      <c r="R53" s="17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61" t="s">
        <v>55</v>
      </c>
      <c r="B54" s="61" t="s">
        <v>352</v>
      </c>
      <c r="C54" s="62" t="s">
        <v>265</v>
      </c>
      <c r="D54" s="61" t="s">
        <v>60</v>
      </c>
      <c r="E54" s="61" t="s">
        <v>233</v>
      </c>
      <c r="F54" s="61" t="s">
        <v>350</v>
      </c>
      <c r="G54" s="286"/>
      <c r="H54" s="174"/>
      <c r="I54" s="174"/>
      <c r="J54" s="174"/>
      <c r="K54" s="174"/>
      <c r="L54" s="174"/>
      <c r="M54" s="174"/>
      <c r="N54" s="174"/>
      <c r="O54" s="175"/>
      <c r="P54" s="174"/>
      <c r="Q54" s="176"/>
      <c r="R54" s="17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95"/>
      <c r="B55" s="296"/>
      <c r="C55" s="296"/>
      <c r="D55" s="296"/>
      <c r="E55" s="296"/>
      <c r="F55" s="296"/>
      <c r="G55" s="289"/>
      <c r="H55" s="297"/>
      <c r="I55" s="297"/>
      <c r="J55" s="297"/>
      <c r="K55" s="297"/>
      <c r="L55" s="297"/>
      <c r="M55" s="297"/>
      <c r="N55" s="297"/>
      <c r="O55" s="298"/>
      <c r="P55" s="297"/>
      <c r="Q55" s="289"/>
      <c r="R55" s="29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82" t="s">
        <v>5</v>
      </c>
      <c r="B56" s="283"/>
      <c r="C56" s="283"/>
      <c r="D56" s="283"/>
      <c r="E56" s="283"/>
      <c r="F56" s="283"/>
      <c r="G56" s="5">
        <v>45988</v>
      </c>
      <c r="H56" s="278" t="s">
        <v>6</v>
      </c>
      <c r="I56" s="279"/>
      <c r="J56" s="279"/>
      <c r="K56" s="279"/>
      <c r="L56" s="279"/>
      <c r="M56" s="279"/>
      <c r="N56" s="279"/>
      <c r="O56" s="279"/>
      <c r="P56" s="279"/>
      <c r="Q56" s="279"/>
      <c r="R56" s="27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55" t="s">
        <v>7</v>
      </c>
      <c r="B57" s="55" t="s">
        <v>8</v>
      </c>
      <c r="C57" s="56" t="s">
        <v>9</v>
      </c>
      <c r="D57" s="55" t="s">
        <v>10</v>
      </c>
      <c r="E57" s="55" t="s">
        <v>11</v>
      </c>
      <c r="F57" s="55" t="s">
        <v>12</v>
      </c>
      <c r="G57" s="57" t="s">
        <v>13</v>
      </c>
      <c r="H57" s="55" t="s">
        <v>14</v>
      </c>
      <c r="I57" s="58" t="s">
        <v>15</v>
      </c>
      <c r="J57" s="59" t="s">
        <v>16</v>
      </c>
      <c r="K57" s="60" t="s">
        <v>17</v>
      </c>
      <c r="L57" s="59" t="s">
        <v>18</v>
      </c>
      <c r="M57" s="59" t="s">
        <v>19</v>
      </c>
      <c r="N57" s="59" t="s">
        <v>20</v>
      </c>
      <c r="O57" s="55" t="s">
        <v>21</v>
      </c>
      <c r="P57" s="56" t="s">
        <v>22</v>
      </c>
      <c r="Q57" s="59" t="s">
        <v>23</v>
      </c>
      <c r="R57" s="55"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8" t="s">
        <v>378</v>
      </c>
      <c r="B58" s="8" t="s">
        <v>584</v>
      </c>
      <c r="C58" s="9">
        <v>0.52777777777777779</v>
      </c>
      <c r="D58" s="8" t="s">
        <v>579</v>
      </c>
      <c r="E58" s="8" t="s">
        <v>381</v>
      </c>
      <c r="F58" s="8" t="s">
        <v>629</v>
      </c>
      <c r="G58" s="284"/>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5" t="s">
        <v>378</v>
      </c>
      <c r="B59" s="15" t="s">
        <v>584</v>
      </c>
      <c r="C59" s="16">
        <v>0.52777777777777779</v>
      </c>
      <c r="D59" s="15" t="s">
        <v>581</v>
      </c>
      <c r="E59" s="15" t="s">
        <v>360</v>
      </c>
      <c r="F59" s="15" t="s">
        <v>630</v>
      </c>
      <c r="G59" s="285"/>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378</v>
      </c>
      <c r="B60" s="15" t="s">
        <v>584</v>
      </c>
      <c r="C60" s="16">
        <v>0.52777777777777779</v>
      </c>
      <c r="D60" s="15" t="s">
        <v>33</v>
      </c>
      <c r="E60" s="15" t="s">
        <v>360</v>
      </c>
      <c r="F60" s="15" t="s">
        <v>631</v>
      </c>
      <c r="G60" s="285"/>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46" t="s">
        <v>378</v>
      </c>
      <c r="B61" s="46" t="s">
        <v>632</v>
      </c>
      <c r="C61" s="47">
        <v>0.79861111111111116</v>
      </c>
      <c r="D61" s="46" t="s">
        <v>579</v>
      </c>
      <c r="E61" s="46" t="s">
        <v>358</v>
      </c>
      <c r="F61" s="46" t="s">
        <v>633</v>
      </c>
      <c r="G61" s="285"/>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378</v>
      </c>
      <c r="B62" s="15" t="s">
        <v>632</v>
      </c>
      <c r="C62" s="16">
        <v>0.79861111111111116</v>
      </c>
      <c r="D62" s="15" t="s">
        <v>581</v>
      </c>
      <c r="E62" s="15" t="s">
        <v>360</v>
      </c>
      <c r="F62" s="15" t="s">
        <v>634</v>
      </c>
      <c r="G62" s="285"/>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5" t="s">
        <v>378</v>
      </c>
      <c r="B63" s="15" t="s">
        <v>632</v>
      </c>
      <c r="C63" s="16">
        <v>0.79861111111111116</v>
      </c>
      <c r="D63" s="15" t="s">
        <v>33</v>
      </c>
      <c r="E63" s="15" t="s">
        <v>360</v>
      </c>
      <c r="F63" s="15" t="s">
        <v>635</v>
      </c>
      <c r="G63" s="285"/>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44" t="s">
        <v>78</v>
      </c>
      <c r="B64" s="44" t="s">
        <v>593</v>
      </c>
      <c r="C64" s="45">
        <v>0.34027777777777768</v>
      </c>
      <c r="D64" s="44" t="s">
        <v>94</v>
      </c>
      <c r="E64" s="44" t="s">
        <v>38</v>
      </c>
      <c r="F64" s="44" t="s">
        <v>636</v>
      </c>
      <c r="G64" s="285"/>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78</v>
      </c>
      <c r="B65" s="15" t="s">
        <v>593</v>
      </c>
      <c r="C65" s="16">
        <v>0.34027777777777768</v>
      </c>
      <c r="D65" s="15" t="s">
        <v>87</v>
      </c>
      <c r="E65" s="15" t="s">
        <v>88</v>
      </c>
      <c r="F65" s="15" t="s">
        <v>637</v>
      </c>
      <c r="G65" s="285"/>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78</v>
      </c>
      <c r="B66" s="15" t="s">
        <v>593</v>
      </c>
      <c r="C66" s="16">
        <v>0.34027777777777768</v>
      </c>
      <c r="D66" s="15" t="s">
        <v>82</v>
      </c>
      <c r="E66" s="15" t="s">
        <v>88</v>
      </c>
      <c r="F66" s="15" t="s">
        <v>638</v>
      </c>
      <c r="G66" s="285"/>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69" t="s">
        <v>35</v>
      </c>
      <c r="B67" s="169" t="s">
        <v>597</v>
      </c>
      <c r="C67" s="170">
        <v>0.27430555555555552</v>
      </c>
      <c r="D67" s="169" t="s">
        <v>131</v>
      </c>
      <c r="E67" s="219"/>
      <c r="F67" s="169" t="s">
        <v>132</v>
      </c>
      <c r="G67" s="285"/>
      <c r="H67" s="28" t="s">
        <v>597</v>
      </c>
      <c r="I67" s="29">
        <v>1</v>
      </c>
      <c r="J67" s="30">
        <v>179</v>
      </c>
      <c r="K67" s="31">
        <v>45985</v>
      </c>
      <c r="L67" s="30">
        <v>7</v>
      </c>
      <c r="M67" s="30">
        <v>4</v>
      </c>
      <c r="N67" s="30">
        <v>0</v>
      </c>
      <c r="O67" s="32" t="s">
        <v>133</v>
      </c>
      <c r="P67" s="33">
        <v>0.27430555555555552</v>
      </c>
      <c r="Q67" s="30">
        <v>179</v>
      </c>
      <c r="R67" s="34" t="s">
        <v>639</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306" t="s">
        <v>599</v>
      </c>
      <c r="B68" s="307"/>
      <c r="C68" s="307"/>
      <c r="D68" s="307"/>
      <c r="E68" s="307"/>
      <c r="F68" s="307"/>
      <c r="G68" s="285"/>
      <c r="H68" s="171"/>
      <c r="I68" s="171"/>
      <c r="J68" s="171"/>
      <c r="K68" s="171"/>
      <c r="L68" s="171"/>
      <c r="M68" s="171"/>
      <c r="N68" s="171"/>
      <c r="O68" s="172"/>
      <c r="P68" s="171"/>
      <c r="Q68" s="173"/>
      <c r="R68" s="17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46" t="s">
        <v>25</v>
      </c>
      <c r="B69" s="46" t="s">
        <v>344</v>
      </c>
      <c r="C69" s="47" t="s">
        <v>609</v>
      </c>
      <c r="D69" s="46" t="s">
        <v>27</v>
      </c>
      <c r="E69" s="46" t="s">
        <v>237</v>
      </c>
      <c r="F69" s="46" t="s">
        <v>425</v>
      </c>
      <c r="G69" s="285"/>
      <c r="H69" s="171"/>
      <c r="I69" s="171"/>
      <c r="J69" s="171"/>
      <c r="K69" s="171"/>
      <c r="L69" s="171"/>
      <c r="M69" s="171"/>
      <c r="N69" s="171"/>
      <c r="O69" s="172"/>
      <c r="P69" s="171"/>
      <c r="Q69" s="173"/>
      <c r="R69" s="17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46" t="s">
        <v>25</v>
      </c>
      <c r="B70" s="46" t="s">
        <v>338</v>
      </c>
      <c r="C70" s="47" t="s">
        <v>604</v>
      </c>
      <c r="D70" s="46" t="s">
        <v>27</v>
      </c>
      <c r="E70" s="46" t="s">
        <v>640</v>
      </c>
      <c r="F70" s="46" t="s">
        <v>425</v>
      </c>
      <c r="G70" s="285"/>
      <c r="H70" s="171"/>
      <c r="I70" s="171"/>
      <c r="J70" s="171"/>
      <c r="K70" s="171"/>
      <c r="L70" s="171"/>
      <c r="M70" s="171"/>
      <c r="N70" s="171"/>
      <c r="O70" s="172"/>
      <c r="P70" s="171"/>
      <c r="Q70" s="173"/>
      <c r="R70" s="17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6" t="s">
        <v>304</v>
      </c>
      <c r="B71" s="46" t="s">
        <v>305</v>
      </c>
      <c r="C71" s="47" t="s">
        <v>641</v>
      </c>
      <c r="D71" s="46" t="s">
        <v>306</v>
      </c>
      <c r="E71" s="46" t="s">
        <v>235</v>
      </c>
      <c r="F71" s="46" t="s">
        <v>307</v>
      </c>
      <c r="G71" s="285"/>
      <c r="H71" s="171"/>
      <c r="I71" s="171"/>
      <c r="J71" s="171"/>
      <c r="K71" s="171"/>
      <c r="L71" s="171"/>
      <c r="M71" s="171"/>
      <c r="N71" s="171"/>
      <c r="O71" s="172"/>
      <c r="P71" s="171"/>
      <c r="Q71" s="173"/>
      <c r="R71" s="17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6" t="s">
        <v>304</v>
      </c>
      <c r="B72" s="46" t="s">
        <v>308</v>
      </c>
      <c r="C72" s="47" t="s">
        <v>642</v>
      </c>
      <c r="D72" s="46" t="s">
        <v>306</v>
      </c>
      <c r="E72" s="46" t="s">
        <v>235</v>
      </c>
      <c r="F72" s="46" t="s">
        <v>307</v>
      </c>
      <c r="G72" s="285"/>
      <c r="H72" s="171"/>
      <c r="I72" s="171"/>
      <c r="J72" s="171"/>
      <c r="K72" s="171"/>
      <c r="L72" s="171"/>
      <c r="M72" s="171"/>
      <c r="N72" s="171"/>
      <c r="O72" s="172"/>
      <c r="P72" s="171"/>
      <c r="Q72" s="173"/>
      <c r="R72" s="17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46" t="s">
        <v>35</v>
      </c>
      <c r="B73" s="46" t="s">
        <v>430</v>
      </c>
      <c r="C73" s="47" t="s">
        <v>643</v>
      </c>
      <c r="D73" s="46" t="s">
        <v>37</v>
      </c>
      <c r="E73" s="46" t="s">
        <v>235</v>
      </c>
      <c r="F73" s="46" t="s">
        <v>310</v>
      </c>
      <c r="G73" s="285"/>
      <c r="H73" s="171"/>
      <c r="I73" s="171"/>
      <c r="J73" s="171"/>
      <c r="K73" s="171"/>
      <c r="L73" s="171"/>
      <c r="M73" s="171"/>
      <c r="N73" s="171"/>
      <c r="O73" s="172"/>
      <c r="P73" s="171"/>
      <c r="Q73" s="173"/>
      <c r="R73" s="17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46" t="s">
        <v>35</v>
      </c>
      <c r="B74" s="46" t="s">
        <v>434</v>
      </c>
      <c r="C74" s="47" t="s">
        <v>644</v>
      </c>
      <c r="D74" s="46" t="s">
        <v>37</v>
      </c>
      <c r="E74" s="46" t="s">
        <v>246</v>
      </c>
      <c r="F74" s="46" t="s">
        <v>310</v>
      </c>
      <c r="G74" s="285"/>
      <c r="H74" s="171"/>
      <c r="I74" s="171"/>
      <c r="J74" s="171"/>
      <c r="K74" s="171"/>
      <c r="L74" s="171"/>
      <c r="M74" s="171"/>
      <c r="N74" s="171"/>
      <c r="O74" s="172"/>
      <c r="P74" s="171"/>
      <c r="Q74" s="173"/>
      <c r="R74" s="17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46" t="s">
        <v>333</v>
      </c>
      <c r="B75" s="46" t="s">
        <v>335</v>
      </c>
      <c r="C75" s="47" t="s">
        <v>645</v>
      </c>
      <c r="D75" s="46" t="s">
        <v>306</v>
      </c>
      <c r="E75" s="46" t="s">
        <v>246</v>
      </c>
      <c r="F75" s="46" t="s">
        <v>310</v>
      </c>
      <c r="G75" s="285"/>
      <c r="H75" s="171"/>
      <c r="I75" s="171"/>
      <c r="J75" s="171"/>
      <c r="K75" s="171"/>
      <c r="L75" s="171"/>
      <c r="M75" s="171"/>
      <c r="N75" s="171"/>
      <c r="O75" s="172"/>
      <c r="P75" s="171"/>
      <c r="Q75" s="173"/>
      <c r="R75" s="17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46" t="s">
        <v>55</v>
      </c>
      <c r="B76" s="46" t="s">
        <v>365</v>
      </c>
      <c r="C76" s="47" t="s">
        <v>609</v>
      </c>
      <c r="D76" s="46" t="s">
        <v>57</v>
      </c>
      <c r="E76" s="46" t="s">
        <v>246</v>
      </c>
      <c r="F76" s="46" t="s">
        <v>446</v>
      </c>
      <c r="G76" s="285"/>
      <c r="H76" s="171"/>
      <c r="I76" s="171"/>
      <c r="J76" s="171"/>
      <c r="K76" s="171"/>
      <c r="L76" s="171"/>
      <c r="M76" s="171"/>
      <c r="N76" s="171"/>
      <c r="O76" s="172"/>
      <c r="P76" s="171"/>
      <c r="Q76" s="173"/>
      <c r="R76" s="17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46" t="s">
        <v>55</v>
      </c>
      <c r="B77" s="46" t="s">
        <v>365</v>
      </c>
      <c r="C77" s="47" t="s">
        <v>609</v>
      </c>
      <c r="D77" s="46" t="s">
        <v>60</v>
      </c>
      <c r="E77" s="46" t="s">
        <v>246</v>
      </c>
      <c r="F77" s="46" t="s">
        <v>446</v>
      </c>
      <c r="G77" s="285"/>
      <c r="H77" s="171"/>
      <c r="I77" s="171"/>
      <c r="J77" s="171"/>
      <c r="K77" s="171"/>
      <c r="L77" s="171"/>
      <c r="M77" s="171"/>
      <c r="N77" s="171"/>
      <c r="O77" s="172"/>
      <c r="P77" s="171"/>
      <c r="Q77" s="173"/>
      <c r="R77" s="17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61" t="s">
        <v>25</v>
      </c>
      <c r="B78" s="61" t="s">
        <v>347</v>
      </c>
      <c r="C78" s="62" t="s">
        <v>610</v>
      </c>
      <c r="D78" s="61" t="s">
        <v>429</v>
      </c>
      <c r="E78" s="61" t="s">
        <v>646</v>
      </c>
      <c r="F78" s="61" t="s">
        <v>340</v>
      </c>
      <c r="G78" s="286"/>
      <c r="H78" s="174"/>
      <c r="I78" s="174"/>
      <c r="J78" s="174"/>
      <c r="K78" s="174"/>
      <c r="L78" s="174"/>
      <c r="M78" s="174"/>
      <c r="N78" s="174"/>
      <c r="O78" s="175"/>
      <c r="P78" s="174"/>
      <c r="Q78" s="176"/>
      <c r="R78" s="17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95"/>
      <c r="B79" s="296"/>
      <c r="C79" s="296"/>
      <c r="D79" s="296"/>
      <c r="E79" s="296"/>
      <c r="F79" s="296"/>
      <c r="G79" s="289"/>
      <c r="H79" s="297"/>
      <c r="I79" s="297"/>
      <c r="J79" s="297"/>
      <c r="K79" s="297"/>
      <c r="L79" s="297"/>
      <c r="M79" s="297"/>
      <c r="N79" s="297"/>
      <c r="O79" s="298"/>
      <c r="P79" s="297"/>
      <c r="Q79" s="289"/>
      <c r="R79" s="29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82" t="s">
        <v>5</v>
      </c>
      <c r="B80" s="283"/>
      <c r="C80" s="283"/>
      <c r="D80" s="283"/>
      <c r="E80" s="283"/>
      <c r="F80" s="283"/>
      <c r="G80" s="5">
        <v>45989</v>
      </c>
      <c r="H80" s="278" t="s">
        <v>6</v>
      </c>
      <c r="I80" s="279"/>
      <c r="J80" s="279"/>
      <c r="K80" s="279"/>
      <c r="L80" s="279"/>
      <c r="M80" s="279"/>
      <c r="N80" s="279"/>
      <c r="O80" s="279"/>
      <c r="P80" s="279"/>
      <c r="Q80" s="279"/>
      <c r="R80" s="27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55" t="s">
        <v>7</v>
      </c>
      <c r="B81" s="55" t="s">
        <v>8</v>
      </c>
      <c r="C81" s="56" t="s">
        <v>9</v>
      </c>
      <c r="D81" s="55" t="s">
        <v>10</v>
      </c>
      <c r="E81" s="55" t="s">
        <v>11</v>
      </c>
      <c r="F81" s="55" t="s">
        <v>12</v>
      </c>
      <c r="G81" s="57" t="s">
        <v>13</v>
      </c>
      <c r="H81" s="55" t="s">
        <v>14</v>
      </c>
      <c r="I81" s="58" t="s">
        <v>15</v>
      </c>
      <c r="J81" s="59" t="s">
        <v>16</v>
      </c>
      <c r="K81" s="60" t="s">
        <v>17</v>
      </c>
      <c r="L81" s="59" t="s">
        <v>18</v>
      </c>
      <c r="M81" s="59" t="s">
        <v>19</v>
      </c>
      <c r="N81" s="59" t="s">
        <v>20</v>
      </c>
      <c r="O81" s="55" t="s">
        <v>21</v>
      </c>
      <c r="P81" s="56" t="s">
        <v>22</v>
      </c>
      <c r="Q81" s="59" t="s">
        <v>23</v>
      </c>
      <c r="R81" s="55"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8" t="s">
        <v>378</v>
      </c>
      <c r="B82" s="8" t="s">
        <v>578</v>
      </c>
      <c r="C82" s="9">
        <v>0.1875</v>
      </c>
      <c r="D82" s="8" t="s">
        <v>579</v>
      </c>
      <c r="E82" s="8" t="s">
        <v>381</v>
      </c>
      <c r="F82" s="8" t="s">
        <v>647</v>
      </c>
      <c r="G82" s="284"/>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378</v>
      </c>
      <c r="B83" s="15" t="s">
        <v>578</v>
      </c>
      <c r="C83" s="16">
        <v>0.1875</v>
      </c>
      <c r="D83" s="15" t="s">
        <v>581</v>
      </c>
      <c r="E83" s="15" t="s">
        <v>360</v>
      </c>
      <c r="F83" s="15" t="s">
        <v>648</v>
      </c>
      <c r="G83" s="285"/>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378</v>
      </c>
      <c r="B84" s="15" t="s">
        <v>578</v>
      </c>
      <c r="C84" s="16">
        <v>0.1875</v>
      </c>
      <c r="D84" s="15" t="s">
        <v>33</v>
      </c>
      <c r="E84" s="15" t="s">
        <v>360</v>
      </c>
      <c r="F84" s="15" t="s">
        <v>342</v>
      </c>
      <c r="G84" s="285"/>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7" t="s">
        <v>35</v>
      </c>
      <c r="B85" s="177" t="s">
        <v>649</v>
      </c>
      <c r="C85" s="178">
        <v>0.41666666666666669</v>
      </c>
      <c r="D85" s="177" t="s">
        <v>37</v>
      </c>
      <c r="E85" s="177" t="s">
        <v>38</v>
      </c>
      <c r="F85" s="177" t="s">
        <v>325</v>
      </c>
      <c r="G85" s="285"/>
      <c r="H85" s="179" t="s">
        <v>597</v>
      </c>
      <c r="I85" s="204">
        <v>0.66669999999999996</v>
      </c>
      <c r="J85" s="181">
        <v>112</v>
      </c>
      <c r="K85" s="182">
        <v>45984</v>
      </c>
      <c r="L85" s="181">
        <v>68</v>
      </c>
      <c r="M85" s="181">
        <v>0</v>
      </c>
      <c r="N85" s="181">
        <v>17</v>
      </c>
      <c r="O85" s="183" t="s">
        <v>650</v>
      </c>
      <c r="P85" s="184">
        <v>0.41666666666666669</v>
      </c>
      <c r="Q85" s="181">
        <v>168</v>
      </c>
      <c r="R85" s="185" t="s">
        <v>651</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44" t="s">
        <v>78</v>
      </c>
      <c r="B86" s="44" t="s">
        <v>596</v>
      </c>
      <c r="C86" s="45">
        <v>0.71180555555555547</v>
      </c>
      <c r="D86" s="44" t="s">
        <v>87</v>
      </c>
      <c r="E86" s="44" t="s">
        <v>108</v>
      </c>
      <c r="F86" s="44" t="s">
        <v>594</v>
      </c>
      <c r="G86" s="285"/>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78</v>
      </c>
      <c r="B87" s="15" t="s">
        <v>596</v>
      </c>
      <c r="C87" s="16">
        <v>0.71180555555555547</v>
      </c>
      <c r="D87" s="15" t="s">
        <v>82</v>
      </c>
      <c r="E87" s="15" t="s">
        <v>109</v>
      </c>
      <c r="F87" s="15" t="s">
        <v>595</v>
      </c>
      <c r="G87" s="285"/>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8" x14ac:dyDescent="0.3">
      <c r="A88" s="306" t="s">
        <v>599</v>
      </c>
      <c r="B88" s="307"/>
      <c r="C88" s="307"/>
      <c r="D88" s="307"/>
      <c r="E88" s="307"/>
      <c r="F88" s="307"/>
      <c r="G88" s="285"/>
      <c r="H88" s="171"/>
      <c r="I88" s="171"/>
      <c r="J88" s="171"/>
      <c r="K88" s="171"/>
      <c r="L88" s="171"/>
      <c r="M88" s="171"/>
      <c r="N88" s="171"/>
      <c r="O88" s="172"/>
      <c r="P88" s="171"/>
      <c r="Q88" s="173"/>
      <c r="R88" s="17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46" t="s">
        <v>35</v>
      </c>
      <c r="B89" s="46" t="s">
        <v>319</v>
      </c>
      <c r="C89" s="47" t="s">
        <v>652</v>
      </c>
      <c r="D89" s="46" t="s">
        <v>37</v>
      </c>
      <c r="E89" s="46" t="s">
        <v>235</v>
      </c>
      <c r="F89" s="46" t="s">
        <v>310</v>
      </c>
      <c r="G89" s="285"/>
      <c r="H89" s="171"/>
      <c r="I89" s="171"/>
      <c r="J89" s="171"/>
      <c r="K89" s="171"/>
      <c r="L89" s="171"/>
      <c r="M89" s="171"/>
      <c r="N89" s="171"/>
      <c r="O89" s="172"/>
      <c r="P89" s="171"/>
      <c r="Q89" s="173"/>
      <c r="R89" s="17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46" t="s">
        <v>35</v>
      </c>
      <c r="B90" s="46" t="s">
        <v>314</v>
      </c>
      <c r="C90" s="47" t="s">
        <v>653</v>
      </c>
      <c r="D90" s="46" t="s">
        <v>37</v>
      </c>
      <c r="E90" s="46" t="s">
        <v>235</v>
      </c>
      <c r="F90" s="46" t="s">
        <v>310</v>
      </c>
      <c r="G90" s="285"/>
      <c r="H90" s="171"/>
      <c r="I90" s="171"/>
      <c r="J90" s="171"/>
      <c r="K90" s="171"/>
      <c r="L90" s="171"/>
      <c r="M90" s="171"/>
      <c r="N90" s="171"/>
      <c r="O90" s="172"/>
      <c r="P90" s="171"/>
      <c r="Q90" s="173"/>
      <c r="R90" s="17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46" t="s">
        <v>35</v>
      </c>
      <c r="B91" s="46" t="s">
        <v>413</v>
      </c>
      <c r="C91" s="47" t="s">
        <v>654</v>
      </c>
      <c r="D91" s="46" t="s">
        <v>37</v>
      </c>
      <c r="E91" s="46" t="s">
        <v>254</v>
      </c>
      <c r="F91" s="46" t="s">
        <v>310</v>
      </c>
      <c r="G91" s="285"/>
      <c r="H91" s="171"/>
      <c r="I91" s="171"/>
      <c r="J91" s="171"/>
      <c r="K91" s="171"/>
      <c r="L91" s="171"/>
      <c r="M91" s="171"/>
      <c r="N91" s="171"/>
      <c r="O91" s="172"/>
      <c r="P91" s="171"/>
      <c r="Q91" s="173"/>
      <c r="R91" s="17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46" t="s">
        <v>25</v>
      </c>
      <c r="B92" s="46" t="s">
        <v>344</v>
      </c>
      <c r="C92" s="47" t="s">
        <v>609</v>
      </c>
      <c r="D92" s="46" t="s">
        <v>27</v>
      </c>
      <c r="E92" s="46" t="s">
        <v>233</v>
      </c>
      <c r="F92" s="46" t="s">
        <v>340</v>
      </c>
      <c r="G92" s="285"/>
      <c r="H92" s="171"/>
      <c r="I92" s="171"/>
      <c r="J92" s="171"/>
      <c r="K92" s="171"/>
      <c r="L92" s="171"/>
      <c r="M92" s="171"/>
      <c r="N92" s="171"/>
      <c r="O92" s="172"/>
      <c r="P92" s="171"/>
      <c r="Q92" s="173"/>
      <c r="R92" s="17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46" t="s">
        <v>25</v>
      </c>
      <c r="B93" s="46" t="s">
        <v>338</v>
      </c>
      <c r="C93" s="47" t="s">
        <v>604</v>
      </c>
      <c r="D93" s="46" t="s">
        <v>27</v>
      </c>
      <c r="E93" s="46" t="s">
        <v>241</v>
      </c>
      <c r="F93" s="46" t="s">
        <v>340</v>
      </c>
      <c r="G93" s="285"/>
      <c r="H93" s="171"/>
      <c r="I93" s="171"/>
      <c r="J93" s="171"/>
      <c r="K93" s="171"/>
      <c r="L93" s="171"/>
      <c r="M93" s="171"/>
      <c r="N93" s="171"/>
      <c r="O93" s="172"/>
      <c r="P93" s="171"/>
      <c r="Q93" s="173"/>
      <c r="R93" s="17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46" t="s">
        <v>25</v>
      </c>
      <c r="B94" s="46" t="s">
        <v>347</v>
      </c>
      <c r="C94" s="47" t="s">
        <v>610</v>
      </c>
      <c r="D94" s="46" t="s">
        <v>27</v>
      </c>
      <c r="E94" s="46" t="s">
        <v>655</v>
      </c>
      <c r="F94" s="46" t="s">
        <v>340</v>
      </c>
      <c r="G94" s="285"/>
      <c r="H94" s="171"/>
      <c r="I94" s="171"/>
      <c r="J94" s="171"/>
      <c r="K94" s="171"/>
      <c r="L94" s="171"/>
      <c r="M94" s="171"/>
      <c r="N94" s="171"/>
      <c r="O94" s="172"/>
      <c r="P94" s="171"/>
      <c r="Q94" s="173"/>
      <c r="R94" s="17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46" t="s">
        <v>25</v>
      </c>
      <c r="B95" s="46" t="s">
        <v>343</v>
      </c>
      <c r="C95" s="47" t="s">
        <v>606</v>
      </c>
      <c r="D95" s="46" t="s">
        <v>27</v>
      </c>
      <c r="E95" s="46" t="s">
        <v>241</v>
      </c>
      <c r="F95" s="46" t="s">
        <v>340</v>
      </c>
      <c r="G95" s="285"/>
      <c r="H95" s="171"/>
      <c r="I95" s="171"/>
      <c r="J95" s="171"/>
      <c r="K95" s="171"/>
      <c r="L95" s="171"/>
      <c r="M95" s="171"/>
      <c r="N95" s="171"/>
      <c r="O95" s="172"/>
      <c r="P95" s="171"/>
      <c r="Q95" s="173"/>
      <c r="R95" s="17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46" t="s">
        <v>35</v>
      </c>
      <c r="B96" s="46" t="s">
        <v>309</v>
      </c>
      <c r="C96" s="47" t="s">
        <v>656</v>
      </c>
      <c r="D96" s="46" t="s">
        <v>37</v>
      </c>
      <c r="E96" s="46" t="s">
        <v>248</v>
      </c>
      <c r="F96" s="46" t="s">
        <v>315</v>
      </c>
      <c r="G96" s="285"/>
      <c r="H96" s="171"/>
      <c r="I96" s="171"/>
      <c r="J96" s="171"/>
      <c r="K96" s="171"/>
      <c r="L96" s="171"/>
      <c r="M96" s="171"/>
      <c r="N96" s="171"/>
      <c r="O96" s="172"/>
      <c r="P96" s="171"/>
      <c r="Q96" s="173"/>
      <c r="R96" s="17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46" t="s">
        <v>35</v>
      </c>
      <c r="B97" s="46" t="s">
        <v>444</v>
      </c>
      <c r="C97" s="47" t="s">
        <v>627</v>
      </c>
      <c r="D97" s="46" t="s">
        <v>37</v>
      </c>
      <c r="E97" s="46" t="s">
        <v>235</v>
      </c>
      <c r="F97" s="46" t="s">
        <v>315</v>
      </c>
      <c r="G97" s="285"/>
      <c r="H97" s="171"/>
      <c r="I97" s="171"/>
      <c r="J97" s="171"/>
      <c r="K97" s="171"/>
      <c r="L97" s="171"/>
      <c r="M97" s="171"/>
      <c r="N97" s="171"/>
      <c r="O97" s="172"/>
      <c r="P97" s="171"/>
      <c r="Q97" s="173"/>
      <c r="R97" s="17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61" t="s">
        <v>55</v>
      </c>
      <c r="B98" s="61" t="s">
        <v>357</v>
      </c>
      <c r="C98" s="62" t="s">
        <v>628</v>
      </c>
      <c r="D98" s="61" t="s">
        <v>60</v>
      </c>
      <c r="E98" s="61" t="s">
        <v>241</v>
      </c>
      <c r="F98" s="61" t="s">
        <v>350</v>
      </c>
      <c r="G98" s="286"/>
      <c r="H98" s="174"/>
      <c r="I98" s="174"/>
      <c r="J98" s="174"/>
      <c r="K98" s="174"/>
      <c r="L98" s="174"/>
      <c r="M98" s="174"/>
      <c r="N98" s="174"/>
      <c r="O98" s="175"/>
      <c r="P98" s="174"/>
      <c r="Q98" s="176"/>
      <c r="R98" s="176"/>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288"/>
      <c r="B99" s="289"/>
      <c r="C99" s="289"/>
      <c r="D99" s="289"/>
      <c r="E99" s="289"/>
      <c r="F99" s="289"/>
      <c r="G99" s="289"/>
      <c r="H99" s="289"/>
      <c r="I99" s="289"/>
      <c r="J99" s="289"/>
      <c r="K99" s="289"/>
      <c r="L99" s="289"/>
      <c r="M99" s="289"/>
      <c r="N99" s="289"/>
      <c r="O99" s="289"/>
      <c r="P99" s="289"/>
      <c r="Q99" s="289"/>
      <c r="R99" s="29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82" t="s">
        <v>5</v>
      </c>
      <c r="B100" s="283"/>
      <c r="C100" s="283"/>
      <c r="D100" s="283"/>
      <c r="E100" s="283"/>
      <c r="F100" s="283"/>
      <c r="G100" s="5">
        <v>45990</v>
      </c>
      <c r="H100" s="278" t="s">
        <v>6</v>
      </c>
      <c r="I100" s="279"/>
      <c r="J100" s="279"/>
      <c r="K100" s="279"/>
      <c r="L100" s="279"/>
      <c r="M100" s="279"/>
      <c r="N100" s="279"/>
      <c r="O100" s="279"/>
      <c r="P100" s="279"/>
      <c r="Q100" s="279"/>
      <c r="R100" s="279"/>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55" t="s">
        <v>7</v>
      </c>
      <c r="B101" s="55" t="s">
        <v>8</v>
      </c>
      <c r="C101" s="56" t="s">
        <v>9</v>
      </c>
      <c r="D101" s="55" t="s">
        <v>10</v>
      </c>
      <c r="E101" s="55" t="s">
        <v>11</v>
      </c>
      <c r="F101" s="55" t="s">
        <v>12</v>
      </c>
      <c r="G101" s="57" t="s">
        <v>13</v>
      </c>
      <c r="H101" s="55" t="s">
        <v>14</v>
      </c>
      <c r="I101" s="58" t="s">
        <v>15</v>
      </c>
      <c r="J101" s="59" t="s">
        <v>16</v>
      </c>
      <c r="K101" s="60" t="s">
        <v>17</v>
      </c>
      <c r="L101" s="59" t="s">
        <v>18</v>
      </c>
      <c r="M101" s="59" t="s">
        <v>19</v>
      </c>
      <c r="N101" s="59" t="s">
        <v>20</v>
      </c>
      <c r="O101" s="55" t="s">
        <v>21</v>
      </c>
      <c r="P101" s="56" t="s">
        <v>22</v>
      </c>
      <c r="Q101" s="59" t="s">
        <v>23</v>
      </c>
      <c r="R101" s="55"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8" t="s">
        <v>25</v>
      </c>
      <c r="B102" s="8" t="s">
        <v>587</v>
      </c>
      <c r="C102" s="9">
        <v>0.25694444444444448</v>
      </c>
      <c r="D102" s="8" t="s">
        <v>588</v>
      </c>
      <c r="E102" s="8" t="s">
        <v>108</v>
      </c>
      <c r="F102" s="8" t="s">
        <v>342</v>
      </c>
      <c r="G102" s="284"/>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25</v>
      </c>
      <c r="B103" s="15" t="s">
        <v>587</v>
      </c>
      <c r="C103" s="16">
        <v>0.25694444444444448</v>
      </c>
      <c r="D103" s="15" t="s">
        <v>579</v>
      </c>
      <c r="E103" s="15" t="s">
        <v>109</v>
      </c>
      <c r="F103" s="15" t="s">
        <v>589</v>
      </c>
      <c r="G103" s="285"/>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25</v>
      </c>
      <c r="B104" s="15" t="s">
        <v>587</v>
      </c>
      <c r="C104" s="16">
        <v>0.25694444444444448</v>
      </c>
      <c r="D104" s="15" t="s">
        <v>581</v>
      </c>
      <c r="E104" s="15" t="s">
        <v>109</v>
      </c>
      <c r="F104" s="15" t="s">
        <v>590</v>
      </c>
      <c r="G104" s="285"/>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25</v>
      </c>
      <c r="B105" s="15" t="s">
        <v>587</v>
      </c>
      <c r="C105" s="16">
        <v>0.25694444444444448</v>
      </c>
      <c r="D105" s="15" t="s">
        <v>591</v>
      </c>
      <c r="E105" s="15" t="s">
        <v>109</v>
      </c>
      <c r="F105" s="15" t="s">
        <v>592</v>
      </c>
      <c r="G105" s="285"/>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44" t="s">
        <v>378</v>
      </c>
      <c r="B106" s="44" t="s">
        <v>584</v>
      </c>
      <c r="C106" s="45">
        <v>0.52777777777777779</v>
      </c>
      <c r="D106" s="44" t="s">
        <v>579</v>
      </c>
      <c r="E106" s="44" t="s">
        <v>381</v>
      </c>
      <c r="F106" s="44" t="s">
        <v>657</v>
      </c>
      <c r="G106" s="285"/>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378</v>
      </c>
      <c r="B107" s="15" t="s">
        <v>584</v>
      </c>
      <c r="C107" s="16">
        <v>0.52777777777777779</v>
      </c>
      <c r="D107" s="15" t="s">
        <v>581</v>
      </c>
      <c r="E107" s="15" t="s">
        <v>360</v>
      </c>
      <c r="F107" s="15" t="s">
        <v>658</v>
      </c>
      <c r="G107" s="285"/>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5" t="s">
        <v>378</v>
      </c>
      <c r="B108" s="15" t="s">
        <v>584</v>
      </c>
      <c r="C108" s="16">
        <v>0.52777777777777779</v>
      </c>
      <c r="D108" s="15" t="s">
        <v>33</v>
      </c>
      <c r="E108" s="15" t="s">
        <v>360</v>
      </c>
      <c r="F108" s="15" t="s">
        <v>659</v>
      </c>
      <c r="G108" s="285"/>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44" t="s">
        <v>78</v>
      </c>
      <c r="B109" s="44" t="s">
        <v>593</v>
      </c>
      <c r="C109" s="45">
        <v>0.34027777777777768</v>
      </c>
      <c r="D109" s="44" t="s">
        <v>87</v>
      </c>
      <c r="E109" s="44" t="s">
        <v>38</v>
      </c>
      <c r="F109" s="44" t="s">
        <v>594</v>
      </c>
      <c r="G109" s="285"/>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78</v>
      </c>
      <c r="B110" s="15" t="s">
        <v>593</v>
      </c>
      <c r="C110" s="16">
        <v>0.34027777777777768</v>
      </c>
      <c r="D110" s="15" t="s">
        <v>82</v>
      </c>
      <c r="E110" s="15" t="s">
        <v>88</v>
      </c>
      <c r="F110" s="15" t="s">
        <v>595</v>
      </c>
      <c r="G110" s="285"/>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46" t="s">
        <v>78</v>
      </c>
      <c r="B111" s="46" t="s">
        <v>596</v>
      </c>
      <c r="C111" s="47">
        <v>0.71180555555555547</v>
      </c>
      <c r="D111" s="46" t="s">
        <v>87</v>
      </c>
      <c r="E111" s="46" t="s">
        <v>76</v>
      </c>
      <c r="F111" s="46" t="s">
        <v>594</v>
      </c>
      <c r="G111" s="285"/>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78</v>
      </c>
      <c r="B112" s="15" t="s">
        <v>596</v>
      </c>
      <c r="C112" s="16">
        <v>0.71180555555555547</v>
      </c>
      <c r="D112" s="15" t="s">
        <v>82</v>
      </c>
      <c r="E112" s="15" t="s">
        <v>88</v>
      </c>
      <c r="F112" s="15" t="s">
        <v>595</v>
      </c>
      <c r="G112" s="285"/>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211" t="s">
        <v>35</v>
      </c>
      <c r="B113" s="211" t="s">
        <v>619</v>
      </c>
      <c r="C113" s="212">
        <v>0.45833333333333331</v>
      </c>
      <c r="D113" s="211" t="s">
        <v>131</v>
      </c>
      <c r="E113" s="220"/>
      <c r="F113" s="211" t="s">
        <v>132</v>
      </c>
      <c r="G113" s="285"/>
      <c r="H113" s="37" t="s">
        <v>619</v>
      </c>
      <c r="I113" s="38">
        <v>1</v>
      </c>
      <c r="J113" s="39">
        <v>168</v>
      </c>
      <c r="K113" s="40">
        <v>45985</v>
      </c>
      <c r="L113" s="39">
        <v>5</v>
      </c>
      <c r="M113" s="39">
        <v>4</v>
      </c>
      <c r="N113" s="39">
        <v>0</v>
      </c>
      <c r="O113" s="41" t="s">
        <v>133</v>
      </c>
      <c r="P113" s="42">
        <v>0.45833333333333331</v>
      </c>
      <c r="Q113" s="39">
        <v>168</v>
      </c>
      <c r="R113" s="43" t="s">
        <v>660</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202" t="s">
        <v>35</v>
      </c>
      <c r="B114" s="202" t="s">
        <v>597</v>
      </c>
      <c r="C114" s="203">
        <v>0.79166666666666663</v>
      </c>
      <c r="D114" s="202" t="s">
        <v>131</v>
      </c>
      <c r="E114" s="218"/>
      <c r="F114" s="202" t="s">
        <v>132</v>
      </c>
      <c r="G114" s="285"/>
      <c r="H114" s="179" t="s">
        <v>597</v>
      </c>
      <c r="I114" s="180">
        <v>1</v>
      </c>
      <c r="J114" s="181">
        <v>168</v>
      </c>
      <c r="K114" s="182">
        <v>45985</v>
      </c>
      <c r="L114" s="181">
        <v>8</v>
      </c>
      <c r="M114" s="181">
        <v>8</v>
      </c>
      <c r="N114" s="181">
        <v>0</v>
      </c>
      <c r="O114" s="183" t="s">
        <v>133</v>
      </c>
      <c r="P114" s="184">
        <v>0.79166666666666663</v>
      </c>
      <c r="Q114" s="181">
        <v>168</v>
      </c>
      <c r="R114" s="185" t="s">
        <v>661</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8" x14ac:dyDescent="0.3">
      <c r="A115" s="306" t="s">
        <v>599</v>
      </c>
      <c r="B115" s="307"/>
      <c r="C115" s="307"/>
      <c r="D115" s="307"/>
      <c r="E115" s="307"/>
      <c r="F115" s="307"/>
      <c r="G115" s="285"/>
      <c r="H115" s="171"/>
      <c r="I115" s="171"/>
      <c r="J115" s="171"/>
      <c r="K115" s="171"/>
      <c r="L115" s="171"/>
      <c r="M115" s="171"/>
      <c r="N115" s="171"/>
      <c r="O115" s="172"/>
      <c r="P115" s="171"/>
      <c r="Q115" s="173"/>
      <c r="R115" s="17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46" t="s">
        <v>304</v>
      </c>
      <c r="B116" s="46" t="s">
        <v>305</v>
      </c>
      <c r="C116" s="47" t="s">
        <v>621</v>
      </c>
      <c r="D116" s="46" t="s">
        <v>306</v>
      </c>
      <c r="E116" s="46" t="s">
        <v>246</v>
      </c>
      <c r="F116" s="46" t="s">
        <v>307</v>
      </c>
      <c r="G116" s="285"/>
      <c r="H116" s="171"/>
      <c r="I116" s="171"/>
      <c r="J116" s="171"/>
      <c r="K116" s="171"/>
      <c r="L116" s="171"/>
      <c r="M116" s="171"/>
      <c r="N116" s="171"/>
      <c r="O116" s="172"/>
      <c r="P116" s="171"/>
      <c r="Q116" s="173"/>
      <c r="R116" s="17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46" t="s">
        <v>333</v>
      </c>
      <c r="B117" s="46" t="s">
        <v>335</v>
      </c>
      <c r="C117" s="47" t="s">
        <v>645</v>
      </c>
      <c r="D117" s="46" t="s">
        <v>306</v>
      </c>
      <c r="E117" s="46" t="s">
        <v>254</v>
      </c>
      <c r="F117" s="46" t="s">
        <v>310</v>
      </c>
      <c r="G117" s="285"/>
      <c r="H117" s="171"/>
      <c r="I117" s="171"/>
      <c r="J117" s="171"/>
      <c r="K117" s="171"/>
      <c r="L117" s="171"/>
      <c r="M117" s="171"/>
      <c r="N117" s="171"/>
      <c r="O117" s="172"/>
      <c r="P117" s="171"/>
      <c r="Q117" s="173"/>
      <c r="R117" s="17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46" t="s">
        <v>333</v>
      </c>
      <c r="B118" s="46" t="s">
        <v>337</v>
      </c>
      <c r="C118" s="47" t="s">
        <v>662</v>
      </c>
      <c r="D118" s="46" t="s">
        <v>306</v>
      </c>
      <c r="E118" s="46" t="s">
        <v>235</v>
      </c>
      <c r="F118" s="46" t="s">
        <v>310</v>
      </c>
      <c r="G118" s="285"/>
      <c r="H118" s="171"/>
      <c r="I118" s="171"/>
      <c r="J118" s="171"/>
      <c r="K118" s="171"/>
      <c r="L118" s="171"/>
      <c r="M118" s="171"/>
      <c r="N118" s="171"/>
      <c r="O118" s="172"/>
      <c r="P118" s="171"/>
      <c r="Q118" s="173"/>
      <c r="R118" s="17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46" t="s">
        <v>25</v>
      </c>
      <c r="B119" s="46" t="s">
        <v>344</v>
      </c>
      <c r="C119" s="47" t="s">
        <v>609</v>
      </c>
      <c r="D119" s="46" t="s">
        <v>27</v>
      </c>
      <c r="E119" s="46" t="s">
        <v>241</v>
      </c>
      <c r="F119" s="46" t="s">
        <v>340</v>
      </c>
      <c r="G119" s="285"/>
      <c r="H119" s="171"/>
      <c r="I119" s="171"/>
      <c r="J119" s="171"/>
      <c r="K119" s="171"/>
      <c r="L119" s="171"/>
      <c r="M119" s="171"/>
      <c r="N119" s="171"/>
      <c r="O119" s="172"/>
      <c r="P119" s="171"/>
      <c r="Q119" s="173"/>
      <c r="R119" s="17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46" t="s">
        <v>25</v>
      </c>
      <c r="B120" s="46" t="s">
        <v>338</v>
      </c>
      <c r="C120" s="47" t="s">
        <v>604</v>
      </c>
      <c r="D120" s="46" t="s">
        <v>27</v>
      </c>
      <c r="E120" s="46" t="s">
        <v>233</v>
      </c>
      <c r="F120" s="46" t="s">
        <v>340</v>
      </c>
      <c r="G120" s="285"/>
      <c r="H120" s="171"/>
      <c r="I120" s="171"/>
      <c r="J120" s="171"/>
      <c r="K120" s="171"/>
      <c r="L120" s="171"/>
      <c r="M120" s="171"/>
      <c r="N120" s="171"/>
      <c r="O120" s="172"/>
      <c r="P120" s="171"/>
      <c r="Q120" s="173"/>
      <c r="R120" s="17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46" t="s">
        <v>25</v>
      </c>
      <c r="B121" s="46" t="s">
        <v>347</v>
      </c>
      <c r="C121" s="47" t="s">
        <v>610</v>
      </c>
      <c r="D121" s="46" t="s">
        <v>27</v>
      </c>
      <c r="E121" s="46" t="s">
        <v>254</v>
      </c>
      <c r="F121" s="46" t="s">
        <v>340</v>
      </c>
      <c r="G121" s="285"/>
      <c r="H121" s="171"/>
      <c r="I121" s="171"/>
      <c r="J121" s="171"/>
      <c r="K121" s="171"/>
      <c r="L121" s="171"/>
      <c r="M121" s="171"/>
      <c r="N121" s="171"/>
      <c r="O121" s="172"/>
      <c r="P121" s="171"/>
      <c r="Q121" s="173"/>
      <c r="R121" s="17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46" t="s">
        <v>25</v>
      </c>
      <c r="B122" s="46" t="s">
        <v>343</v>
      </c>
      <c r="C122" s="47" t="s">
        <v>606</v>
      </c>
      <c r="D122" s="46" t="s">
        <v>27</v>
      </c>
      <c r="E122" s="46" t="s">
        <v>259</v>
      </c>
      <c r="F122" s="46" t="s">
        <v>340</v>
      </c>
      <c r="G122" s="285"/>
      <c r="H122" s="171"/>
      <c r="I122" s="171"/>
      <c r="J122" s="171"/>
      <c r="K122" s="171"/>
      <c r="L122" s="171"/>
      <c r="M122" s="171"/>
      <c r="N122" s="171"/>
      <c r="O122" s="172"/>
      <c r="P122" s="171"/>
      <c r="Q122" s="173"/>
      <c r="R122" s="17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46" t="s">
        <v>378</v>
      </c>
      <c r="B123" s="46" t="s">
        <v>379</v>
      </c>
      <c r="C123" s="47" t="s">
        <v>663</v>
      </c>
      <c r="D123" s="46" t="s">
        <v>380</v>
      </c>
      <c r="E123" s="46" t="s">
        <v>646</v>
      </c>
      <c r="F123" s="46" t="s">
        <v>474</v>
      </c>
      <c r="G123" s="285"/>
      <c r="H123" s="171"/>
      <c r="I123" s="171"/>
      <c r="J123" s="171"/>
      <c r="K123" s="171"/>
      <c r="L123" s="171"/>
      <c r="M123" s="171"/>
      <c r="N123" s="171"/>
      <c r="O123" s="172"/>
      <c r="P123" s="171"/>
      <c r="Q123" s="173"/>
      <c r="R123" s="17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46" t="s">
        <v>35</v>
      </c>
      <c r="B124" s="46" t="s">
        <v>434</v>
      </c>
      <c r="C124" s="47" t="s">
        <v>664</v>
      </c>
      <c r="D124" s="46" t="s">
        <v>37</v>
      </c>
      <c r="E124" s="46" t="s">
        <v>237</v>
      </c>
      <c r="F124" s="46" t="s">
        <v>315</v>
      </c>
      <c r="G124" s="285"/>
      <c r="H124" s="171"/>
      <c r="I124" s="171"/>
      <c r="J124" s="171"/>
      <c r="K124" s="171"/>
      <c r="L124" s="171"/>
      <c r="M124" s="171"/>
      <c r="N124" s="171"/>
      <c r="O124" s="172"/>
      <c r="P124" s="171"/>
      <c r="Q124" s="173"/>
      <c r="R124" s="17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61" t="s">
        <v>35</v>
      </c>
      <c r="B125" s="61" t="s">
        <v>314</v>
      </c>
      <c r="C125" s="62" t="s">
        <v>665</v>
      </c>
      <c r="D125" s="61" t="s">
        <v>37</v>
      </c>
      <c r="E125" s="61" t="s">
        <v>248</v>
      </c>
      <c r="F125" s="61" t="s">
        <v>315</v>
      </c>
      <c r="G125" s="286"/>
      <c r="H125" s="174"/>
      <c r="I125" s="174"/>
      <c r="J125" s="174"/>
      <c r="K125" s="174"/>
      <c r="L125" s="174"/>
      <c r="M125" s="174"/>
      <c r="N125" s="174"/>
      <c r="O125" s="175"/>
      <c r="P125" s="174"/>
      <c r="Q125" s="176"/>
      <c r="R125" s="176"/>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4.4" customHeight="1" x14ac:dyDescent="0.3">
      <c r="A126" s="288"/>
      <c r="B126" s="289"/>
      <c r="C126" s="289"/>
      <c r="D126" s="289"/>
      <c r="E126" s="289"/>
      <c r="F126" s="289"/>
      <c r="G126" s="289"/>
      <c r="H126" s="289"/>
      <c r="I126" s="289"/>
      <c r="J126" s="289"/>
      <c r="K126" s="289"/>
      <c r="L126" s="289"/>
      <c r="M126" s="289"/>
      <c r="N126" s="289"/>
      <c r="O126" s="289"/>
      <c r="P126" s="289"/>
      <c r="Q126" s="289"/>
      <c r="R126" s="290"/>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2.05" customHeight="1" x14ac:dyDescent="0.3">
      <c r="A127" s="282" t="s">
        <v>5</v>
      </c>
      <c r="B127" s="283"/>
      <c r="C127" s="283"/>
      <c r="D127" s="283"/>
      <c r="E127" s="283"/>
      <c r="F127" s="283"/>
      <c r="G127" s="5">
        <v>45991</v>
      </c>
      <c r="H127" s="278" t="s">
        <v>6</v>
      </c>
      <c r="I127" s="279"/>
      <c r="J127" s="279"/>
      <c r="K127" s="279"/>
      <c r="L127" s="279"/>
      <c r="M127" s="279"/>
      <c r="N127" s="279"/>
      <c r="O127" s="279"/>
      <c r="P127" s="279"/>
      <c r="Q127" s="279"/>
      <c r="R127" s="279"/>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4" customHeight="1" x14ac:dyDescent="0.3">
      <c r="A128" s="55" t="s">
        <v>7</v>
      </c>
      <c r="B128" s="55" t="s">
        <v>8</v>
      </c>
      <c r="C128" s="56" t="s">
        <v>9</v>
      </c>
      <c r="D128" s="55" t="s">
        <v>10</v>
      </c>
      <c r="E128" s="55" t="s">
        <v>11</v>
      </c>
      <c r="F128" s="55" t="s">
        <v>12</v>
      </c>
      <c r="G128" s="57" t="s">
        <v>13</v>
      </c>
      <c r="H128" s="55" t="s">
        <v>14</v>
      </c>
      <c r="I128" s="58" t="s">
        <v>15</v>
      </c>
      <c r="J128" s="59" t="s">
        <v>16</v>
      </c>
      <c r="K128" s="60" t="s">
        <v>17</v>
      </c>
      <c r="L128" s="59" t="s">
        <v>18</v>
      </c>
      <c r="M128" s="59" t="s">
        <v>19</v>
      </c>
      <c r="N128" s="59" t="s">
        <v>20</v>
      </c>
      <c r="O128" s="55" t="s">
        <v>21</v>
      </c>
      <c r="P128" s="56" t="s">
        <v>22</v>
      </c>
      <c r="Q128" s="59" t="s">
        <v>23</v>
      </c>
      <c r="R128" s="55" t="s">
        <v>24</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8" t="s">
        <v>378</v>
      </c>
      <c r="B129" s="8" t="s">
        <v>584</v>
      </c>
      <c r="C129" s="9">
        <v>0.52777777777777779</v>
      </c>
      <c r="D129" s="8" t="s">
        <v>579</v>
      </c>
      <c r="E129" s="8" t="s">
        <v>122</v>
      </c>
      <c r="F129" s="8" t="s">
        <v>451</v>
      </c>
      <c r="G129" s="284"/>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5" t="s">
        <v>378</v>
      </c>
      <c r="B130" s="15" t="s">
        <v>584</v>
      </c>
      <c r="C130" s="16">
        <v>0.52777777777777779</v>
      </c>
      <c r="D130" s="15" t="s">
        <v>581</v>
      </c>
      <c r="E130" s="15" t="s">
        <v>92</v>
      </c>
      <c r="F130" s="15" t="s">
        <v>666</v>
      </c>
      <c r="G130" s="285"/>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5" t="s">
        <v>378</v>
      </c>
      <c r="B131" s="15" t="s">
        <v>584</v>
      </c>
      <c r="C131" s="16">
        <v>0.52777777777777779</v>
      </c>
      <c r="D131" s="15" t="s">
        <v>33</v>
      </c>
      <c r="E131" s="15" t="s">
        <v>92</v>
      </c>
      <c r="F131" s="15" t="s">
        <v>667</v>
      </c>
      <c r="G131" s="285"/>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211" t="s">
        <v>35</v>
      </c>
      <c r="B132" s="211" t="s">
        <v>668</v>
      </c>
      <c r="C132" s="212">
        <v>0.48958333333333331</v>
      </c>
      <c r="D132" s="211" t="s">
        <v>37</v>
      </c>
      <c r="E132" s="211" t="s">
        <v>108</v>
      </c>
      <c r="F132" s="211" t="s">
        <v>669</v>
      </c>
      <c r="G132" s="285"/>
      <c r="H132" s="37" t="s">
        <v>619</v>
      </c>
      <c r="I132" s="38">
        <v>0.99399999999999999</v>
      </c>
      <c r="J132" s="39">
        <v>167</v>
      </c>
      <c r="K132" s="40">
        <v>45983</v>
      </c>
      <c r="L132" s="39">
        <v>1</v>
      </c>
      <c r="M132" s="39">
        <v>0</v>
      </c>
      <c r="N132" s="39">
        <v>0</v>
      </c>
      <c r="O132" s="41" t="s">
        <v>549</v>
      </c>
      <c r="P132" s="42">
        <v>0.48958333333333331</v>
      </c>
      <c r="Q132" s="39">
        <v>168</v>
      </c>
      <c r="R132" s="43" t="s">
        <v>670</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205" t="s">
        <v>35</v>
      </c>
      <c r="B133" s="205" t="s">
        <v>597</v>
      </c>
      <c r="C133" s="206">
        <v>0.6875</v>
      </c>
      <c r="D133" s="205" t="s">
        <v>131</v>
      </c>
      <c r="E133" s="222"/>
      <c r="F133" s="205" t="s">
        <v>132</v>
      </c>
      <c r="G133" s="285"/>
      <c r="H133" s="19" t="s">
        <v>597</v>
      </c>
      <c r="I133" s="186">
        <v>1</v>
      </c>
      <c r="J133" s="21">
        <v>168</v>
      </c>
      <c r="K133" s="22">
        <v>45983</v>
      </c>
      <c r="L133" s="21">
        <v>7</v>
      </c>
      <c r="M133" s="21">
        <v>0</v>
      </c>
      <c r="N133" s="21">
        <v>0</v>
      </c>
      <c r="O133" s="23" t="s">
        <v>133</v>
      </c>
      <c r="P133" s="24">
        <v>0.6875</v>
      </c>
      <c r="Q133" s="21">
        <v>168</v>
      </c>
      <c r="R133" s="25" t="s">
        <v>671</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44" t="s">
        <v>78</v>
      </c>
      <c r="B134" s="44" t="s">
        <v>596</v>
      </c>
      <c r="C134" s="45">
        <v>0.71180555555555547</v>
      </c>
      <c r="D134" s="44" t="s">
        <v>87</v>
      </c>
      <c r="E134" s="44" t="s">
        <v>135</v>
      </c>
      <c r="F134" s="44" t="s">
        <v>672</v>
      </c>
      <c r="G134" s="285"/>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78</v>
      </c>
      <c r="B135" s="15" t="s">
        <v>596</v>
      </c>
      <c r="C135" s="16">
        <v>0.71180555555555547</v>
      </c>
      <c r="D135" s="15" t="s">
        <v>82</v>
      </c>
      <c r="E135" s="15" t="s">
        <v>136</v>
      </c>
      <c r="F135" s="15" t="s">
        <v>673</v>
      </c>
      <c r="G135" s="285"/>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8" x14ac:dyDescent="0.3">
      <c r="A136" s="306" t="s">
        <v>599</v>
      </c>
      <c r="B136" s="307"/>
      <c r="C136" s="307"/>
      <c r="D136" s="307"/>
      <c r="E136" s="307"/>
      <c r="F136" s="307"/>
      <c r="G136" s="285"/>
      <c r="H136" s="171"/>
      <c r="I136" s="171"/>
      <c r="J136" s="171"/>
      <c r="K136" s="171"/>
      <c r="L136" s="171"/>
      <c r="M136" s="171"/>
      <c r="N136" s="171"/>
      <c r="O136" s="172"/>
      <c r="P136" s="171"/>
      <c r="Q136" s="173"/>
      <c r="R136" s="17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46" t="s">
        <v>304</v>
      </c>
      <c r="B137" s="46" t="s">
        <v>305</v>
      </c>
      <c r="C137" s="47" t="s">
        <v>600</v>
      </c>
      <c r="D137" s="46" t="s">
        <v>306</v>
      </c>
      <c r="E137" s="46" t="s">
        <v>241</v>
      </c>
      <c r="F137" s="46" t="s">
        <v>307</v>
      </c>
      <c r="G137" s="285"/>
      <c r="H137" s="171"/>
      <c r="I137" s="171"/>
      <c r="J137" s="171"/>
      <c r="K137" s="171"/>
      <c r="L137" s="171"/>
      <c r="M137" s="171"/>
      <c r="N137" s="171"/>
      <c r="O137" s="172"/>
      <c r="P137" s="171"/>
      <c r="Q137" s="173"/>
      <c r="R137" s="17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46" t="s">
        <v>333</v>
      </c>
      <c r="B138" s="46" t="s">
        <v>337</v>
      </c>
      <c r="C138" s="47" t="s">
        <v>674</v>
      </c>
      <c r="D138" s="46" t="s">
        <v>306</v>
      </c>
      <c r="E138" s="46" t="s">
        <v>233</v>
      </c>
      <c r="F138" s="46" t="s">
        <v>310</v>
      </c>
      <c r="G138" s="285"/>
      <c r="H138" s="171"/>
      <c r="I138" s="171"/>
      <c r="J138" s="171"/>
      <c r="K138" s="171"/>
      <c r="L138" s="171"/>
      <c r="M138" s="171"/>
      <c r="N138" s="171"/>
      <c r="O138" s="172"/>
      <c r="P138" s="171"/>
      <c r="Q138" s="173"/>
      <c r="R138" s="17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46" t="s">
        <v>55</v>
      </c>
      <c r="B139" s="46" t="s">
        <v>363</v>
      </c>
      <c r="C139" s="47" t="s">
        <v>675</v>
      </c>
      <c r="D139" s="46" t="s">
        <v>60</v>
      </c>
      <c r="E139" s="46" t="s">
        <v>246</v>
      </c>
      <c r="F139" s="46" t="s">
        <v>446</v>
      </c>
      <c r="G139" s="285"/>
      <c r="H139" s="171"/>
      <c r="I139" s="171"/>
      <c r="J139" s="171"/>
      <c r="K139" s="171"/>
      <c r="L139" s="171"/>
      <c r="M139" s="171"/>
      <c r="N139" s="171"/>
      <c r="O139" s="172"/>
      <c r="P139" s="171"/>
      <c r="Q139" s="173"/>
      <c r="R139" s="17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46" t="s">
        <v>25</v>
      </c>
      <c r="B140" s="46" t="s">
        <v>344</v>
      </c>
      <c r="C140" s="47" t="s">
        <v>609</v>
      </c>
      <c r="D140" s="46" t="s">
        <v>27</v>
      </c>
      <c r="E140" s="46" t="s">
        <v>264</v>
      </c>
      <c r="F140" s="46" t="s">
        <v>340</v>
      </c>
      <c r="G140" s="285"/>
      <c r="H140" s="171"/>
      <c r="I140" s="171"/>
      <c r="J140" s="171"/>
      <c r="K140" s="171"/>
      <c r="L140" s="171"/>
      <c r="M140" s="171"/>
      <c r="N140" s="171"/>
      <c r="O140" s="172"/>
      <c r="P140" s="171"/>
      <c r="Q140" s="173"/>
      <c r="R140" s="17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46" t="s">
        <v>25</v>
      </c>
      <c r="B141" s="46" t="s">
        <v>338</v>
      </c>
      <c r="C141" s="47" t="s">
        <v>604</v>
      </c>
      <c r="D141" s="46" t="s">
        <v>27</v>
      </c>
      <c r="E141" s="46" t="s">
        <v>264</v>
      </c>
      <c r="F141" s="46" t="s">
        <v>340</v>
      </c>
      <c r="G141" s="285"/>
      <c r="H141" s="171"/>
      <c r="I141" s="171"/>
      <c r="J141" s="171"/>
      <c r="K141" s="171"/>
      <c r="L141" s="171"/>
      <c r="M141" s="171"/>
      <c r="N141" s="171"/>
      <c r="O141" s="172"/>
      <c r="P141" s="171"/>
      <c r="Q141" s="173"/>
      <c r="R141" s="17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46" t="s">
        <v>25</v>
      </c>
      <c r="B142" s="46" t="s">
        <v>347</v>
      </c>
      <c r="C142" s="47" t="s">
        <v>610</v>
      </c>
      <c r="D142" s="46" t="s">
        <v>27</v>
      </c>
      <c r="E142" s="46" t="s">
        <v>237</v>
      </c>
      <c r="F142" s="46" t="s">
        <v>340</v>
      </c>
      <c r="G142" s="285"/>
      <c r="H142" s="171"/>
      <c r="I142" s="171"/>
      <c r="J142" s="171"/>
      <c r="K142" s="171"/>
      <c r="L142" s="171"/>
      <c r="M142" s="171"/>
      <c r="N142" s="171"/>
      <c r="O142" s="172"/>
      <c r="P142" s="171"/>
      <c r="Q142" s="173"/>
      <c r="R142" s="17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46" t="s">
        <v>35</v>
      </c>
      <c r="B143" s="46" t="s">
        <v>319</v>
      </c>
      <c r="C143" s="47" t="s">
        <v>676</v>
      </c>
      <c r="D143" s="46" t="s">
        <v>37</v>
      </c>
      <c r="E143" s="46" t="s">
        <v>235</v>
      </c>
      <c r="F143" s="46" t="s">
        <v>315</v>
      </c>
      <c r="G143" s="285"/>
      <c r="H143" s="171"/>
      <c r="I143" s="171"/>
      <c r="J143" s="171"/>
      <c r="K143" s="171"/>
      <c r="L143" s="171"/>
      <c r="M143" s="171"/>
      <c r="N143" s="171"/>
      <c r="O143" s="172"/>
      <c r="P143" s="171"/>
      <c r="Q143" s="173"/>
      <c r="R143" s="17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46" t="s">
        <v>35</v>
      </c>
      <c r="B144" s="46" t="s">
        <v>430</v>
      </c>
      <c r="C144" s="47" t="s">
        <v>665</v>
      </c>
      <c r="D144" s="46" t="s">
        <v>37</v>
      </c>
      <c r="E144" s="46" t="s">
        <v>235</v>
      </c>
      <c r="F144" s="46" t="s">
        <v>315</v>
      </c>
      <c r="G144" s="285"/>
      <c r="H144" s="171"/>
      <c r="I144" s="171"/>
      <c r="J144" s="171"/>
      <c r="K144" s="171"/>
      <c r="L144" s="171"/>
      <c r="M144" s="171"/>
      <c r="N144" s="171"/>
      <c r="O144" s="172"/>
      <c r="P144" s="171"/>
      <c r="Q144" s="173"/>
      <c r="R144" s="17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46" t="s">
        <v>35</v>
      </c>
      <c r="B145" s="46" t="s">
        <v>314</v>
      </c>
      <c r="C145" s="47" t="s">
        <v>653</v>
      </c>
      <c r="D145" s="46" t="s">
        <v>37</v>
      </c>
      <c r="E145" s="46" t="s">
        <v>241</v>
      </c>
      <c r="F145" s="46" t="s">
        <v>315</v>
      </c>
      <c r="G145" s="285"/>
      <c r="H145" s="171"/>
      <c r="I145" s="171"/>
      <c r="J145" s="171"/>
      <c r="K145" s="171"/>
      <c r="L145" s="171"/>
      <c r="M145" s="171"/>
      <c r="N145" s="171"/>
      <c r="O145" s="172"/>
      <c r="P145" s="171"/>
      <c r="Q145" s="173"/>
      <c r="R145" s="17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61" t="s">
        <v>55</v>
      </c>
      <c r="B146" s="61" t="s">
        <v>364</v>
      </c>
      <c r="C146" s="62" t="s">
        <v>626</v>
      </c>
      <c r="D146" s="61" t="s">
        <v>60</v>
      </c>
      <c r="E146" s="61" t="s">
        <v>646</v>
      </c>
      <c r="F146" s="61" t="s">
        <v>350</v>
      </c>
      <c r="G146" s="286"/>
      <c r="H146" s="174"/>
      <c r="I146" s="174"/>
      <c r="J146" s="174"/>
      <c r="K146" s="174"/>
      <c r="L146" s="174"/>
      <c r="M146" s="174"/>
      <c r="N146" s="174"/>
      <c r="O146" s="175"/>
      <c r="P146" s="174"/>
      <c r="Q146" s="176"/>
      <c r="R146" s="176"/>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4.4" customHeight="1" x14ac:dyDescent="0.3">
      <c r="A147" s="288"/>
      <c r="B147" s="289"/>
      <c r="C147" s="289"/>
      <c r="D147" s="289"/>
      <c r="E147" s="289"/>
      <c r="F147" s="289"/>
      <c r="G147" s="289"/>
      <c r="H147" s="289"/>
      <c r="I147" s="289"/>
      <c r="J147" s="289"/>
      <c r="K147" s="289"/>
      <c r="L147" s="289"/>
      <c r="M147" s="289"/>
      <c r="N147" s="289"/>
      <c r="O147" s="289"/>
      <c r="P147" s="289"/>
      <c r="Q147" s="289"/>
      <c r="R147" s="290"/>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sheetData>
  <mergeCells count="39">
    <mergeCell ref="J1:M1"/>
    <mergeCell ref="A147:R147"/>
    <mergeCell ref="A115:F115"/>
    <mergeCell ref="A68:F68"/>
    <mergeCell ref="A44:F44"/>
    <mergeCell ref="H100:R100"/>
    <mergeCell ref="K2:R2"/>
    <mergeCell ref="A127:F127"/>
    <mergeCell ref="D1:F1"/>
    <mergeCell ref="H80:R80"/>
    <mergeCell ref="G58:G78"/>
    <mergeCell ref="A1:C1"/>
    <mergeCell ref="G1:H1"/>
    <mergeCell ref="A88:F88"/>
    <mergeCell ref="H33:R33"/>
    <mergeCell ref="A79:R79"/>
    <mergeCell ref="G129:G146"/>
    <mergeCell ref="G2:J2"/>
    <mergeCell ref="A4:F4"/>
    <mergeCell ref="G6:G31"/>
    <mergeCell ref="A100:F100"/>
    <mergeCell ref="A126:R126"/>
    <mergeCell ref="G102:G125"/>
    <mergeCell ref="O1:Q1"/>
    <mergeCell ref="A80:F80"/>
    <mergeCell ref="A99:R99"/>
    <mergeCell ref="A136:F136"/>
    <mergeCell ref="A56:F56"/>
    <mergeCell ref="A21:F21"/>
    <mergeCell ref="H4:R4"/>
    <mergeCell ref="H127:R127"/>
    <mergeCell ref="A2:F2"/>
    <mergeCell ref="A3:R3"/>
    <mergeCell ref="A33:F33"/>
    <mergeCell ref="A55:R55"/>
    <mergeCell ref="H56:R56"/>
    <mergeCell ref="G35:G54"/>
    <mergeCell ref="G82:G98"/>
    <mergeCell ref="A32:R3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1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597</v>
      </c>
      <c r="D2" s="95">
        <v>0.70833333333333337</v>
      </c>
      <c r="E2" s="94" t="s">
        <v>577</v>
      </c>
      <c r="F2" s="94" t="s">
        <v>174</v>
      </c>
      <c r="G2" s="96">
        <v>1</v>
      </c>
      <c r="H2" s="97">
        <v>179</v>
      </c>
      <c r="I2" s="97">
        <v>179</v>
      </c>
      <c r="J2" s="97">
        <v>159</v>
      </c>
      <c r="K2" s="93">
        <v>45985</v>
      </c>
      <c r="L2" s="97">
        <v>3</v>
      </c>
      <c r="M2" s="97">
        <v>0</v>
      </c>
      <c r="N2" s="97">
        <v>8</v>
      </c>
      <c r="O2" s="94" t="s">
        <v>133</v>
      </c>
      <c r="P2" s="98"/>
      <c r="Q2" s="98"/>
      <c r="R2" s="98"/>
      <c r="S2" s="98"/>
      <c r="T2" s="97" t="s">
        <v>267</v>
      </c>
      <c r="U2" s="98"/>
      <c r="V2" s="98"/>
      <c r="W2" s="97" t="s">
        <v>677</v>
      </c>
      <c r="X2" s="98"/>
      <c r="Y2" s="97" t="s">
        <v>200</v>
      </c>
      <c r="Z2" s="98"/>
      <c r="AA2" s="98"/>
      <c r="AB2" s="97" t="s">
        <v>294</v>
      </c>
      <c r="AC2" s="98"/>
      <c r="AD2" s="98"/>
      <c r="AE2" s="98"/>
      <c r="AF2" s="98"/>
      <c r="AG2" s="98"/>
      <c r="AH2" s="97" t="s">
        <v>678</v>
      </c>
      <c r="AI2" s="98"/>
    </row>
    <row r="3" spans="1:35" ht="18" x14ac:dyDescent="0.3">
      <c r="A3" s="99" t="s">
        <v>273</v>
      </c>
      <c r="B3" s="100">
        <v>45987</v>
      </c>
      <c r="C3" s="101" t="s">
        <v>616</v>
      </c>
      <c r="D3" s="102">
        <v>0.40972222222222232</v>
      </c>
      <c r="E3" s="101" t="s">
        <v>577</v>
      </c>
      <c r="F3" s="101" t="s">
        <v>174</v>
      </c>
      <c r="G3" s="103">
        <v>1</v>
      </c>
      <c r="H3" s="104">
        <v>179</v>
      </c>
      <c r="I3" s="104">
        <v>179</v>
      </c>
      <c r="J3" s="104">
        <v>159</v>
      </c>
      <c r="K3" s="100">
        <v>45985</v>
      </c>
      <c r="L3" s="104">
        <v>5</v>
      </c>
      <c r="M3" s="104">
        <v>0</v>
      </c>
      <c r="N3" s="104">
        <v>16</v>
      </c>
      <c r="O3" s="101" t="s">
        <v>133</v>
      </c>
      <c r="P3" s="105"/>
      <c r="Q3" s="105"/>
      <c r="R3" s="105"/>
      <c r="S3" s="105"/>
      <c r="T3" s="105"/>
      <c r="U3" s="104" t="s">
        <v>189</v>
      </c>
      <c r="V3" s="105"/>
      <c r="W3" s="104" t="s">
        <v>677</v>
      </c>
      <c r="X3" s="104" t="s">
        <v>679</v>
      </c>
      <c r="Y3" s="104" t="s">
        <v>545</v>
      </c>
      <c r="Z3" s="105"/>
      <c r="AA3" s="105"/>
      <c r="AB3" s="104" t="s">
        <v>571</v>
      </c>
      <c r="AC3" s="105"/>
      <c r="AD3" s="105"/>
      <c r="AE3" s="105"/>
      <c r="AF3" s="105"/>
      <c r="AG3" s="105"/>
      <c r="AH3" s="104" t="s">
        <v>678</v>
      </c>
      <c r="AI3" s="105"/>
    </row>
    <row r="4" spans="1:35" ht="18" x14ac:dyDescent="0.3">
      <c r="A4" s="92" t="s">
        <v>273</v>
      </c>
      <c r="B4" s="93">
        <v>45987</v>
      </c>
      <c r="C4" s="94" t="s">
        <v>597</v>
      </c>
      <c r="D4" s="95">
        <v>0.65625</v>
      </c>
      <c r="E4" s="94" t="s">
        <v>577</v>
      </c>
      <c r="F4" s="94" t="s">
        <v>174</v>
      </c>
      <c r="G4" s="96">
        <v>1</v>
      </c>
      <c r="H4" s="97">
        <v>179</v>
      </c>
      <c r="I4" s="97">
        <v>179</v>
      </c>
      <c r="J4" s="97">
        <v>126</v>
      </c>
      <c r="K4" s="93">
        <v>45979</v>
      </c>
      <c r="L4" s="97">
        <v>0</v>
      </c>
      <c r="M4" s="97">
        <v>0</v>
      </c>
      <c r="N4" s="97">
        <v>12</v>
      </c>
      <c r="O4" s="94" t="s">
        <v>133</v>
      </c>
      <c r="P4" s="98"/>
      <c r="Q4" s="98"/>
      <c r="R4" s="98"/>
      <c r="S4" s="98"/>
      <c r="T4" s="98"/>
      <c r="U4" s="98"/>
      <c r="V4" s="98"/>
      <c r="W4" s="98"/>
      <c r="X4" s="97" t="s">
        <v>680</v>
      </c>
      <c r="Y4" s="97" t="s">
        <v>506</v>
      </c>
      <c r="Z4" s="97" t="s">
        <v>681</v>
      </c>
      <c r="AA4" s="98"/>
      <c r="AB4" s="97" t="s">
        <v>275</v>
      </c>
      <c r="AC4" s="97" t="s">
        <v>276</v>
      </c>
      <c r="AD4" s="97" t="s">
        <v>186</v>
      </c>
      <c r="AE4" s="97" t="s">
        <v>432</v>
      </c>
      <c r="AF4" s="98"/>
      <c r="AG4" s="98"/>
      <c r="AH4" s="97" t="s">
        <v>682</v>
      </c>
      <c r="AI4" s="98"/>
    </row>
    <row r="5" spans="1:35" ht="18" x14ac:dyDescent="0.3">
      <c r="A5" s="99" t="s">
        <v>273</v>
      </c>
      <c r="B5" s="100">
        <v>45987</v>
      </c>
      <c r="C5" s="101" t="s">
        <v>619</v>
      </c>
      <c r="D5" s="102">
        <v>0.71875</v>
      </c>
      <c r="E5" s="101" t="s">
        <v>577</v>
      </c>
      <c r="F5" s="101" t="s">
        <v>174</v>
      </c>
      <c r="G5" s="103">
        <v>1</v>
      </c>
      <c r="H5" s="104">
        <v>179</v>
      </c>
      <c r="I5" s="104">
        <v>179</v>
      </c>
      <c r="J5" s="104">
        <v>129</v>
      </c>
      <c r="K5" s="100">
        <v>45982</v>
      </c>
      <c r="L5" s="104">
        <v>0</v>
      </c>
      <c r="M5" s="104">
        <v>0</v>
      </c>
      <c r="N5" s="104">
        <v>15</v>
      </c>
      <c r="O5" s="101" t="s">
        <v>133</v>
      </c>
      <c r="P5" s="105"/>
      <c r="Q5" s="105"/>
      <c r="R5" s="105"/>
      <c r="S5" s="105"/>
      <c r="T5" s="105"/>
      <c r="U5" s="105"/>
      <c r="V5" s="105"/>
      <c r="W5" s="105"/>
      <c r="X5" s="105"/>
      <c r="Y5" s="104" t="s">
        <v>181</v>
      </c>
      <c r="Z5" s="104" t="s">
        <v>683</v>
      </c>
      <c r="AA5" s="105"/>
      <c r="AB5" s="104" t="s">
        <v>275</v>
      </c>
      <c r="AC5" s="104" t="s">
        <v>201</v>
      </c>
      <c r="AD5" s="104" t="s">
        <v>317</v>
      </c>
      <c r="AE5" s="104" t="s">
        <v>277</v>
      </c>
      <c r="AF5" s="105"/>
      <c r="AG5" s="105"/>
      <c r="AH5" s="104" t="s">
        <v>684</v>
      </c>
      <c r="AI5" s="105"/>
    </row>
    <row r="6" spans="1:35" ht="18" x14ac:dyDescent="0.3">
      <c r="A6" s="92" t="s">
        <v>197</v>
      </c>
      <c r="B6" s="93">
        <v>45988</v>
      </c>
      <c r="C6" s="94" t="s">
        <v>597</v>
      </c>
      <c r="D6" s="95">
        <v>0.27430555555555552</v>
      </c>
      <c r="E6" s="94" t="s">
        <v>577</v>
      </c>
      <c r="F6" s="94" t="s">
        <v>174</v>
      </c>
      <c r="G6" s="96">
        <v>1</v>
      </c>
      <c r="H6" s="97">
        <v>179</v>
      </c>
      <c r="I6" s="97">
        <v>179</v>
      </c>
      <c r="J6" s="97">
        <v>170</v>
      </c>
      <c r="K6" s="93">
        <v>45985</v>
      </c>
      <c r="L6" s="97">
        <v>4</v>
      </c>
      <c r="M6" s="97">
        <v>0</v>
      </c>
      <c r="N6" s="97">
        <v>7</v>
      </c>
      <c r="O6" s="94" t="s">
        <v>133</v>
      </c>
      <c r="P6" s="98"/>
      <c r="Q6" s="98"/>
      <c r="R6" s="98"/>
      <c r="S6" s="98"/>
      <c r="T6" s="98"/>
      <c r="U6" s="98"/>
      <c r="V6" s="98"/>
      <c r="W6" s="97" t="s">
        <v>685</v>
      </c>
      <c r="X6" s="98"/>
      <c r="Y6" s="97" t="s">
        <v>200</v>
      </c>
      <c r="Z6" s="98"/>
      <c r="AA6" s="98"/>
      <c r="AB6" s="97" t="s">
        <v>491</v>
      </c>
      <c r="AC6" s="98"/>
      <c r="AD6" s="98"/>
      <c r="AE6" s="98"/>
      <c r="AF6" s="98"/>
      <c r="AG6" s="98"/>
      <c r="AH6" s="97" t="s">
        <v>686</v>
      </c>
      <c r="AI6" s="98"/>
    </row>
    <row r="7" spans="1:35" ht="18" x14ac:dyDescent="0.3">
      <c r="A7" s="99" t="s">
        <v>543</v>
      </c>
      <c r="B7" s="100">
        <v>45989</v>
      </c>
      <c r="C7" s="101" t="s">
        <v>597</v>
      </c>
      <c r="D7" s="102">
        <v>0.41666666666666669</v>
      </c>
      <c r="E7" s="101" t="s">
        <v>577</v>
      </c>
      <c r="F7" s="101" t="s">
        <v>174</v>
      </c>
      <c r="G7" s="103">
        <v>0.66669999999999996</v>
      </c>
      <c r="H7" s="104">
        <v>168</v>
      </c>
      <c r="I7" s="104">
        <v>112</v>
      </c>
      <c r="J7" s="104">
        <v>0</v>
      </c>
      <c r="K7" s="100">
        <v>45984</v>
      </c>
      <c r="L7" s="104">
        <v>0</v>
      </c>
      <c r="M7" s="104">
        <v>17</v>
      </c>
      <c r="N7" s="104">
        <v>68</v>
      </c>
      <c r="O7" s="101" t="s">
        <v>650</v>
      </c>
      <c r="P7" s="105"/>
      <c r="Q7" s="105"/>
      <c r="R7" s="105"/>
      <c r="S7" s="105"/>
      <c r="T7" s="105"/>
      <c r="U7" s="105"/>
      <c r="V7" s="105"/>
      <c r="W7" s="104" t="s">
        <v>199</v>
      </c>
      <c r="X7" s="104" t="s">
        <v>687</v>
      </c>
      <c r="Y7" s="104" t="s">
        <v>688</v>
      </c>
      <c r="Z7" s="104" t="s">
        <v>689</v>
      </c>
      <c r="AA7" s="104" t="s">
        <v>690</v>
      </c>
      <c r="AB7" s="104" t="s">
        <v>691</v>
      </c>
      <c r="AC7" s="104" t="s">
        <v>501</v>
      </c>
      <c r="AD7" s="105"/>
      <c r="AE7" s="105"/>
      <c r="AF7" s="105"/>
      <c r="AG7" s="105"/>
      <c r="AH7" s="105"/>
      <c r="AI7" s="105"/>
    </row>
    <row r="8" spans="1:35" ht="18" x14ac:dyDescent="0.3">
      <c r="A8" s="92" t="s">
        <v>205</v>
      </c>
      <c r="B8" s="93">
        <v>45990</v>
      </c>
      <c r="C8" s="94" t="s">
        <v>619</v>
      </c>
      <c r="D8" s="95">
        <v>0.45833333333333331</v>
      </c>
      <c r="E8" s="94" t="s">
        <v>577</v>
      </c>
      <c r="F8" s="94" t="s">
        <v>174</v>
      </c>
      <c r="G8" s="96">
        <v>1</v>
      </c>
      <c r="H8" s="97">
        <v>168</v>
      </c>
      <c r="I8" s="97">
        <v>168</v>
      </c>
      <c r="J8" s="97">
        <v>138</v>
      </c>
      <c r="K8" s="93">
        <v>45985</v>
      </c>
      <c r="L8" s="97">
        <v>4</v>
      </c>
      <c r="M8" s="97">
        <v>0</v>
      </c>
      <c r="N8" s="97">
        <v>5</v>
      </c>
      <c r="O8" s="94" t="s">
        <v>133</v>
      </c>
      <c r="P8" s="98"/>
      <c r="Q8" s="98"/>
      <c r="R8" s="98"/>
      <c r="S8" s="98"/>
      <c r="T8" s="98"/>
      <c r="U8" s="98"/>
      <c r="V8" s="98"/>
      <c r="W8" s="98"/>
      <c r="X8" s="97" t="s">
        <v>692</v>
      </c>
      <c r="Y8" s="97" t="s">
        <v>545</v>
      </c>
      <c r="Z8" s="98"/>
      <c r="AA8" s="97" t="s">
        <v>693</v>
      </c>
      <c r="AB8" s="97" t="s">
        <v>694</v>
      </c>
      <c r="AC8" s="98"/>
      <c r="AD8" s="98"/>
      <c r="AE8" s="98"/>
      <c r="AF8" s="98"/>
      <c r="AG8" s="98"/>
      <c r="AH8" s="97" t="s">
        <v>695</v>
      </c>
      <c r="AI8" s="98"/>
    </row>
    <row r="9" spans="1:35" ht="18" x14ac:dyDescent="0.3">
      <c r="A9" s="99" t="s">
        <v>205</v>
      </c>
      <c r="B9" s="100">
        <v>45990</v>
      </c>
      <c r="C9" s="101" t="s">
        <v>597</v>
      </c>
      <c r="D9" s="102">
        <v>0.79166666666666663</v>
      </c>
      <c r="E9" s="101" t="s">
        <v>577</v>
      </c>
      <c r="F9" s="101" t="s">
        <v>174</v>
      </c>
      <c r="G9" s="103">
        <v>1</v>
      </c>
      <c r="H9" s="104">
        <v>168</v>
      </c>
      <c r="I9" s="104">
        <v>168</v>
      </c>
      <c r="J9" s="104">
        <v>119</v>
      </c>
      <c r="K9" s="100">
        <v>45985</v>
      </c>
      <c r="L9" s="104">
        <v>8</v>
      </c>
      <c r="M9" s="104">
        <v>0</v>
      </c>
      <c r="N9" s="104">
        <v>8</v>
      </c>
      <c r="O9" s="101" t="s">
        <v>133</v>
      </c>
      <c r="P9" s="105"/>
      <c r="Q9" s="105"/>
      <c r="R9" s="105"/>
      <c r="S9" s="105"/>
      <c r="T9" s="105"/>
      <c r="U9" s="105"/>
      <c r="V9" s="105"/>
      <c r="W9" s="105"/>
      <c r="X9" s="104" t="s">
        <v>696</v>
      </c>
      <c r="Y9" s="104" t="s">
        <v>191</v>
      </c>
      <c r="Z9" s="105"/>
      <c r="AA9" s="105"/>
      <c r="AB9" s="104" t="s">
        <v>275</v>
      </c>
      <c r="AC9" s="104" t="s">
        <v>515</v>
      </c>
      <c r="AD9" s="104" t="s">
        <v>488</v>
      </c>
      <c r="AE9" s="104" t="s">
        <v>574</v>
      </c>
      <c r="AF9" s="105"/>
      <c r="AG9" s="105"/>
      <c r="AH9" s="104" t="s">
        <v>697</v>
      </c>
      <c r="AI9" s="105"/>
    </row>
    <row r="10" spans="1:35" ht="18" x14ac:dyDescent="0.3">
      <c r="A10" s="92" t="s">
        <v>211</v>
      </c>
      <c r="B10" s="93">
        <v>45991</v>
      </c>
      <c r="C10" s="94" t="s">
        <v>619</v>
      </c>
      <c r="D10" s="95">
        <v>0.48958333333333331</v>
      </c>
      <c r="E10" s="94" t="s">
        <v>577</v>
      </c>
      <c r="F10" s="94" t="s">
        <v>174</v>
      </c>
      <c r="G10" s="96">
        <v>0.99399999999999999</v>
      </c>
      <c r="H10" s="97">
        <v>168</v>
      </c>
      <c r="I10" s="97">
        <v>167</v>
      </c>
      <c r="J10" s="97">
        <v>137</v>
      </c>
      <c r="K10" s="93">
        <v>45983</v>
      </c>
      <c r="L10" s="97">
        <v>0</v>
      </c>
      <c r="M10" s="97">
        <v>0</v>
      </c>
      <c r="N10" s="97">
        <v>1</v>
      </c>
      <c r="O10" s="94" t="s">
        <v>549</v>
      </c>
      <c r="P10" s="98"/>
      <c r="Q10" s="98"/>
      <c r="R10" s="98"/>
      <c r="S10" s="98"/>
      <c r="T10" s="98"/>
      <c r="U10" s="98"/>
      <c r="V10" s="98"/>
      <c r="W10" s="98"/>
      <c r="X10" s="97" t="s">
        <v>549</v>
      </c>
      <c r="Y10" s="97" t="s">
        <v>200</v>
      </c>
      <c r="Z10" s="98"/>
      <c r="AA10" s="98"/>
      <c r="AB10" s="97" t="s">
        <v>216</v>
      </c>
      <c r="AC10" s="97" t="s">
        <v>515</v>
      </c>
      <c r="AD10" s="97" t="s">
        <v>194</v>
      </c>
      <c r="AE10" s="97" t="s">
        <v>574</v>
      </c>
      <c r="AF10" s="98"/>
      <c r="AG10" s="98"/>
      <c r="AH10" s="97" t="s">
        <v>698</v>
      </c>
      <c r="AI10" s="97" t="s">
        <v>204</v>
      </c>
    </row>
    <row r="11" spans="1:35" ht="18" x14ac:dyDescent="0.3">
      <c r="A11" s="99" t="s">
        <v>211</v>
      </c>
      <c r="B11" s="100">
        <v>45991</v>
      </c>
      <c r="C11" s="101" t="s">
        <v>597</v>
      </c>
      <c r="D11" s="102">
        <v>0.6875</v>
      </c>
      <c r="E11" s="101" t="s">
        <v>577</v>
      </c>
      <c r="F11" s="101" t="s">
        <v>174</v>
      </c>
      <c r="G11" s="103">
        <v>1</v>
      </c>
      <c r="H11" s="104">
        <v>168</v>
      </c>
      <c r="I11" s="104">
        <v>168</v>
      </c>
      <c r="J11" s="104">
        <v>138</v>
      </c>
      <c r="K11" s="100">
        <v>45983</v>
      </c>
      <c r="L11" s="104">
        <v>0</v>
      </c>
      <c r="M11" s="104">
        <v>0</v>
      </c>
      <c r="N11" s="104">
        <v>7</v>
      </c>
      <c r="O11" s="101" t="s">
        <v>133</v>
      </c>
      <c r="P11" s="105"/>
      <c r="Q11" s="105"/>
      <c r="R11" s="105"/>
      <c r="S11" s="105"/>
      <c r="T11" s="105"/>
      <c r="U11" s="105"/>
      <c r="V11" s="105"/>
      <c r="W11" s="105"/>
      <c r="X11" s="104" t="s">
        <v>549</v>
      </c>
      <c r="Y11" s="104" t="s">
        <v>213</v>
      </c>
      <c r="Z11" s="104" t="s">
        <v>699</v>
      </c>
      <c r="AA11" s="104" t="s">
        <v>700</v>
      </c>
      <c r="AB11" s="104" t="s">
        <v>184</v>
      </c>
      <c r="AC11" s="105"/>
      <c r="AD11" s="105"/>
      <c r="AE11" s="105"/>
      <c r="AF11" s="105"/>
      <c r="AG11" s="105"/>
      <c r="AH11" s="104" t="s">
        <v>701</v>
      </c>
      <c r="AI11" s="104" t="s">
        <v>530</v>
      </c>
    </row>
    <row r="12" spans="1:35" ht="18" x14ac:dyDescent="0.3">
      <c r="A12" s="106" t="s">
        <v>219</v>
      </c>
      <c r="B12" s="107"/>
      <c r="C12" s="108">
        <f>COUNTA(C2:C11)</f>
        <v>10</v>
      </c>
      <c r="D12" s="107"/>
      <c r="E12" s="107"/>
      <c r="F12" s="107"/>
      <c r="G12" s="109">
        <f>AVERAGE(G2:G11)</f>
        <v>0.96606999999999998</v>
      </c>
      <c r="H12" s="110">
        <f>SUM(H2:H11)</f>
        <v>1735</v>
      </c>
      <c r="I12" s="110">
        <f>SUM(I2:I11)</f>
        <v>1678</v>
      </c>
      <c r="J12" s="110">
        <f>SUM(J2:J11)</f>
        <v>1275</v>
      </c>
      <c r="K12" s="107"/>
      <c r="L12" s="110">
        <f>SUM(L2:L11)</f>
        <v>24</v>
      </c>
      <c r="M12" s="110">
        <f>SUM(M2:M11)</f>
        <v>17</v>
      </c>
      <c r="N12" s="110">
        <f>SUM(N2:N11)</f>
        <v>147</v>
      </c>
      <c r="O12" s="107"/>
      <c r="P12" s="110">
        <f t="shared" ref="P12:AI12" si="0">SUMPRODUCT(--IFERROR(VALUE(SUBSTITUTE(SUBSTITUTE(SUBSTITUTE(SUBSTITUTE(SUBSTITUTE(SUBSTITUTE(SUBSTITUTE(SUBSTITUTE(SUBSTITUTE(SUBSTITUTE(SUBSTITUTE(SUBSTITUTE(SUBSTITUTE(SUBSTITUTE(SUBSTITUTE(SUBSTITUTE(SUBSTITUTE(SUBSTITUTE(SUBSTITUTE(SUBSTITUTE(P2:P11,"Y",""),"B",""),"M",""),"H",""),"Q",""),"K",""),"V",""),"L",""),"G",""),"S",""),"W",""),"T",""),"X",""),"U",""),"O",""),"I",""),"E",""),"A",""),"P",""),"N","")),0))</f>
        <v>0</v>
      </c>
      <c r="Q12" s="110">
        <f t="shared" si="0"/>
        <v>0</v>
      </c>
      <c r="R12" s="110">
        <f t="shared" si="0"/>
        <v>0</v>
      </c>
      <c r="S12" s="110">
        <f t="shared" si="0"/>
        <v>0</v>
      </c>
      <c r="T12" s="110">
        <f t="shared" si="0"/>
        <v>0</v>
      </c>
      <c r="U12" s="110">
        <f t="shared" si="0"/>
        <v>0</v>
      </c>
      <c r="V12" s="110">
        <f t="shared" si="0"/>
        <v>0</v>
      </c>
      <c r="W12" s="110">
        <f t="shared" si="0"/>
        <v>0</v>
      </c>
      <c r="X12" s="110">
        <f t="shared" si="0"/>
        <v>0</v>
      </c>
      <c r="Y12" s="110">
        <f t="shared" si="0"/>
        <v>0</v>
      </c>
      <c r="Z12" s="110">
        <f t="shared" si="0"/>
        <v>0</v>
      </c>
      <c r="AA12" s="110">
        <f t="shared" si="0"/>
        <v>0</v>
      </c>
      <c r="AB12" s="110">
        <f t="shared" si="0"/>
        <v>0</v>
      </c>
      <c r="AC12" s="110">
        <f t="shared" si="0"/>
        <v>0</v>
      </c>
      <c r="AD12" s="110">
        <f t="shared" si="0"/>
        <v>0</v>
      </c>
      <c r="AE12" s="110">
        <f t="shared" si="0"/>
        <v>0</v>
      </c>
      <c r="AF12" s="110">
        <f t="shared" si="0"/>
        <v>0</v>
      </c>
      <c r="AG12" s="110">
        <f t="shared" si="0"/>
        <v>0</v>
      </c>
      <c r="AH12" s="110">
        <f t="shared" si="0"/>
        <v>0</v>
      </c>
      <c r="AI12" s="110">
        <f t="shared" si="0"/>
        <v>0</v>
      </c>
    </row>
  </sheetData>
  <autoFilter ref="A1:AI11"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27"/>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378</v>
      </c>
      <c r="C2" s="114" t="s">
        <v>578</v>
      </c>
      <c r="D2" s="113" t="s">
        <v>577</v>
      </c>
      <c r="E2" s="115">
        <v>1.1875</v>
      </c>
      <c r="F2" s="113" t="s">
        <v>579</v>
      </c>
      <c r="G2" s="116">
        <v>9</v>
      </c>
      <c r="H2" s="117">
        <v>560</v>
      </c>
    </row>
    <row r="3" spans="1:8" ht="18" x14ac:dyDescent="0.3">
      <c r="A3" s="118">
        <v>45986</v>
      </c>
      <c r="B3" s="119" t="s">
        <v>378</v>
      </c>
      <c r="C3" s="120" t="s">
        <v>578</v>
      </c>
      <c r="D3" s="119" t="s">
        <v>577</v>
      </c>
      <c r="E3" s="121">
        <v>1.1875</v>
      </c>
      <c r="F3" s="119" t="s">
        <v>581</v>
      </c>
      <c r="G3" s="122">
        <v>9</v>
      </c>
      <c r="H3" s="123">
        <v>614</v>
      </c>
    </row>
    <row r="4" spans="1:8" ht="18" x14ac:dyDescent="0.3">
      <c r="A4" s="118">
        <v>45986</v>
      </c>
      <c r="B4" s="119" t="s">
        <v>378</v>
      </c>
      <c r="C4" s="120" t="s">
        <v>578</v>
      </c>
      <c r="D4" s="119" t="s">
        <v>577</v>
      </c>
      <c r="E4" s="121">
        <v>1.1875</v>
      </c>
      <c r="F4" s="119" t="s">
        <v>33</v>
      </c>
      <c r="G4" s="122">
        <v>9</v>
      </c>
      <c r="H4" s="123">
        <v>683</v>
      </c>
    </row>
    <row r="5" spans="1:8" ht="18" x14ac:dyDescent="0.3">
      <c r="A5" s="138">
        <v>45986</v>
      </c>
      <c r="B5" s="139" t="s">
        <v>378</v>
      </c>
      <c r="C5" s="140" t="s">
        <v>584</v>
      </c>
      <c r="D5" s="139" t="s">
        <v>577</v>
      </c>
      <c r="E5" s="141">
        <v>1.5277777777777779</v>
      </c>
      <c r="F5" s="139" t="s">
        <v>579</v>
      </c>
      <c r="G5" s="142">
        <v>9</v>
      </c>
      <c r="H5" s="143">
        <v>671</v>
      </c>
    </row>
    <row r="6" spans="1:8" ht="18" x14ac:dyDescent="0.3">
      <c r="A6" s="118">
        <v>45986</v>
      </c>
      <c r="B6" s="119" t="s">
        <v>378</v>
      </c>
      <c r="C6" s="120" t="s">
        <v>584</v>
      </c>
      <c r="D6" s="119" t="s">
        <v>577</v>
      </c>
      <c r="E6" s="121">
        <v>1.5277777777777779</v>
      </c>
      <c r="F6" s="119" t="s">
        <v>581</v>
      </c>
      <c r="G6" s="122">
        <v>9</v>
      </c>
      <c r="H6" s="123">
        <v>737</v>
      </c>
    </row>
    <row r="7" spans="1:8" ht="18" x14ac:dyDescent="0.3">
      <c r="A7" s="118">
        <v>45986</v>
      </c>
      <c r="B7" s="119" t="s">
        <v>378</v>
      </c>
      <c r="C7" s="120" t="s">
        <v>584</v>
      </c>
      <c r="D7" s="119" t="s">
        <v>577</v>
      </c>
      <c r="E7" s="121">
        <v>1.5277777777777779</v>
      </c>
      <c r="F7" s="119" t="s">
        <v>33</v>
      </c>
      <c r="G7" s="122">
        <v>9</v>
      </c>
      <c r="H7" s="123">
        <v>799</v>
      </c>
    </row>
    <row r="8" spans="1:8" ht="18" x14ac:dyDescent="0.3">
      <c r="A8" s="136">
        <v>45986</v>
      </c>
      <c r="B8" s="113" t="s">
        <v>25</v>
      </c>
      <c r="C8" s="114" t="s">
        <v>587</v>
      </c>
      <c r="D8" s="113" t="s">
        <v>577</v>
      </c>
      <c r="E8" s="115">
        <v>1.256944444444444</v>
      </c>
      <c r="F8" s="113" t="s">
        <v>588</v>
      </c>
      <c r="G8" s="116">
        <v>2</v>
      </c>
      <c r="H8" s="137">
        <v>569</v>
      </c>
    </row>
    <row r="9" spans="1:8" ht="18" x14ac:dyDescent="0.3">
      <c r="A9" s="118">
        <v>45986</v>
      </c>
      <c r="B9" s="119" t="s">
        <v>25</v>
      </c>
      <c r="C9" s="120" t="s">
        <v>587</v>
      </c>
      <c r="D9" s="119" t="s">
        <v>577</v>
      </c>
      <c r="E9" s="121">
        <v>1.256944444444444</v>
      </c>
      <c r="F9" s="119" t="s">
        <v>579</v>
      </c>
      <c r="G9" s="122">
        <v>2</v>
      </c>
      <c r="H9" s="123">
        <v>628</v>
      </c>
    </row>
    <row r="10" spans="1:8" ht="18" x14ac:dyDescent="0.3">
      <c r="A10" s="118">
        <v>45986</v>
      </c>
      <c r="B10" s="119" t="s">
        <v>25</v>
      </c>
      <c r="C10" s="120" t="s">
        <v>587</v>
      </c>
      <c r="D10" s="119" t="s">
        <v>577</v>
      </c>
      <c r="E10" s="121">
        <v>1.256944444444444</v>
      </c>
      <c r="F10" s="119" t="s">
        <v>581</v>
      </c>
      <c r="G10" s="122">
        <v>2</v>
      </c>
      <c r="H10" s="123">
        <v>652</v>
      </c>
    </row>
    <row r="11" spans="1:8" ht="18" x14ac:dyDescent="0.3">
      <c r="A11" s="118">
        <v>45986</v>
      </c>
      <c r="B11" s="119" t="s">
        <v>25</v>
      </c>
      <c r="C11" s="120" t="s">
        <v>587</v>
      </c>
      <c r="D11" s="119" t="s">
        <v>577</v>
      </c>
      <c r="E11" s="121">
        <v>1.256944444444444</v>
      </c>
      <c r="F11" s="119" t="s">
        <v>591</v>
      </c>
      <c r="G11" s="122">
        <v>2</v>
      </c>
      <c r="H11" s="123">
        <v>819</v>
      </c>
    </row>
    <row r="12" spans="1:8" ht="18" x14ac:dyDescent="0.3">
      <c r="A12" s="136">
        <v>45986</v>
      </c>
      <c r="B12" s="113" t="s">
        <v>78</v>
      </c>
      <c r="C12" s="114" t="s">
        <v>593</v>
      </c>
      <c r="D12" s="113" t="s">
        <v>577</v>
      </c>
      <c r="E12" s="115">
        <v>1.3402777777777779</v>
      </c>
      <c r="F12" s="113" t="s">
        <v>87</v>
      </c>
      <c r="G12" s="116">
        <v>8</v>
      </c>
      <c r="H12" s="113" t="s">
        <v>594</v>
      </c>
    </row>
    <row r="13" spans="1:8" ht="18" x14ac:dyDescent="0.3">
      <c r="A13" s="118">
        <v>45986</v>
      </c>
      <c r="B13" s="119" t="s">
        <v>78</v>
      </c>
      <c r="C13" s="120" t="s">
        <v>593</v>
      </c>
      <c r="D13" s="119" t="s">
        <v>577</v>
      </c>
      <c r="E13" s="121">
        <v>1.3402777777777779</v>
      </c>
      <c r="F13" s="119" t="s">
        <v>82</v>
      </c>
      <c r="G13" s="122">
        <v>8</v>
      </c>
      <c r="H13" s="119" t="s">
        <v>595</v>
      </c>
    </row>
    <row r="14" spans="1:8" ht="18" x14ac:dyDescent="0.3">
      <c r="A14" s="138">
        <v>45986</v>
      </c>
      <c r="B14" s="139" t="s">
        <v>78</v>
      </c>
      <c r="C14" s="140" t="s">
        <v>596</v>
      </c>
      <c r="D14" s="139" t="s">
        <v>577</v>
      </c>
      <c r="E14" s="141">
        <v>1.711805555555556</v>
      </c>
      <c r="F14" s="139" t="s">
        <v>87</v>
      </c>
      <c r="G14" s="142">
        <v>9</v>
      </c>
      <c r="H14" s="139" t="s">
        <v>594</v>
      </c>
    </row>
    <row r="15" spans="1:8" ht="18" x14ac:dyDescent="0.3">
      <c r="A15" s="118">
        <v>45986</v>
      </c>
      <c r="B15" s="119" t="s">
        <v>78</v>
      </c>
      <c r="C15" s="120" t="s">
        <v>596</v>
      </c>
      <c r="D15" s="119" t="s">
        <v>577</v>
      </c>
      <c r="E15" s="121">
        <v>1.711805555555556</v>
      </c>
      <c r="F15" s="119" t="s">
        <v>82</v>
      </c>
      <c r="G15" s="122">
        <v>9</v>
      </c>
      <c r="H15" s="119" t="s">
        <v>595</v>
      </c>
    </row>
    <row r="16" spans="1:8" ht="18" x14ac:dyDescent="0.3">
      <c r="A16" s="124">
        <v>45986</v>
      </c>
      <c r="B16" s="125" t="s">
        <v>35</v>
      </c>
      <c r="C16" s="126" t="s">
        <v>597</v>
      </c>
      <c r="D16" s="125" t="s">
        <v>577</v>
      </c>
      <c r="E16" s="127">
        <v>1.708333333333333</v>
      </c>
      <c r="F16" s="125" t="s">
        <v>131</v>
      </c>
      <c r="G16" s="125"/>
      <c r="H16" s="125" t="s">
        <v>132</v>
      </c>
    </row>
    <row r="17" spans="1:8" ht="15.6" x14ac:dyDescent="0.3">
      <c r="A17" s="189"/>
      <c r="B17" s="189"/>
      <c r="C17" s="189"/>
      <c r="D17" s="189"/>
      <c r="E17" s="190" t="s">
        <v>702</v>
      </c>
      <c r="F17" s="189"/>
      <c r="G17" s="189"/>
      <c r="H17" s="3"/>
    </row>
    <row r="18" spans="1:8" ht="18" x14ac:dyDescent="0.3">
      <c r="A18" s="136">
        <v>45986</v>
      </c>
      <c r="B18" s="113" t="s">
        <v>304</v>
      </c>
      <c r="C18" s="114" t="s">
        <v>305</v>
      </c>
      <c r="D18" s="113" t="s">
        <v>303</v>
      </c>
      <c r="E18" s="115">
        <v>1.274305555555556</v>
      </c>
      <c r="F18" s="113" t="s">
        <v>306</v>
      </c>
      <c r="G18" s="116">
        <v>2</v>
      </c>
      <c r="H18" s="137">
        <v>400</v>
      </c>
    </row>
    <row r="19" spans="1:8" ht="18" x14ac:dyDescent="0.3">
      <c r="A19" s="138">
        <v>45986</v>
      </c>
      <c r="B19" s="139" t="s">
        <v>304</v>
      </c>
      <c r="C19" s="140" t="s">
        <v>308</v>
      </c>
      <c r="D19" s="139" t="s">
        <v>303</v>
      </c>
      <c r="E19" s="141">
        <v>1.739583333333333</v>
      </c>
      <c r="F19" s="139" t="s">
        <v>306</v>
      </c>
      <c r="G19" s="142">
        <v>1</v>
      </c>
      <c r="H19" s="143">
        <v>400</v>
      </c>
    </row>
    <row r="20" spans="1:8" ht="18" x14ac:dyDescent="0.3">
      <c r="A20" s="124">
        <v>45986</v>
      </c>
      <c r="B20" s="125" t="s">
        <v>35</v>
      </c>
      <c r="C20" s="126" t="s">
        <v>309</v>
      </c>
      <c r="D20" s="125" t="s">
        <v>303</v>
      </c>
      <c r="E20" s="127">
        <v>1.229166666666667</v>
      </c>
      <c r="F20" s="125" t="s">
        <v>37</v>
      </c>
      <c r="G20" s="128">
        <v>1</v>
      </c>
      <c r="H20" s="129">
        <v>401</v>
      </c>
    </row>
    <row r="21" spans="1:8" ht="18" x14ac:dyDescent="0.3">
      <c r="A21" s="130">
        <v>45986</v>
      </c>
      <c r="B21" s="131" t="s">
        <v>35</v>
      </c>
      <c r="C21" s="132" t="s">
        <v>314</v>
      </c>
      <c r="D21" s="131" t="s">
        <v>303</v>
      </c>
      <c r="E21" s="133">
        <v>1.96875</v>
      </c>
      <c r="F21" s="131" t="s">
        <v>37</v>
      </c>
      <c r="G21" s="134">
        <v>7</v>
      </c>
      <c r="H21" s="135">
        <v>436</v>
      </c>
    </row>
    <row r="22" spans="1:8" ht="18" x14ac:dyDescent="0.3">
      <c r="A22" s="136">
        <v>45986</v>
      </c>
      <c r="B22" s="113" t="s">
        <v>333</v>
      </c>
      <c r="C22" s="114" t="s">
        <v>334</v>
      </c>
      <c r="D22" s="113" t="s">
        <v>303</v>
      </c>
      <c r="E22" s="115">
        <v>1.0451388888888891</v>
      </c>
      <c r="F22" s="113" t="s">
        <v>306</v>
      </c>
      <c r="G22" s="116">
        <v>1</v>
      </c>
      <c r="H22" s="137">
        <v>401</v>
      </c>
    </row>
    <row r="23" spans="1:8" ht="18" x14ac:dyDescent="0.3">
      <c r="A23" s="136">
        <v>45986</v>
      </c>
      <c r="B23" s="113" t="s">
        <v>25</v>
      </c>
      <c r="C23" s="114" t="s">
        <v>338</v>
      </c>
      <c r="D23" s="113" t="s">
        <v>303</v>
      </c>
      <c r="E23" s="115">
        <v>1.1284722222222221</v>
      </c>
      <c r="F23" s="113" t="s">
        <v>27</v>
      </c>
      <c r="G23" s="116">
        <v>25</v>
      </c>
      <c r="H23" s="137">
        <v>419</v>
      </c>
    </row>
    <row r="24" spans="1:8" ht="18" x14ac:dyDescent="0.3">
      <c r="A24" s="138">
        <v>45986</v>
      </c>
      <c r="B24" s="139" t="s">
        <v>25</v>
      </c>
      <c r="C24" s="140" t="s">
        <v>343</v>
      </c>
      <c r="D24" s="139" t="s">
        <v>303</v>
      </c>
      <c r="E24" s="141">
        <v>1.8888888888888891</v>
      </c>
      <c r="F24" s="139" t="s">
        <v>27</v>
      </c>
      <c r="G24" s="142">
        <v>2</v>
      </c>
      <c r="H24" s="143">
        <v>419</v>
      </c>
    </row>
    <row r="25" spans="1:8" ht="18" x14ac:dyDescent="0.3">
      <c r="A25" s="138">
        <v>45986</v>
      </c>
      <c r="B25" s="139" t="s">
        <v>25</v>
      </c>
      <c r="C25" s="140" t="s">
        <v>344</v>
      </c>
      <c r="D25" s="139" t="s">
        <v>303</v>
      </c>
      <c r="E25" s="141">
        <v>1.302083333333333</v>
      </c>
      <c r="F25" s="139" t="s">
        <v>27</v>
      </c>
      <c r="G25" s="142">
        <v>3</v>
      </c>
      <c r="H25" s="143">
        <v>459</v>
      </c>
    </row>
    <row r="26" spans="1:8" ht="18" x14ac:dyDescent="0.3">
      <c r="A26" s="138">
        <v>45986</v>
      </c>
      <c r="B26" s="139" t="s">
        <v>25</v>
      </c>
      <c r="C26" s="140" t="s">
        <v>347</v>
      </c>
      <c r="D26" s="139" t="s">
        <v>303</v>
      </c>
      <c r="E26" s="141">
        <v>1.788194444444444</v>
      </c>
      <c r="F26" s="139" t="s">
        <v>27</v>
      </c>
      <c r="G26" s="142">
        <v>14</v>
      </c>
      <c r="H26" s="143">
        <v>459</v>
      </c>
    </row>
    <row r="27" spans="1:8" ht="18" x14ac:dyDescent="0.3">
      <c r="A27" s="194">
        <v>45986</v>
      </c>
      <c r="B27" s="195" t="s">
        <v>55</v>
      </c>
      <c r="C27" s="196" t="s">
        <v>349</v>
      </c>
      <c r="D27" s="195" t="s">
        <v>303</v>
      </c>
      <c r="E27" s="197">
        <v>1.854166666666667</v>
      </c>
      <c r="F27" s="195" t="s">
        <v>60</v>
      </c>
      <c r="G27" s="198">
        <v>1</v>
      </c>
      <c r="H27" s="223">
        <v>449</v>
      </c>
    </row>
    <row r="28" spans="1:8" ht="18" x14ac:dyDescent="0.3">
      <c r="A28" s="112">
        <v>45987</v>
      </c>
      <c r="B28" s="113" t="s">
        <v>378</v>
      </c>
      <c r="C28" s="114" t="s">
        <v>578</v>
      </c>
      <c r="D28" s="113" t="s">
        <v>577</v>
      </c>
      <c r="E28" s="115">
        <v>1.3298611111111109</v>
      </c>
      <c r="F28" s="113" t="s">
        <v>579</v>
      </c>
      <c r="G28" s="116">
        <v>8</v>
      </c>
      <c r="H28" s="117">
        <v>598</v>
      </c>
    </row>
    <row r="29" spans="1:8" ht="18" x14ac:dyDescent="0.3">
      <c r="A29" s="118">
        <v>45987</v>
      </c>
      <c r="B29" s="119" t="s">
        <v>378</v>
      </c>
      <c r="C29" s="120" t="s">
        <v>578</v>
      </c>
      <c r="D29" s="119" t="s">
        <v>577</v>
      </c>
      <c r="E29" s="121">
        <v>1.3298611111111109</v>
      </c>
      <c r="F29" s="119" t="s">
        <v>581</v>
      </c>
      <c r="G29" s="122">
        <v>8</v>
      </c>
      <c r="H29" s="123">
        <v>664</v>
      </c>
    </row>
    <row r="30" spans="1:8" ht="18" x14ac:dyDescent="0.3">
      <c r="A30" s="118">
        <v>45987</v>
      </c>
      <c r="B30" s="119" t="s">
        <v>378</v>
      </c>
      <c r="C30" s="120" t="s">
        <v>578</v>
      </c>
      <c r="D30" s="119" t="s">
        <v>577</v>
      </c>
      <c r="E30" s="121">
        <v>1.3298611111111109</v>
      </c>
      <c r="F30" s="119" t="s">
        <v>33</v>
      </c>
      <c r="G30" s="122">
        <v>8</v>
      </c>
      <c r="H30" s="123">
        <v>721</v>
      </c>
    </row>
    <row r="31" spans="1:8" ht="18" x14ac:dyDescent="0.3">
      <c r="A31" s="136">
        <v>45987</v>
      </c>
      <c r="B31" s="113" t="s">
        <v>66</v>
      </c>
      <c r="C31" s="114" t="s">
        <v>614</v>
      </c>
      <c r="D31" s="113" t="s">
        <v>577</v>
      </c>
      <c r="E31" s="115">
        <v>1.604166666666667</v>
      </c>
      <c r="F31" s="113" t="s">
        <v>68</v>
      </c>
      <c r="G31" s="116">
        <v>2</v>
      </c>
      <c r="H31" s="137">
        <v>617</v>
      </c>
    </row>
    <row r="32" spans="1:8" ht="18" x14ac:dyDescent="0.3">
      <c r="A32" s="136">
        <v>45987</v>
      </c>
      <c r="B32" s="113" t="s">
        <v>78</v>
      </c>
      <c r="C32" s="114" t="s">
        <v>596</v>
      </c>
      <c r="D32" s="113" t="s">
        <v>577</v>
      </c>
      <c r="E32" s="115">
        <v>1.711805555555556</v>
      </c>
      <c r="F32" s="113" t="s">
        <v>87</v>
      </c>
      <c r="G32" s="116">
        <v>3</v>
      </c>
      <c r="H32" s="113" t="s">
        <v>594</v>
      </c>
    </row>
    <row r="33" spans="1:8" ht="18" x14ac:dyDescent="0.3">
      <c r="A33" s="118">
        <v>45987</v>
      </c>
      <c r="B33" s="119" t="s">
        <v>78</v>
      </c>
      <c r="C33" s="120" t="s">
        <v>596</v>
      </c>
      <c r="D33" s="119" t="s">
        <v>577</v>
      </c>
      <c r="E33" s="121">
        <v>1.711805555555556</v>
      </c>
      <c r="F33" s="119" t="s">
        <v>82</v>
      </c>
      <c r="G33" s="122">
        <v>3</v>
      </c>
      <c r="H33" s="119" t="s">
        <v>595</v>
      </c>
    </row>
    <row r="34" spans="1:8" ht="18" x14ac:dyDescent="0.3">
      <c r="A34" s="124">
        <v>45987</v>
      </c>
      <c r="B34" s="125" t="s">
        <v>35</v>
      </c>
      <c r="C34" s="126" t="s">
        <v>616</v>
      </c>
      <c r="D34" s="125" t="s">
        <v>577</v>
      </c>
      <c r="E34" s="127">
        <v>1.4097222222222221</v>
      </c>
      <c r="F34" s="125" t="s">
        <v>131</v>
      </c>
      <c r="G34" s="125"/>
      <c r="H34" s="125" t="s">
        <v>132</v>
      </c>
    </row>
    <row r="35" spans="1:8" ht="18" x14ac:dyDescent="0.3">
      <c r="A35" s="130">
        <v>45987</v>
      </c>
      <c r="B35" s="131" t="s">
        <v>35</v>
      </c>
      <c r="C35" s="132" t="s">
        <v>597</v>
      </c>
      <c r="D35" s="131" t="s">
        <v>577</v>
      </c>
      <c r="E35" s="133">
        <v>1.65625</v>
      </c>
      <c r="F35" s="131" t="s">
        <v>131</v>
      </c>
      <c r="G35" s="131"/>
      <c r="H35" s="131" t="s">
        <v>132</v>
      </c>
    </row>
    <row r="36" spans="1:8" ht="18" x14ac:dyDescent="0.3">
      <c r="A36" s="130">
        <v>45987</v>
      </c>
      <c r="B36" s="131" t="s">
        <v>35</v>
      </c>
      <c r="C36" s="132" t="s">
        <v>619</v>
      </c>
      <c r="D36" s="131" t="s">
        <v>577</v>
      </c>
      <c r="E36" s="133">
        <v>1.71875</v>
      </c>
      <c r="F36" s="131" t="s">
        <v>131</v>
      </c>
      <c r="G36" s="131"/>
      <c r="H36" s="131" t="s">
        <v>132</v>
      </c>
    </row>
    <row r="37" spans="1:8" ht="15.6" x14ac:dyDescent="0.3">
      <c r="A37" s="189"/>
      <c r="B37" s="189"/>
      <c r="C37" s="189"/>
      <c r="D37" s="189"/>
      <c r="E37" s="190" t="s">
        <v>702</v>
      </c>
      <c r="F37" s="189"/>
      <c r="G37" s="189"/>
      <c r="H37" s="3"/>
    </row>
    <row r="38" spans="1:8" ht="18" x14ac:dyDescent="0.3">
      <c r="A38" s="136">
        <v>45987</v>
      </c>
      <c r="B38" s="113" t="s">
        <v>304</v>
      </c>
      <c r="C38" s="114" t="s">
        <v>305</v>
      </c>
      <c r="D38" s="113" t="s">
        <v>303</v>
      </c>
      <c r="E38" s="115">
        <v>1.270833333333333</v>
      </c>
      <c r="F38" s="113" t="s">
        <v>306</v>
      </c>
      <c r="G38" s="116">
        <v>7</v>
      </c>
      <c r="H38" s="137">
        <v>400</v>
      </c>
    </row>
    <row r="39" spans="1:8" ht="18" x14ac:dyDescent="0.3">
      <c r="A39" s="136">
        <v>45987</v>
      </c>
      <c r="B39" s="113" t="s">
        <v>25</v>
      </c>
      <c r="C39" s="114" t="s">
        <v>344</v>
      </c>
      <c r="D39" s="113" t="s">
        <v>303</v>
      </c>
      <c r="E39" s="115">
        <v>1.302083333333333</v>
      </c>
      <c r="F39" s="113" t="s">
        <v>27</v>
      </c>
      <c r="G39" s="116">
        <v>5</v>
      </c>
      <c r="H39" s="137">
        <v>419</v>
      </c>
    </row>
    <row r="40" spans="1:8" ht="18" x14ac:dyDescent="0.3">
      <c r="A40" s="138">
        <v>45987</v>
      </c>
      <c r="B40" s="139" t="s">
        <v>25</v>
      </c>
      <c r="C40" s="140" t="s">
        <v>338</v>
      </c>
      <c r="D40" s="139" t="s">
        <v>303</v>
      </c>
      <c r="E40" s="141">
        <v>1.1284722222222221</v>
      </c>
      <c r="F40" s="139" t="s">
        <v>27</v>
      </c>
      <c r="G40" s="142">
        <v>12</v>
      </c>
      <c r="H40" s="143">
        <v>419</v>
      </c>
    </row>
    <row r="41" spans="1:8" ht="18" x14ac:dyDescent="0.3">
      <c r="A41" s="138">
        <v>45987</v>
      </c>
      <c r="B41" s="139" t="s">
        <v>25</v>
      </c>
      <c r="C41" s="140" t="s">
        <v>347</v>
      </c>
      <c r="D41" s="139" t="s">
        <v>303</v>
      </c>
      <c r="E41" s="141">
        <v>1.788194444444444</v>
      </c>
      <c r="F41" s="139" t="s">
        <v>27</v>
      </c>
      <c r="G41" s="142">
        <v>16</v>
      </c>
      <c r="H41" s="143">
        <v>419</v>
      </c>
    </row>
    <row r="42" spans="1:8" ht="18" x14ac:dyDescent="0.3">
      <c r="A42" s="138">
        <v>45987</v>
      </c>
      <c r="B42" s="139" t="s">
        <v>25</v>
      </c>
      <c r="C42" s="140" t="s">
        <v>343</v>
      </c>
      <c r="D42" s="139" t="s">
        <v>303</v>
      </c>
      <c r="E42" s="141">
        <v>1.8888888888888891</v>
      </c>
      <c r="F42" s="139" t="s">
        <v>27</v>
      </c>
      <c r="G42" s="142">
        <v>20</v>
      </c>
      <c r="H42" s="143">
        <v>419</v>
      </c>
    </row>
    <row r="43" spans="1:8" ht="18" x14ac:dyDescent="0.3">
      <c r="A43" s="124">
        <v>45987</v>
      </c>
      <c r="B43" s="125" t="s">
        <v>35</v>
      </c>
      <c r="C43" s="126" t="s">
        <v>324</v>
      </c>
      <c r="D43" s="125" t="s">
        <v>303</v>
      </c>
      <c r="E43" s="127">
        <v>1.520833333333333</v>
      </c>
      <c r="F43" s="125" t="s">
        <v>37</v>
      </c>
      <c r="G43" s="128">
        <v>9</v>
      </c>
      <c r="H43" s="129">
        <v>436</v>
      </c>
    </row>
    <row r="44" spans="1:8" ht="18" x14ac:dyDescent="0.3">
      <c r="A44" s="130">
        <v>45987</v>
      </c>
      <c r="B44" s="131" t="s">
        <v>35</v>
      </c>
      <c r="C44" s="132" t="s">
        <v>314</v>
      </c>
      <c r="D44" s="131" t="s">
        <v>303</v>
      </c>
      <c r="E44" s="133">
        <v>1.5173611111111109</v>
      </c>
      <c r="F44" s="131" t="s">
        <v>37</v>
      </c>
      <c r="G44" s="134">
        <v>9</v>
      </c>
      <c r="H44" s="135">
        <v>436</v>
      </c>
    </row>
    <row r="45" spans="1:8" ht="18" x14ac:dyDescent="0.3">
      <c r="A45" s="130">
        <v>45987</v>
      </c>
      <c r="B45" s="131" t="s">
        <v>35</v>
      </c>
      <c r="C45" s="132" t="s">
        <v>413</v>
      </c>
      <c r="D45" s="131" t="s">
        <v>303</v>
      </c>
      <c r="E45" s="133">
        <v>1.614583333333333</v>
      </c>
      <c r="F45" s="131" t="s">
        <v>37</v>
      </c>
      <c r="G45" s="134">
        <v>2</v>
      </c>
      <c r="H45" s="135">
        <v>436</v>
      </c>
    </row>
    <row r="46" spans="1:8" ht="18" x14ac:dyDescent="0.3">
      <c r="A46" s="136">
        <v>45987</v>
      </c>
      <c r="B46" s="113" t="s">
        <v>55</v>
      </c>
      <c r="C46" s="114" t="s">
        <v>357</v>
      </c>
      <c r="D46" s="113" t="s">
        <v>303</v>
      </c>
      <c r="E46" s="115">
        <v>1.256944444444444</v>
      </c>
      <c r="F46" s="113" t="s">
        <v>60</v>
      </c>
      <c r="G46" s="116">
        <v>7</v>
      </c>
      <c r="H46" s="137">
        <v>449</v>
      </c>
    </row>
    <row r="47" spans="1:8" ht="18" x14ac:dyDescent="0.3">
      <c r="A47" s="149">
        <v>45987</v>
      </c>
      <c r="B47" s="150" t="s">
        <v>55</v>
      </c>
      <c r="C47" s="151" t="s">
        <v>352</v>
      </c>
      <c r="D47" s="150" t="s">
        <v>303</v>
      </c>
      <c r="E47" s="152">
        <v>1.9027777777777779</v>
      </c>
      <c r="F47" s="150" t="s">
        <v>60</v>
      </c>
      <c r="G47" s="153">
        <v>7</v>
      </c>
      <c r="H47" s="191">
        <v>449</v>
      </c>
    </row>
    <row r="48" spans="1:8" ht="18" x14ac:dyDescent="0.3">
      <c r="A48" s="112">
        <v>45988</v>
      </c>
      <c r="B48" s="113" t="s">
        <v>378</v>
      </c>
      <c r="C48" s="114" t="s">
        <v>584</v>
      </c>
      <c r="D48" s="113" t="s">
        <v>577</v>
      </c>
      <c r="E48" s="115">
        <v>1.5277777777777779</v>
      </c>
      <c r="F48" s="113" t="s">
        <v>579</v>
      </c>
      <c r="G48" s="116">
        <v>9</v>
      </c>
      <c r="H48" s="117">
        <v>519</v>
      </c>
    </row>
    <row r="49" spans="1:8" ht="18" x14ac:dyDescent="0.3">
      <c r="A49" s="118">
        <v>45988</v>
      </c>
      <c r="B49" s="119" t="s">
        <v>378</v>
      </c>
      <c r="C49" s="120" t="s">
        <v>584</v>
      </c>
      <c r="D49" s="119" t="s">
        <v>577</v>
      </c>
      <c r="E49" s="121">
        <v>1.5277777777777779</v>
      </c>
      <c r="F49" s="119" t="s">
        <v>581</v>
      </c>
      <c r="G49" s="122">
        <v>9</v>
      </c>
      <c r="H49" s="123">
        <v>573</v>
      </c>
    </row>
    <row r="50" spans="1:8" ht="18" x14ac:dyDescent="0.3">
      <c r="A50" s="118">
        <v>45988</v>
      </c>
      <c r="B50" s="119" t="s">
        <v>378</v>
      </c>
      <c r="C50" s="120" t="s">
        <v>584</v>
      </c>
      <c r="D50" s="119" t="s">
        <v>577</v>
      </c>
      <c r="E50" s="121">
        <v>1.5277777777777779</v>
      </c>
      <c r="F50" s="119" t="s">
        <v>33</v>
      </c>
      <c r="G50" s="122">
        <v>9</v>
      </c>
      <c r="H50" s="123">
        <v>642</v>
      </c>
    </row>
    <row r="51" spans="1:8" ht="18" x14ac:dyDescent="0.3">
      <c r="A51" s="138">
        <v>45988</v>
      </c>
      <c r="B51" s="139" t="s">
        <v>378</v>
      </c>
      <c r="C51" s="140" t="s">
        <v>632</v>
      </c>
      <c r="D51" s="139" t="s">
        <v>577</v>
      </c>
      <c r="E51" s="141">
        <v>1.7986111111111109</v>
      </c>
      <c r="F51" s="139" t="s">
        <v>579</v>
      </c>
      <c r="G51" s="142">
        <v>9</v>
      </c>
      <c r="H51" s="143">
        <v>530</v>
      </c>
    </row>
    <row r="52" spans="1:8" ht="18" x14ac:dyDescent="0.3">
      <c r="A52" s="118">
        <v>45988</v>
      </c>
      <c r="B52" s="119" t="s">
        <v>378</v>
      </c>
      <c r="C52" s="120" t="s">
        <v>632</v>
      </c>
      <c r="D52" s="119" t="s">
        <v>577</v>
      </c>
      <c r="E52" s="121">
        <v>1.7986111111111109</v>
      </c>
      <c r="F52" s="119" t="s">
        <v>581</v>
      </c>
      <c r="G52" s="122">
        <v>9</v>
      </c>
      <c r="H52" s="123">
        <v>584</v>
      </c>
    </row>
    <row r="53" spans="1:8" ht="18" x14ac:dyDescent="0.3">
      <c r="A53" s="118">
        <v>45988</v>
      </c>
      <c r="B53" s="119" t="s">
        <v>378</v>
      </c>
      <c r="C53" s="120" t="s">
        <v>632</v>
      </c>
      <c r="D53" s="119" t="s">
        <v>577</v>
      </c>
      <c r="E53" s="121">
        <v>1.7986111111111109</v>
      </c>
      <c r="F53" s="119" t="s">
        <v>33</v>
      </c>
      <c r="G53" s="122">
        <v>9</v>
      </c>
      <c r="H53" s="123">
        <v>653</v>
      </c>
    </row>
    <row r="54" spans="1:8" ht="18" x14ac:dyDescent="0.3">
      <c r="A54" s="136">
        <v>45988</v>
      </c>
      <c r="B54" s="113" t="s">
        <v>78</v>
      </c>
      <c r="C54" s="114" t="s">
        <v>593</v>
      </c>
      <c r="D54" s="113" t="s">
        <v>577</v>
      </c>
      <c r="E54" s="115">
        <v>1.3402777777777779</v>
      </c>
      <c r="F54" s="113" t="s">
        <v>94</v>
      </c>
      <c r="G54" s="116">
        <v>9</v>
      </c>
      <c r="H54" s="137">
        <v>747</v>
      </c>
    </row>
    <row r="55" spans="1:8" ht="18" x14ac:dyDescent="0.3">
      <c r="A55" s="118">
        <v>45988</v>
      </c>
      <c r="B55" s="119" t="s">
        <v>78</v>
      </c>
      <c r="C55" s="120" t="s">
        <v>593</v>
      </c>
      <c r="D55" s="119" t="s">
        <v>577</v>
      </c>
      <c r="E55" s="121">
        <v>1.3402777777777779</v>
      </c>
      <c r="F55" s="119" t="s">
        <v>87</v>
      </c>
      <c r="G55" s="122">
        <v>9</v>
      </c>
      <c r="H55" s="123">
        <v>901</v>
      </c>
    </row>
    <row r="56" spans="1:8" ht="18" x14ac:dyDescent="0.3">
      <c r="A56" s="118">
        <v>45988</v>
      </c>
      <c r="B56" s="119" t="s">
        <v>78</v>
      </c>
      <c r="C56" s="120" t="s">
        <v>593</v>
      </c>
      <c r="D56" s="119" t="s">
        <v>577</v>
      </c>
      <c r="E56" s="121">
        <v>1.3402777777777779</v>
      </c>
      <c r="F56" s="119" t="s">
        <v>82</v>
      </c>
      <c r="G56" s="122">
        <v>9</v>
      </c>
      <c r="H56" s="123">
        <v>973</v>
      </c>
    </row>
    <row r="57" spans="1:8" ht="18" x14ac:dyDescent="0.3">
      <c r="A57" s="124">
        <v>45988</v>
      </c>
      <c r="B57" s="125" t="s">
        <v>35</v>
      </c>
      <c r="C57" s="126" t="s">
        <v>597</v>
      </c>
      <c r="D57" s="125" t="s">
        <v>577</v>
      </c>
      <c r="E57" s="127">
        <v>1.274305555555556</v>
      </c>
      <c r="F57" s="125" t="s">
        <v>131</v>
      </c>
      <c r="G57" s="125"/>
      <c r="H57" s="125" t="s">
        <v>132</v>
      </c>
    </row>
    <row r="58" spans="1:8" ht="15.6" x14ac:dyDescent="0.3">
      <c r="A58" s="189"/>
      <c r="B58" s="189"/>
      <c r="C58" s="189"/>
      <c r="D58" s="189"/>
      <c r="E58" s="190" t="s">
        <v>702</v>
      </c>
      <c r="F58" s="189"/>
      <c r="G58" s="189"/>
      <c r="H58" s="3"/>
    </row>
    <row r="59" spans="1:8" ht="18" x14ac:dyDescent="0.3">
      <c r="A59" s="136">
        <v>45988</v>
      </c>
      <c r="B59" s="113" t="s">
        <v>25</v>
      </c>
      <c r="C59" s="114" t="s">
        <v>344</v>
      </c>
      <c r="D59" s="113" t="s">
        <v>303</v>
      </c>
      <c r="E59" s="115">
        <v>1.302083333333333</v>
      </c>
      <c r="F59" s="113" t="s">
        <v>27</v>
      </c>
      <c r="G59" s="116">
        <v>8</v>
      </c>
      <c r="H59" s="137">
        <v>389</v>
      </c>
    </row>
    <row r="60" spans="1:8" ht="18" x14ac:dyDescent="0.3">
      <c r="A60" s="138">
        <v>45988</v>
      </c>
      <c r="B60" s="139" t="s">
        <v>25</v>
      </c>
      <c r="C60" s="140" t="s">
        <v>338</v>
      </c>
      <c r="D60" s="139" t="s">
        <v>303</v>
      </c>
      <c r="E60" s="141">
        <v>1.1284722222222221</v>
      </c>
      <c r="F60" s="139" t="s">
        <v>27</v>
      </c>
      <c r="G60" s="142">
        <v>10</v>
      </c>
      <c r="H60" s="143">
        <v>389</v>
      </c>
    </row>
    <row r="61" spans="1:8" ht="18" x14ac:dyDescent="0.3">
      <c r="A61" s="138">
        <v>45988</v>
      </c>
      <c r="B61" s="139" t="s">
        <v>25</v>
      </c>
      <c r="C61" s="140" t="s">
        <v>347</v>
      </c>
      <c r="D61" s="139" t="s">
        <v>303</v>
      </c>
      <c r="E61" s="141">
        <v>1.788194444444444</v>
      </c>
      <c r="F61" s="139" t="s">
        <v>429</v>
      </c>
      <c r="G61" s="142">
        <v>9</v>
      </c>
      <c r="H61" s="143">
        <v>419</v>
      </c>
    </row>
    <row r="62" spans="1:8" ht="18" x14ac:dyDescent="0.3">
      <c r="A62" s="136">
        <v>45988</v>
      </c>
      <c r="B62" s="113" t="s">
        <v>304</v>
      </c>
      <c r="C62" s="114" t="s">
        <v>305</v>
      </c>
      <c r="D62" s="113" t="s">
        <v>303</v>
      </c>
      <c r="E62" s="115">
        <v>1.291666666666667</v>
      </c>
      <c r="F62" s="113" t="s">
        <v>306</v>
      </c>
      <c r="G62" s="116">
        <v>9</v>
      </c>
      <c r="H62" s="137">
        <v>400</v>
      </c>
    </row>
    <row r="63" spans="1:8" ht="18" x14ac:dyDescent="0.3">
      <c r="A63" s="138">
        <v>45988</v>
      </c>
      <c r="B63" s="139" t="s">
        <v>304</v>
      </c>
      <c r="C63" s="140" t="s">
        <v>308</v>
      </c>
      <c r="D63" s="139" t="s">
        <v>303</v>
      </c>
      <c r="E63" s="141">
        <v>1.59375</v>
      </c>
      <c r="F63" s="139" t="s">
        <v>306</v>
      </c>
      <c r="G63" s="142">
        <v>9</v>
      </c>
      <c r="H63" s="143">
        <v>400</v>
      </c>
    </row>
    <row r="64" spans="1:8" ht="18" x14ac:dyDescent="0.3">
      <c r="A64" s="124">
        <v>45988</v>
      </c>
      <c r="B64" s="125" t="s">
        <v>35</v>
      </c>
      <c r="C64" s="126" t="s">
        <v>430</v>
      </c>
      <c r="D64" s="125" t="s">
        <v>303</v>
      </c>
      <c r="E64" s="127">
        <v>1.364583333333333</v>
      </c>
      <c r="F64" s="125" t="s">
        <v>37</v>
      </c>
      <c r="G64" s="128">
        <v>9</v>
      </c>
      <c r="H64" s="129">
        <v>401</v>
      </c>
    </row>
    <row r="65" spans="1:8" ht="18" x14ac:dyDescent="0.3">
      <c r="A65" s="130">
        <v>45988</v>
      </c>
      <c r="B65" s="131" t="s">
        <v>35</v>
      </c>
      <c r="C65" s="132" t="s">
        <v>434</v>
      </c>
      <c r="D65" s="131" t="s">
        <v>303</v>
      </c>
      <c r="E65" s="133">
        <v>1.2534722222222221</v>
      </c>
      <c r="F65" s="131" t="s">
        <v>37</v>
      </c>
      <c r="G65" s="134">
        <v>2</v>
      </c>
      <c r="H65" s="135">
        <v>401</v>
      </c>
    </row>
    <row r="66" spans="1:8" ht="18" x14ac:dyDescent="0.3">
      <c r="A66" s="136">
        <v>45988</v>
      </c>
      <c r="B66" s="113" t="s">
        <v>333</v>
      </c>
      <c r="C66" s="114" t="s">
        <v>335</v>
      </c>
      <c r="D66" s="113" t="s">
        <v>303</v>
      </c>
      <c r="E66" s="115">
        <v>1.666666666666667</v>
      </c>
      <c r="F66" s="113" t="s">
        <v>306</v>
      </c>
      <c r="G66" s="116">
        <v>2</v>
      </c>
      <c r="H66" s="137">
        <v>401</v>
      </c>
    </row>
    <row r="67" spans="1:8" ht="18" x14ac:dyDescent="0.3">
      <c r="A67" s="136">
        <v>45988</v>
      </c>
      <c r="B67" s="113" t="s">
        <v>55</v>
      </c>
      <c r="C67" s="114" t="s">
        <v>365</v>
      </c>
      <c r="D67" s="113" t="s">
        <v>303</v>
      </c>
      <c r="E67" s="115">
        <v>1.302083333333333</v>
      </c>
      <c r="F67" s="113" t="s">
        <v>57</v>
      </c>
      <c r="G67" s="116">
        <v>2</v>
      </c>
      <c r="H67" s="137">
        <v>409</v>
      </c>
    </row>
    <row r="68" spans="1:8" ht="18" x14ac:dyDescent="0.3">
      <c r="A68" s="144">
        <v>45988</v>
      </c>
      <c r="B68" s="145" t="s">
        <v>55</v>
      </c>
      <c r="C68" s="146" t="s">
        <v>365</v>
      </c>
      <c r="D68" s="145" t="s">
        <v>303</v>
      </c>
      <c r="E68" s="147">
        <v>1.302083333333333</v>
      </c>
      <c r="F68" s="145" t="s">
        <v>60</v>
      </c>
      <c r="G68" s="148">
        <v>2</v>
      </c>
      <c r="H68" s="192">
        <v>409</v>
      </c>
    </row>
    <row r="69" spans="1:8" ht="18" x14ac:dyDescent="0.3">
      <c r="A69" s="112">
        <v>45989</v>
      </c>
      <c r="B69" s="113" t="s">
        <v>378</v>
      </c>
      <c r="C69" s="114" t="s">
        <v>578</v>
      </c>
      <c r="D69" s="113" t="s">
        <v>577</v>
      </c>
      <c r="E69" s="115">
        <v>1.1875</v>
      </c>
      <c r="F69" s="113" t="s">
        <v>579</v>
      </c>
      <c r="G69" s="116">
        <v>9</v>
      </c>
      <c r="H69" s="117">
        <v>446</v>
      </c>
    </row>
    <row r="70" spans="1:8" ht="18" x14ac:dyDescent="0.3">
      <c r="A70" s="118">
        <v>45989</v>
      </c>
      <c r="B70" s="119" t="s">
        <v>378</v>
      </c>
      <c r="C70" s="120" t="s">
        <v>578</v>
      </c>
      <c r="D70" s="119" t="s">
        <v>577</v>
      </c>
      <c r="E70" s="121">
        <v>1.1875</v>
      </c>
      <c r="F70" s="119" t="s">
        <v>581</v>
      </c>
      <c r="G70" s="122">
        <v>9</v>
      </c>
      <c r="H70" s="123">
        <v>491</v>
      </c>
    </row>
    <row r="71" spans="1:8" ht="18" x14ac:dyDescent="0.3">
      <c r="A71" s="118">
        <v>45989</v>
      </c>
      <c r="B71" s="119" t="s">
        <v>378</v>
      </c>
      <c r="C71" s="120" t="s">
        <v>578</v>
      </c>
      <c r="D71" s="119" t="s">
        <v>577</v>
      </c>
      <c r="E71" s="121">
        <v>1.1875</v>
      </c>
      <c r="F71" s="119" t="s">
        <v>33</v>
      </c>
      <c r="G71" s="122">
        <v>9</v>
      </c>
      <c r="H71" s="123">
        <v>569</v>
      </c>
    </row>
    <row r="72" spans="1:8" ht="18" x14ac:dyDescent="0.3">
      <c r="A72" s="124">
        <v>45989</v>
      </c>
      <c r="B72" s="125" t="s">
        <v>35</v>
      </c>
      <c r="C72" s="126" t="s">
        <v>649</v>
      </c>
      <c r="D72" s="125" t="s">
        <v>577</v>
      </c>
      <c r="E72" s="127">
        <v>1.416666666666667</v>
      </c>
      <c r="F72" s="125" t="s">
        <v>37</v>
      </c>
      <c r="G72" s="128">
        <v>9</v>
      </c>
      <c r="H72" s="129">
        <v>856</v>
      </c>
    </row>
    <row r="73" spans="1:8" ht="18" x14ac:dyDescent="0.3">
      <c r="A73" s="136">
        <v>45989</v>
      </c>
      <c r="B73" s="113" t="s">
        <v>78</v>
      </c>
      <c r="C73" s="114" t="s">
        <v>596</v>
      </c>
      <c r="D73" s="113" t="s">
        <v>577</v>
      </c>
      <c r="E73" s="115">
        <v>1.711805555555556</v>
      </c>
      <c r="F73" s="113" t="s">
        <v>87</v>
      </c>
      <c r="G73" s="116">
        <v>1</v>
      </c>
      <c r="H73" s="113" t="s">
        <v>594</v>
      </c>
    </row>
    <row r="74" spans="1:8" ht="18" x14ac:dyDescent="0.3">
      <c r="A74" s="118">
        <v>45989</v>
      </c>
      <c r="B74" s="119" t="s">
        <v>78</v>
      </c>
      <c r="C74" s="120" t="s">
        <v>596</v>
      </c>
      <c r="D74" s="119" t="s">
        <v>577</v>
      </c>
      <c r="E74" s="121">
        <v>1.711805555555556</v>
      </c>
      <c r="F74" s="119" t="s">
        <v>82</v>
      </c>
      <c r="G74" s="122">
        <v>1</v>
      </c>
      <c r="H74" s="119" t="s">
        <v>595</v>
      </c>
    </row>
    <row r="75" spans="1:8" ht="15.6" x14ac:dyDescent="0.3">
      <c r="A75" s="189"/>
      <c r="B75" s="189"/>
      <c r="C75" s="189"/>
      <c r="D75" s="189"/>
      <c r="E75" s="190" t="s">
        <v>702</v>
      </c>
      <c r="F75" s="189"/>
      <c r="G75" s="189"/>
      <c r="H75" s="3"/>
    </row>
    <row r="76" spans="1:8" ht="18" x14ac:dyDescent="0.3">
      <c r="A76" s="124">
        <v>45989</v>
      </c>
      <c r="B76" s="125" t="s">
        <v>35</v>
      </c>
      <c r="C76" s="126" t="s">
        <v>319</v>
      </c>
      <c r="D76" s="125" t="s">
        <v>303</v>
      </c>
      <c r="E76" s="127">
        <v>1.114583333333333</v>
      </c>
      <c r="F76" s="125" t="s">
        <v>37</v>
      </c>
      <c r="G76" s="128">
        <v>9</v>
      </c>
      <c r="H76" s="129">
        <v>401</v>
      </c>
    </row>
    <row r="77" spans="1:8" ht="18" x14ac:dyDescent="0.3">
      <c r="A77" s="130">
        <v>45989</v>
      </c>
      <c r="B77" s="131" t="s">
        <v>35</v>
      </c>
      <c r="C77" s="132" t="s">
        <v>314</v>
      </c>
      <c r="D77" s="131" t="s">
        <v>303</v>
      </c>
      <c r="E77" s="133">
        <v>1.319444444444444</v>
      </c>
      <c r="F77" s="131" t="s">
        <v>37</v>
      </c>
      <c r="G77" s="134">
        <v>9</v>
      </c>
      <c r="H77" s="135">
        <v>401</v>
      </c>
    </row>
    <row r="78" spans="1:8" ht="18" x14ac:dyDescent="0.3">
      <c r="A78" s="130">
        <v>45989</v>
      </c>
      <c r="B78" s="131" t="s">
        <v>35</v>
      </c>
      <c r="C78" s="132" t="s">
        <v>413</v>
      </c>
      <c r="D78" s="131" t="s">
        <v>303</v>
      </c>
      <c r="E78" s="133">
        <v>1.458333333333333</v>
      </c>
      <c r="F78" s="131" t="s">
        <v>37</v>
      </c>
      <c r="G78" s="134">
        <v>4</v>
      </c>
      <c r="H78" s="135">
        <v>401</v>
      </c>
    </row>
    <row r="79" spans="1:8" ht="18" x14ac:dyDescent="0.3">
      <c r="A79" s="130">
        <v>45989</v>
      </c>
      <c r="B79" s="131" t="s">
        <v>35</v>
      </c>
      <c r="C79" s="132" t="s">
        <v>309</v>
      </c>
      <c r="D79" s="131" t="s">
        <v>303</v>
      </c>
      <c r="E79" s="133">
        <v>1.7361111111111109</v>
      </c>
      <c r="F79" s="131" t="s">
        <v>37</v>
      </c>
      <c r="G79" s="134">
        <v>1</v>
      </c>
      <c r="H79" s="135">
        <v>436</v>
      </c>
    </row>
    <row r="80" spans="1:8" ht="18" x14ac:dyDescent="0.3">
      <c r="A80" s="130">
        <v>45989</v>
      </c>
      <c r="B80" s="131" t="s">
        <v>35</v>
      </c>
      <c r="C80" s="132" t="s">
        <v>444</v>
      </c>
      <c r="D80" s="131" t="s">
        <v>303</v>
      </c>
      <c r="E80" s="133">
        <v>1.614583333333333</v>
      </c>
      <c r="F80" s="131" t="s">
        <v>37</v>
      </c>
      <c r="G80" s="134">
        <v>9</v>
      </c>
      <c r="H80" s="135">
        <v>436</v>
      </c>
    </row>
    <row r="81" spans="1:8" ht="18" x14ac:dyDescent="0.3">
      <c r="A81" s="136">
        <v>45989</v>
      </c>
      <c r="B81" s="113" t="s">
        <v>25</v>
      </c>
      <c r="C81" s="114" t="s">
        <v>344</v>
      </c>
      <c r="D81" s="113" t="s">
        <v>303</v>
      </c>
      <c r="E81" s="115">
        <v>1.302083333333333</v>
      </c>
      <c r="F81" s="113" t="s">
        <v>27</v>
      </c>
      <c r="G81" s="116">
        <v>7</v>
      </c>
      <c r="H81" s="137">
        <v>419</v>
      </c>
    </row>
    <row r="82" spans="1:8" ht="18" x14ac:dyDescent="0.3">
      <c r="A82" s="138">
        <v>45989</v>
      </c>
      <c r="B82" s="139" t="s">
        <v>25</v>
      </c>
      <c r="C82" s="140" t="s">
        <v>338</v>
      </c>
      <c r="D82" s="139" t="s">
        <v>303</v>
      </c>
      <c r="E82" s="141">
        <v>1.1284722222222221</v>
      </c>
      <c r="F82" s="139" t="s">
        <v>27</v>
      </c>
      <c r="G82" s="142">
        <v>6</v>
      </c>
      <c r="H82" s="143">
        <v>419</v>
      </c>
    </row>
    <row r="83" spans="1:8" ht="18" x14ac:dyDescent="0.3">
      <c r="A83" s="138">
        <v>45989</v>
      </c>
      <c r="B83" s="139" t="s">
        <v>25</v>
      </c>
      <c r="C83" s="140" t="s">
        <v>347</v>
      </c>
      <c r="D83" s="139" t="s">
        <v>303</v>
      </c>
      <c r="E83" s="141">
        <v>1.788194444444444</v>
      </c>
      <c r="F83" s="139" t="s">
        <v>27</v>
      </c>
      <c r="G83" s="142">
        <v>11</v>
      </c>
      <c r="H83" s="143">
        <v>419</v>
      </c>
    </row>
    <row r="84" spans="1:8" ht="18" x14ac:dyDescent="0.3">
      <c r="A84" s="138">
        <v>45989</v>
      </c>
      <c r="B84" s="139" t="s">
        <v>25</v>
      </c>
      <c r="C84" s="140" t="s">
        <v>343</v>
      </c>
      <c r="D84" s="139" t="s">
        <v>303</v>
      </c>
      <c r="E84" s="141">
        <v>1.8888888888888891</v>
      </c>
      <c r="F84" s="139" t="s">
        <v>27</v>
      </c>
      <c r="G84" s="142">
        <v>6</v>
      </c>
      <c r="H84" s="143">
        <v>419</v>
      </c>
    </row>
    <row r="85" spans="1:8" ht="18" x14ac:dyDescent="0.3">
      <c r="A85" s="194">
        <v>45989</v>
      </c>
      <c r="B85" s="195" t="s">
        <v>55</v>
      </c>
      <c r="C85" s="196" t="s">
        <v>357</v>
      </c>
      <c r="D85" s="195" t="s">
        <v>303</v>
      </c>
      <c r="E85" s="197">
        <v>1.256944444444444</v>
      </c>
      <c r="F85" s="195" t="s">
        <v>60</v>
      </c>
      <c r="G85" s="198">
        <v>6</v>
      </c>
      <c r="H85" s="223">
        <v>449</v>
      </c>
    </row>
    <row r="86" spans="1:8" ht="18" x14ac:dyDescent="0.3">
      <c r="A86" s="112">
        <v>45990</v>
      </c>
      <c r="B86" s="113" t="s">
        <v>25</v>
      </c>
      <c r="C86" s="114" t="s">
        <v>587</v>
      </c>
      <c r="D86" s="113" t="s">
        <v>577</v>
      </c>
      <c r="E86" s="115">
        <v>1.256944444444444</v>
      </c>
      <c r="F86" s="113" t="s">
        <v>588</v>
      </c>
      <c r="G86" s="116">
        <v>1</v>
      </c>
      <c r="H86" s="117">
        <v>569</v>
      </c>
    </row>
    <row r="87" spans="1:8" ht="18" x14ac:dyDescent="0.3">
      <c r="A87" s="118">
        <v>45990</v>
      </c>
      <c r="B87" s="119" t="s">
        <v>25</v>
      </c>
      <c r="C87" s="120" t="s">
        <v>587</v>
      </c>
      <c r="D87" s="119" t="s">
        <v>577</v>
      </c>
      <c r="E87" s="121">
        <v>1.256944444444444</v>
      </c>
      <c r="F87" s="119" t="s">
        <v>579</v>
      </c>
      <c r="G87" s="122">
        <v>1</v>
      </c>
      <c r="H87" s="123">
        <v>628</v>
      </c>
    </row>
    <row r="88" spans="1:8" ht="18" x14ac:dyDescent="0.3">
      <c r="A88" s="118">
        <v>45990</v>
      </c>
      <c r="B88" s="119" t="s">
        <v>25</v>
      </c>
      <c r="C88" s="120" t="s">
        <v>587</v>
      </c>
      <c r="D88" s="119" t="s">
        <v>577</v>
      </c>
      <c r="E88" s="121">
        <v>1.256944444444444</v>
      </c>
      <c r="F88" s="119" t="s">
        <v>581</v>
      </c>
      <c r="G88" s="122">
        <v>1</v>
      </c>
      <c r="H88" s="123">
        <v>652</v>
      </c>
    </row>
    <row r="89" spans="1:8" ht="18" x14ac:dyDescent="0.3">
      <c r="A89" s="118">
        <v>45990</v>
      </c>
      <c r="B89" s="119" t="s">
        <v>25</v>
      </c>
      <c r="C89" s="120" t="s">
        <v>587</v>
      </c>
      <c r="D89" s="119" t="s">
        <v>577</v>
      </c>
      <c r="E89" s="121">
        <v>1.256944444444444</v>
      </c>
      <c r="F89" s="119" t="s">
        <v>591</v>
      </c>
      <c r="G89" s="122">
        <v>1</v>
      </c>
      <c r="H89" s="123">
        <v>819</v>
      </c>
    </row>
    <row r="90" spans="1:8" ht="18" x14ac:dyDescent="0.3">
      <c r="A90" s="136">
        <v>45990</v>
      </c>
      <c r="B90" s="113" t="s">
        <v>378</v>
      </c>
      <c r="C90" s="114" t="s">
        <v>584</v>
      </c>
      <c r="D90" s="113" t="s">
        <v>577</v>
      </c>
      <c r="E90" s="115">
        <v>1.5277777777777779</v>
      </c>
      <c r="F90" s="113" t="s">
        <v>579</v>
      </c>
      <c r="G90" s="116">
        <v>9</v>
      </c>
      <c r="H90" s="137">
        <v>592</v>
      </c>
    </row>
    <row r="91" spans="1:8" ht="18" x14ac:dyDescent="0.3">
      <c r="A91" s="118">
        <v>45990</v>
      </c>
      <c r="B91" s="119" t="s">
        <v>378</v>
      </c>
      <c r="C91" s="120" t="s">
        <v>584</v>
      </c>
      <c r="D91" s="119" t="s">
        <v>577</v>
      </c>
      <c r="E91" s="121">
        <v>1.5277777777777779</v>
      </c>
      <c r="F91" s="119" t="s">
        <v>581</v>
      </c>
      <c r="G91" s="122">
        <v>9</v>
      </c>
      <c r="H91" s="123">
        <v>658</v>
      </c>
    </row>
    <row r="92" spans="1:8" ht="18" x14ac:dyDescent="0.3">
      <c r="A92" s="118">
        <v>45990</v>
      </c>
      <c r="B92" s="119" t="s">
        <v>378</v>
      </c>
      <c r="C92" s="120" t="s">
        <v>584</v>
      </c>
      <c r="D92" s="119" t="s">
        <v>577</v>
      </c>
      <c r="E92" s="121">
        <v>1.5277777777777779</v>
      </c>
      <c r="F92" s="119" t="s">
        <v>33</v>
      </c>
      <c r="G92" s="122">
        <v>9</v>
      </c>
      <c r="H92" s="123">
        <v>716</v>
      </c>
    </row>
    <row r="93" spans="1:8" ht="18" x14ac:dyDescent="0.3">
      <c r="A93" s="136">
        <v>45990</v>
      </c>
      <c r="B93" s="113" t="s">
        <v>78</v>
      </c>
      <c r="C93" s="114" t="s">
        <v>593</v>
      </c>
      <c r="D93" s="113" t="s">
        <v>577</v>
      </c>
      <c r="E93" s="115">
        <v>1.3402777777777779</v>
      </c>
      <c r="F93" s="113" t="s">
        <v>87</v>
      </c>
      <c r="G93" s="116">
        <v>9</v>
      </c>
      <c r="H93" s="113" t="s">
        <v>594</v>
      </c>
    </row>
    <row r="94" spans="1:8" ht="18" x14ac:dyDescent="0.3">
      <c r="A94" s="118">
        <v>45990</v>
      </c>
      <c r="B94" s="119" t="s">
        <v>78</v>
      </c>
      <c r="C94" s="120" t="s">
        <v>593</v>
      </c>
      <c r="D94" s="119" t="s">
        <v>577</v>
      </c>
      <c r="E94" s="121">
        <v>1.3402777777777779</v>
      </c>
      <c r="F94" s="119" t="s">
        <v>82</v>
      </c>
      <c r="G94" s="122">
        <v>9</v>
      </c>
      <c r="H94" s="119" t="s">
        <v>595</v>
      </c>
    </row>
    <row r="95" spans="1:8" ht="18" x14ac:dyDescent="0.3">
      <c r="A95" s="138">
        <v>45990</v>
      </c>
      <c r="B95" s="139" t="s">
        <v>78</v>
      </c>
      <c r="C95" s="140" t="s">
        <v>596</v>
      </c>
      <c r="D95" s="139" t="s">
        <v>577</v>
      </c>
      <c r="E95" s="141">
        <v>1.711805555555556</v>
      </c>
      <c r="F95" s="139" t="s">
        <v>87</v>
      </c>
      <c r="G95" s="142">
        <v>9</v>
      </c>
      <c r="H95" s="139" t="s">
        <v>594</v>
      </c>
    </row>
    <row r="96" spans="1:8" ht="18" x14ac:dyDescent="0.3">
      <c r="A96" s="118">
        <v>45990</v>
      </c>
      <c r="B96" s="119" t="s">
        <v>78</v>
      </c>
      <c r="C96" s="120" t="s">
        <v>596</v>
      </c>
      <c r="D96" s="119" t="s">
        <v>577</v>
      </c>
      <c r="E96" s="121">
        <v>1.711805555555556</v>
      </c>
      <c r="F96" s="119" t="s">
        <v>82</v>
      </c>
      <c r="G96" s="122">
        <v>9</v>
      </c>
      <c r="H96" s="119" t="s">
        <v>595</v>
      </c>
    </row>
    <row r="97" spans="1:8" ht="18" x14ac:dyDescent="0.3">
      <c r="A97" s="124">
        <v>45990</v>
      </c>
      <c r="B97" s="125" t="s">
        <v>35</v>
      </c>
      <c r="C97" s="126" t="s">
        <v>619</v>
      </c>
      <c r="D97" s="125" t="s">
        <v>577</v>
      </c>
      <c r="E97" s="127">
        <v>1.458333333333333</v>
      </c>
      <c r="F97" s="125" t="s">
        <v>131</v>
      </c>
      <c r="G97" s="125"/>
      <c r="H97" s="125" t="s">
        <v>132</v>
      </c>
    </row>
    <row r="98" spans="1:8" ht="18" x14ac:dyDescent="0.3">
      <c r="A98" s="130">
        <v>45990</v>
      </c>
      <c r="B98" s="131" t="s">
        <v>35</v>
      </c>
      <c r="C98" s="132" t="s">
        <v>597</v>
      </c>
      <c r="D98" s="131" t="s">
        <v>577</v>
      </c>
      <c r="E98" s="133">
        <v>1.791666666666667</v>
      </c>
      <c r="F98" s="131" t="s">
        <v>131</v>
      </c>
      <c r="G98" s="131"/>
      <c r="H98" s="131" t="s">
        <v>132</v>
      </c>
    </row>
    <row r="99" spans="1:8" ht="15.6" x14ac:dyDescent="0.3">
      <c r="A99" s="189"/>
      <c r="B99" s="189"/>
      <c r="C99" s="189"/>
      <c r="D99" s="189"/>
      <c r="E99" s="190" t="s">
        <v>702</v>
      </c>
      <c r="F99" s="189"/>
      <c r="G99" s="189"/>
      <c r="H99" s="3"/>
    </row>
    <row r="100" spans="1:8" ht="18" x14ac:dyDescent="0.3">
      <c r="A100" s="136">
        <v>45990</v>
      </c>
      <c r="B100" s="113" t="s">
        <v>304</v>
      </c>
      <c r="C100" s="114" t="s">
        <v>305</v>
      </c>
      <c r="D100" s="113" t="s">
        <v>303</v>
      </c>
      <c r="E100" s="115">
        <v>1.270833333333333</v>
      </c>
      <c r="F100" s="113" t="s">
        <v>306</v>
      </c>
      <c r="G100" s="116">
        <v>2</v>
      </c>
      <c r="H100" s="137">
        <v>400</v>
      </c>
    </row>
    <row r="101" spans="1:8" ht="18" x14ac:dyDescent="0.3">
      <c r="A101" s="136">
        <v>45990</v>
      </c>
      <c r="B101" s="113" t="s">
        <v>333</v>
      </c>
      <c r="C101" s="114" t="s">
        <v>335</v>
      </c>
      <c r="D101" s="113" t="s">
        <v>303</v>
      </c>
      <c r="E101" s="115">
        <v>1.666666666666667</v>
      </c>
      <c r="F101" s="113" t="s">
        <v>306</v>
      </c>
      <c r="G101" s="116">
        <v>4</v>
      </c>
      <c r="H101" s="137">
        <v>401</v>
      </c>
    </row>
    <row r="102" spans="1:8" ht="18" x14ac:dyDescent="0.3">
      <c r="A102" s="138">
        <v>45990</v>
      </c>
      <c r="B102" s="139" t="s">
        <v>333</v>
      </c>
      <c r="C102" s="140" t="s">
        <v>337</v>
      </c>
      <c r="D102" s="139" t="s">
        <v>303</v>
      </c>
      <c r="E102" s="141">
        <v>1.21875</v>
      </c>
      <c r="F102" s="139" t="s">
        <v>306</v>
      </c>
      <c r="G102" s="142">
        <v>9</v>
      </c>
      <c r="H102" s="143">
        <v>401</v>
      </c>
    </row>
    <row r="103" spans="1:8" ht="18" x14ac:dyDescent="0.3">
      <c r="A103" s="136">
        <v>45990</v>
      </c>
      <c r="B103" s="113" t="s">
        <v>25</v>
      </c>
      <c r="C103" s="114" t="s">
        <v>344</v>
      </c>
      <c r="D103" s="113" t="s">
        <v>303</v>
      </c>
      <c r="E103" s="115">
        <v>1.302083333333333</v>
      </c>
      <c r="F103" s="113" t="s">
        <v>27</v>
      </c>
      <c r="G103" s="116">
        <v>6</v>
      </c>
      <c r="H103" s="137">
        <v>419</v>
      </c>
    </row>
    <row r="104" spans="1:8" ht="18" x14ac:dyDescent="0.3">
      <c r="A104" s="138">
        <v>45990</v>
      </c>
      <c r="B104" s="139" t="s">
        <v>25</v>
      </c>
      <c r="C104" s="140" t="s">
        <v>338</v>
      </c>
      <c r="D104" s="139" t="s">
        <v>303</v>
      </c>
      <c r="E104" s="141">
        <v>1.1284722222222221</v>
      </c>
      <c r="F104" s="139" t="s">
        <v>27</v>
      </c>
      <c r="G104" s="142">
        <v>7</v>
      </c>
      <c r="H104" s="143">
        <v>419</v>
      </c>
    </row>
    <row r="105" spans="1:8" ht="18" x14ac:dyDescent="0.3">
      <c r="A105" s="138">
        <v>45990</v>
      </c>
      <c r="B105" s="139" t="s">
        <v>25</v>
      </c>
      <c r="C105" s="140" t="s">
        <v>347</v>
      </c>
      <c r="D105" s="139" t="s">
        <v>303</v>
      </c>
      <c r="E105" s="141">
        <v>1.788194444444444</v>
      </c>
      <c r="F105" s="139" t="s">
        <v>27</v>
      </c>
      <c r="G105" s="142">
        <v>4</v>
      </c>
      <c r="H105" s="143">
        <v>419</v>
      </c>
    </row>
    <row r="106" spans="1:8" ht="18" x14ac:dyDescent="0.3">
      <c r="A106" s="138">
        <v>45990</v>
      </c>
      <c r="B106" s="139" t="s">
        <v>25</v>
      </c>
      <c r="C106" s="140" t="s">
        <v>343</v>
      </c>
      <c r="D106" s="139" t="s">
        <v>303</v>
      </c>
      <c r="E106" s="141">
        <v>1.8888888888888891</v>
      </c>
      <c r="F106" s="139" t="s">
        <v>27</v>
      </c>
      <c r="G106" s="142">
        <v>5</v>
      </c>
      <c r="H106" s="143">
        <v>419</v>
      </c>
    </row>
    <row r="107" spans="1:8" ht="18" x14ac:dyDescent="0.3">
      <c r="A107" s="136">
        <v>45990</v>
      </c>
      <c r="B107" s="113" t="s">
        <v>378</v>
      </c>
      <c r="C107" s="114" t="s">
        <v>379</v>
      </c>
      <c r="D107" s="113" t="s">
        <v>303</v>
      </c>
      <c r="E107" s="115">
        <v>1.2152777777777779</v>
      </c>
      <c r="F107" s="113" t="s">
        <v>380</v>
      </c>
      <c r="G107" s="116">
        <v>9</v>
      </c>
      <c r="H107" s="137">
        <v>430</v>
      </c>
    </row>
    <row r="108" spans="1:8" ht="18" x14ac:dyDescent="0.3">
      <c r="A108" s="124">
        <v>45990</v>
      </c>
      <c r="B108" s="125" t="s">
        <v>35</v>
      </c>
      <c r="C108" s="126" t="s">
        <v>434</v>
      </c>
      <c r="D108" s="125" t="s">
        <v>303</v>
      </c>
      <c r="E108" s="127">
        <v>1.2361111111111109</v>
      </c>
      <c r="F108" s="125" t="s">
        <v>37</v>
      </c>
      <c r="G108" s="128">
        <v>8</v>
      </c>
      <c r="H108" s="129">
        <v>436</v>
      </c>
    </row>
    <row r="109" spans="1:8" ht="18" x14ac:dyDescent="0.3">
      <c r="A109" s="224">
        <v>45990</v>
      </c>
      <c r="B109" s="225" t="s">
        <v>35</v>
      </c>
      <c r="C109" s="226" t="s">
        <v>314</v>
      </c>
      <c r="D109" s="225" t="s">
        <v>303</v>
      </c>
      <c r="E109" s="227">
        <v>1.333333333333333</v>
      </c>
      <c r="F109" s="225" t="s">
        <v>37</v>
      </c>
      <c r="G109" s="228">
        <v>1</v>
      </c>
      <c r="H109" s="229">
        <v>436</v>
      </c>
    </row>
    <row r="110" spans="1:8" ht="18" x14ac:dyDescent="0.3">
      <c r="A110" s="112">
        <v>45991</v>
      </c>
      <c r="B110" s="113" t="s">
        <v>378</v>
      </c>
      <c r="C110" s="114" t="s">
        <v>584</v>
      </c>
      <c r="D110" s="113" t="s">
        <v>577</v>
      </c>
      <c r="E110" s="115">
        <v>1.5277777777777779</v>
      </c>
      <c r="F110" s="113" t="s">
        <v>579</v>
      </c>
      <c r="G110" s="116">
        <v>5</v>
      </c>
      <c r="H110" s="117">
        <v>678</v>
      </c>
    </row>
    <row r="111" spans="1:8" ht="18" x14ac:dyDescent="0.3">
      <c r="A111" s="118">
        <v>45991</v>
      </c>
      <c r="B111" s="119" t="s">
        <v>378</v>
      </c>
      <c r="C111" s="120" t="s">
        <v>584</v>
      </c>
      <c r="D111" s="119" t="s">
        <v>577</v>
      </c>
      <c r="E111" s="121">
        <v>1.5277777777777779</v>
      </c>
      <c r="F111" s="119" t="s">
        <v>581</v>
      </c>
      <c r="G111" s="122">
        <v>5</v>
      </c>
      <c r="H111" s="123">
        <v>744</v>
      </c>
    </row>
    <row r="112" spans="1:8" ht="18" x14ac:dyDescent="0.3">
      <c r="A112" s="118">
        <v>45991</v>
      </c>
      <c r="B112" s="119" t="s">
        <v>378</v>
      </c>
      <c r="C112" s="120" t="s">
        <v>584</v>
      </c>
      <c r="D112" s="119" t="s">
        <v>577</v>
      </c>
      <c r="E112" s="121">
        <v>1.5277777777777779</v>
      </c>
      <c r="F112" s="119" t="s">
        <v>33</v>
      </c>
      <c r="G112" s="122">
        <v>5</v>
      </c>
      <c r="H112" s="123">
        <v>806</v>
      </c>
    </row>
    <row r="113" spans="1:8" ht="18" x14ac:dyDescent="0.3">
      <c r="A113" s="124">
        <v>45991</v>
      </c>
      <c r="B113" s="125" t="s">
        <v>35</v>
      </c>
      <c r="C113" s="126" t="s">
        <v>668</v>
      </c>
      <c r="D113" s="125" t="s">
        <v>577</v>
      </c>
      <c r="E113" s="127">
        <v>1.489583333333333</v>
      </c>
      <c r="F113" s="125" t="s">
        <v>37</v>
      </c>
      <c r="G113" s="128">
        <v>1</v>
      </c>
      <c r="H113" s="129">
        <v>781</v>
      </c>
    </row>
    <row r="114" spans="1:8" ht="18" x14ac:dyDescent="0.3">
      <c r="A114" s="130">
        <v>45991</v>
      </c>
      <c r="B114" s="131" t="s">
        <v>35</v>
      </c>
      <c r="C114" s="132" t="s">
        <v>597</v>
      </c>
      <c r="D114" s="131" t="s">
        <v>577</v>
      </c>
      <c r="E114" s="133">
        <v>1.6875</v>
      </c>
      <c r="F114" s="131" t="s">
        <v>131</v>
      </c>
      <c r="G114" s="131"/>
      <c r="H114" s="131" t="s">
        <v>132</v>
      </c>
    </row>
    <row r="115" spans="1:8" ht="18" x14ac:dyDescent="0.3">
      <c r="A115" s="136">
        <v>45991</v>
      </c>
      <c r="B115" s="113" t="s">
        <v>78</v>
      </c>
      <c r="C115" s="114" t="s">
        <v>596</v>
      </c>
      <c r="D115" s="113" t="s">
        <v>577</v>
      </c>
      <c r="E115" s="115">
        <v>1.711805555555556</v>
      </c>
      <c r="F115" s="113" t="s">
        <v>87</v>
      </c>
      <c r="G115" s="116">
        <v>3</v>
      </c>
      <c r="H115" s="113" t="s">
        <v>672</v>
      </c>
    </row>
    <row r="116" spans="1:8" ht="18" x14ac:dyDescent="0.3">
      <c r="A116" s="118">
        <v>45991</v>
      </c>
      <c r="B116" s="119" t="s">
        <v>78</v>
      </c>
      <c r="C116" s="120" t="s">
        <v>596</v>
      </c>
      <c r="D116" s="119" t="s">
        <v>577</v>
      </c>
      <c r="E116" s="121">
        <v>1.711805555555556</v>
      </c>
      <c r="F116" s="119" t="s">
        <v>82</v>
      </c>
      <c r="G116" s="122">
        <v>3</v>
      </c>
      <c r="H116" s="119" t="s">
        <v>673</v>
      </c>
    </row>
    <row r="117" spans="1:8" ht="15.6" x14ac:dyDescent="0.3">
      <c r="A117" s="189"/>
      <c r="B117" s="189"/>
      <c r="C117" s="189"/>
      <c r="D117" s="189"/>
      <c r="E117" s="190" t="s">
        <v>702</v>
      </c>
      <c r="F117" s="189"/>
      <c r="G117" s="189"/>
      <c r="H117" s="3"/>
    </row>
    <row r="118" spans="1:8" ht="18" x14ac:dyDescent="0.3">
      <c r="A118" s="136">
        <v>45991</v>
      </c>
      <c r="B118" s="113" t="s">
        <v>304</v>
      </c>
      <c r="C118" s="114" t="s">
        <v>305</v>
      </c>
      <c r="D118" s="113" t="s">
        <v>303</v>
      </c>
      <c r="E118" s="115">
        <v>1.274305555555556</v>
      </c>
      <c r="F118" s="113" t="s">
        <v>306</v>
      </c>
      <c r="G118" s="116">
        <v>6</v>
      </c>
      <c r="H118" s="137">
        <v>400</v>
      </c>
    </row>
    <row r="119" spans="1:8" ht="18" x14ac:dyDescent="0.3">
      <c r="A119" s="136">
        <v>45991</v>
      </c>
      <c r="B119" s="113" t="s">
        <v>333</v>
      </c>
      <c r="C119" s="114" t="s">
        <v>337</v>
      </c>
      <c r="D119" s="113" t="s">
        <v>303</v>
      </c>
      <c r="E119" s="115">
        <v>1.381944444444444</v>
      </c>
      <c r="F119" s="113" t="s">
        <v>306</v>
      </c>
      <c r="G119" s="116">
        <v>7</v>
      </c>
      <c r="H119" s="137">
        <v>401</v>
      </c>
    </row>
    <row r="120" spans="1:8" ht="18" x14ac:dyDescent="0.3">
      <c r="A120" s="136">
        <v>45991</v>
      </c>
      <c r="B120" s="113" t="s">
        <v>55</v>
      </c>
      <c r="C120" s="114" t="s">
        <v>363</v>
      </c>
      <c r="D120" s="113" t="s">
        <v>303</v>
      </c>
      <c r="E120" s="115">
        <v>1.645833333333333</v>
      </c>
      <c r="F120" s="113" t="s">
        <v>60</v>
      </c>
      <c r="G120" s="116">
        <v>2</v>
      </c>
      <c r="H120" s="137">
        <v>409</v>
      </c>
    </row>
    <row r="121" spans="1:8" ht="18" x14ac:dyDescent="0.3">
      <c r="A121" s="138">
        <v>45991</v>
      </c>
      <c r="B121" s="139" t="s">
        <v>55</v>
      </c>
      <c r="C121" s="140" t="s">
        <v>364</v>
      </c>
      <c r="D121" s="139" t="s">
        <v>303</v>
      </c>
      <c r="E121" s="141">
        <v>1.5173611111111109</v>
      </c>
      <c r="F121" s="139" t="s">
        <v>60</v>
      </c>
      <c r="G121" s="142">
        <v>9</v>
      </c>
      <c r="H121" s="143">
        <v>449</v>
      </c>
    </row>
    <row r="122" spans="1:8" ht="18" x14ac:dyDescent="0.3">
      <c r="A122" s="136">
        <v>45991</v>
      </c>
      <c r="B122" s="113" t="s">
        <v>25</v>
      </c>
      <c r="C122" s="114" t="s">
        <v>344</v>
      </c>
      <c r="D122" s="113" t="s">
        <v>303</v>
      </c>
      <c r="E122" s="115">
        <v>1.302083333333333</v>
      </c>
      <c r="F122" s="113" t="s">
        <v>27</v>
      </c>
      <c r="G122" s="116">
        <v>3</v>
      </c>
      <c r="H122" s="137">
        <v>419</v>
      </c>
    </row>
    <row r="123" spans="1:8" ht="18" x14ac:dyDescent="0.3">
      <c r="A123" s="138">
        <v>45991</v>
      </c>
      <c r="B123" s="139" t="s">
        <v>25</v>
      </c>
      <c r="C123" s="140" t="s">
        <v>338</v>
      </c>
      <c r="D123" s="139" t="s">
        <v>303</v>
      </c>
      <c r="E123" s="141">
        <v>1.1284722222222221</v>
      </c>
      <c r="F123" s="139" t="s">
        <v>27</v>
      </c>
      <c r="G123" s="142">
        <v>3</v>
      </c>
      <c r="H123" s="143">
        <v>419</v>
      </c>
    </row>
    <row r="124" spans="1:8" ht="18" x14ac:dyDescent="0.3">
      <c r="A124" s="138">
        <v>45991</v>
      </c>
      <c r="B124" s="139" t="s">
        <v>25</v>
      </c>
      <c r="C124" s="140" t="s">
        <v>347</v>
      </c>
      <c r="D124" s="139" t="s">
        <v>303</v>
      </c>
      <c r="E124" s="141">
        <v>1.788194444444444</v>
      </c>
      <c r="F124" s="139" t="s">
        <v>27</v>
      </c>
      <c r="G124" s="142">
        <v>8</v>
      </c>
      <c r="H124" s="143">
        <v>419</v>
      </c>
    </row>
    <row r="125" spans="1:8" ht="18" x14ac:dyDescent="0.3">
      <c r="A125" s="124">
        <v>45991</v>
      </c>
      <c r="B125" s="125" t="s">
        <v>35</v>
      </c>
      <c r="C125" s="126" t="s">
        <v>319</v>
      </c>
      <c r="D125" s="125" t="s">
        <v>303</v>
      </c>
      <c r="E125" s="127">
        <v>1.083333333333333</v>
      </c>
      <c r="F125" s="125" t="s">
        <v>37</v>
      </c>
      <c r="G125" s="128">
        <v>9</v>
      </c>
      <c r="H125" s="129">
        <v>436</v>
      </c>
    </row>
    <row r="126" spans="1:8" ht="18" x14ac:dyDescent="0.3">
      <c r="A126" s="130">
        <v>45991</v>
      </c>
      <c r="B126" s="131" t="s">
        <v>35</v>
      </c>
      <c r="C126" s="132" t="s">
        <v>430</v>
      </c>
      <c r="D126" s="131" t="s">
        <v>303</v>
      </c>
      <c r="E126" s="133">
        <v>1.333333333333333</v>
      </c>
      <c r="F126" s="131" t="s">
        <v>37</v>
      </c>
      <c r="G126" s="134">
        <v>9</v>
      </c>
      <c r="H126" s="135">
        <v>436</v>
      </c>
    </row>
    <row r="127" spans="1:8" ht="18" x14ac:dyDescent="0.3">
      <c r="A127" s="224">
        <v>45991</v>
      </c>
      <c r="B127" s="225" t="s">
        <v>35</v>
      </c>
      <c r="C127" s="226" t="s">
        <v>314</v>
      </c>
      <c r="D127" s="225" t="s">
        <v>303</v>
      </c>
      <c r="E127" s="227">
        <v>1.319444444444444</v>
      </c>
      <c r="F127" s="225" t="s">
        <v>37</v>
      </c>
      <c r="G127" s="228">
        <v>6</v>
      </c>
      <c r="H127" s="229">
        <v>436</v>
      </c>
    </row>
  </sheetData>
  <dataValidations count="18">
    <dataValidation type="custom" allowBlank="1" showInputMessage="1" promptTitle="LOAD FACTOR ANALYSIS" prompt="SM452_x000d__x000a_LF 1.0%_x000d__x000a_SOLD 179_x000d__x000a_LST-SOLD 24NOV_x000d__x000a_WEEKLY 8_x000d__x000a_TO-DAY 3_x000d__x000a_Y-DAY NIL_x000d__x000a_LOWEST AVAIL CLOSED_x000d__x000a_CAPACITY 179_x000d__x000a_CLASSES Q3 &amp; L5 &amp; S1 &amp; +2 more" sqref="A16 B16 C16 D16 E16 F16 G16 H16" xr:uid="{00000000-0002-0000-0F00-000000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20 A79 B20 B79 C20 C79 D20 D79 E20 E79 F20 F79 G20 G79 H20 H79" xr:uid="{00000000-0002-0000-0F00-000001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21 A44 A77 A109 A127 B21 B44 B77 B109 B127 C21 C44 C77 C109 C127 D21 D44 D77 D109 D127 E21 E44 E77 E109 E127 F21 F44 F77 F109 F127 G21 G44 G77 G109 G127 H21 H44 H77 H109 H127" xr:uid="{00000000-0002-0000-0F00-000002000000}">
      <formula1>TRUE</formula1>
    </dataValidation>
    <dataValidation type="custom" allowBlank="1" showInputMessage="1" promptTitle="LOAD FACTOR ANALYSIS" prompt="SM474_x000d__x000a_LF 1.0%_x000d__x000a_SOLD 179_x000d__x000a_LST-SOLD 24NOV_x000d__x000a_WEEKLY 16_x000d__x000a_TO-DAY 5_x000d__x000a_Y-DAY NIL_x000d__x000a_LOWEST AVAIL CLOSED_x000d__x000a_CAPACITY 179_x000d__x000a_CLASSES K5 &amp; L5 &amp; G5 &amp; +3 more" sqref="A34 B34 C34 D34 E34 F34 G34 H34" xr:uid="{00000000-0002-0000-0F00-000003000000}">
      <formula1>TRUE</formula1>
    </dataValidation>
    <dataValidation type="custom" allowBlank="1" showInputMessage="1" promptTitle="LOAD FACTOR ANALYSIS" prompt="SM452_x000d__x000a_LF 1.0%_x000d__x000a_SOLD 179_x000d__x000a_LST-SOLD 18NOV_x000d__x000a_WEEKLY 12_x000d__x000a_TO-DAY NIL_x000d__x000a_Y-DAY NIL_x000d__x000a_LOWEST AVAIL CLOSED_x000d__x000a_CAPACITY 179_x000d__x000a_CLASSES G4 &amp; S5 &amp; W10 &amp; +5 more" sqref="A35 B35 C35 D35 E35 F35 G35 H35" xr:uid="{00000000-0002-0000-0F00-000004000000}">
      <formula1>TRUE</formula1>
    </dataValidation>
    <dataValidation type="custom" allowBlank="1" showInputMessage="1" promptTitle="LOAD FACTOR ANALYSIS" prompt="SM458_x000d__x000a_LF 1.0%_x000d__x000a_SOLD 179_x000d__x000a_LST-SOLD 21NOV_x000d__x000a_WEEKLY 15_x000d__x000a_TO-DAY NIL_x000d__x000a_Y-DAY NIL_x000d__x000a_LOWEST AVAIL CLOSED_x000d__x000a_CAPACITY 179_x000d__x000a_CLASSES S9 &amp; W15 &amp; X7 &amp; +4 more" sqref="A36 B36 C36 D36 E36 F36 G36 H36" xr:uid="{00000000-0002-0000-0F00-000005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43 B43 C43 D43 E43 F43 G43 H43" xr:uid="{00000000-0002-0000-0F00-000006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45 A78 B45 B78 C45 C78 D45 D78 E45 E78 F45 F78 G45 G78 H45 H78" xr:uid="{00000000-0002-0000-0F00-000007000000}">
      <formula1>TRUE</formula1>
    </dataValidation>
    <dataValidation type="custom" allowBlank="1" showInputMessage="1" promptTitle="LOAD FACTOR ANALYSIS" prompt="SM452_x000d__x000a_LF 1.0%_x000d__x000a_SOLD 179_x000d__x000a_LST-SOLD 24NOV_x000d__x000a_WEEKLY 7_x000d__x000a_TO-DAY 4_x000d__x000a_Y-DAY NIL_x000d__x000a_LOWEST AVAIL CLOSED_x000d__x000a_CAPACITY 179_x000d__x000a_CLASSES L7 &amp; S1 &amp; X1 &amp; +1 more" sqref="A57 B57 C57 D57 E57 F57 G57 H57" xr:uid="{00000000-0002-0000-0F00-000008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64 A126 B64 B126 C64 C126 D64 D126 E64 E126 F64 F126 G64 G126 H64 H126" xr:uid="{00000000-0002-0000-0F00-000009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65 A108 B65 B108 C65 C108 D65 D108 E65 E108 F65 F108 G65 G108 H65 H108" xr:uid="{00000000-0002-0000-0F00-00000A000000}">
      <formula1>TRUE</formula1>
    </dataValidation>
    <dataValidation type="custom" allowBlank="1" showInputMessage="1" promptTitle="LOAD FACTOR ANALYSIS" prompt="SM-452_x000d__x000a_LF 66.7%_x000d__x000a_SOLD 112_x000d__x000a_LST-SOLD 23NOV_x000d__x000a_WEEKLY 68_x000d__x000a_TO-DAY NIL_x000d__x000a_Y-DAY 17_x000d__x000a_LOWEST AVAIL L9_x000d__x000a_CAPACITY 168_x000d__x000a_CLASSES L2 &amp; G15 &amp; S15 &amp; +4 more" sqref="A72 B72 C72 D72 E72 F72 G72 H72" xr:uid="{00000000-0002-0000-0F00-00000B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76 A125 B76 B125 C76 C125 D76 D125 E76 E125 F76 F125 G76 G125 H76 H125" xr:uid="{00000000-0002-0000-0F00-00000C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80 B80 C80 D80 E80 F80 G80 H80" xr:uid="{00000000-0002-0000-0F00-00000D000000}">
      <formula1>TRUE</formula1>
    </dataValidation>
    <dataValidation type="custom" allowBlank="1" showInputMessage="1" promptTitle="LOAD FACTOR ANALYSIS" prompt="SM458_x000d__x000a_LF 1.0%_x000d__x000a_SOLD 168_x000d__x000a_LST-SOLD 24NOV_x000d__x000a_WEEKLY 5_x000d__x000a_TO-DAY 4_x000d__x000a_Y-DAY NIL_x000d__x000a_LOWEST AVAIL CLOSED_x000d__x000a_CAPACITY 168_x000d__x000a_CLASSES G8 &amp; S3 &amp; T1 &amp; +2 more" sqref="A97 B97 C97 D97 E97 F97 G97 H97" xr:uid="{00000000-0002-0000-0F00-00000E000000}">
      <formula1>TRUE</formula1>
    </dataValidation>
    <dataValidation type="custom" allowBlank="1" showInputMessage="1" promptTitle="LOAD FACTOR ANALYSIS" prompt="SM452_x000d__x000a_LF 1.0%_x000d__x000a_SOLD 168_x000d__x000a_LST-SOLD 24NOV_x000d__x000a_WEEKLY 8_x000d__x000a_TO-DAY 8_x000d__x000a_Y-DAY NIL_x000d__x000a_LOWEST AVAIL CLOSED_x000d__x000a_CAPACITY 168_x000d__x000a_CLASSES G10 &amp; S11 &amp; X7 &amp; +4 more" sqref="A98 B98 C98 D98 E98 F98 G98 H98" xr:uid="{00000000-0002-0000-0F00-00000F000000}">
      <formula1>TRUE</formula1>
    </dataValidation>
    <dataValidation type="custom" allowBlank="1" showInputMessage="1" promptTitle="LOAD FACTOR ANALYSIS" prompt="SM-458_x000d__x000a_LF 99.4%_x000d__x000a_SOLD 167_x000d__x000a_LST-SOLD 22NOV_x000d__x000a_WEEKLY 1_x000d__x000a_TO-DAY NIL_x000d__x000a_Y-DAY NIL_x000d__x000a_LOWEST AVAIL G1_x000d__x000a_CAPACITY 168_x000d__x000a_CLASSES G1 &amp; S1 &amp; X4 &amp; +5 more" sqref="A113 B113 C113 D113 E113 F113 G113 H113" xr:uid="{00000000-0002-0000-0F00-000010000000}">
      <formula1>TRUE</formula1>
    </dataValidation>
    <dataValidation type="custom" allowBlank="1" showInputMessage="1" promptTitle="LOAD FACTOR ANALYSIS" prompt="SM452_x000d__x000a_LF 1.0%_x000d__x000a_SOLD 168_x000d__x000a_LST-SOLD 22NOV_x000d__x000a_WEEKLY 7_x000d__x000a_TO-DAY NIL_x000d__x000a_Y-DAY NIL_x000d__x000a_LOWEST AVAIL CLOSED_x000d__x000a_CAPACITY 168_x000d__x000a_CLASSES G1 &amp; S4 &amp; W6 &amp; +4 more" sqref="A114 B114 C114 D114 E114 F114 G114 H114" xr:uid="{00000000-0002-0000-0F00-000011000000}">
      <formula1>TRUE</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11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2.109375" bestFit="1" customWidth="1"/>
  </cols>
  <sheetData>
    <row r="1" spans="1:92" ht="28.8" customHeight="1" x14ac:dyDescent="0.3">
      <c r="A1" s="305" t="s">
        <v>0</v>
      </c>
      <c r="B1" s="281"/>
      <c r="C1" s="281"/>
      <c r="D1" s="305" t="s">
        <v>703</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45985.360346523368</v>
      </c>
      <c r="H2" s="292"/>
      <c r="I2" s="292"/>
      <c r="J2" s="292"/>
      <c r="K2" s="303">
        <v>45985.360346523899</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2" t="s">
        <v>35</v>
      </c>
      <c r="B6" s="82" t="s">
        <v>704</v>
      </c>
      <c r="C6" s="83">
        <v>0.32291666666666669</v>
      </c>
      <c r="D6" s="82" t="s">
        <v>37</v>
      </c>
      <c r="E6" s="82" t="s">
        <v>95</v>
      </c>
      <c r="F6" s="82" t="s">
        <v>705</v>
      </c>
      <c r="G6" s="284"/>
      <c r="H6" s="84" t="s">
        <v>706</v>
      </c>
      <c r="I6" s="85">
        <v>0.9385</v>
      </c>
      <c r="J6" s="86">
        <v>168</v>
      </c>
      <c r="K6" s="87">
        <v>45984</v>
      </c>
      <c r="L6" s="86">
        <v>1</v>
      </c>
      <c r="M6" s="86">
        <v>0</v>
      </c>
      <c r="N6" s="86">
        <v>1</v>
      </c>
      <c r="O6" s="88" t="s">
        <v>707</v>
      </c>
      <c r="P6" s="89">
        <v>0.32291666666666669</v>
      </c>
      <c r="Q6" s="86">
        <v>179</v>
      </c>
      <c r="R6" s="90" t="s">
        <v>708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35" t="s">
        <v>35</v>
      </c>
      <c r="B7" s="35" t="s">
        <v>709</v>
      </c>
      <c r="C7" s="36">
        <v>0.95138888888888884</v>
      </c>
      <c r="D7" s="35" t="s">
        <v>37</v>
      </c>
      <c r="E7" s="35" t="s">
        <v>74</v>
      </c>
      <c r="F7" s="35" t="s">
        <v>325</v>
      </c>
      <c r="G7" s="285"/>
      <c r="H7" s="37" t="s">
        <v>710</v>
      </c>
      <c r="I7" s="38">
        <v>0.96089999999999998</v>
      </c>
      <c r="J7" s="39">
        <v>172</v>
      </c>
      <c r="K7" s="40">
        <v>45973</v>
      </c>
      <c r="L7" s="39">
        <v>0</v>
      </c>
      <c r="M7" s="39">
        <v>0</v>
      </c>
      <c r="N7" s="39">
        <v>0</v>
      </c>
      <c r="O7" s="41" t="s">
        <v>685</v>
      </c>
      <c r="P7" s="42">
        <v>0.95138888888888884</v>
      </c>
      <c r="Q7" s="39">
        <v>179</v>
      </c>
      <c r="R7" s="43" t="s">
        <v>711</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44" t="s">
        <v>66</v>
      </c>
      <c r="B8" s="44" t="s">
        <v>712</v>
      </c>
      <c r="C8" s="45">
        <v>0.32291666666666669</v>
      </c>
      <c r="D8" s="44" t="s">
        <v>68</v>
      </c>
      <c r="E8" s="44" t="s">
        <v>80</v>
      </c>
      <c r="F8" s="44" t="s">
        <v>713</v>
      </c>
      <c r="G8" s="285"/>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8" x14ac:dyDescent="0.3">
      <c r="A9" s="306" t="s">
        <v>599</v>
      </c>
      <c r="B9" s="307"/>
      <c r="C9" s="307"/>
      <c r="D9" s="307"/>
      <c r="E9" s="307"/>
      <c r="F9" s="307"/>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46" t="s">
        <v>304</v>
      </c>
      <c r="B10" s="46" t="s">
        <v>305</v>
      </c>
      <c r="C10" s="47" t="s">
        <v>600</v>
      </c>
      <c r="D10" s="46" t="s">
        <v>306</v>
      </c>
      <c r="E10" s="46" t="s">
        <v>246</v>
      </c>
      <c r="F10" s="46" t="s">
        <v>307</v>
      </c>
      <c r="G10" s="285"/>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46" t="s">
        <v>304</v>
      </c>
      <c r="B11" s="46" t="s">
        <v>308</v>
      </c>
      <c r="C11" s="47" t="s">
        <v>601</v>
      </c>
      <c r="D11" s="46" t="s">
        <v>306</v>
      </c>
      <c r="E11" s="46" t="s">
        <v>248</v>
      </c>
      <c r="F11" s="46" t="s">
        <v>307</v>
      </c>
      <c r="G11" s="285"/>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6" t="s">
        <v>35</v>
      </c>
      <c r="B12" s="46" t="s">
        <v>309</v>
      </c>
      <c r="C12" s="47" t="s">
        <v>602</v>
      </c>
      <c r="D12" s="46" t="s">
        <v>37</v>
      </c>
      <c r="E12" s="46" t="s">
        <v>248</v>
      </c>
      <c r="F12" s="46" t="s">
        <v>310</v>
      </c>
      <c r="G12" s="285"/>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46" t="s">
        <v>333</v>
      </c>
      <c r="B13" s="46" t="s">
        <v>334</v>
      </c>
      <c r="C13" s="47" t="s">
        <v>603</v>
      </c>
      <c r="D13" s="46" t="s">
        <v>306</v>
      </c>
      <c r="E13" s="46" t="s">
        <v>248</v>
      </c>
      <c r="F13" s="46" t="s">
        <v>310</v>
      </c>
      <c r="G13" s="285"/>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46" t="s">
        <v>25</v>
      </c>
      <c r="B14" s="46" t="s">
        <v>338</v>
      </c>
      <c r="C14" s="47" t="s">
        <v>604</v>
      </c>
      <c r="D14" s="46" t="s">
        <v>27</v>
      </c>
      <c r="E14" s="46" t="s">
        <v>605</v>
      </c>
      <c r="F14" s="46" t="s">
        <v>340</v>
      </c>
      <c r="G14" s="285"/>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46" t="s">
        <v>25</v>
      </c>
      <c r="B15" s="46" t="s">
        <v>343</v>
      </c>
      <c r="C15" s="47" t="s">
        <v>606</v>
      </c>
      <c r="D15" s="46" t="s">
        <v>27</v>
      </c>
      <c r="E15" s="46" t="s">
        <v>246</v>
      </c>
      <c r="F15" s="46" t="s">
        <v>340</v>
      </c>
      <c r="G15" s="285"/>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6" t="s">
        <v>35</v>
      </c>
      <c r="B16" s="46" t="s">
        <v>314</v>
      </c>
      <c r="C16" s="47" t="s">
        <v>607</v>
      </c>
      <c r="D16" s="46" t="s">
        <v>37</v>
      </c>
      <c r="E16" s="46" t="s">
        <v>233</v>
      </c>
      <c r="F16" s="46" t="s">
        <v>315</v>
      </c>
      <c r="G16" s="285"/>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6" t="s">
        <v>55</v>
      </c>
      <c r="B17" s="46" t="s">
        <v>349</v>
      </c>
      <c r="C17" s="47" t="s">
        <v>608</v>
      </c>
      <c r="D17" s="46" t="s">
        <v>60</v>
      </c>
      <c r="E17" s="46" t="s">
        <v>248</v>
      </c>
      <c r="F17" s="46" t="s">
        <v>350</v>
      </c>
      <c r="G17" s="285"/>
      <c r="H17" s="171"/>
      <c r="I17" s="171"/>
      <c r="J17" s="171"/>
      <c r="K17" s="171"/>
      <c r="L17" s="171"/>
      <c r="M17" s="171"/>
      <c r="N17" s="171"/>
      <c r="O17" s="172"/>
      <c r="P17" s="171"/>
      <c r="Q17" s="173"/>
      <c r="R17" s="17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46" t="s">
        <v>25</v>
      </c>
      <c r="B18" s="46" t="s">
        <v>344</v>
      </c>
      <c r="C18" s="47" t="s">
        <v>609</v>
      </c>
      <c r="D18" s="46" t="s">
        <v>27</v>
      </c>
      <c r="E18" s="46" t="s">
        <v>264</v>
      </c>
      <c r="F18" s="46" t="s">
        <v>345</v>
      </c>
      <c r="G18" s="285"/>
      <c r="H18" s="171"/>
      <c r="I18" s="171"/>
      <c r="J18" s="171"/>
      <c r="K18" s="171"/>
      <c r="L18" s="171"/>
      <c r="M18" s="171"/>
      <c r="N18" s="171"/>
      <c r="O18" s="172"/>
      <c r="P18" s="171"/>
      <c r="Q18" s="173"/>
      <c r="R18" s="17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61" t="s">
        <v>25</v>
      </c>
      <c r="B19" s="61" t="s">
        <v>347</v>
      </c>
      <c r="C19" s="62" t="s">
        <v>610</v>
      </c>
      <c r="D19" s="61" t="s">
        <v>27</v>
      </c>
      <c r="E19" s="61" t="s">
        <v>247</v>
      </c>
      <c r="F19" s="61" t="s">
        <v>345</v>
      </c>
      <c r="G19" s="286"/>
      <c r="H19" s="174"/>
      <c r="I19" s="174"/>
      <c r="J19" s="174"/>
      <c r="K19" s="174"/>
      <c r="L19" s="174"/>
      <c r="M19" s="174"/>
      <c r="N19" s="174"/>
      <c r="O19" s="175"/>
      <c r="P19" s="174"/>
      <c r="Q19" s="176"/>
      <c r="R19" s="17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95"/>
      <c r="B20" s="296"/>
      <c r="C20" s="296"/>
      <c r="D20" s="296"/>
      <c r="E20" s="296"/>
      <c r="F20" s="296"/>
      <c r="G20" s="289"/>
      <c r="H20" s="297"/>
      <c r="I20" s="297"/>
      <c r="J20" s="297"/>
      <c r="K20" s="297"/>
      <c r="L20" s="297"/>
      <c r="M20" s="297"/>
      <c r="N20" s="297"/>
      <c r="O20" s="298"/>
      <c r="P20" s="297"/>
      <c r="Q20" s="289"/>
      <c r="R20" s="29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82" t="s">
        <v>5</v>
      </c>
      <c r="B21" s="283"/>
      <c r="C21" s="283"/>
      <c r="D21" s="283"/>
      <c r="E21" s="283"/>
      <c r="F21" s="283"/>
      <c r="G21" s="5">
        <v>45987</v>
      </c>
      <c r="H21" s="278" t="s">
        <v>6</v>
      </c>
      <c r="I21" s="279"/>
      <c r="J21" s="279"/>
      <c r="K21" s="279"/>
      <c r="L21" s="279"/>
      <c r="M21" s="279"/>
      <c r="N21" s="279"/>
      <c r="O21" s="279"/>
      <c r="P21" s="279"/>
      <c r="Q21" s="279"/>
      <c r="R21" s="27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55" t="s">
        <v>7</v>
      </c>
      <c r="B22" s="55" t="s">
        <v>8</v>
      </c>
      <c r="C22" s="56" t="s">
        <v>9</v>
      </c>
      <c r="D22" s="55" t="s">
        <v>10</v>
      </c>
      <c r="E22" s="55" t="s">
        <v>11</v>
      </c>
      <c r="F22" s="55" t="s">
        <v>12</v>
      </c>
      <c r="G22" s="57" t="s">
        <v>13</v>
      </c>
      <c r="H22" s="55" t="s">
        <v>14</v>
      </c>
      <c r="I22" s="58" t="s">
        <v>15</v>
      </c>
      <c r="J22" s="59" t="s">
        <v>16</v>
      </c>
      <c r="K22" s="60" t="s">
        <v>17</v>
      </c>
      <c r="L22" s="59" t="s">
        <v>18</v>
      </c>
      <c r="M22" s="59" t="s">
        <v>19</v>
      </c>
      <c r="N22" s="59" t="s">
        <v>20</v>
      </c>
      <c r="O22" s="55" t="s">
        <v>21</v>
      </c>
      <c r="P22" s="56" t="s">
        <v>22</v>
      </c>
      <c r="Q22" s="59" t="s">
        <v>23</v>
      </c>
      <c r="R22" s="55"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8" t="s">
        <v>25</v>
      </c>
      <c r="B23" s="8" t="s">
        <v>714</v>
      </c>
      <c r="C23" s="9">
        <v>0.28472222222222221</v>
      </c>
      <c r="D23" s="8" t="s">
        <v>588</v>
      </c>
      <c r="E23" s="8" t="s">
        <v>95</v>
      </c>
      <c r="F23" s="8" t="s">
        <v>715</v>
      </c>
      <c r="G23" s="284"/>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5" t="s">
        <v>25</v>
      </c>
      <c r="B24" s="15" t="s">
        <v>714</v>
      </c>
      <c r="C24" s="16">
        <v>0.28472222222222221</v>
      </c>
      <c r="D24" s="15" t="s">
        <v>579</v>
      </c>
      <c r="E24" s="15" t="s">
        <v>97</v>
      </c>
      <c r="F24" s="15" t="s">
        <v>716</v>
      </c>
      <c r="G24" s="285"/>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714</v>
      </c>
      <c r="C25" s="16">
        <v>0.28472222222222221</v>
      </c>
      <c r="D25" s="15" t="s">
        <v>581</v>
      </c>
      <c r="E25" s="15" t="s">
        <v>97</v>
      </c>
      <c r="F25" s="15" t="s">
        <v>717</v>
      </c>
      <c r="G25" s="285"/>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714</v>
      </c>
      <c r="C26" s="16">
        <v>0.28472222222222221</v>
      </c>
      <c r="D26" s="15" t="s">
        <v>591</v>
      </c>
      <c r="E26" s="15" t="s">
        <v>97</v>
      </c>
      <c r="F26" s="15" t="s">
        <v>351</v>
      </c>
      <c r="G26" s="285"/>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211" t="s">
        <v>35</v>
      </c>
      <c r="B27" s="211" t="s">
        <v>704</v>
      </c>
      <c r="C27" s="212">
        <v>0.2673611111111111</v>
      </c>
      <c r="D27" s="211" t="s">
        <v>37</v>
      </c>
      <c r="E27" s="211" t="s">
        <v>58</v>
      </c>
      <c r="F27" s="211" t="s">
        <v>315</v>
      </c>
      <c r="G27" s="285"/>
      <c r="H27" s="37" t="s">
        <v>706</v>
      </c>
      <c r="I27" s="201">
        <v>0.72070000000000001</v>
      </c>
      <c r="J27" s="39">
        <v>129</v>
      </c>
      <c r="K27" s="40">
        <v>45984</v>
      </c>
      <c r="L27" s="39">
        <v>22</v>
      </c>
      <c r="M27" s="39">
        <v>0</v>
      </c>
      <c r="N27" s="39">
        <v>5</v>
      </c>
      <c r="O27" s="41" t="s">
        <v>194</v>
      </c>
      <c r="P27" s="42">
        <v>0.2673611111111111</v>
      </c>
      <c r="Q27" s="39">
        <v>179</v>
      </c>
      <c r="R27" s="43" t="s">
        <v>718</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26" t="s">
        <v>35</v>
      </c>
      <c r="B28" s="26" t="s">
        <v>719</v>
      </c>
      <c r="C28" s="27">
        <v>0.33333333333333331</v>
      </c>
      <c r="D28" s="26" t="s">
        <v>37</v>
      </c>
      <c r="E28" s="26" t="s">
        <v>71</v>
      </c>
      <c r="F28" s="26" t="s">
        <v>315</v>
      </c>
      <c r="G28" s="285"/>
      <c r="H28" s="28" t="s">
        <v>720</v>
      </c>
      <c r="I28" s="29">
        <v>0.96430000000000005</v>
      </c>
      <c r="J28" s="30">
        <v>162</v>
      </c>
      <c r="K28" s="31">
        <v>45985</v>
      </c>
      <c r="L28" s="30">
        <v>24</v>
      </c>
      <c r="M28" s="30">
        <v>1</v>
      </c>
      <c r="N28" s="30">
        <v>7</v>
      </c>
      <c r="O28" s="32" t="s">
        <v>488</v>
      </c>
      <c r="P28" s="33">
        <v>0.33333333333333331</v>
      </c>
      <c r="Q28" s="30">
        <v>168</v>
      </c>
      <c r="R28" s="34" t="s">
        <v>721</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4" t="s">
        <v>66</v>
      </c>
      <c r="B29" s="44" t="s">
        <v>712</v>
      </c>
      <c r="C29" s="45">
        <v>0.2673611111111111</v>
      </c>
      <c r="D29" s="44" t="s">
        <v>85</v>
      </c>
      <c r="E29" s="44" t="s">
        <v>80</v>
      </c>
      <c r="F29" s="44" t="s">
        <v>722</v>
      </c>
      <c r="G29" s="285"/>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8" x14ac:dyDescent="0.3">
      <c r="A30" s="306" t="s">
        <v>599</v>
      </c>
      <c r="B30" s="307"/>
      <c r="C30" s="307"/>
      <c r="D30" s="307"/>
      <c r="E30" s="307"/>
      <c r="F30" s="307"/>
      <c r="G30" s="285"/>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46" t="s">
        <v>304</v>
      </c>
      <c r="B31" s="46" t="s">
        <v>305</v>
      </c>
      <c r="C31" s="47" t="s">
        <v>621</v>
      </c>
      <c r="D31" s="46" t="s">
        <v>306</v>
      </c>
      <c r="E31" s="46" t="s">
        <v>233</v>
      </c>
      <c r="F31" s="46" t="s">
        <v>307</v>
      </c>
      <c r="G31" s="285"/>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46" t="s">
        <v>25</v>
      </c>
      <c r="B32" s="46" t="s">
        <v>344</v>
      </c>
      <c r="C32" s="47" t="s">
        <v>609</v>
      </c>
      <c r="D32" s="46" t="s">
        <v>27</v>
      </c>
      <c r="E32" s="46" t="s">
        <v>259</v>
      </c>
      <c r="F32" s="46" t="s">
        <v>340</v>
      </c>
      <c r="G32" s="285"/>
      <c r="H32" s="171"/>
      <c r="I32" s="171"/>
      <c r="J32" s="171"/>
      <c r="K32" s="171"/>
      <c r="L32" s="171"/>
      <c r="M32" s="171"/>
      <c r="N32" s="171"/>
      <c r="O32" s="172"/>
      <c r="P32" s="171"/>
      <c r="Q32" s="173"/>
      <c r="R32" s="17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46" t="s">
        <v>25</v>
      </c>
      <c r="B33" s="46" t="s">
        <v>338</v>
      </c>
      <c r="C33" s="47" t="s">
        <v>604</v>
      </c>
      <c r="D33" s="46" t="s">
        <v>27</v>
      </c>
      <c r="E33" s="46" t="s">
        <v>622</v>
      </c>
      <c r="F33" s="46" t="s">
        <v>340</v>
      </c>
      <c r="G33" s="285"/>
      <c r="H33" s="171"/>
      <c r="I33" s="171"/>
      <c r="J33" s="171"/>
      <c r="K33" s="171"/>
      <c r="L33" s="171"/>
      <c r="M33" s="171"/>
      <c r="N33" s="171"/>
      <c r="O33" s="172"/>
      <c r="P33" s="171"/>
      <c r="Q33" s="173"/>
      <c r="R33" s="17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46" t="s">
        <v>25</v>
      </c>
      <c r="B34" s="46" t="s">
        <v>347</v>
      </c>
      <c r="C34" s="47" t="s">
        <v>610</v>
      </c>
      <c r="D34" s="46" t="s">
        <v>27</v>
      </c>
      <c r="E34" s="46" t="s">
        <v>623</v>
      </c>
      <c r="F34" s="46" t="s">
        <v>340</v>
      </c>
      <c r="G34" s="285"/>
      <c r="H34" s="171"/>
      <c r="I34" s="171"/>
      <c r="J34" s="171"/>
      <c r="K34" s="171"/>
      <c r="L34" s="171"/>
      <c r="M34" s="171"/>
      <c r="N34" s="171"/>
      <c r="O34" s="172"/>
      <c r="P34" s="171"/>
      <c r="Q34" s="173"/>
      <c r="R34" s="17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46" t="s">
        <v>25</v>
      </c>
      <c r="B35" s="46" t="s">
        <v>343</v>
      </c>
      <c r="C35" s="47" t="s">
        <v>606</v>
      </c>
      <c r="D35" s="46" t="s">
        <v>27</v>
      </c>
      <c r="E35" s="46" t="s">
        <v>624</v>
      </c>
      <c r="F35" s="46" t="s">
        <v>340</v>
      </c>
      <c r="G35" s="285"/>
      <c r="H35" s="171"/>
      <c r="I35" s="171"/>
      <c r="J35" s="171"/>
      <c r="K35" s="171"/>
      <c r="L35" s="171"/>
      <c r="M35" s="171"/>
      <c r="N35" s="171"/>
      <c r="O35" s="172"/>
      <c r="P35" s="171"/>
      <c r="Q35" s="173"/>
      <c r="R35" s="17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46" t="s">
        <v>35</v>
      </c>
      <c r="B36" s="46" t="s">
        <v>324</v>
      </c>
      <c r="C36" s="47" t="s">
        <v>625</v>
      </c>
      <c r="D36" s="46" t="s">
        <v>37</v>
      </c>
      <c r="E36" s="46" t="s">
        <v>235</v>
      </c>
      <c r="F36" s="46" t="s">
        <v>315</v>
      </c>
      <c r="G36" s="285"/>
      <c r="H36" s="171"/>
      <c r="I36" s="171"/>
      <c r="J36" s="171"/>
      <c r="K36" s="171"/>
      <c r="L36" s="171"/>
      <c r="M36" s="171"/>
      <c r="N36" s="171"/>
      <c r="O36" s="172"/>
      <c r="P36" s="171"/>
      <c r="Q36" s="173"/>
      <c r="R36" s="17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46" t="s">
        <v>35</v>
      </c>
      <c r="B37" s="46" t="s">
        <v>314</v>
      </c>
      <c r="C37" s="47" t="s">
        <v>626</v>
      </c>
      <c r="D37" s="46" t="s">
        <v>37</v>
      </c>
      <c r="E37" s="46" t="s">
        <v>235</v>
      </c>
      <c r="F37" s="46" t="s">
        <v>315</v>
      </c>
      <c r="G37" s="285"/>
      <c r="H37" s="171"/>
      <c r="I37" s="171"/>
      <c r="J37" s="171"/>
      <c r="K37" s="171"/>
      <c r="L37" s="171"/>
      <c r="M37" s="171"/>
      <c r="N37" s="171"/>
      <c r="O37" s="172"/>
      <c r="P37" s="171"/>
      <c r="Q37" s="173"/>
      <c r="R37" s="17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46" t="s">
        <v>35</v>
      </c>
      <c r="B38" s="46" t="s">
        <v>413</v>
      </c>
      <c r="C38" s="47" t="s">
        <v>627</v>
      </c>
      <c r="D38" s="46" t="s">
        <v>37</v>
      </c>
      <c r="E38" s="46" t="s">
        <v>246</v>
      </c>
      <c r="F38" s="46" t="s">
        <v>315</v>
      </c>
      <c r="G38" s="285"/>
      <c r="H38" s="171"/>
      <c r="I38" s="171"/>
      <c r="J38" s="171"/>
      <c r="K38" s="171"/>
      <c r="L38" s="171"/>
      <c r="M38" s="171"/>
      <c r="N38" s="171"/>
      <c r="O38" s="172"/>
      <c r="P38" s="171"/>
      <c r="Q38" s="173"/>
      <c r="R38" s="17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46" t="s">
        <v>55</v>
      </c>
      <c r="B39" s="46" t="s">
        <v>357</v>
      </c>
      <c r="C39" s="47" t="s">
        <v>628</v>
      </c>
      <c r="D39" s="46" t="s">
        <v>60</v>
      </c>
      <c r="E39" s="46" t="s">
        <v>233</v>
      </c>
      <c r="F39" s="46" t="s">
        <v>350</v>
      </c>
      <c r="G39" s="285"/>
      <c r="H39" s="171"/>
      <c r="I39" s="171"/>
      <c r="J39" s="171"/>
      <c r="K39" s="171"/>
      <c r="L39" s="171"/>
      <c r="M39" s="171"/>
      <c r="N39" s="171"/>
      <c r="O39" s="172"/>
      <c r="P39" s="171"/>
      <c r="Q39" s="173"/>
      <c r="R39" s="17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61" t="s">
        <v>55</v>
      </c>
      <c r="B40" s="61" t="s">
        <v>352</v>
      </c>
      <c r="C40" s="62" t="s">
        <v>265</v>
      </c>
      <c r="D40" s="61" t="s">
        <v>60</v>
      </c>
      <c r="E40" s="61" t="s">
        <v>233</v>
      </c>
      <c r="F40" s="61" t="s">
        <v>350</v>
      </c>
      <c r="G40" s="286"/>
      <c r="H40" s="174"/>
      <c r="I40" s="174"/>
      <c r="J40" s="174"/>
      <c r="K40" s="174"/>
      <c r="L40" s="174"/>
      <c r="M40" s="174"/>
      <c r="N40" s="174"/>
      <c r="O40" s="175"/>
      <c r="P40" s="174"/>
      <c r="Q40" s="176"/>
      <c r="R40" s="17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288"/>
      <c r="B41" s="289"/>
      <c r="C41" s="289"/>
      <c r="D41" s="289"/>
      <c r="E41" s="289"/>
      <c r="F41" s="289"/>
      <c r="G41" s="289"/>
      <c r="H41" s="289"/>
      <c r="I41" s="289"/>
      <c r="J41" s="289"/>
      <c r="K41" s="289"/>
      <c r="L41" s="289"/>
      <c r="M41" s="289"/>
      <c r="N41" s="289"/>
      <c r="O41" s="289"/>
      <c r="P41" s="289"/>
      <c r="Q41" s="289"/>
      <c r="R41" s="29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282" t="s">
        <v>5</v>
      </c>
      <c r="B42" s="283"/>
      <c r="C42" s="283"/>
      <c r="D42" s="283"/>
      <c r="E42" s="283"/>
      <c r="F42" s="283"/>
      <c r="G42" s="5">
        <v>45988</v>
      </c>
      <c r="H42" s="278" t="s">
        <v>6</v>
      </c>
      <c r="I42" s="279"/>
      <c r="J42" s="279"/>
      <c r="K42" s="279"/>
      <c r="L42" s="279"/>
      <c r="M42" s="279"/>
      <c r="N42" s="279"/>
      <c r="O42" s="279"/>
      <c r="P42" s="279"/>
      <c r="Q42" s="279"/>
      <c r="R42" s="27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55" t="s">
        <v>7</v>
      </c>
      <c r="B43" s="55" t="s">
        <v>8</v>
      </c>
      <c r="C43" s="56" t="s">
        <v>9</v>
      </c>
      <c r="D43" s="55" t="s">
        <v>10</v>
      </c>
      <c r="E43" s="55" t="s">
        <v>11</v>
      </c>
      <c r="F43" s="55" t="s">
        <v>12</v>
      </c>
      <c r="G43" s="57" t="s">
        <v>13</v>
      </c>
      <c r="H43" s="55" t="s">
        <v>14</v>
      </c>
      <c r="I43" s="58" t="s">
        <v>15</v>
      </c>
      <c r="J43" s="59" t="s">
        <v>16</v>
      </c>
      <c r="K43" s="60" t="s">
        <v>17</v>
      </c>
      <c r="L43" s="59" t="s">
        <v>18</v>
      </c>
      <c r="M43" s="59" t="s">
        <v>19</v>
      </c>
      <c r="N43" s="59" t="s">
        <v>20</v>
      </c>
      <c r="O43" s="55" t="s">
        <v>21</v>
      </c>
      <c r="P43" s="56" t="s">
        <v>22</v>
      </c>
      <c r="Q43" s="59" t="s">
        <v>23</v>
      </c>
      <c r="R43" s="55"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35</v>
      </c>
      <c r="B44" s="17" t="s">
        <v>723</v>
      </c>
      <c r="C44" s="18">
        <v>8.3333333333333329E-2</v>
      </c>
      <c r="D44" s="17" t="s">
        <v>37</v>
      </c>
      <c r="E44" s="17" t="s">
        <v>38</v>
      </c>
      <c r="F44" s="17" t="s">
        <v>310</v>
      </c>
      <c r="G44" s="284"/>
      <c r="H44" s="19" t="s">
        <v>724</v>
      </c>
      <c r="I44" s="217">
        <v>0.1726</v>
      </c>
      <c r="J44" s="21">
        <v>29</v>
      </c>
      <c r="K44" s="22">
        <v>45985</v>
      </c>
      <c r="L44" s="21">
        <v>10</v>
      </c>
      <c r="M44" s="21">
        <v>1</v>
      </c>
      <c r="N44" s="21">
        <v>3</v>
      </c>
      <c r="O44" s="23" t="s">
        <v>432</v>
      </c>
      <c r="P44" s="24">
        <v>8.3333333333333329E-2</v>
      </c>
      <c r="Q44" s="21">
        <v>168</v>
      </c>
      <c r="R44" s="25" t="s">
        <v>725</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208" t="s">
        <v>35</v>
      </c>
      <c r="B45" s="208" t="s">
        <v>709</v>
      </c>
      <c r="C45" s="209">
        <v>0.70833333333333337</v>
      </c>
      <c r="D45" s="208" t="s">
        <v>37</v>
      </c>
      <c r="E45" s="208" t="s">
        <v>102</v>
      </c>
      <c r="F45" s="208" t="s">
        <v>315</v>
      </c>
      <c r="G45" s="285"/>
      <c r="H45" s="84" t="s">
        <v>710</v>
      </c>
      <c r="I45" s="230">
        <v>0.57540000000000002</v>
      </c>
      <c r="J45" s="86">
        <v>103</v>
      </c>
      <c r="K45" s="87">
        <v>45984</v>
      </c>
      <c r="L45" s="86">
        <v>39</v>
      </c>
      <c r="M45" s="86">
        <v>0</v>
      </c>
      <c r="N45" s="86">
        <v>7</v>
      </c>
      <c r="O45" s="88" t="s">
        <v>218</v>
      </c>
      <c r="P45" s="89">
        <v>0.70833333333333337</v>
      </c>
      <c r="Q45" s="86">
        <v>179</v>
      </c>
      <c r="R45" s="90" t="s">
        <v>726</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26" t="s">
        <v>35</v>
      </c>
      <c r="B46" s="26" t="s">
        <v>704</v>
      </c>
      <c r="C46" s="27">
        <v>0.48958333333333331</v>
      </c>
      <c r="D46" s="26" t="s">
        <v>37</v>
      </c>
      <c r="E46" s="26" t="s">
        <v>76</v>
      </c>
      <c r="F46" s="26" t="s">
        <v>320</v>
      </c>
      <c r="G46" s="285"/>
      <c r="H46" s="28" t="s">
        <v>706</v>
      </c>
      <c r="I46" s="199">
        <v>0.78569999999999995</v>
      </c>
      <c r="J46" s="30">
        <v>132</v>
      </c>
      <c r="K46" s="31">
        <v>45984</v>
      </c>
      <c r="L46" s="30">
        <v>23</v>
      </c>
      <c r="M46" s="30">
        <v>0</v>
      </c>
      <c r="N46" s="30">
        <v>8</v>
      </c>
      <c r="O46" s="32" t="s">
        <v>322</v>
      </c>
      <c r="P46" s="33">
        <v>0.48958333333333331</v>
      </c>
      <c r="Q46" s="30">
        <v>168</v>
      </c>
      <c r="R46" s="34" t="s">
        <v>727</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44" t="s">
        <v>66</v>
      </c>
      <c r="B47" s="44" t="s">
        <v>712</v>
      </c>
      <c r="C47" s="45">
        <v>0.48958333333333331</v>
      </c>
      <c r="D47" s="44" t="s">
        <v>85</v>
      </c>
      <c r="E47" s="44" t="s">
        <v>80</v>
      </c>
      <c r="F47" s="44" t="s">
        <v>722</v>
      </c>
      <c r="G47" s="285"/>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8" x14ac:dyDescent="0.3">
      <c r="A48" s="306" t="s">
        <v>599</v>
      </c>
      <c r="B48" s="307"/>
      <c r="C48" s="307"/>
      <c r="D48" s="307"/>
      <c r="E48" s="307"/>
      <c r="F48" s="307"/>
      <c r="G48" s="285"/>
      <c r="H48" s="171"/>
      <c r="I48" s="171"/>
      <c r="J48" s="171"/>
      <c r="K48" s="171"/>
      <c r="L48" s="171"/>
      <c r="M48" s="171"/>
      <c r="N48" s="171"/>
      <c r="O48" s="172"/>
      <c r="P48" s="171"/>
      <c r="Q48" s="173"/>
      <c r="R48" s="17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46" t="s">
        <v>25</v>
      </c>
      <c r="B49" s="46" t="s">
        <v>344</v>
      </c>
      <c r="C49" s="47" t="s">
        <v>609</v>
      </c>
      <c r="D49" s="46" t="s">
        <v>27</v>
      </c>
      <c r="E49" s="46" t="s">
        <v>237</v>
      </c>
      <c r="F49" s="46" t="s">
        <v>425</v>
      </c>
      <c r="G49" s="285"/>
      <c r="H49" s="171"/>
      <c r="I49" s="171"/>
      <c r="J49" s="171"/>
      <c r="K49" s="171"/>
      <c r="L49" s="171"/>
      <c r="M49" s="171"/>
      <c r="N49" s="171"/>
      <c r="O49" s="172"/>
      <c r="P49" s="171"/>
      <c r="Q49" s="173"/>
      <c r="R49" s="17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46" t="s">
        <v>25</v>
      </c>
      <c r="B50" s="46" t="s">
        <v>338</v>
      </c>
      <c r="C50" s="47" t="s">
        <v>604</v>
      </c>
      <c r="D50" s="46" t="s">
        <v>27</v>
      </c>
      <c r="E50" s="46" t="s">
        <v>640</v>
      </c>
      <c r="F50" s="46" t="s">
        <v>425</v>
      </c>
      <c r="G50" s="285"/>
      <c r="H50" s="171"/>
      <c r="I50" s="171"/>
      <c r="J50" s="171"/>
      <c r="K50" s="171"/>
      <c r="L50" s="171"/>
      <c r="M50" s="171"/>
      <c r="N50" s="171"/>
      <c r="O50" s="172"/>
      <c r="P50" s="171"/>
      <c r="Q50" s="173"/>
      <c r="R50" s="17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46" t="s">
        <v>304</v>
      </c>
      <c r="B51" s="46" t="s">
        <v>305</v>
      </c>
      <c r="C51" s="47" t="s">
        <v>641</v>
      </c>
      <c r="D51" s="46" t="s">
        <v>306</v>
      </c>
      <c r="E51" s="46" t="s">
        <v>235</v>
      </c>
      <c r="F51" s="46" t="s">
        <v>307</v>
      </c>
      <c r="G51" s="285"/>
      <c r="H51" s="171"/>
      <c r="I51" s="171"/>
      <c r="J51" s="171"/>
      <c r="K51" s="171"/>
      <c r="L51" s="171"/>
      <c r="M51" s="171"/>
      <c r="N51" s="171"/>
      <c r="O51" s="172"/>
      <c r="P51" s="171"/>
      <c r="Q51" s="173"/>
      <c r="R51" s="17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46" t="s">
        <v>304</v>
      </c>
      <c r="B52" s="46" t="s">
        <v>308</v>
      </c>
      <c r="C52" s="47" t="s">
        <v>642</v>
      </c>
      <c r="D52" s="46" t="s">
        <v>306</v>
      </c>
      <c r="E52" s="46" t="s">
        <v>235</v>
      </c>
      <c r="F52" s="46" t="s">
        <v>307</v>
      </c>
      <c r="G52" s="285"/>
      <c r="H52" s="171"/>
      <c r="I52" s="171"/>
      <c r="J52" s="171"/>
      <c r="K52" s="171"/>
      <c r="L52" s="171"/>
      <c r="M52" s="171"/>
      <c r="N52" s="171"/>
      <c r="O52" s="172"/>
      <c r="P52" s="171"/>
      <c r="Q52" s="173"/>
      <c r="R52" s="17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46" t="s">
        <v>35</v>
      </c>
      <c r="B53" s="46" t="s">
        <v>430</v>
      </c>
      <c r="C53" s="47" t="s">
        <v>643</v>
      </c>
      <c r="D53" s="46" t="s">
        <v>37</v>
      </c>
      <c r="E53" s="46" t="s">
        <v>235</v>
      </c>
      <c r="F53" s="46" t="s">
        <v>310</v>
      </c>
      <c r="G53" s="285"/>
      <c r="H53" s="171"/>
      <c r="I53" s="171"/>
      <c r="J53" s="171"/>
      <c r="K53" s="171"/>
      <c r="L53" s="171"/>
      <c r="M53" s="171"/>
      <c r="N53" s="171"/>
      <c r="O53" s="172"/>
      <c r="P53" s="171"/>
      <c r="Q53" s="173"/>
      <c r="R53" s="17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46" t="s">
        <v>35</v>
      </c>
      <c r="B54" s="46" t="s">
        <v>434</v>
      </c>
      <c r="C54" s="47" t="s">
        <v>644</v>
      </c>
      <c r="D54" s="46" t="s">
        <v>37</v>
      </c>
      <c r="E54" s="46" t="s">
        <v>246</v>
      </c>
      <c r="F54" s="46" t="s">
        <v>310</v>
      </c>
      <c r="G54" s="285"/>
      <c r="H54" s="171"/>
      <c r="I54" s="171"/>
      <c r="J54" s="171"/>
      <c r="K54" s="171"/>
      <c r="L54" s="171"/>
      <c r="M54" s="171"/>
      <c r="N54" s="171"/>
      <c r="O54" s="172"/>
      <c r="P54" s="171"/>
      <c r="Q54" s="173"/>
      <c r="R54" s="17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46" t="s">
        <v>333</v>
      </c>
      <c r="B55" s="46" t="s">
        <v>335</v>
      </c>
      <c r="C55" s="47" t="s">
        <v>645</v>
      </c>
      <c r="D55" s="46" t="s">
        <v>306</v>
      </c>
      <c r="E55" s="46" t="s">
        <v>246</v>
      </c>
      <c r="F55" s="46" t="s">
        <v>310</v>
      </c>
      <c r="G55" s="285"/>
      <c r="H55" s="171"/>
      <c r="I55" s="171"/>
      <c r="J55" s="171"/>
      <c r="K55" s="171"/>
      <c r="L55" s="171"/>
      <c r="M55" s="171"/>
      <c r="N55" s="171"/>
      <c r="O55" s="172"/>
      <c r="P55" s="171"/>
      <c r="Q55" s="173"/>
      <c r="R55" s="17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46" t="s">
        <v>55</v>
      </c>
      <c r="B56" s="46" t="s">
        <v>365</v>
      </c>
      <c r="C56" s="47" t="s">
        <v>609</v>
      </c>
      <c r="D56" s="46" t="s">
        <v>57</v>
      </c>
      <c r="E56" s="46" t="s">
        <v>246</v>
      </c>
      <c r="F56" s="46" t="s">
        <v>446</v>
      </c>
      <c r="G56" s="285"/>
      <c r="H56" s="171"/>
      <c r="I56" s="171"/>
      <c r="J56" s="171"/>
      <c r="K56" s="171"/>
      <c r="L56" s="171"/>
      <c r="M56" s="171"/>
      <c r="N56" s="171"/>
      <c r="O56" s="172"/>
      <c r="P56" s="171"/>
      <c r="Q56" s="173"/>
      <c r="R56" s="17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46" t="s">
        <v>55</v>
      </c>
      <c r="B57" s="46" t="s">
        <v>365</v>
      </c>
      <c r="C57" s="47" t="s">
        <v>609</v>
      </c>
      <c r="D57" s="46" t="s">
        <v>60</v>
      </c>
      <c r="E57" s="46" t="s">
        <v>246</v>
      </c>
      <c r="F57" s="46" t="s">
        <v>446</v>
      </c>
      <c r="G57" s="285"/>
      <c r="H57" s="171"/>
      <c r="I57" s="171"/>
      <c r="J57" s="171"/>
      <c r="K57" s="171"/>
      <c r="L57" s="171"/>
      <c r="M57" s="171"/>
      <c r="N57" s="171"/>
      <c r="O57" s="172"/>
      <c r="P57" s="171"/>
      <c r="Q57" s="173"/>
      <c r="R57" s="17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61" t="s">
        <v>25</v>
      </c>
      <c r="B58" s="61" t="s">
        <v>347</v>
      </c>
      <c r="C58" s="62" t="s">
        <v>610</v>
      </c>
      <c r="D58" s="61" t="s">
        <v>429</v>
      </c>
      <c r="E58" s="61" t="s">
        <v>646</v>
      </c>
      <c r="F58" s="61" t="s">
        <v>340</v>
      </c>
      <c r="G58" s="286"/>
      <c r="H58" s="174"/>
      <c r="I58" s="174"/>
      <c r="J58" s="174"/>
      <c r="K58" s="174"/>
      <c r="L58" s="174"/>
      <c r="M58" s="174"/>
      <c r="N58" s="174"/>
      <c r="O58" s="175"/>
      <c r="P58" s="174"/>
      <c r="Q58" s="176"/>
      <c r="R58" s="17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95"/>
      <c r="B59" s="296"/>
      <c r="C59" s="296"/>
      <c r="D59" s="296"/>
      <c r="E59" s="296"/>
      <c r="F59" s="296"/>
      <c r="G59" s="289"/>
      <c r="H59" s="297"/>
      <c r="I59" s="297"/>
      <c r="J59" s="297"/>
      <c r="K59" s="297"/>
      <c r="L59" s="297"/>
      <c r="M59" s="297"/>
      <c r="N59" s="297"/>
      <c r="O59" s="298"/>
      <c r="P59" s="297"/>
      <c r="Q59" s="289"/>
      <c r="R59" s="29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82" t="s">
        <v>5</v>
      </c>
      <c r="B60" s="283"/>
      <c r="C60" s="283"/>
      <c r="D60" s="283"/>
      <c r="E60" s="283"/>
      <c r="F60" s="283"/>
      <c r="G60" s="5">
        <v>45989</v>
      </c>
      <c r="H60" s="278" t="s">
        <v>6</v>
      </c>
      <c r="I60" s="279"/>
      <c r="J60" s="279"/>
      <c r="K60" s="279"/>
      <c r="L60" s="279"/>
      <c r="M60" s="279"/>
      <c r="N60" s="279"/>
      <c r="O60" s="279"/>
      <c r="P60" s="279"/>
      <c r="Q60" s="279"/>
      <c r="R60" s="279"/>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55" t="s">
        <v>7</v>
      </c>
      <c r="B61" s="55" t="s">
        <v>8</v>
      </c>
      <c r="C61" s="56" t="s">
        <v>9</v>
      </c>
      <c r="D61" s="55" t="s">
        <v>10</v>
      </c>
      <c r="E61" s="55" t="s">
        <v>11</v>
      </c>
      <c r="F61" s="55" t="s">
        <v>12</v>
      </c>
      <c r="G61" s="57" t="s">
        <v>13</v>
      </c>
      <c r="H61" s="55" t="s">
        <v>14</v>
      </c>
      <c r="I61" s="58" t="s">
        <v>15</v>
      </c>
      <c r="J61" s="59" t="s">
        <v>16</v>
      </c>
      <c r="K61" s="60" t="s">
        <v>17</v>
      </c>
      <c r="L61" s="59" t="s">
        <v>18</v>
      </c>
      <c r="M61" s="59" t="s">
        <v>19</v>
      </c>
      <c r="N61" s="59" t="s">
        <v>20</v>
      </c>
      <c r="O61" s="55" t="s">
        <v>21</v>
      </c>
      <c r="P61" s="56" t="s">
        <v>22</v>
      </c>
      <c r="Q61" s="59" t="s">
        <v>23</v>
      </c>
      <c r="R61" s="55"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211" t="s">
        <v>35</v>
      </c>
      <c r="B62" s="211" t="s">
        <v>719</v>
      </c>
      <c r="C62" s="212">
        <v>0.29166666666666669</v>
      </c>
      <c r="D62" s="211" t="s">
        <v>37</v>
      </c>
      <c r="E62" s="211" t="s">
        <v>95</v>
      </c>
      <c r="F62" s="211" t="s">
        <v>320</v>
      </c>
      <c r="G62" s="284"/>
      <c r="H62" s="37" t="s">
        <v>720</v>
      </c>
      <c r="I62" s="201">
        <v>0.59519999999999995</v>
      </c>
      <c r="J62" s="39">
        <v>100</v>
      </c>
      <c r="K62" s="40">
        <v>45984</v>
      </c>
      <c r="L62" s="39">
        <v>43</v>
      </c>
      <c r="M62" s="39">
        <v>0</v>
      </c>
      <c r="N62" s="39">
        <v>8</v>
      </c>
      <c r="O62" s="41" t="s">
        <v>522</v>
      </c>
      <c r="P62" s="42">
        <v>0.29166666666666669</v>
      </c>
      <c r="Q62" s="39">
        <v>168</v>
      </c>
      <c r="R62" s="43" t="s">
        <v>728</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8" x14ac:dyDescent="0.3">
      <c r="A63" s="306" t="s">
        <v>599</v>
      </c>
      <c r="B63" s="307"/>
      <c r="C63" s="307"/>
      <c r="D63" s="307"/>
      <c r="E63" s="307"/>
      <c r="F63" s="307"/>
      <c r="G63" s="285"/>
      <c r="H63" s="171"/>
      <c r="I63" s="171"/>
      <c r="J63" s="171"/>
      <c r="K63" s="171"/>
      <c r="L63" s="171"/>
      <c r="M63" s="171"/>
      <c r="N63" s="171"/>
      <c r="O63" s="172"/>
      <c r="P63" s="171"/>
      <c r="Q63" s="173"/>
      <c r="R63" s="17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46" t="s">
        <v>35</v>
      </c>
      <c r="B64" s="46" t="s">
        <v>319</v>
      </c>
      <c r="C64" s="47" t="s">
        <v>652</v>
      </c>
      <c r="D64" s="46" t="s">
        <v>37</v>
      </c>
      <c r="E64" s="46" t="s">
        <v>235</v>
      </c>
      <c r="F64" s="46" t="s">
        <v>310</v>
      </c>
      <c r="G64" s="285"/>
      <c r="H64" s="171"/>
      <c r="I64" s="171"/>
      <c r="J64" s="171"/>
      <c r="K64" s="171"/>
      <c r="L64" s="171"/>
      <c r="M64" s="171"/>
      <c r="N64" s="171"/>
      <c r="O64" s="172"/>
      <c r="P64" s="171"/>
      <c r="Q64" s="173"/>
      <c r="R64" s="17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46" t="s">
        <v>35</v>
      </c>
      <c r="B65" s="46" t="s">
        <v>314</v>
      </c>
      <c r="C65" s="47" t="s">
        <v>653</v>
      </c>
      <c r="D65" s="46" t="s">
        <v>37</v>
      </c>
      <c r="E65" s="46" t="s">
        <v>235</v>
      </c>
      <c r="F65" s="46" t="s">
        <v>310</v>
      </c>
      <c r="G65" s="285"/>
      <c r="H65" s="171"/>
      <c r="I65" s="171"/>
      <c r="J65" s="171"/>
      <c r="K65" s="171"/>
      <c r="L65" s="171"/>
      <c r="M65" s="171"/>
      <c r="N65" s="171"/>
      <c r="O65" s="172"/>
      <c r="P65" s="171"/>
      <c r="Q65" s="173"/>
      <c r="R65" s="17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46" t="s">
        <v>35</v>
      </c>
      <c r="B66" s="46" t="s">
        <v>413</v>
      </c>
      <c r="C66" s="47" t="s">
        <v>654</v>
      </c>
      <c r="D66" s="46" t="s">
        <v>37</v>
      </c>
      <c r="E66" s="46" t="s">
        <v>254</v>
      </c>
      <c r="F66" s="46" t="s">
        <v>310</v>
      </c>
      <c r="G66" s="285"/>
      <c r="H66" s="171"/>
      <c r="I66" s="171"/>
      <c r="J66" s="171"/>
      <c r="K66" s="171"/>
      <c r="L66" s="171"/>
      <c r="M66" s="171"/>
      <c r="N66" s="171"/>
      <c r="O66" s="172"/>
      <c r="P66" s="171"/>
      <c r="Q66" s="173"/>
      <c r="R66" s="17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46" t="s">
        <v>25</v>
      </c>
      <c r="B67" s="46" t="s">
        <v>344</v>
      </c>
      <c r="C67" s="47" t="s">
        <v>609</v>
      </c>
      <c r="D67" s="46" t="s">
        <v>27</v>
      </c>
      <c r="E67" s="46" t="s">
        <v>233</v>
      </c>
      <c r="F67" s="46" t="s">
        <v>340</v>
      </c>
      <c r="G67" s="285"/>
      <c r="H67" s="171"/>
      <c r="I67" s="171"/>
      <c r="J67" s="171"/>
      <c r="K67" s="171"/>
      <c r="L67" s="171"/>
      <c r="M67" s="171"/>
      <c r="N67" s="171"/>
      <c r="O67" s="172"/>
      <c r="P67" s="171"/>
      <c r="Q67" s="173"/>
      <c r="R67" s="17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46" t="s">
        <v>25</v>
      </c>
      <c r="B68" s="46" t="s">
        <v>338</v>
      </c>
      <c r="C68" s="47" t="s">
        <v>604</v>
      </c>
      <c r="D68" s="46" t="s">
        <v>27</v>
      </c>
      <c r="E68" s="46" t="s">
        <v>241</v>
      </c>
      <c r="F68" s="46" t="s">
        <v>340</v>
      </c>
      <c r="G68" s="285"/>
      <c r="H68" s="171"/>
      <c r="I68" s="171"/>
      <c r="J68" s="171"/>
      <c r="K68" s="171"/>
      <c r="L68" s="171"/>
      <c r="M68" s="171"/>
      <c r="N68" s="171"/>
      <c r="O68" s="172"/>
      <c r="P68" s="171"/>
      <c r="Q68" s="173"/>
      <c r="R68" s="17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46" t="s">
        <v>25</v>
      </c>
      <c r="B69" s="46" t="s">
        <v>347</v>
      </c>
      <c r="C69" s="47" t="s">
        <v>610</v>
      </c>
      <c r="D69" s="46" t="s">
        <v>27</v>
      </c>
      <c r="E69" s="46" t="s">
        <v>655</v>
      </c>
      <c r="F69" s="46" t="s">
        <v>340</v>
      </c>
      <c r="G69" s="285"/>
      <c r="H69" s="171"/>
      <c r="I69" s="171"/>
      <c r="J69" s="171"/>
      <c r="K69" s="171"/>
      <c r="L69" s="171"/>
      <c r="M69" s="171"/>
      <c r="N69" s="171"/>
      <c r="O69" s="172"/>
      <c r="P69" s="171"/>
      <c r="Q69" s="173"/>
      <c r="R69" s="17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46" t="s">
        <v>25</v>
      </c>
      <c r="B70" s="46" t="s">
        <v>343</v>
      </c>
      <c r="C70" s="47" t="s">
        <v>606</v>
      </c>
      <c r="D70" s="46" t="s">
        <v>27</v>
      </c>
      <c r="E70" s="46" t="s">
        <v>241</v>
      </c>
      <c r="F70" s="46" t="s">
        <v>340</v>
      </c>
      <c r="G70" s="285"/>
      <c r="H70" s="171"/>
      <c r="I70" s="171"/>
      <c r="J70" s="171"/>
      <c r="K70" s="171"/>
      <c r="L70" s="171"/>
      <c r="M70" s="171"/>
      <c r="N70" s="171"/>
      <c r="O70" s="172"/>
      <c r="P70" s="171"/>
      <c r="Q70" s="173"/>
      <c r="R70" s="17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6" t="s">
        <v>35</v>
      </c>
      <c r="B71" s="46" t="s">
        <v>309</v>
      </c>
      <c r="C71" s="47" t="s">
        <v>656</v>
      </c>
      <c r="D71" s="46" t="s">
        <v>37</v>
      </c>
      <c r="E71" s="46" t="s">
        <v>248</v>
      </c>
      <c r="F71" s="46" t="s">
        <v>315</v>
      </c>
      <c r="G71" s="285"/>
      <c r="H71" s="171"/>
      <c r="I71" s="171"/>
      <c r="J71" s="171"/>
      <c r="K71" s="171"/>
      <c r="L71" s="171"/>
      <c r="M71" s="171"/>
      <c r="N71" s="171"/>
      <c r="O71" s="172"/>
      <c r="P71" s="171"/>
      <c r="Q71" s="173"/>
      <c r="R71" s="17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6" t="s">
        <v>35</v>
      </c>
      <c r="B72" s="46" t="s">
        <v>444</v>
      </c>
      <c r="C72" s="47" t="s">
        <v>627</v>
      </c>
      <c r="D72" s="46" t="s">
        <v>37</v>
      </c>
      <c r="E72" s="46" t="s">
        <v>235</v>
      </c>
      <c r="F72" s="46" t="s">
        <v>315</v>
      </c>
      <c r="G72" s="285"/>
      <c r="H72" s="171"/>
      <c r="I72" s="171"/>
      <c r="J72" s="171"/>
      <c r="K72" s="171"/>
      <c r="L72" s="171"/>
      <c r="M72" s="171"/>
      <c r="N72" s="171"/>
      <c r="O72" s="172"/>
      <c r="P72" s="171"/>
      <c r="Q72" s="173"/>
      <c r="R72" s="17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61" t="s">
        <v>55</v>
      </c>
      <c r="B73" s="61" t="s">
        <v>357</v>
      </c>
      <c r="C73" s="62" t="s">
        <v>628</v>
      </c>
      <c r="D73" s="61" t="s">
        <v>60</v>
      </c>
      <c r="E73" s="61" t="s">
        <v>241</v>
      </c>
      <c r="F73" s="61" t="s">
        <v>350</v>
      </c>
      <c r="G73" s="286"/>
      <c r="H73" s="174"/>
      <c r="I73" s="174"/>
      <c r="J73" s="174"/>
      <c r="K73" s="174"/>
      <c r="L73" s="174"/>
      <c r="M73" s="174"/>
      <c r="N73" s="174"/>
      <c r="O73" s="175"/>
      <c r="P73" s="174"/>
      <c r="Q73" s="176"/>
      <c r="R73" s="176"/>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 customHeight="1" x14ac:dyDescent="0.3">
      <c r="A74" s="295"/>
      <c r="B74" s="296"/>
      <c r="C74" s="296"/>
      <c r="D74" s="296"/>
      <c r="E74" s="296"/>
      <c r="F74" s="296"/>
      <c r="G74" s="289"/>
      <c r="H74" s="297"/>
      <c r="I74" s="297"/>
      <c r="J74" s="297"/>
      <c r="K74" s="297"/>
      <c r="L74" s="297"/>
      <c r="M74" s="297"/>
      <c r="N74" s="297"/>
      <c r="O74" s="298"/>
      <c r="P74" s="297"/>
      <c r="Q74" s="289"/>
      <c r="R74" s="29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05" customHeight="1" x14ac:dyDescent="0.3">
      <c r="A75" s="282" t="s">
        <v>5</v>
      </c>
      <c r="B75" s="283"/>
      <c r="C75" s="283"/>
      <c r="D75" s="283"/>
      <c r="E75" s="283"/>
      <c r="F75" s="283"/>
      <c r="G75" s="5">
        <v>45990</v>
      </c>
      <c r="H75" s="278" t="s">
        <v>6</v>
      </c>
      <c r="I75" s="279"/>
      <c r="J75" s="279"/>
      <c r="K75" s="279"/>
      <c r="L75" s="279"/>
      <c r="M75" s="279"/>
      <c r="N75" s="279"/>
      <c r="O75" s="279"/>
      <c r="P75" s="279"/>
      <c r="Q75" s="279"/>
      <c r="R75" s="279"/>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x14ac:dyDescent="0.3">
      <c r="A76" s="55" t="s">
        <v>7</v>
      </c>
      <c r="B76" s="55" t="s">
        <v>8</v>
      </c>
      <c r="C76" s="56" t="s">
        <v>9</v>
      </c>
      <c r="D76" s="55" t="s">
        <v>10</v>
      </c>
      <c r="E76" s="55" t="s">
        <v>11</v>
      </c>
      <c r="F76" s="55" t="s">
        <v>12</v>
      </c>
      <c r="G76" s="57" t="s">
        <v>13</v>
      </c>
      <c r="H76" s="55" t="s">
        <v>14</v>
      </c>
      <c r="I76" s="58" t="s">
        <v>15</v>
      </c>
      <c r="J76" s="59" t="s">
        <v>16</v>
      </c>
      <c r="K76" s="60" t="s">
        <v>17</v>
      </c>
      <c r="L76" s="59" t="s">
        <v>18</v>
      </c>
      <c r="M76" s="59" t="s">
        <v>19</v>
      </c>
      <c r="N76" s="59" t="s">
        <v>20</v>
      </c>
      <c r="O76" s="55" t="s">
        <v>21</v>
      </c>
      <c r="P76" s="56" t="s">
        <v>22</v>
      </c>
      <c r="Q76" s="59" t="s">
        <v>23</v>
      </c>
      <c r="R76" s="55"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7" t="s">
        <v>35</v>
      </c>
      <c r="B77" s="177" t="s">
        <v>719</v>
      </c>
      <c r="C77" s="178">
        <v>0.30208333333333331</v>
      </c>
      <c r="D77" s="177" t="s">
        <v>37</v>
      </c>
      <c r="E77" s="177" t="s">
        <v>58</v>
      </c>
      <c r="F77" s="177" t="s">
        <v>320</v>
      </c>
      <c r="G77" s="284"/>
      <c r="H77" s="179" t="s">
        <v>720</v>
      </c>
      <c r="I77" s="204">
        <v>0.77380000000000004</v>
      </c>
      <c r="J77" s="181">
        <v>130</v>
      </c>
      <c r="K77" s="182">
        <v>45984</v>
      </c>
      <c r="L77" s="181">
        <v>13</v>
      </c>
      <c r="M77" s="181">
        <v>0</v>
      </c>
      <c r="N77" s="181">
        <v>4</v>
      </c>
      <c r="O77" s="183" t="s">
        <v>276</v>
      </c>
      <c r="P77" s="184">
        <v>0.30208333333333331</v>
      </c>
      <c r="Q77" s="181">
        <v>168</v>
      </c>
      <c r="R77" s="185" t="s">
        <v>729</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26" t="s">
        <v>35</v>
      </c>
      <c r="B78" s="26" t="s">
        <v>709</v>
      </c>
      <c r="C78" s="27">
        <v>0.6875</v>
      </c>
      <c r="D78" s="26" t="s">
        <v>37</v>
      </c>
      <c r="E78" s="26" t="s">
        <v>76</v>
      </c>
      <c r="F78" s="26" t="s">
        <v>490</v>
      </c>
      <c r="G78" s="285"/>
      <c r="H78" s="28" t="s">
        <v>710</v>
      </c>
      <c r="I78" s="29">
        <v>0.94640000000000002</v>
      </c>
      <c r="J78" s="30">
        <v>159</v>
      </c>
      <c r="K78" s="31">
        <v>45984</v>
      </c>
      <c r="L78" s="30">
        <v>9</v>
      </c>
      <c r="M78" s="30">
        <v>0</v>
      </c>
      <c r="N78" s="30">
        <v>2</v>
      </c>
      <c r="O78" s="32" t="s">
        <v>285</v>
      </c>
      <c r="P78" s="33">
        <v>0.6875</v>
      </c>
      <c r="Q78" s="30">
        <v>168</v>
      </c>
      <c r="R78" s="34" t="s">
        <v>730</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8" x14ac:dyDescent="0.3">
      <c r="A79" s="306" t="s">
        <v>599</v>
      </c>
      <c r="B79" s="307"/>
      <c r="C79" s="307"/>
      <c r="D79" s="307"/>
      <c r="E79" s="307"/>
      <c r="F79" s="307"/>
      <c r="G79" s="285"/>
      <c r="H79" s="171"/>
      <c r="I79" s="171"/>
      <c r="J79" s="171"/>
      <c r="K79" s="171"/>
      <c r="L79" s="171"/>
      <c r="M79" s="171"/>
      <c r="N79" s="171"/>
      <c r="O79" s="172"/>
      <c r="P79" s="171"/>
      <c r="Q79" s="173"/>
      <c r="R79" s="17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46" t="s">
        <v>304</v>
      </c>
      <c r="B80" s="46" t="s">
        <v>305</v>
      </c>
      <c r="C80" s="47" t="s">
        <v>621</v>
      </c>
      <c r="D80" s="46" t="s">
        <v>306</v>
      </c>
      <c r="E80" s="46" t="s">
        <v>246</v>
      </c>
      <c r="F80" s="46" t="s">
        <v>307</v>
      </c>
      <c r="G80" s="285"/>
      <c r="H80" s="171"/>
      <c r="I80" s="171"/>
      <c r="J80" s="171"/>
      <c r="K80" s="171"/>
      <c r="L80" s="171"/>
      <c r="M80" s="171"/>
      <c r="N80" s="171"/>
      <c r="O80" s="172"/>
      <c r="P80" s="171"/>
      <c r="Q80" s="173"/>
      <c r="R80" s="17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46" t="s">
        <v>333</v>
      </c>
      <c r="B81" s="46" t="s">
        <v>335</v>
      </c>
      <c r="C81" s="47" t="s">
        <v>645</v>
      </c>
      <c r="D81" s="46" t="s">
        <v>306</v>
      </c>
      <c r="E81" s="46" t="s">
        <v>254</v>
      </c>
      <c r="F81" s="46" t="s">
        <v>310</v>
      </c>
      <c r="G81" s="285"/>
      <c r="H81" s="171"/>
      <c r="I81" s="171"/>
      <c r="J81" s="171"/>
      <c r="K81" s="171"/>
      <c r="L81" s="171"/>
      <c r="M81" s="171"/>
      <c r="N81" s="171"/>
      <c r="O81" s="172"/>
      <c r="P81" s="171"/>
      <c r="Q81" s="173"/>
      <c r="R81" s="17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46" t="s">
        <v>333</v>
      </c>
      <c r="B82" s="46" t="s">
        <v>337</v>
      </c>
      <c r="C82" s="47" t="s">
        <v>662</v>
      </c>
      <c r="D82" s="46" t="s">
        <v>306</v>
      </c>
      <c r="E82" s="46" t="s">
        <v>235</v>
      </c>
      <c r="F82" s="46" t="s">
        <v>310</v>
      </c>
      <c r="G82" s="285"/>
      <c r="H82" s="171"/>
      <c r="I82" s="171"/>
      <c r="J82" s="171"/>
      <c r="K82" s="171"/>
      <c r="L82" s="171"/>
      <c r="M82" s="171"/>
      <c r="N82" s="171"/>
      <c r="O82" s="172"/>
      <c r="P82" s="171"/>
      <c r="Q82" s="173"/>
      <c r="R82" s="17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46" t="s">
        <v>25</v>
      </c>
      <c r="B83" s="46" t="s">
        <v>344</v>
      </c>
      <c r="C83" s="47" t="s">
        <v>609</v>
      </c>
      <c r="D83" s="46" t="s">
        <v>27</v>
      </c>
      <c r="E83" s="46" t="s">
        <v>241</v>
      </c>
      <c r="F83" s="46" t="s">
        <v>340</v>
      </c>
      <c r="G83" s="285"/>
      <c r="H83" s="171"/>
      <c r="I83" s="171"/>
      <c r="J83" s="171"/>
      <c r="K83" s="171"/>
      <c r="L83" s="171"/>
      <c r="M83" s="171"/>
      <c r="N83" s="171"/>
      <c r="O83" s="172"/>
      <c r="P83" s="171"/>
      <c r="Q83" s="173"/>
      <c r="R83" s="17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46" t="s">
        <v>25</v>
      </c>
      <c r="B84" s="46" t="s">
        <v>338</v>
      </c>
      <c r="C84" s="47" t="s">
        <v>604</v>
      </c>
      <c r="D84" s="46" t="s">
        <v>27</v>
      </c>
      <c r="E84" s="46" t="s">
        <v>233</v>
      </c>
      <c r="F84" s="46" t="s">
        <v>340</v>
      </c>
      <c r="G84" s="285"/>
      <c r="H84" s="171"/>
      <c r="I84" s="171"/>
      <c r="J84" s="171"/>
      <c r="K84" s="171"/>
      <c r="L84" s="171"/>
      <c r="M84" s="171"/>
      <c r="N84" s="171"/>
      <c r="O84" s="172"/>
      <c r="P84" s="171"/>
      <c r="Q84" s="173"/>
      <c r="R84" s="17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46" t="s">
        <v>25</v>
      </c>
      <c r="B85" s="46" t="s">
        <v>347</v>
      </c>
      <c r="C85" s="47" t="s">
        <v>610</v>
      </c>
      <c r="D85" s="46" t="s">
        <v>27</v>
      </c>
      <c r="E85" s="46" t="s">
        <v>254</v>
      </c>
      <c r="F85" s="46" t="s">
        <v>340</v>
      </c>
      <c r="G85" s="285"/>
      <c r="H85" s="171"/>
      <c r="I85" s="171"/>
      <c r="J85" s="171"/>
      <c r="K85" s="171"/>
      <c r="L85" s="171"/>
      <c r="M85" s="171"/>
      <c r="N85" s="171"/>
      <c r="O85" s="172"/>
      <c r="P85" s="171"/>
      <c r="Q85" s="173"/>
      <c r="R85" s="17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46" t="s">
        <v>25</v>
      </c>
      <c r="B86" s="46" t="s">
        <v>343</v>
      </c>
      <c r="C86" s="47" t="s">
        <v>606</v>
      </c>
      <c r="D86" s="46" t="s">
        <v>27</v>
      </c>
      <c r="E86" s="46" t="s">
        <v>259</v>
      </c>
      <c r="F86" s="46" t="s">
        <v>340</v>
      </c>
      <c r="G86" s="285"/>
      <c r="H86" s="171"/>
      <c r="I86" s="171"/>
      <c r="J86" s="171"/>
      <c r="K86" s="171"/>
      <c r="L86" s="171"/>
      <c r="M86" s="171"/>
      <c r="N86" s="171"/>
      <c r="O86" s="172"/>
      <c r="P86" s="171"/>
      <c r="Q86" s="173"/>
      <c r="R86" s="17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46" t="s">
        <v>378</v>
      </c>
      <c r="B87" s="46" t="s">
        <v>379</v>
      </c>
      <c r="C87" s="47" t="s">
        <v>663</v>
      </c>
      <c r="D87" s="46" t="s">
        <v>380</v>
      </c>
      <c r="E87" s="46" t="s">
        <v>646</v>
      </c>
      <c r="F87" s="46" t="s">
        <v>474</v>
      </c>
      <c r="G87" s="285"/>
      <c r="H87" s="171"/>
      <c r="I87" s="171"/>
      <c r="J87" s="171"/>
      <c r="K87" s="171"/>
      <c r="L87" s="171"/>
      <c r="M87" s="171"/>
      <c r="N87" s="171"/>
      <c r="O87" s="172"/>
      <c r="P87" s="171"/>
      <c r="Q87" s="173"/>
      <c r="R87" s="17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46" t="s">
        <v>35</v>
      </c>
      <c r="B88" s="46" t="s">
        <v>434</v>
      </c>
      <c r="C88" s="47" t="s">
        <v>664</v>
      </c>
      <c r="D88" s="46" t="s">
        <v>37</v>
      </c>
      <c r="E88" s="46" t="s">
        <v>237</v>
      </c>
      <c r="F88" s="46" t="s">
        <v>315</v>
      </c>
      <c r="G88" s="285"/>
      <c r="H88" s="171"/>
      <c r="I88" s="171"/>
      <c r="J88" s="171"/>
      <c r="K88" s="171"/>
      <c r="L88" s="171"/>
      <c r="M88" s="171"/>
      <c r="N88" s="171"/>
      <c r="O88" s="172"/>
      <c r="P88" s="171"/>
      <c r="Q88" s="173"/>
      <c r="R88" s="17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61" t="s">
        <v>35</v>
      </c>
      <c r="B89" s="61" t="s">
        <v>314</v>
      </c>
      <c r="C89" s="62" t="s">
        <v>665</v>
      </c>
      <c r="D89" s="61" t="s">
        <v>37</v>
      </c>
      <c r="E89" s="61" t="s">
        <v>248</v>
      </c>
      <c r="F89" s="61" t="s">
        <v>315</v>
      </c>
      <c r="G89" s="286"/>
      <c r="H89" s="174"/>
      <c r="I89" s="174"/>
      <c r="J89" s="174"/>
      <c r="K89" s="174"/>
      <c r="L89" s="174"/>
      <c r="M89" s="174"/>
      <c r="N89" s="174"/>
      <c r="O89" s="175"/>
      <c r="P89" s="174"/>
      <c r="Q89" s="176"/>
      <c r="R89" s="17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88"/>
      <c r="B90" s="289"/>
      <c r="C90" s="289"/>
      <c r="D90" s="289"/>
      <c r="E90" s="289"/>
      <c r="F90" s="289"/>
      <c r="G90" s="289"/>
      <c r="H90" s="289"/>
      <c r="I90" s="289"/>
      <c r="J90" s="289"/>
      <c r="K90" s="289"/>
      <c r="L90" s="289"/>
      <c r="M90" s="289"/>
      <c r="N90" s="289"/>
      <c r="O90" s="289"/>
      <c r="P90" s="289"/>
      <c r="Q90" s="289"/>
      <c r="R90" s="29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282" t="s">
        <v>5</v>
      </c>
      <c r="B91" s="283"/>
      <c r="C91" s="283"/>
      <c r="D91" s="283"/>
      <c r="E91" s="283"/>
      <c r="F91" s="283"/>
      <c r="G91" s="5">
        <v>45991</v>
      </c>
      <c r="H91" s="278" t="s">
        <v>6</v>
      </c>
      <c r="I91" s="279"/>
      <c r="J91" s="279"/>
      <c r="K91" s="279"/>
      <c r="L91" s="279"/>
      <c r="M91" s="279"/>
      <c r="N91" s="279"/>
      <c r="O91" s="279"/>
      <c r="P91" s="279"/>
      <c r="Q91" s="279"/>
      <c r="R91" s="27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55" t="s">
        <v>7</v>
      </c>
      <c r="B92" s="55" t="s">
        <v>8</v>
      </c>
      <c r="C92" s="56" t="s">
        <v>9</v>
      </c>
      <c r="D92" s="55" t="s">
        <v>10</v>
      </c>
      <c r="E92" s="55" t="s">
        <v>11</v>
      </c>
      <c r="F92" s="55" t="s">
        <v>12</v>
      </c>
      <c r="G92" s="57" t="s">
        <v>13</v>
      </c>
      <c r="H92" s="55" t="s">
        <v>14</v>
      </c>
      <c r="I92" s="58" t="s">
        <v>15</v>
      </c>
      <c r="J92" s="59" t="s">
        <v>16</v>
      </c>
      <c r="K92" s="60" t="s">
        <v>17</v>
      </c>
      <c r="L92" s="59" t="s">
        <v>18</v>
      </c>
      <c r="M92" s="59" t="s">
        <v>19</v>
      </c>
      <c r="N92" s="59" t="s">
        <v>20</v>
      </c>
      <c r="O92" s="55" t="s">
        <v>21</v>
      </c>
      <c r="P92" s="56" t="s">
        <v>22</v>
      </c>
      <c r="Q92" s="59" t="s">
        <v>23</v>
      </c>
      <c r="R92" s="55"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8" t="s">
        <v>25</v>
      </c>
      <c r="B93" s="8" t="s">
        <v>714</v>
      </c>
      <c r="C93" s="9">
        <v>0.28472222222222221</v>
      </c>
      <c r="D93" s="8" t="s">
        <v>588</v>
      </c>
      <c r="E93" s="8" t="s">
        <v>731</v>
      </c>
      <c r="F93" s="8" t="s">
        <v>732</v>
      </c>
      <c r="G93" s="284"/>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714</v>
      </c>
      <c r="C94" s="16">
        <v>0.28472222222222221</v>
      </c>
      <c r="D94" s="15" t="s">
        <v>579</v>
      </c>
      <c r="E94" s="15" t="s">
        <v>468</v>
      </c>
      <c r="F94" s="15" t="s">
        <v>733</v>
      </c>
      <c r="G94" s="285"/>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25</v>
      </c>
      <c r="B95" s="15" t="s">
        <v>714</v>
      </c>
      <c r="C95" s="16">
        <v>0.28472222222222221</v>
      </c>
      <c r="D95" s="15" t="s">
        <v>581</v>
      </c>
      <c r="E95" s="15" t="s">
        <v>468</v>
      </c>
      <c r="F95" s="15" t="s">
        <v>734</v>
      </c>
      <c r="G95" s="285"/>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25</v>
      </c>
      <c r="B96" s="15" t="s">
        <v>714</v>
      </c>
      <c r="C96" s="16">
        <v>0.28472222222222221</v>
      </c>
      <c r="D96" s="15" t="s">
        <v>591</v>
      </c>
      <c r="E96" s="15" t="s">
        <v>468</v>
      </c>
      <c r="F96" s="15" t="s">
        <v>472</v>
      </c>
      <c r="G96" s="285"/>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77" t="s">
        <v>35</v>
      </c>
      <c r="B97" s="177" t="s">
        <v>719</v>
      </c>
      <c r="C97" s="178">
        <v>0.76736111111111116</v>
      </c>
      <c r="D97" s="177" t="s">
        <v>37</v>
      </c>
      <c r="E97" s="177" t="s">
        <v>124</v>
      </c>
      <c r="F97" s="177" t="s">
        <v>315</v>
      </c>
      <c r="G97" s="285"/>
      <c r="H97" s="179" t="s">
        <v>720</v>
      </c>
      <c r="I97" s="204">
        <v>0.80359999999999998</v>
      </c>
      <c r="J97" s="181">
        <v>135</v>
      </c>
      <c r="K97" s="182">
        <v>45984</v>
      </c>
      <c r="L97" s="181">
        <v>29</v>
      </c>
      <c r="M97" s="181">
        <v>0</v>
      </c>
      <c r="N97" s="181">
        <v>11</v>
      </c>
      <c r="O97" s="183" t="s">
        <v>488</v>
      </c>
      <c r="P97" s="184">
        <v>0.76736111111111116</v>
      </c>
      <c r="Q97" s="181">
        <v>168</v>
      </c>
      <c r="R97" s="185" t="s">
        <v>735</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208" t="s">
        <v>35</v>
      </c>
      <c r="B98" s="208" t="s">
        <v>709</v>
      </c>
      <c r="C98" s="209">
        <v>0.85069444444444453</v>
      </c>
      <c r="D98" s="208" t="s">
        <v>37</v>
      </c>
      <c r="E98" s="208" t="s">
        <v>116</v>
      </c>
      <c r="F98" s="208" t="s">
        <v>320</v>
      </c>
      <c r="G98" s="285"/>
      <c r="H98" s="84" t="s">
        <v>710</v>
      </c>
      <c r="I98" s="230">
        <v>0.63100000000000001</v>
      </c>
      <c r="J98" s="86">
        <v>106</v>
      </c>
      <c r="K98" s="87">
        <v>45984</v>
      </c>
      <c r="L98" s="86">
        <v>38</v>
      </c>
      <c r="M98" s="86">
        <v>0</v>
      </c>
      <c r="N98" s="86">
        <v>7</v>
      </c>
      <c r="O98" s="88" t="s">
        <v>531</v>
      </c>
      <c r="P98" s="89">
        <v>0.85069444444444453</v>
      </c>
      <c r="Q98" s="86">
        <v>168</v>
      </c>
      <c r="R98" s="90" t="s">
        <v>736</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8" x14ac:dyDescent="0.3">
      <c r="A99" s="306" t="s">
        <v>599</v>
      </c>
      <c r="B99" s="307"/>
      <c r="C99" s="307"/>
      <c r="D99" s="307"/>
      <c r="E99" s="307"/>
      <c r="F99" s="307"/>
      <c r="G99" s="285"/>
      <c r="H99" s="171"/>
      <c r="I99" s="171"/>
      <c r="J99" s="171"/>
      <c r="K99" s="171"/>
      <c r="L99" s="171"/>
      <c r="M99" s="171"/>
      <c r="N99" s="171"/>
      <c r="O99" s="172"/>
      <c r="P99" s="171"/>
      <c r="Q99" s="173"/>
      <c r="R99" s="17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46" t="s">
        <v>304</v>
      </c>
      <c r="B100" s="46" t="s">
        <v>305</v>
      </c>
      <c r="C100" s="47" t="s">
        <v>600</v>
      </c>
      <c r="D100" s="46" t="s">
        <v>306</v>
      </c>
      <c r="E100" s="46" t="s">
        <v>241</v>
      </c>
      <c r="F100" s="46" t="s">
        <v>307</v>
      </c>
      <c r="G100" s="285"/>
      <c r="H100" s="171"/>
      <c r="I100" s="171"/>
      <c r="J100" s="171"/>
      <c r="K100" s="171"/>
      <c r="L100" s="171"/>
      <c r="M100" s="171"/>
      <c r="N100" s="171"/>
      <c r="O100" s="172"/>
      <c r="P100" s="171"/>
      <c r="Q100" s="173"/>
      <c r="R100" s="17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46" t="s">
        <v>333</v>
      </c>
      <c r="B101" s="46" t="s">
        <v>337</v>
      </c>
      <c r="C101" s="47" t="s">
        <v>674</v>
      </c>
      <c r="D101" s="46" t="s">
        <v>306</v>
      </c>
      <c r="E101" s="46" t="s">
        <v>233</v>
      </c>
      <c r="F101" s="46" t="s">
        <v>310</v>
      </c>
      <c r="G101" s="285"/>
      <c r="H101" s="171"/>
      <c r="I101" s="171"/>
      <c r="J101" s="171"/>
      <c r="K101" s="171"/>
      <c r="L101" s="171"/>
      <c r="M101" s="171"/>
      <c r="N101" s="171"/>
      <c r="O101" s="172"/>
      <c r="P101" s="171"/>
      <c r="Q101" s="173"/>
      <c r="R101" s="17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46" t="s">
        <v>55</v>
      </c>
      <c r="B102" s="46" t="s">
        <v>363</v>
      </c>
      <c r="C102" s="47" t="s">
        <v>675</v>
      </c>
      <c r="D102" s="46" t="s">
        <v>60</v>
      </c>
      <c r="E102" s="46" t="s">
        <v>246</v>
      </c>
      <c r="F102" s="46" t="s">
        <v>446</v>
      </c>
      <c r="G102" s="285"/>
      <c r="H102" s="171"/>
      <c r="I102" s="171"/>
      <c r="J102" s="171"/>
      <c r="K102" s="171"/>
      <c r="L102" s="171"/>
      <c r="M102" s="171"/>
      <c r="N102" s="171"/>
      <c r="O102" s="172"/>
      <c r="P102" s="171"/>
      <c r="Q102" s="173"/>
      <c r="R102" s="17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46" t="s">
        <v>25</v>
      </c>
      <c r="B103" s="46" t="s">
        <v>344</v>
      </c>
      <c r="C103" s="47" t="s">
        <v>609</v>
      </c>
      <c r="D103" s="46" t="s">
        <v>27</v>
      </c>
      <c r="E103" s="46" t="s">
        <v>264</v>
      </c>
      <c r="F103" s="46" t="s">
        <v>340</v>
      </c>
      <c r="G103" s="285"/>
      <c r="H103" s="171"/>
      <c r="I103" s="171"/>
      <c r="J103" s="171"/>
      <c r="K103" s="171"/>
      <c r="L103" s="171"/>
      <c r="M103" s="171"/>
      <c r="N103" s="171"/>
      <c r="O103" s="172"/>
      <c r="P103" s="171"/>
      <c r="Q103" s="173"/>
      <c r="R103" s="17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46" t="s">
        <v>25</v>
      </c>
      <c r="B104" s="46" t="s">
        <v>338</v>
      </c>
      <c r="C104" s="47" t="s">
        <v>604</v>
      </c>
      <c r="D104" s="46" t="s">
        <v>27</v>
      </c>
      <c r="E104" s="46" t="s">
        <v>264</v>
      </c>
      <c r="F104" s="46" t="s">
        <v>340</v>
      </c>
      <c r="G104" s="285"/>
      <c r="H104" s="171"/>
      <c r="I104" s="171"/>
      <c r="J104" s="171"/>
      <c r="K104" s="171"/>
      <c r="L104" s="171"/>
      <c r="M104" s="171"/>
      <c r="N104" s="171"/>
      <c r="O104" s="172"/>
      <c r="P104" s="171"/>
      <c r="Q104" s="173"/>
      <c r="R104" s="17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46" t="s">
        <v>25</v>
      </c>
      <c r="B105" s="46" t="s">
        <v>347</v>
      </c>
      <c r="C105" s="47" t="s">
        <v>610</v>
      </c>
      <c r="D105" s="46" t="s">
        <v>27</v>
      </c>
      <c r="E105" s="46" t="s">
        <v>237</v>
      </c>
      <c r="F105" s="46" t="s">
        <v>340</v>
      </c>
      <c r="G105" s="285"/>
      <c r="H105" s="171"/>
      <c r="I105" s="171"/>
      <c r="J105" s="171"/>
      <c r="K105" s="171"/>
      <c r="L105" s="171"/>
      <c r="M105" s="171"/>
      <c r="N105" s="171"/>
      <c r="O105" s="172"/>
      <c r="P105" s="171"/>
      <c r="Q105" s="173"/>
      <c r="R105" s="17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46" t="s">
        <v>35</v>
      </c>
      <c r="B106" s="46" t="s">
        <v>319</v>
      </c>
      <c r="C106" s="47" t="s">
        <v>676</v>
      </c>
      <c r="D106" s="46" t="s">
        <v>37</v>
      </c>
      <c r="E106" s="46" t="s">
        <v>235</v>
      </c>
      <c r="F106" s="46" t="s">
        <v>315</v>
      </c>
      <c r="G106" s="285"/>
      <c r="H106" s="171"/>
      <c r="I106" s="171"/>
      <c r="J106" s="171"/>
      <c r="K106" s="171"/>
      <c r="L106" s="171"/>
      <c r="M106" s="171"/>
      <c r="N106" s="171"/>
      <c r="O106" s="172"/>
      <c r="P106" s="171"/>
      <c r="Q106" s="173"/>
      <c r="R106" s="17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46" t="s">
        <v>35</v>
      </c>
      <c r="B107" s="46" t="s">
        <v>430</v>
      </c>
      <c r="C107" s="47" t="s">
        <v>665</v>
      </c>
      <c r="D107" s="46" t="s">
        <v>37</v>
      </c>
      <c r="E107" s="46" t="s">
        <v>235</v>
      </c>
      <c r="F107" s="46" t="s">
        <v>315</v>
      </c>
      <c r="G107" s="285"/>
      <c r="H107" s="171"/>
      <c r="I107" s="171"/>
      <c r="J107" s="171"/>
      <c r="K107" s="171"/>
      <c r="L107" s="171"/>
      <c r="M107" s="171"/>
      <c r="N107" s="171"/>
      <c r="O107" s="172"/>
      <c r="P107" s="171"/>
      <c r="Q107" s="173"/>
      <c r="R107" s="17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46" t="s">
        <v>35</v>
      </c>
      <c r="B108" s="46" t="s">
        <v>314</v>
      </c>
      <c r="C108" s="47" t="s">
        <v>653</v>
      </c>
      <c r="D108" s="46" t="s">
        <v>37</v>
      </c>
      <c r="E108" s="46" t="s">
        <v>241</v>
      </c>
      <c r="F108" s="46" t="s">
        <v>315</v>
      </c>
      <c r="G108" s="285"/>
      <c r="H108" s="171"/>
      <c r="I108" s="171"/>
      <c r="J108" s="171"/>
      <c r="K108" s="171"/>
      <c r="L108" s="171"/>
      <c r="M108" s="171"/>
      <c r="N108" s="171"/>
      <c r="O108" s="172"/>
      <c r="P108" s="171"/>
      <c r="Q108" s="173"/>
      <c r="R108" s="17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61" t="s">
        <v>55</v>
      </c>
      <c r="B109" s="61" t="s">
        <v>364</v>
      </c>
      <c r="C109" s="62" t="s">
        <v>626</v>
      </c>
      <c r="D109" s="61" t="s">
        <v>60</v>
      </c>
      <c r="E109" s="61" t="s">
        <v>646</v>
      </c>
      <c r="F109" s="61" t="s">
        <v>350</v>
      </c>
      <c r="G109" s="286"/>
      <c r="H109" s="174"/>
      <c r="I109" s="174"/>
      <c r="J109" s="174"/>
      <c r="K109" s="174"/>
      <c r="L109" s="174"/>
      <c r="M109" s="174"/>
      <c r="N109" s="174"/>
      <c r="O109" s="175"/>
      <c r="P109" s="174"/>
      <c r="Q109" s="176"/>
      <c r="R109" s="17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 customHeight="1" x14ac:dyDescent="0.3">
      <c r="A110" s="288"/>
      <c r="B110" s="289"/>
      <c r="C110" s="289"/>
      <c r="D110" s="289"/>
      <c r="E110" s="289"/>
      <c r="F110" s="289"/>
      <c r="G110" s="289"/>
      <c r="H110" s="289"/>
      <c r="I110" s="289"/>
      <c r="J110" s="289"/>
      <c r="K110" s="289"/>
      <c r="L110" s="289"/>
      <c r="M110" s="289"/>
      <c r="N110" s="289"/>
      <c r="O110" s="289"/>
      <c r="P110" s="289"/>
      <c r="Q110" s="289"/>
      <c r="R110" s="29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sheetData>
  <mergeCells count="39">
    <mergeCell ref="A110:R110"/>
    <mergeCell ref="H42:R42"/>
    <mergeCell ref="A60:F60"/>
    <mergeCell ref="G1:H1"/>
    <mergeCell ref="A79:F79"/>
    <mergeCell ref="G6:G19"/>
    <mergeCell ref="G77:G89"/>
    <mergeCell ref="A91:F91"/>
    <mergeCell ref="G93:G109"/>
    <mergeCell ref="J1:M1"/>
    <mergeCell ref="A20:R20"/>
    <mergeCell ref="A63:F63"/>
    <mergeCell ref="A9:F9"/>
    <mergeCell ref="K2:R2"/>
    <mergeCell ref="A48:F48"/>
    <mergeCell ref="A30:F30"/>
    <mergeCell ref="H75:R75"/>
    <mergeCell ref="D1:F1"/>
    <mergeCell ref="G62:G73"/>
    <mergeCell ref="G23:G40"/>
    <mergeCell ref="G44:G58"/>
    <mergeCell ref="A59:R59"/>
    <mergeCell ref="A1:C1"/>
    <mergeCell ref="O1:Q1"/>
    <mergeCell ref="A99:F99"/>
    <mergeCell ref="H91:R91"/>
    <mergeCell ref="A41:R41"/>
    <mergeCell ref="A75:F75"/>
    <mergeCell ref="A90:R90"/>
    <mergeCell ref="A21:F21"/>
    <mergeCell ref="H4:R4"/>
    <mergeCell ref="A74:R74"/>
    <mergeCell ref="A2:F2"/>
    <mergeCell ref="A3:R3"/>
    <mergeCell ref="A42:F42"/>
    <mergeCell ref="H21:R21"/>
    <mergeCell ref="H60:R60"/>
    <mergeCell ref="G2:J2"/>
    <mergeCell ref="A4:F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1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706</v>
      </c>
      <c r="D2" s="95">
        <v>0.32291666666666669</v>
      </c>
      <c r="E2" s="94" t="s">
        <v>703</v>
      </c>
      <c r="F2" s="94" t="s">
        <v>174</v>
      </c>
      <c r="G2" s="96">
        <v>0.9385</v>
      </c>
      <c r="H2" s="97">
        <v>179</v>
      </c>
      <c r="I2" s="97">
        <v>168</v>
      </c>
      <c r="J2" s="97">
        <v>155</v>
      </c>
      <c r="K2" s="93">
        <v>45984</v>
      </c>
      <c r="L2" s="97">
        <v>0</v>
      </c>
      <c r="M2" s="97">
        <v>1</v>
      </c>
      <c r="N2" s="97">
        <v>1</v>
      </c>
      <c r="O2" s="94" t="s">
        <v>707</v>
      </c>
      <c r="P2" s="98"/>
      <c r="Q2" s="98"/>
      <c r="R2" s="98"/>
      <c r="S2" s="98"/>
      <c r="T2" s="98"/>
      <c r="U2" s="98"/>
      <c r="V2" s="98"/>
      <c r="W2" s="98"/>
      <c r="X2" s="98"/>
      <c r="Y2" s="97" t="s">
        <v>213</v>
      </c>
      <c r="Z2" s="98"/>
      <c r="AA2" s="97" t="s">
        <v>693</v>
      </c>
      <c r="AB2" s="98"/>
      <c r="AC2" s="97" t="s">
        <v>276</v>
      </c>
      <c r="AD2" s="98"/>
      <c r="AE2" s="98"/>
      <c r="AF2" s="98"/>
      <c r="AG2" s="98"/>
      <c r="AH2" s="97" t="s">
        <v>737</v>
      </c>
      <c r="AI2" s="98"/>
    </row>
    <row r="3" spans="1:35" ht="18" x14ac:dyDescent="0.3">
      <c r="A3" s="99" t="s">
        <v>173</v>
      </c>
      <c r="B3" s="100">
        <v>45986</v>
      </c>
      <c r="C3" s="101" t="s">
        <v>710</v>
      </c>
      <c r="D3" s="102">
        <v>0.95138888888888884</v>
      </c>
      <c r="E3" s="101" t="s">
        <v>703</v>
      </c>
      <c r="F3" s="101" t="s">
        <v>174</v>
      </c>
      <c r="G3" s="103">
        <v>0.96089999999999998</v>
      </c>
      <c r="H3" s="104">
        <v>179</v>
      </c>
      <c r="I3" s="104">
        <v>172</v>
      </c>
      <c r="J3" s="104">
        <v>164</v>
      </c>
      <c r="K3" s="100">
        <v>45973</v>
      </c>
      <c r="L3" s="104">
        <v>0</v>
      </c>
      <c r="M3" s="104">
        <v>0</v>
      </c>
      <c r="N3" s="104">
        <v>0</v>
      </c>
      <c r="O3" s="101" t="s">
        <v>685</v>
      </c>
      <c r="P3" s="105"/>
      <c r="Q3" s="105"/>
      <c r="R3" s="105"/>
      <c r="S3" s="105"/>
      <c r="T3" s="105"/>
      <c r="U3" s="105"/>
      <c r="V3" s="105"/>
      <c r="W3" s="104" t="s">
        <v>175</v>
      </c>
      <c r="X3" s="105"/>
      <c r="Y3" s="104" t="s">
        <v>200</v>
      </c>
      <c r="Z3" s="105"/>
      <c r="AA3" s="105"/>
      <c r="AB3" s="104" t="s">
        <v>192</v>
      </c>
      <c r="AC3" s="105"/>
      <c r="AD3" s="105"/>
      <c r="AE3" s="104" t="s">
        <v>738</v>
      </c>
      <c r="AF3" s="105"/>
      <c r="AG3" s="105"/>
      <c r="AH3" s="104" t="s">
        <v>739</v>
      </c>
      <c r="AI3" s="105"/>
    </row>
    <row r="4" spans="1:35" ht="18" x14ac:dyDescent="0.3">
      <c r="A4" s="92" t="s">
        <v>273</v>
      </c>
      <c r="B4" s="93">
        <v>45987</v>
      </c>
      <c r="C4" s="94" t="s">
        <v>706</v>
      </c>
      <c r="D4" s="95">
        <v>0.2673611111111111</v>
      </c>
      <c r="E4" s="94" t="s">
        <v>703</v>
      </c>
      <c r="F4" s="94" t="s">
        <v>174</v>
      </c>
      <c r="G4" s="96">
        <v>0.72070000000000001</v>
      </c>
      <c r="H4" s="97">
        <v>179</v>
      </c>
      <c r="I4" s="97">
        <v>129</v>
      </c>
      <c r="J4" s="97">
        <v>84</v>
      </c>
      <c r="K4" s="93">
        <v>45984</v>
      </c>
      <c r="L4" s="97">
        <v>0</v>
      </c>
      <c r="M4" s="97">
        <v>5</v>
      </c>
      <c r="N4" s="97">
        <v>22</v>
      </c>
      <c r="O4" s="94" t="s">
        <v>194</v>
      </c>
      <c r="P4" s="98"/>
      <c r="Q4" s="98"/>
      <c r="R4" s="98"/>
      <c r="S4" s="98"/>
      <c r="T4" s="98"/>
      <c r="U4" s="98"/>
      <c r="V4" s="98"/>
      <c r="W4" s="98"/>
      <c r="X4" s="98"/>
      <c r="Y4" s="98"/>
      <c r="Z4" s="98"/>
      <c r="AA4" s="98"/>
      <c r="AB4" s="98"/>
      <c r="AC4" s="97" t="s">
        <v>538</v>
      </c>
      <c r="AD4" s="97" t="s">
        <v>740</v>
      </c>
      <c r="AE4" s="97" t="s">
        <v>533</v>
      </c>
      <c r="AF4" s="97" t="s">
        <v>575</v>
      </c>
      <c r="AG4" s="98"/>
      <c r="AH4" s="97" t="s">
        <v>741</v>
      </c>
      <c r="AI4" s="98"/>
    </row>
    <row r="5" spans="1:35" ht="18" x14ac:dyDescent="0.3">
      <c r="A5" s="99" t="s">
        <v>273</v>
      </c>
      <c r="B5" s="100">
        <v>45987</v>
      </c>
      <c r="C5" s="101" t="s">
        <v>720</v>
      </c>
      <c r="D5" s="102">
        <v>0.33333333333333331</v>
      </c>
      <c r="E5" s="101" t="s">
        <v>703</v>
      </c>
      <c r="F5" s="101" t="s">
        <v>174</v>
      </c>
      <c r="G5" s="103">
        <v>0.96430000000000005</v>
      </c>
      <c r="H5" s="104">
        <v>168</v>
      </c>
      <c r="I5" s="104">
        <v>162</v>
      </c>
      <c r="J5" s="104">
        <v>108</v>
      </c>
      <c r="K5" s="100">
        <v>45985</v>
      </c>
      <c r="L5" s="104">
        <v>1</v>
      </c>
      <c r="M5" s="104">
        <v>7</v>
      </c>
      <c r="N5" s="104">
        <v>24</v>
      </c>
      <c r="O5" s="101" t="s">
        <v>488</v>
      </c>
      <c r="P5" s="105"/>
      <c r="Q5" s="105"/>
      <c r="R5" s="105"/>
      <c r="S5" s="105"/>
      <c r="T5" s="105"/>
      <c r="U5" s="105"/>
      <c r="V5" s="105"/>
      <c r="W5" s="105"/>
      <c r="X5" s="105"/>
      <c r="Y5" s="104" t="s">
        <v>213</v>
      </c>
      <c r="Z5" s="105"/>
      <c r="AA5" s="105"/>
      <c r="AB5" s="105"/>
      <c r="AC5" s="104" t="s">
        <v>515</v>
      </c>
      <c r="AD5" s="104" t="s">
        <v>568</v>
      </c>
      <c r="AE5" s="104" t="s">
        <v>533</v>
      </c>
      <c r="AF5" s="104" t="s">
        <v>742</v>
      </c>
      <c r="AG5" s="105"/>
      <c r="AH5" s="104" t="s">
        <v>743</v>
      </c>
      <c r="AI5" s="105"/>
    </row>
    <row r="6" spans="1:35" ht="18" x14ac:dyDescent="0.3">
      <c r="A6" s="92" t="s">
        <v>197</v>
      </c>
      <c r="B6" s="93">
        <v>45988</v>
      </c>
      <c r="C6" s="94" t="s">
        <v>724</v>
      </c>
      <c r="D6" s="95">
        <v>8.3333333333333329E-2</v>
      </c>
      <c r="E6" s="94" t="s">
        <v>703</v>
      </c>
      <c r="F6" s="94" t="s">
        <v>174</v>
      </c>
      <c r="G6" s="96">
        <v>0.1726</v>
      </c>
      <c r="H6" s="97">
        <v>168</v>
      </c>
      <c r="I6" s="97">
        <v>29</v>
      </c>
      <c r="J6" s="97">
        <v>0</v>
      </c>
      <c r="K6" s="93">
        <v>45985</v>
      </c>
      <c r="L6" s="97">
        <v>1</v>
      </c>
      <c r="M6" s="97">
        <v>3</v>
      </c>
      <c r="N6" s="97">
        <v>10</v>
      </c>
      <c r="O6" s="94" t="s">
        <v>432</v>
      </c>
      <c r="P6" s="98"/>
      <c r="Q6" s="98"/>
      <c r="R6" s="98"/>
      <c r="S6" s="98"/>
      <c r="T6" s="98"/>
      <c r="U6" s="98"/>
      <c r="V6" s="98"/>
      <c r="W6" s="98"/>
      <c r="X6" s="98"/>
      <c r="Y6" s="97" t="s">
        <v>200</v>
      </c>
      <c r="Z6" s="98"/>
      <c r="AA6" s="98"/>
      <c r="AB6" s="98"/>
      <c r="AC6" s="97" t="s">
        <v>201</v>
      </c>
      <c r="AD6" s="97" t="s">
        <v>414</v>
      </c>
      <c r="AE6" s="97" t="s">
        <v>744</v>
      </c>
      <c r="AF6" s="98"/>
      <c r="AG6" s="98"/>
      <c r="AH6" s="98"/>
      <c r="AI6" s="98"/>
    </row>
    <row r="7" spans="1:35" ht="18" x14ac:dyDescent="0.3">
      <c r="A7" s="99" t="s">
        <v>197</v>
      </c>
      <c r="B7" s="100">
        <v>45988</v>
      </c>
      <c r="C7" s="101" t="s">
        <v>706</v>
      </c>
      <c r="D7" s="102">
        <v>0.48958333333333331</v>
      </c>
      <c r="E7" s="101" t="s">
        <v>703</v>
      </c>
      <c r="F7" s="101" t="s">
        <v>174</v>
      </c>
      <c r="G7" s="103">
        <v>0.78569999999999995</v>
      </c>
      <c r="H7" s="104">
        <v>168</v>
      </c>
      <c r="I7" s="104">
        <v>132</v>
      </c>
      <c r="J7" s="104">
        <v>96</v>
      </c>
      <c r="K7" s="100">
        <v>45984</v>
      </c>
      <c r="L7" s="104">
        <v>0</v>
      </c>
      <c r="M7" s="104">
        <v>8</v>
      </c>
      <c r="N7" s="104">
        <v>23</v>
      </c>
      <c r="O7" s="101" t="s">
        <v>322</v>
      </c>
      <c r="P7" s="105"/>
      <c r="Q7" s="105"/>
      <c r="R7" s="105"/>
      <c r="S7" s="105"/>
      <c r="T7" s="105"/>
      <c r="U7" s="105"/>
      <c r="V7" s="105"/>
      <c r="W7" s="105"/>
      <c r="X7" s="105"/>
      <c r="Y7" s="105"/>
      <c r="Z7" s="105"/>
      <c r="AA7" s="105"/>
      <c r="AB7" s="105"/>
      <c r="AC7" s="104" t="s">
        <v>531</v>
      </c>
      <c r="AD7" s="104" t="s">
        <v>740</v>
      </c>
      <c r="AE7" s="104" t="s">
        <v>745</v>
      </c>
      <c r="AF7" s="104" t="s">
        <v>746</v>
      </c>
      <c r="AG7" s="105"/>
      <c r="AH7" s="104" t="s">
        <v>562</v>
      </c>
      <c r="AI7" s="105"/>
    </row>
    <row r="8" spans="1:35" ht="18" x14ac:dyDescent="0.3">
      <c r="A8" s="92" t="s">
        <v>197</v>
      </c>
      <c r="B8" s="93">
        <v>45988</v>
      </c>
      <c r="C8" s="94" t="s">
        <v>710</v>
      </c>
      <c r="D8" s="95">
        <v>0.70833333333333337</v>
      </c>
      <c r="E8" s="94" t="s">
        <v>703</v>
      </c>
      <c r="F8" s="94" t="s">
        <v>174</v>
      </c>
      <c r="G8" s="96">
        <v>0.57540000000000002</v>
      </c>
      <c r="H8" s="97">
        <v>179</v>
      </c>
      <c r="I8" s="97">
        <v>103</v>
      </c>
      <c r="J8" s="97">
        <v>44</v>
      </c>
      <c r="K8" s="93">
        <v>45984</v>
      </c>
      <c r="L8" s="97">
        <v>0</v>
      </c>
      <c r="M8" s="97">
        <v>7</v>
      </c>
      <c r="N8" s="97">
        <v>39</v>
      </c>
      <c r="O8" s="94" t="s">
        <v>218</v>
      </c>
      <c r="P8" s="98"/>
      <c r="Q8" s="98"/>
      <c r="R8" s="98"/>
      <c r="S8" s="98"/>
      <c r="T8" s="98"/>
      <c r="U8" s="98"/>
      <c r="V8" s="98"/>
      <c r="W8" s="98"/>
      <c r="X8" s="98"/>
      <c r="Y8" s="98"/>
      <c r="Z8" s="98"/>
      <c r="AA8" s="97" t="s">
        <v>707</v>
      </c>
      <c r="AB8" s="97" t="s">
        <v>571</v>
      </c>
      <c r="AC8" s="97" t="s">
        <v>322</v>
      </c>
      <c r="AD8" s="97" t="s">
        <v>747</v>
      </c>
      <c r="AE8" s="97" t="s">
        <v>748</v>
      </c>
      <c r="AF8" s="98"/>
      <c r="AG8" s="98"/>
      <c r="AH8" s="97" t="s">
        <v>749</v>
      </c>
      <c r="AI8" s="98"/>
    </row>
    <row r="9" spans="1:35" ht="18" x14ac:dyDescent="0.3">
      <c r="A9" s="99" t="s">
        <v>543</v>
      </c>
      <c r="B9" s="100">
        <v>45989</v>
      </c>
      <c r="C9" s="101" t="s">
        <v>720</v>
      </c>
      <c r="D9" s="102">
        <v>0.29166666666666669</v>
      </c>
      <c r="E9" s="101" t="s">
        <v>703</v>
      </c>
      <c r="F9" s="101" t="s">
        <v>174</v>
      </c>
      <c r="G9" s="103">
        <v>0.59519999999999995</v>
      </c>
      <c r="H9" s="104">
        <v>168</v>
      </c>
      <c r="I9" s="104">
        <v>100</v>
      </c>
      <c r="J9" s="104">
        <v>2</v>
      </c>
      <c r="K9" s="100">
        <v>45984</v>
      </c>
      <c r="L9" s="104">
        <v>0</v>
      </c>
      <c r="M9" s="104">
        <v>8</v>
      </c>
      <c r="N9" s="104">
        <v>43</v>
      </c>
      <c r="O9" s="101" t="s">
        <v>522</v>
      </c>
      <c r="P9" s="105"/>
      <c r="Q9" s="105"/>
      <c r="R9" s="105"/>
      <c r="S9" s="105"/>
      <c r="T9" s="105"/>
      <c r="U9" s="105"/>
      <c r="V9" s="105"/>
      <c r="W9" s="105"/>
      <c r="X9" s="105"/>
      <c r="Y9" s="104" t="s">
        <v>545</v>
      </c>
      <c r="Z9" s="104" t="s">
        <v>525</v>
      </c>
      <c r="AA9" s="105"/>
      <c r="AB9" s="104" t="s">
        <v>750</v>
      </c>
      <c r="AC9" s="104" t="s">
        <v>751</v>
      </c>
      <c r="AD9" s="104" t="s">
        <v>523</v>
      </c>
      <c r="AE9" s="104" t="s">
        <v>752</v>
      </c>
      <c r="AF9" s="105"/>
      <c r="AG9" s="105"/>
      <c r="AH9" s="104" t="s">
        <v>555</v>
      </c>
      <c r="AI9" s="105"/>
    </row>
    <row r="10" spans="1:35" ht="18" x14ac:dyDescent="0.3">
      <c r="A10" s="92" t="s">
        <v>205</v>
      </c>
      <c r="B10" s="93">
        <v>45990</v>
      </c>
      <c r="C10" s="94" t="s">
        <v>720</v>
      </c>
      <c r="D10" s="95">
        <v>0.30208333333333331</v>
      </c>
      <c r="E10" s="94" t="s">
        <v>703</v>
      </c>
      <c r="F10" s="94" t="s">
        <v>174</v>
      </c>
      <c r="G10" s="96">
        <v>0.77380000000000004</v>
      </c>
      <c r="H10" s="97">
        <v>168</v>
      </c>
      <c r="I10" s="97">
        <v>130</v>
      </c>
      <c r="J10" s="97">
        <v>95</v>
      </c>
      <c r="K10" s="93">
        <v>45984</v>
      </c>
      <c r="L10" s="97">
        <v>0</v>
      </c>
      <c r="M10" s="97">
        <v>4</v>
      </c>
      <c r="N10" s="97">
        <v>13</v>
      </c>
      <c r="O10" s="94" t="s">
        <v>276</v>
      </c>
      <c r="P10" s="98"/>
      <c r="Q10" s="98"/>
      <c r="R10" s="98"/>
      <c r="S10" s="98"/>
      <c r="T10" s="98"/>
      <c r="U10" s="98"/>
      <c r="V10" s="98"/>
      <c r="W10" s="98"/>
      <c r="X10" s="98"/>
      <c r="Y10" s="97" t="s">
        <v>299</v>
      </c>
      <c r="Z10" s="97" t="s">
        <v>525</v>
      </c>
      <c r="AA10" s="98"/>
      <c r="AB10" s="97" t="s">
        <v>753</v>
      </c>
      <c r="AC10" s="97" t="s">
        <v>276</v>
      </c>
      <c r="AD10" s="97" t="s">
        <v>414</v>
      </c>
      <c r="AE10" s="97" t="s">
        <v>176</v>
      </c>
      <c r="AF10" s="98"/>
      <c r="AG10" s="98"/>
      <c r="AH10" s="97" t="s">
        <v>562</v>
      </c>
      <c r="AI10" s="98"/>
    </row>
    <row r="11" spans="1:35" ht="18" x14ac:dyDescent="0.3">
      <c r="A11" s="99" t="s">
        <v>205</v>
      </c>
      <c r="B11" s="100">
        <v>45990</v>
      </c>
      <c r="C11" s="101" t="s">
        <v>710</v>
      </c>
      <c r="D11" s="102">
        <v>0.6875</v>
      </c>
      <c r="E11" s="101" t="s">
        <v>703</v>
      </c>
      <c r="F11" s="101" t="s">
        <v>174</v>
      </c>
      <c r="G11" s="103">
        <v>0.94640000000000002</v>
      </c>
      <c r="H11" s="104">
        <v>168</v>
      </c>
      <c r="I11" s="104">
        <v>159</v>
      </c>
      <c r="J11" s="104">
        <v>135</v>
      </c>
      <c r="K11" s="100">
        <v>45984</v>
      </c>
      <c r="L11" s="104">
        <v>0</v>
      </c>
      <c r="M11" s="104">
        <v>2</v>
      </c>
      <c r="N11" s="104">
        <v>9</v>
      </c>
      <c r="O11" s="101" t="s">
        <v>285</v>
      </c>
      <c r="P11" s="105"/>
      <c r="Q11" s="105"/>
      <c r="R11" s="105"/>
      <c r="S11" s="105"/>
      <c r="T11" s="105"/>
      <c r="U11" s="105"/>
      <c r="V11" s="105"/>
      <c r="W11" s="105"/>
      <c r="X11" s="105"/>
      <c r="Y11" s="104" t="s">
        <v>200</v>
      </c>
      <c r="Z11" s="104" t="s">
        <v>525</v>
      </c>
      <c r="AA11" s="104" t="s">
        <v>707</v>
      </c>
      <c r="AB11" s="104" t="s">
        <v>216</v>
      </c>
      <c r="AC11" s="104" t="s">
        <v>552</v>
      </c>
      <c r="AD11" s="105"/>
      <c r="AE11" s="104" t="s">
        <v>176</v>
      </c>
      <c r="AF11" s="105"/>
      <c r="AG11" s="105"/>
      <c r="AH11" s="104" t="s">
        <v>278</v>
      </c>
      <c r="AI11" s="105"/>
    </row>
    <row r="12" spans="1:35" ht="18" x14ac:dyDescent="0.3">
      <c r="A12" s="92" t="s">
        <v>211</v>
      </c>
      <c r="B12" s="93">
        <v>45991</v>
      </c>
      <c r="C12" s="94" t="s">
        <v>720</v>
      </c>
      <c r="D12" s="95">
        <v>0.76736111111111116</v>
      </c>
      <c r="E12" s="94" t="s">
        <v>703</v>
      </c>
      <c r="F12" s="94" t="s">
        <v>174</v>
      </c>
      <c r="G12" s="96">
        <v>0.80359999999999998</v>
      </c>
      <c r="H12" s="97">
        <v>168</v>
      </c>
      <c r="I12" s="97">
        <v>135</v>
      </c>
      <c r="J12" s="97">
        <v>75</v>
      </c>
      <c r="K12" s="93">
        <v>45984</v>
      </c>
      <c r="L12" s="97">
        <v>0</v>
      </c>
      <c r="M12" s="97">
        <v>11</v>
      </c>
      <c r="N12" s="97">
        <v>29</v>
      </c>
      <c r="O12" s="94" t="s">
        <v>488</v>
      </c>
      <c r="P12" s="98"/>
      <c r="Q12" s="98"/>
      <c r="R12" s="98"/>
      <c r="S12" s="98"/>
      <c r="T12" s="98"/>
      <c r="U12" s="98"/>
      <c r="V12" s="98"/>
      <c r="W12" s="98"/>
      <c r="X12" s="98"/>
      <c r="Y12" s="97" t="s">
        <v>754</v>
      </c>
      <c r="Z12" s="98"/>
      <c r="AA12" s="98"/>
      <c r="AB12" s="97" t="s">
        <v>216</v>
      </c>
      <c r="AC12" s="97" t="s">
        <v>498</v>
      </c>
      <c r="AD12" s="97" t="s">
        <v>502</v>
      </c>
      <c r="AE12" s="97" t="s">
        <v>744</v>
      </c>
      <c r="AF12" s="98"/>
      <c r="AG12" s="98"/>
      <c r="AH12" s="97" t="s">
        <v>755</v>
      </c>
      <c r="AI12" s="98"/>
    </row>
    <row r="13" spans="1:35" ht="18" x14ac:dyDescent="0.3">
      <c r="A13" s="99" t="s">
        <v>211</v>
      </c>
      <c r="B13" s="100">
        <v>45991</v>
      </c>
      <c r="C13" s="101" t="s">
        <v>710</v>
      </c>
      <c r="D13" s="102">
        <v>0.85069444444444453</v>
      </c>
      <c r="E13" s="101" t="s">
        <v>703</v>
      </c>
      <c r="F13" s="101" t="s">
        <v>174</v>
      </c>
      <c r="G13" s="103">
        <v>0.63100000000000001</v>
      </c>
      <c r="H13" s="104">
        <v>168</v>
      </c>
      <c r="I13" s="104">
        <v>106</v>
      </c>
      <c r="J13" s="104">
        <v>45</v>
      </c>
      <c r="K13" s="100">
        <v>45984</v>
      </c>
      <c r="L13" s="104">
        <v>0</v>
      </c>
      <c r="M13" s="104">
        <v>7</v>
      </c>
      <c r="N13" s="104">
        <v>38</v>
      </c>
      <c r="O13" s="101" t="s">
        <v>531</v>
      </c>
      <c r="P13" s="105"/>
      <c r="Q13" s="105"/>
      <c r="R13" s="105"/>
      <c r="S13" s="105"/>
      <c r="T13" s="105"/>
      <c r="U13" s="105"/>
      <c r="V13" s="105"/>
      <c r="W13" s="105"/>
      <c r="X13" s="105"/>
      <c r="Y13" s="104" t="s">
        <v>200</v>
      </c>
      <c r="Z13" s="104" t="s">
        <v>510</v>
      </c>
      <c r="AA13" s="105"/>
      <c r="AB13" s="104" t="s">
        <v>511</v>
      </c>
      <c r="AC13" s="104" t="s">
        <v>276</v>
      </c>
      <c r="AD13" s="104" t="s">
        <v>202</v>
      </c>
      <c r="AE13" s="104" t="s">
        <v>554</v>
      </c>
      <c r="AF13" s="104" t="s">
        <v>756</v>
      </c>
      <c r="AG13" s="105"/>
      <c r="AH13" s="105"/>
      <c r="AI13" s="105"/>
    </row>
    <row r="14" spans="1:35" ht="18" x14ac:dyDescent="0.3">
      <c r="A14" s="106" t="s">
        <v>219</v>
      </c>
      <c r="B14" s="107"/>
      <c r="C14" s="108">
        <f>COUNTA(C2:C13)</f>
        <v>12</v>
      </c>
      <c r="D14" s="107"/>
      <c r="E14" s="107"/>
      <c r="F14" s="107"/>
      <c r="G14" s="109">
        <f>AVERAGE(G2:G13)</f>
        <v>0.73900833333333338</v>
      </c>
      <c r="H14" s="110">
        <f>SUM(H2:H13)</f>
        <v>2060</v>
      </c>
      <c r="I14" s="110">
        <f>SUM(I2:I13)</f>
        <v>1525</v>
      </c>
      <c r="J14" s="110">
        <f>SUM(J2:J13)</f>
        <v>1003</v>
      </c>
      <c r="K14" s="107"/>
      <c r="L14" s="110">
        <f>SUM(L2:L13)</f>
        <v>2</v>
      </c>
      <c r="M14" s="110">
        <f>SUM(M2:M13)</f>
        <v>63</v>
      </c>
      <c r="N14" s="110">
        <f>SUM(N2:N13)</f>
        <v>251</v>
      </c>
      <c r="O14" s="107"/>
      <c r="P14" s="110">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10">
        <f t="shared" si="0"/>
        <v>0</v>
      </c>
      <c r="R14" s="110">
        <f t="shared" si="0"/>
        <v>0</v>
      </c>
      <c r="S14" s="110">
        <f t="shared" si="0"/>
        <v>0</v>
      </c>
      <c r="T14" s="110">
        <f t="shared" si="0"/>
        <v>0</v>
      </c>
      <c r="U14" s="110">
        <f t="shared" si="0"/>
        <v>0</v>
      </c>
      <c r="V14" s="110">
        <f t="shared" si="0"/>
        <v>0</v>
      </c>
      <c r="W14" s="110">
        <f t="shared" si="0"/>
        <v>0</v>
      </c>
      <c r="X14" s="110">
        <f t="shared" si="0"/>
        <v>0</v>
      </c>
      <c r="Y14" s="110">
        <f t="shared" si="0"/>
        <v>0</v>
      </c>
      <c r="Z14" s="110">
        <f t="shared" si="0"/>
        <v>0</v>
      </c>
      <c r="AA14" s="110">
        <f t="shared" si="0"/>
        <v>0</v>
      </c>
      <c r="AB14" s="110">
        <f t="shared" si="0"/>
        <v>0</v>
      </c>
      <c r="AC14" s="110">
        <f t="shared" si="0"/>
        <v>0</v>
      </c>
      <c r="AD14" s="110">
        <f t="shared" si="0"/>
        <v>0</v>
      </c>
      <c r="AE14" s="110">
        <f t="shared" si="0"/>
        <v>0</v>
      </c>
      <c r="AF14" s="110">
        <f t="shared" si="0"/>
        <v>0</v>
      </c>
      <c r="AG14" s="110">
        <f t="shared" si="0"/>
        <v>0</v>
      </c>
      <c r="AH14" s="110">
        <f t="shared" si="0"/>
        <v>0</v>
      </c>
      <c r="AI14" s="110">
        <f t="shared" si="0"/>
        <v>0</v>
      </c>
    </row>
  </sheetData>
  <autoFilter ref="A1:AI1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90"/>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109375" bestFit="1" customWidth="1"/>
    <col min="6" max="6" width="34.886718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87">
        <v>45986</v>
      </c>
      <c r="B2" s="125" t="s">
        <v>35</v>
      </c>
      <c r="C2" s="126" t="s">
        <v>704</v>
      </c>
      <c r="D2" s="125" t="s">
        <v>703</v>
      </c>
      <c r="E2" s="127">
        <v>1.322916666666667</v>
      </c>
      <c r="F2" s="125" t="s">
        <v>37</v>
      </c>
      <c r="G2" s="128">
        <v>2</v>
      </c>
      <c r="H2" s="200">
        <v>586</v>
      </c>
    </row>
    <row r="3" spans="1:8" ht="18" x14ac:dyDescent="0.3">
      <c r="A3" s="130">
        <v>45986</v>
      </c>
      <c r="B3" s="131" t="s">
        <v>35</v>
      </c>
      <c r="C3" s="132" t="s">
        <v>709</v>
      </c>
      <c r="D3" s="131" t="s">
        <v>703</v>
      </c>
      <c r="E3" s="133">
        <v>1.9513888888888891</v>
      </c>
      <c r="F3" s="131" t="s">
        <v>37</v>
      </c>
      <c r="G3" s="134">
        <v>7</v>
      </c>
      <c r="H3" s="135">
        <v>856</v>
      </c>
    </row>
    <row r="4" spans="1:8" ht="18" x14ac:dyDescent="0.3">
      <c r="A4" s="136">
        <v>45986</v>
      </c>
      <c r="B4" s="113" t="s">
        <v>66</v>
      </c>
      <c r="C4" s="114" t="s">
        <v>712</v>
      </c>
      <c r="D4" s="113" t="s">
        <v>703</v>
      </c>
      <c r="E4" s="115">
        <v>1.322916666666667</v>
      </c>
      <c r="F4" s="113" t="s">
        <v>68</v>
      </c>
      <c r="G4" s="116">
        <v>4</v>
      </c>
      <c r="H4" s="137">
        <v>715</v>
      </c>
    </row>
    <row r="5" spans="1:8" ht="15.6" x14ac:dyDescent="0.3">
      <c r="A5" s="189"/>
      <c r="B5" s="189"/>
      <c r="C5" s="189"/>
      <c r="D5" s="189"/>
      <c r="E5" s="190" t="s">
        <v>702</v>
      </c>
      <c r="F5" s="189"/>
      <c r="G5" s="189"/>
      <c r="H5" s="3"/>
    </row>
    <row r="6" spans="1:8" ht="18" x14ac:dyDescent="0.3">
      <c r="A6" s="136">
        <v>45986</v>
      </c>
      <c r="B6" s="113" t="s">
        <v>304</v>
      </c>
      <c r="C6" s="114" t="s">
        <v>305</v>
      </c>
      <c r="D6" s="113" t="s">
        <v>303</v>
      </c>
      <c r="E6" s="115">
        <v>1.274305555555556</v>
      </c>
      <c r="F6" s="113" t="s">
        <v>306</v>
      </c>
      <c r="G6" s="116">
        <v>2</v>
      </c>
      <c r="H6" s="137">
        <v>400</v>
      </c>
    </row>
    <row r="7" spans="1:8" ht="18" x14ac:dyDescent="0.3">
      <c r="A7" s="138">
        <v>45986</v>
      </c>
      <c r="B7" s="139" t="s">
        <v>304</v>
      </c>
      <c r="C7" s="140" t="s">
        <v>308</v>
      </c>
      <c r="D7" s="139" t="s">
        <v>303</v>
      </c>
      <c r="E7" s="141">
        <v>1.739583333333333</v>
      </c>
      <c r="F7" s="139" t="s">
        <v>306</v>
      </c>
      <c r="G7" s="142">
        <v>1</v>
      </c>
      <c r="H7" s="143">
        <v>400</v>
      </c>
    </row>
    <row r="8" spans="1:8" ht="18" x14ac:dyDescent="0.3">
      <c r="A8" s="124">
        <v>45986</v>
      </c>
      <c r="B8" s="125" t="s">
        <v>35</v>
      </c>
      <c r="C8" s="126" t="s">
        <v>309</v>
      </c>
      <c r="D8" s="125" t="s">
        <v>303</v>
      </c>
      <c r="E8" s="127">
        <v>1.229166666666667</v>
      </c>
      <c r="F8" s="125" t="s">
        <v>37</v>
      </c>
      <c r="G8" s="128">
        <v>1</v>
      </c>
      <c r="H8" s="129">
        <v>401</v>
      </c>
    </row>
    <row r="9" spans="1:8" ht="18" x14ac:dyDescent="0.3">
      <c r="A9" s="130">
        <v>45986</v>
      </c>
      <c r="B9" s="131" t="s">
        <v>35</v>
      </c>
      <c r="C9" s="132" t="s">
        <v>314</v>
      </c>
      <c r="D9" s="131" t="s">
        <v>303</v>
      </c>
      <c r="E9" s="133">
        <v>1.96875</v>
      </c>
      <c r="F9" s="131" t="s">
        <v>37</v>
      </c>
      <c r="G9" s="134">
        <v>7</v>
      </c>
      <c r="H9" s="135">
        <v>436</v>
      </c>
    </row>
    <row r="10" spans="1:8" ht="18" x14ac:dyDescent="0.3">
      <c r="A10" s="136">
        <v>45986</v>
      </c>
      <c r="B10" s="113" t="s">
        <v>333</v>
      </c>
      <c r="C10" s="114" t="s">
        <v>334</v>
      </c>
      <c r="D10" s="113" t="s">
        <v>303</v>
      </c>
      <c r="E10" s="115">
        <v>1.0451388888888891</v>
      </c>
      <c r="F10" s="113" t="s">
        <v>306</v>
      </c>
      <c r="G10" s="116">
        <v>1</v>
      </c>
      <c r="H10" s="137">
        <v>401</v>
      </c>
    </row>
    <row r="11" spans="1:8" ht="18" x14ac:dyDescent="0.3">
      <c r="A11" s="136">
        <v>45986</v>
      </c>
      <c r="B11" s="113" t="s">
        <v>25</v>
      </c>
      <c r="C11" s="114" t="s">
        <v>338</v>
      </c>
      <c r="D11" s="113" t="s">
        <v>303</v>
      </c>
      <c r="E11" s="115">
        <v>1.1284722222222221</v>
      </c>
      <c r="F11" s="113" t="s">
        <v>27</v>
      </c>
      <c r="G11" s="116">
        <v>25</v>
      </c>
      <c r="H11" s="137">
        <v>419</v>
      </c>
    </row>
    <row r="12" spans="1:8" ht="18" x14ac:dyDescent="0.3">
      <c r="A12" s="138">
        <v>45986</v>
      </c>
      <c r="B12" s="139" t="s">
        <v>25</v>
      </c>
      <c r="C12" s="140" t="s">
        <v>343</v>
      </c>
      <c r="D12" s="139" t="s">
        <v>303</v>
      </c>
      <c r="E12" s="141">
        <v>1.8888888888888891</v>
      </c>
      <c r="F12" s="139" t="s">
        <v>27</v>
      </c>
      <c r="G12" s="142">
        <v>2</v>
      </c>
      <c r="H12" s="143">
        <v>419</v>
      </c>
    </row>
    <row r="13" spans="1:8" ht="18" x14ac:dyDescent="0.3">
      <c r="A13" s="138">
        <v>45986</v>
      </c>
      <c r="B13" s="139" t="s">
        <v>25</v>
      </c>
      <c r="C13" s="140" t="s">
        <v>344</v>
      </c>
      <c r="D13" s="139" t="s">
        <v>303</v>
      </c>
      <c r="E13" s="141">
        <v>1.302083333333333</v>
      </c>
      <c r="F13" s="139" t="s">
        <v>27</v>
      </c>
      <c r="G13" s="142">
        <v>3</v>
      </c>
      <c r="H13" s="143">
        <v>459</v>
      </c>
    </row>
    <row r="14" spans="1:8" ht="18" x14ac:dyDescent="0.3">
      <c r="A14" s="138">
        <v>45986</v>
      </c>
      <c r="B14" s="139" t="s">
        <v>25</v>
      </c>
      <c r="C14" s="140" t="s">
        <v>347</v>
      </c>
      <c r="D14" s="139" t="s">
        <v>303</v>
      </c>
      <c r="E14" s="141">
        <v>1.788194444444444</v>
      </c>
      <c r="F14" s="139" t="s">
        <v>27</v>
      </c>
      <c r="G14" s="142">
        <v>14</v>
      </c>
      <c r="H14" s="143">
        <v>459</v>
      </c>
    </row>
    <row r="15" spans="1:8" ht="18" x14ac:dyDescent="0.3">
      <c r="A15" s="194">
        <v>45986</v>
      </c>
      <c r="B15" s="195" t="s">
        <v>55</v>
      </c>
      <c r="C15" s="196" t="s">
        <v>349</v>
      </c>
      <c r="D15" s="195" t="s">
        <v>303</v>
      </c>
      <c r="E15" s="197">
        <v>1.854166666666667</v>
      </c>
      <c r="F15" s="195" t="s">
        <v>60</v>
      </c>
      <c r="G15" s="198">
        <v>1</v>
      </c>
      <c r="H15" s="223">
        <v>449</v>
      </c>
    </row>
    <row r="16" spans="1:8" ht="18" x14ac:dyDescent="0.3">
      <c r="A16" s="112">
        <v>45987</v>
      </c>
      <c r="B16" s="113" t="s">
        <v>25</v>
      </c>
      <c r="C16" s="114" t="s">
        <v>714</v>
      </c>
      <c r="D16" s="113" t="s">
        <v>703</v>
      </c>
      <c r="E16" s="115">
        <v>1.2847222222222221</v>
      </c>
      <c r="F16" s="113" t="s">
        <v>588</v>
      </c>
      <c r="G16" s="116">
        <v>2</v>
      </c>
      <c r="H16" s="117">
        <v>299</v>
      </c>
    </row>
    <row r="17" spans="1:8" ht="18" x14ac:dyDescent="0.3">
      <c r="A17" s="118">
        <v>45987</v>
      </c>
      <c r="B17" s="119" t="s">
        <v>25</v>
      </c>
      <c r="C17" s="120" t="s">
        <v>714</v>
      </c>
      <c r="D17" s="119" t="s">
        <v>703</v>
      </c>
      <c r="E17" s="121">
        <v>1.2847222222222221</v>
      </c>
      <c r="F17" s="119" t="s">
        <v>579</v>
      </c>
      <c r="G17" s="122">
        <v>2</v>
      </c>
      <c r="H17" s="123">
        <v>358</v>
      </c>
    </row>
    <row r="18" spans="1:8" ht="18" x14ac:dyDescent="0.3">
      <c r="A18" s="118">
        <v>45987</v>
      </c>
      <c r="B18" s="119" t="s">
        <v>25</v>
      </c>
      <c r="C18" s="120" t="s">
        <v>714</v>
      </c>
      <c r="D18" s="119" t="s">
        <v>703</v>
      </c>
      <c r="E18" s="121">
        <v>1.2847222222222221</v>
      </c>
      <c r="F18" s="119" t="s">
        <v>581</v>
      </c>
      <c r="G18" s="122">
        <v>2</v>
      </c>
      <c r="H18" s="123">
        <v>382</v>
      </c>
    </row>
    <row r="19" spans="1:8" ht="18" x14ac:dyDescent="0.3">
      <c r="A19" s="118">
        <v>45987</v>
      </c>
      <c r="B19" s="119" t="s">
        <v>25</v>
      </c>
      <c r="C19" s="120" t="s">
        <v>714</v>
      </c>
      <c r="D19" s="119" t="s">
        <v>703</v>
      </c>
      <c r="E19" s="121">
        <v>1.2847222222222221</v>
      </c>
      <c r="F19" s="119" t="s">
        <v>591</v>
      </c>
      <c r="G19" s="122">
        <v>2</v>
      </c>
      <c r="H19" s="123">
        <v>549</v>
      </c>
    </row>
    <row r="20" spans="1:8" ht="18" x14ac:dyDescent="0.3">
      <c r="A20" s="124">
        <v>45987</v>
      </c>
      <c r="B20" s="125" t="s">
        <v>35</v>
      </c>
      <c r="C20" s="126" t="s">
        <v>704</v>
      </c>
      <c r="D20" s="125" t="s">
        <v>703</v>
      </c>
      <c r="E20" s="127">
        <v>1.2673611111111109</v>
      </c>
      <c r="F20" s="125" t="s">
        <v>37</v>
      </c>
      <c r="G20" s="128">
        <v>8</v>
      </c>
      <c r="H20" s="129">
        <v>436</v>
      </c>
    </row>
    <row r="21" spans="1:8" ht="18" x14ac:dyDescent="0.3">
      <c r="A21" s="130">
        <v>45987</v>
      </c>
      <c r="B21" s="131" t="s">
        <v>35</v>
      </c>
      <c r="C21" s="132" t="s">
        <v>719</v>
      </c>
      <c r="D21" s="131" t="s">
        <v>703</v>
      </c>
      <c r="E21" s="133">
        <v>1.333333333333333</v>
      </c>
      <c r="F21" s="131" t="s">
        <v>37</v>
      </c>
      <c r="G21" s="134">
        <v>6</v>
      </c>
      <c r="H21" s="135">
        <v>436</v>
      </c>
    </row>
    <row r="22" spans="1:8" ht="18" x14ac:dyDescent="0.3">
      <c r="A22" s="136">
        <v>45987</v>
      </c>
      <c r="B22" s="113" t="s">
        <v>66</v>
      </c>
      <c r="C22" s="114" t="s">
        <v>712</v>
      </c>
      <c r="D22" s="113" t="s">
        <v>703</v>
      </c>
      <c r="E22" s="115">
        <v>1.2673611111111109</v>
      </c>
      <c r="F22" s="113" t="s">
        <v>85</v>
      </c>
      <c r="G22" s="116">
        <v>4</v>
      </c>
      <c r="H22" s="137">
        <v>640</v>
      </c>
    </row>
    <row r="23" spans="1:8" ht="15.6" x14ac:dyDescent="0.3">
      <c r="A23" s="189"/>
      <c r="B23" s="189"/>
      <c r="C23" s="189"/>
      <c r="D23" s="189"/>
      <c r="E23" s="190" t="s">
        <v>702</v>
      </c>
      <c r="F23" s="189"/>
      <c r="G23" s="189"/>
      <c r="H23" s="3"/>
    </row>
    <row r="24" spans="1:8" ht="18" x14ac:dyDescent="0.3">
      <c r="A24" s="136">
        <v>45987</v>
      </c>
      <c r="B24" s="113" t="s">
        <v>304</v>
      </c>
      <c r="C24" s="114" t="s">
        <v>305</v>
      </c>
      <c r="D24" s="113" t="s">
        <v>303</v>
      </c>
      <c r="E24" s="115">
        <v>1.270833333333333</v>
      </c>
      <c r="F24" s="113" t="s">
        <v>306</v>
      </c>
      <c r="G24" s="116">
        <v>7</v>
      </c>
      <c r="H24" s="137">
        <v>400</v>
      </c>
    </row>
    <row r="25" spans="1:8" ht="18" x14ac:dyDescent="0.3">
      <c r="A25" s="136">
        <v>45987</v>
      </c>
      <c r="B25" s="113" t="s">
        <v>25</v>
      </c>
      <c r="C25" s="114" t="s">
        <v>344</v>
      </c>
      <c r="D25" s="113" t="s">
        <v>303</v>
      </c>
      <c r="E25" s="115">
        <v>1.302083333333333</v>
      </c>
      <c r="F25" s="113" t="s">
        <v>27</v>
      </c>
      <c r="G25" s="116">
        <v>5</v>
      </c>
      <c r="H25" s="137">
        <v>419</v>
      </c>
    </row>
    <row r="26" spans="1:8" ht="18" x14ac:dyDescent="0.3">
      <c r="A26" s="138">
        <v>45987</v>
      </c>
      <c r="B26" s="139" t="s">
        <v>25</v>
      </c>
      <c r="C26" s="140" t="s">
        <v>338</v>
      </c>
      <c r="D26" s="139" t="s">
        <v>303</v>
      </c>
      <c r="E26" s="141">
        <v>1.1284722222222221</v>
      </c>
      <c r="F26" s="139" t="s">
        <v>27</v>
      </c>
      <c r="G26" s="142">
        <v>12</v>
      </c>
      <c r="H26" s="143">
        <v>419</v>
      </c>
    </row>
    <row r="27" spans="1:8" ht="18" x14ac:dyDescent="0.3">
      <c r="A27" s="138">
        <v>45987</v>
      </c>
      <c r="B27" s="139" t="s">
        <v>25</v>
      </c>
      <c r="C27" s="140" t="s">
        <v>347</v>
      </c>
      <c r="D27" s="139" t="s">
        <v>303</v>
      </c>
      <c r="E27" s="141">
        <v>1.788194444444444</v>
      </c>
      <c r="F27" s="139" t="s">
        <v>27</v>
      </c>
      <c r="G27" s="142">
        <v>16</v>
      </c>
      <c r="H27" s="143">
        <v>419</v>
      </c>
    </row>
    <row r="28" spans="1:8" ht="18" x14ac:dyDescent="0.3">
      <c r="A28" s="138">
        <v>45987</v>
      </c>
      <c r="B28" s="139" t="s">
        <v>25</v>
      </c>
      <c r="C28" s="140" t="s">
        <v>343</v>
      </c>
      <c r="D28" s="139" t="s">
        <v>303</v>
      </c>
      <c r="E28" s="141">
        <v>1.8888888888888891</v>
      </c>
      <c r="F28" s="139" t="s">
        <v>27</v>
      </c>
      <c r="G28" s="142">
        <v>20</v>
      </c>
      <c r="H28" s="143">
        <v>419</v>
      </c>
    </row>
    <row r="29" spans="1:8" ht="18" x14ac:dyDescent="0.3">
      <c r="A29" s="124">
        <v>45987</v>
      </c>
      <c r="B29" s="125" t="s">
        <v>35</v>
      </c>
      <c r="C29" s="126" t="s">
        <v>324</v>
      </c>
      <c r="D29" s="125" t="s">
        <v>303</v>
      </c>
      <c r="E29" s="127">
        <v>1.520833333333333</v>
      </c>
      <c r="F29" s="125" t="s">
        <v>37</v>
      </c>
      <c r="G29" s="128">
        <v>9</v>
      </c>
      <c r="H29" s="129">
        <v>436</v>
      </c>
    </row>
    <row r="30" spans="1:8" ht="18" x14ac:dyDescent="0.3">
      <c r="A30" s="130">
        <v>45987</v>
      </c>
      <c r="B30" s="131" t="s">
        <v>35</v>
      </c>
      <c r="C30" s="132" t="s">
        <v>314</v>
      </c>
      <c r="D30" s="131" t="s">
        <v>303</v>
      </c>
      <c r="E30" s="133">
        <v>1.5173611111111109</v>
      </c>
      <c r="F30" s="131" t="s">
        <v>37</v>
      </c>
      <c r="G30" s="134">
        <v>9</v>
      </c>
      <c r="H30" s="135">
        <v>436</v>
      </c>
    </row>
    <row r="31" spans="1:8" ht="18" x14ac:dyDescent="0.3">
      <c r="A31" s="130">
        <v>45987</v>
      </c>
      <c r="B31" s="131" t="s">
        <v>35</v>
      </c>
      <c r="C31" s="132" t="s">
        <v>413</v>
      </c>
      <c r="D31" s="131" t="s">
        <v>303</v>
      </c>
      <c r="E31" s="133">
        <v>1.614583333333333</v>
      </c>
      <c r="F31" s="131" t="s">
        <v>37</v>
      </c>
      <c r="G31" s="134">
        <v>2</v>
      </c>
      <c r="H31" s="135">
        <v>436</v>
      </c>
    </row>
    <row r="32" spans="1:8" ht="18" x14ac:dyDescent="0.3">
      <c r="A32" s="136">
        <v>45987</v>
      </c>
      <c r="B32" s="113" t="s">
        <v>55</v>
      </c>
      <c r="C32" s="114" t="s">
        <v>357</v>
      </c>
      <c r="D32" s="113" t="s">
        <v>303</v>
      </c>
      <c r="E32" s="115">
        <v>1.256944444444444</v>
      </c>
      <c r="F32" s="113" t="s">
        <v>60</v>
      </c>
      <c r="G32" s="116">
        <v>7</v>
      </c>
      <c r="H32" s="137">
        <v>449</v>
      </c>
    </row>
    <row r="33" spans="1:8" ht="18" x14ac:dyDescent="0.3">
      <c r="A33" s="149">
        <v>45987</v>
      </c>
      <c r="B33" s="150" t="s">
        <v>55</v>
      </c>
      <c r="C33" s="151" t="s">
        <v>352</v>
      </c>
      <c r="D33" s="150" t="s">
        <v>303</v>
      </c>
      <c r="E33" s="152">
        <v>1.9027777777777779</v>
      </c>
      <c r="F33" s="150" t="s">
        <v>60</v>
      </c>
      <c r="G33" s="153">
        <v>7</v>
      </c>
      <c r="H33" s="191">
        <v>449</v>
      </c>
    </row>
    <row r="34" spans="1:8" ht="18" x14ac:dyDescent="0.3">
      <c r="A34" s="187">
        <v>45988</v>
      </c>
      <c r="B34" s="125" t="s">
        <v>35</v>
      </c>
      <c r="C34" s="126" t="s">
        <v>723</v>
      </c>
      <c r="D34" s="125" t="s">
        <v>703</v>
      </c>
      <c r="E34" s="127">
        <v>1.083333333333333</v>
      </c>
      <c r="F34" s="125" t="s">
        <v>37</v>
      </c>
      <c r="G34" s="128">
        <v>9</v>
      </c>
      <c r="H34" s="200">
        <v>401</v>
      </c>
    </row>
    <row r="35" spans="1:8" ht="18" x14ac:dyDescent="0.3">
      <c r="A35" s="130">
        <v>45988</v>
      </c>
      <c r="B35" s="131" t="s">
        <v>35</v>
      </c>
      <c r="C35" s="132" t="s">
        <v>709</v>
      </c>
      <c r="D35" s="131" t="s">
        <v>703</v>
      </c>
      <c r="E35" s="133">
        <v>1.708333333333333</v>
      </c>
      <c r="F35" s="131" t="s">
        <v>37</v>
      </c>
      <c r="G35" s="134">
        <v>4</v>
      </c>
      <c r="H35" s="135">
        <v>436</v>
      </c>
    </row>
    <row r="36" spans="1:8" ht="18" x14ac:dyDescent="0.3">
      <c r="A36" s="130">
        <v>45988</v>
      </c>
      <c r="B36" s="131" t="s">
        <v>35</v>
      </c>
      <c r="C36" s="132" t="s">
        <v>704</v>
      </c>
      <c r="D36" s="131" t="s">
        <v>703</v>
      </c>
      <c r="E36" s="133">
        <v>1.489583333333333</v>
      </c>
      <c r="F36" s="131" t="s">
        <v>37</v>
      </c>
      <c r="G36" s="134">
        <v>9</v>
      </c>
      <c r="H36" s="135">
        <v>471</v>
      </c>
    </row>
    <row r="37" spans="1:8" ht="18" x14ac:dyDescent="0.3">
      <c r="A37" s="136">
        <v>45988</v>
      </c>
      <c r="B37" s="113" t="s">
        <v>66</v>
      </c>
      <c r="C37" s="114" t="s">
        <v>712</v>
      </c>
      <c r="D37" s="113" t="s">
        <v>703</v>
      </c>
      <c r="E37" s="115">
        <v>1.489583333333333</v>
      </c>
      <c r="F37" s="113" t="s">
        <v>85</v>
      </c>
      <c r="G37" s="116">
        <v>4</v>
      </c>
      <c r="H37" s="137">
        <v>640</v>
      </c>
    </row>
    <row r="38" spans="1:8" ht="15.6" x14ac:dyDescent="0.3">
      <c r="A38" s="189"/>
      <c r="B38" s="189"/>
      <c r="C38" s="189"/>
      <c r="D38" s="189"/>
      <c r="E38" s="190" t="s">
        <v>702</v>
      </c>
      <c r="F38" s="189"/>
      <c r="G38" s="189"/>
      <c r="H38" s="3"/>
    </row>
    <row r="39" spans="1:8" ht="18" x14ac:dyDescent="0.3">
      <c r="A39" s="136">
        <v>45988</v>
      </c>
      <c r="B39" s="113" t="s">
        <v>25</v>
      </c>
      <c r="C39" s="114" t="s">
        <v>344</v>
      </c>
      <c r="D39" s="113" t="s">
        <v>303</v>
      </c>
      <c r="E39" s="115">
        <v>1.302083333333333</v>
      </c>
      <c r="F39" s="113" t="s">
        <v>27</v>
      </c>
      <c r="G39" s="116">
        <v>8</v>
      </c>
      <c r="H39" s="137">
        <v>389</v>
      </c>
    </row>
    <row r="40" spans="1:8" ht="18" x14ac:dyDescent="0.3">
      <c r="A40" s="138">
        <v>45988</v>
      </c>
      <c r="B40" s="139" t="s">
        <v>25</v>
      </c>
      <c r="C40" s="140" t="s">
        <v>338</v>
      </c>
      <c r="D40" s="139" t="s">
        <v>303</v>
      </c>
      <c r="E40" s="141">
        <v>1.1284722222222221</v>
      </c>
      <c r="F40" s="139" t="s">
        <v>27</v>
      </c>
      <c r="G40" s="142">
        <v>10</v>
      </c>
      <c r="H40" s="143">
        <v>389</v>
      </c>
    </row>
    <row r="41" spans="1:8" ht="18" x14ac:dyDescent="0.3">
      <c r="A41" s="138">
        <v>45988</v>
      </c>
      <c r="B41" s="139" t="s">
        <v>25</v>
      </c>
      <c r="C41" s="140" t="s">
        <v>347</v>
      </c>
      <c r="D41" s="139" t="s">
        <v>303</v>
      </c>
      <c r="E41" s="141">
        <v>1.788194444444444</v>
      </c>
      <c r="F41" s="139" t="s">
        <v>429</v>
      </c>
      <c r="G41" s="142">
        <v>9</v>
      </c>
      <c r="H41" s="143">
        <v>419</v>
      </c>
    </row>
    <row r="42" spans="1:8" ht="18" x14ac:dyDescent="0.3">
      <c r="A42" s="136">
        <v>45988</v>
      </c>
      <c r="B42" s="113" t="s">
        <v>304</v>
      </c>
      <c r="C42" s="114" t="s">
        <v>305</v>
      </c>
      <c r="D42" s="113" t="s">
        <v>303</v>
      </c>
      <c r="E42" s="115">
        <v>1.291666666666667</v>
      </c>
      <c r="F42" s="113" t="s">
        <v>306</v>
      </c>
      <c r="G42" s="116">
        <v>9</v>
      </c>
      <c r="H42" s="137">
        <v>400</v>
      </c>
    </row>
    <row r="43" spans="1:8" ht="18" x14ac:dyDescent="0.3">
      <c r="A43" s="138">
        <v>45988</v>
      </c>
      <c r="B43" s="139" t="s">
        <v>304</v>
      </c>
      <c r="C43" s="140" t="s">
        <v>308</v>
      </c>
      <c r="D43" s="139" t="s">
        <v>303</v>
      </c>
      <c r="E43" s="141">
        <v>1.59375</v>
      </c>
      <c r="F43" s="139" t="s">
        <v>306</v>
      </c>
      <c r="G43" s="142">
        <v>9</v>
      </c>
      <c r="H43" s="143">
        <v>400</v>
      </c>
    </row>
    <row r="44" spans="1:8" ht="18" x14ac:dyDescent="0.3">
      <c r="A44" s="124">
        <v>45988</v>
      </c>
      <c r="B44" s="125" t="s">
        <v>35</v>
      </c>
      <c r="C44" s="126" t="s">
        <v>430</v>
      </c>
      <c r="D44" s="125" t="s">
        <v>303</v>
      </c>
      <c r="E44" s="127">
        <v>1.364583333333333</v>
      </c>
      <c r="F44" s="125" t="s">
        <v>37</v>
      </c>
      <c r="G44" s="128">
        <v>9</v>
      </c>
      <c r="H44" s="129">
        <v>401</v>
      </c>
    </row>
    <row r="45" spans="1:8" ht="18" x14ac:dyDescent="0.3">
      <c r="A45" s="130">
        <v>45988</v>
      </c>
      <c r="B45" s="131" t="s">
        <v>35</v>
      </c>
      <c r="C45" s="132" t="s">
        <v>434</v>
      </c>
      <c r="D45" s="131" t="s">
        <v>303</v>
      </c>
      <c r="E45" s="133">
        <v>1.2534722222222221</v>
      </c>
      <c r="F45" s="131" t="s">
        <v>37</v>
      </c>
      <c r="G45" s="134">
        <v>2</v>
      </c>
      <c r="H45" s="135">
        <v>401</v>
      </c>
    </row>
    <row r="46" spans="1:8" ht="18" x14ac:dyDescent="0.3">
      <c r="A46" s="136">
        <v>45988</v>
      </c>
      <c r="B46" s="113" t="s">
        <v>333</v>
      </c>
      <c r="C46" s="114" t="s">
        <v>335</v>
      </c>
      <c r="D46" s="113" t="s">
        <v>303</v>
      </c>
      <c r="E46" s="115">
        <v>1.666666666666667</v>
      </c>
      <c r="F46" s="113" t="s">
        <v>306</v>
      </c>
      <c r="G46" s="116">
        <v>2</v>
      </c>
      <c r="H46" s="137">
        <v>401</v>
      </c>
    </row>
    <row r="47" spans="1:8" ht="18" x14ac:dyDescent="0.3">
      <c r="A47" s="136">
        <v>45988</v>
      </c>
      <c r="B47" s="113" t="s">
        <v>55</v>
      </c>
      <c r="C47" s="114" t="s">
        <v>365</v>
      </c>
      <c r="D47" s="113" t="s">
        <v>303</v>
      </c>
      <c r="E47" s="115">
        <v>1.302083333333333</v>
      </c>
      <c r="F47" s="113" t="s">
        <v>57</v>
      </c>
      <c r="G47" s="116">
        <v>2</v>
      </c>
      <c r="H47" s="137">
        <v>409</v>
      </c>
    </row>
    <row r="48" spans="1:8" ht="18" x14ac:dyDescent="0.3">
      <c r="A48" s="144">
        <v>45988</v>
      </c>
      <c r="B48" s="145" t="s">
        <v>55</v>
      </c>
      <c r="C48" s="146" t="s">
        <v>365</v>
      </c>
      <c r="D48" s="145" t="s">
        <v>303</v>
      </c>
      <c r="E48" s="147">
        <v>1.302083333333333</v>
      </c>
      <c r="F48" s="145" t="s">
        <v>60</v>
      </c>
      <c r="G48" s="148">
        <v>2</v>
      </c>
      <c r="H48" s="192">
        <v>409</v>
      </c>
    </row>
    <row r="49" spans="1:8" ht="18" x14ac:dyDescent="0.3">
      <c r="A49" s="187">
        <v>45989</v>
      </c>
      <c r="B49" s="125" t="s">
        <v>35</v>
      </c>
      <c r="C49" s="126" t="s">
        <v>719</v>
      </c>
      <c r="D49" s="125" t="s">
        <v>703</v>
      </c>
      <c r="E49" s="127">
        <v>1.291666666666667</v>
      </c>
      <c r="F49" s="125" t="s">
        <v>37</v>
      </c>
      <c r="G49" s="128">
        <v>2</v>
      </c>
      <c r="H49" s="200">
        <v>471</v>
      </c>
    </row>
    <row r="50" spans="1:8" ht="15.6" x14ac:dyDescent="0.3">
      <c r="A50" s="189"/>
      <c r="B50" s="189"/>
      <c r="C50" s="189"/>
      <c r="D50" s="189"/>
      <c r="E50" s="190" t="s">
        <v>702</v>
      </c>
      <c r="F50" s="189"/>
      <c r="G50" s="189"/>
      <c r="H50" s="3"/>
    </row>
    <row r="51" spans="1:8" ht="18" x14ac:dyDescent="0.3">
      <c r="A51" s="124">
        <v>45989</v>
      </c>
      <c r="B51" s="125" t="s">
        <v>35</v>
      </c>
      <c r="C51" s="126" t="s">
        <v>319</v>
      </c>
      <c r="D51" s="125" t="s">
        <v>303</v>
      </c>
      <c r="E51" s="127">
        <v>1.114583333333333</v>
      </c>
      <c r="F51" s="125" t="s">
        <v>37</v>
      </c>
      <c r="G51" s="128">
        <v>9</v>
      </c>
      <c r="H51" s="129">
        <v>401</v>
      </c>
    </row>
    <row r="52" spans="1:8" ht="18" x14ac:dyDescent="0.3">
      <c r="A52" s="130">
        <v>45989</v>
      </c>
      <c r="B52" s="131" t="s">
        <v>35</v>
      </c>
      <c r="C52" s="132" t="s">
        <v>314</v>
      </c>
      <c r="D52" s="131" t="s">
        <v>303</v>
      </c>
      <c r="E52" s="133">
        <v>1.319444444444444</v>
      </c>
      <c r="F52" s="131" t="s">
        <v>37</v>
      </c>
      <c r="G52" s="134">
        <v>9</v>
      </c>
      <c r="H52" s="135">
        <v>401</v>
      </c>
    </row>
    <row r="53" spans="1:8" ht="18" x14ac:dyDescent="0.3">
      <c r="A53" s="130">
        <v>45989</v>
      </c>
      <c r="B53" s="131" t="s">
        <v>35</v>
      </c>
      <c r="C53" s="132" t="s">
        <v>413</v>
      </c>
      <c r="D53" s="131" t="s">
        <v>303</v>
      </c>
      <c r="E53" s="133">
        <v>1.458333333333333</v>
      </c>
      <c r="F53" s="131" t="s">
        <v>37</v>
      </c>
      <c r="G53" s="134">
        <v>4</v>
      </c>
      <c r="H53" s="135">
        <v>401</v>
      </c>
    </row>
    <row r="54" spans="1:8" ht="18" x14ac:dyDescent="0.3">
      <c r="A54" s="130">
        <v>45989</v>
      </c>
      <c r="B54" s="131" t="s">
        <v>35</v>
      </c>
      <c r="C54" s="132" t="s">
        <v>309</v>
      </c>
      <c r="D54" s="131" t="s">
        <v>303</v>
      </c>
      <c r="E54" s="133">
        <v>1.7361111111111109</v>
      </c>
      <c r="F54" s="131" t="s">
        <v>37</v>
      </c>
      <c r="G54" s="134">
        <v>1</v>
      </c>
      <c r="H54" s="135">
        <v>436</v>
      </c>
    </row>
    <row r="55" spans="1:8" ht="18" x14ac:dyDescent="0.3">
      <c r="A55" s="130">
        <v>45989</v>
      </c>
      <c r="B55" s="131" t="s">
        <v>35</v>
      </c>
      <c r="C55" s="132" t="s">
        <v>444</v>
      </c>
      <c r="D55" s="131" t="s">
        <v>303</v>
      </c>
      <c r="E55" s="133">
        <v>1.614583333333333</v>
      </c>
      <c r="F55" s="131" t="s">
        <v>37</v>
      </c>
      <c r="G55" s="134">
        <v>9</v>
      </c>
      <c r="H55" s="135">
        <v>436</v>
      </c>
    </row>
    <row r="56" spans="1:8" ht="18" x14ac:dyDescent="0.3">
      <c r="A56" s="136">
        <v>45989</v>
      </c>
      <c r="B56" s="113" t="s">
        <v>25</v>
      </c>
      <c r="C56" s="114" t="s">
        <v>344</v>
      </c>
      <c r="D56" s="113" t="s">
        <v>303</v>
      </c>
      <c r="E56" s="115">
        <v>1.302083333333333</v>
      </c>
      <c r="F56" s="113" t="s">
        <v>27</v>
      </c>
      <c r="G56" s="116">
        <v>7</v>
      </c>
      <c r="H56" s="137">
        <v>419</v>
      </c>
    </row>
    <row r="57" spans="1:8" ht="18" x14ac:dyDescent="0.3">
      <c r="A57" s="138">
        <v>45989</v>
      </c>
      <c r="B57" s="139" t="s">
        <v>25</v>
      </c>
      <c r="C57" s="140" t="s">
        <v>338</v>
      </c>
      <c r="D57" s="139" t="s">
        <v>303</v>
      </c>
      <c r="E57" s="141">
        <v>1.1284722222222221</v>
      </c>
      <c r="F57" s="139" t="s">
        <v>27</v>
      </c>
      <c r="G57" s="142">
        <v>6</v>
      </c>
      <c r="H57" s="143">
        <v>419</v>
      </c>
    </row>
    <row r="58" spans="1:8" ht="18" x14ac:dyDescent="0.3">
      <c r="A58" s="138">
        <v>45989</v>
      </c>
      <c r="B58" s="139" t="s">
        <v>25</v>
      </c>
      <c r="C58" s="140" t="s">
        <v>347</v>
      </c>
      <c r="D58" s="139" t="s">
        <v>303</v>
      </c>
      <c r="E58" s="141">
        <v>1.788194444444444</v>
      </c>
      <c r="F58" s="139" t="s">
        <v>27</v>
      </c>
      <c r="G58" s="142">
        <v>11</v>
      </c>
      <c r="H58" s="143">
        <v>419</v>
      </c>
    </row>
    <row r="59" spans="1:8" ht="18" x14ac:dyDescent="0.3">
      <c r="A59" s="138">
        <v>45989</v>
      </c>
      <c r="B59" s="139" t="s">
        <v>25</v>
      </c>
      <c r="C59" s="140" t="s">
        <v>343</v>
      </c>
      <c r="D59" s="139" t="s">
        <v>303</v>
      </c>
      <c r="E59" s="141">
        <v>1.8888888888888891</v>
      </c>
      <c r="F59" s="139" t="s">
        <v>27</v>
      </c>
      <c r="G59" s="142">
        <v>6</v>
      </c>
      <c r="H59" s="143">
        <v>419</v>
      </c>
    </row>
    <row r="60" spans="1:8" ht="18" x14ac:dyDescent="0.3">
      <c r="A60" s="194">
        <v>45989</v>
      </c>
      <c r="B60" s="195" t="s">
        <v>55</v>
      </c>
      <c r="C60" s="196" t="s">
        <v>357</v>
      </c>
      <c r="D60" s="195" t="s">
        <v>303</v>
      </c>
      <c r="E60" s="197">
        <v>1.256944444444444</v>
      </c>
      <c r="F60" s="195" t="s">
        <v>60</v>
      </c>
      <c r="G60" s="198">
        <v>6</v>
      </c>
      <c r="H60" s="223">
        <v>449</v>
      </c>
    </row>
    <row r="61" spans="1:8" ht="18" x14ac:dyDescent="0.3">
      <c r="A61" s="187">
        <v>45990</v>
      </c>
      <c r="B61" s="125" t="s">
        <v>35</v>
      </c>
      <c r="C61" s="126" t="s">
        <v>719</v>
      </c>
      <c r="D61" s="125" t="s">
        <v>703</v>
      </c>
      <c r="E61" s="127">
        <v>1.302083333333333</v>
      </c>
      <c r="F61" s="125" t="s">
        <v>37</v>
      </c>
      <c r="G61" s="128">
        <v>8</v>
      </c>
      <c r="H61" s="200">
        <v>471</v>
      </c>
    </row>
    <row r="62" spans="1:8" ht="18" x14ac:dyDescent="0.3">
      <c r="A62" s="130">
        <v>45990</v>
      </c>
      <c r="B62" s="131" t="s">
        <v>35</v>
      </c>
      <c r="C62" s="132" t="s">
        <v>709</v>
      </c>
      <c r="D62" s="131" t="s">
        <v>703</v>
      </c>
      <c r="E62" s="133">
        <v>1.6875</v>
      </c>
      <c r="F62" s="131" t="s">
        <v>37</v>
      </c>
      <c r="G62" s="134">
        <v>9</v>
      </c>
      <c r="H62" s="135">
        <v>526</v>
      </c>
    </row>
    <row r="63" spans="1:8" ht="15.6" x14ac:dyDescent="0.3">
      <c r="A63" s="189"/>
      <c r="B63" s="189"/>
      <c r="C63" s="189"/>
      <c r="D63" s="189"/>
      <c r="E63" s="190" t="s">
        <v>702</v>
      </c>
      <c r="F63" s="189"/>
      <c r="G63" s="189"/>
      <c r="H63" s="3"/>
    </row>
    <row r="64" spans="1:8" ht="18" x14ac:dyDescent="0.3">
      <c r="A64" s="136">
        <v>45990</v>
      </c>
      <c r="B64" s="113" t="s">
        <v>304</v>
      </c>
      <c r="C64" s="114" t="s">
        <v>305</v>
      </c>
      <c r="D64" s="113" t="s">
        <v>303</v>
      </c>
      <c r="E64" s="115">
        <v>1.270833333333333</v>
      </c>
      <c r="F64" s="113" t="s">
        <v>306</v>
      </c>
      <c r="G64" s="116">
        <v>2</v>
      </c>
      <c r="H64" s="137">
        <v>400</v>
      </c>
    </row>
    <row r="65" spans="1:8" ht="18" x14ac:dyDescent="0.3">
      <c r="A65" s="136">
        <v>45990</v>
      </c>
      <c r="B65" s="113" t="s">
        <v>333</v>
      </c>
      <c r="C65" s="114" t="s">
        <v>335</v>
      </c>
      <c r="D65" s="113" t="s">
        <v>303</v>
      </c>
      <c r="E65" s="115">
        <v>1.666666666666667</v>
      </c>
      <c r="F65" s="113" t="s">
        <v>306</v>
      </c>
      <c r="G65" s="116">
        <v>4</v>
      </c>
      <c r="H65" s="137">
        <v>401</v>
      </c>
    </row>
    <row r="66" spans="1:8" ht="18" x14ac:dyDescent="0.3">
      <c r="A66" s="138">
        <v>45990</v>
      </c>
      <c r="B66" s="139" t="s">
        <v>333</v>
      </c>
      <c r="C66" s="140" t="s">
        <v>337</v>
      </c>
      <c r="D66" s="139" t="s">
        <v>303</v>
      </c>
      <c r="E66" s="141">
        <v>1.21875</v>
      </c>
      <c r="F66" s="139" t="s">
        <v>306</v>
      </c>
      <c r="G66" s="142">
        <v>9</v>
      </c>
      <c r="H66" s="143">
        <v>401</v>
      </c>
    </row>
    <row r="67" spans="1:8" ht="18" x14ac:dyDescent="0.3">
      <c r="A67" s="136">
        <v>45990</v>
      </c>
      <c r="B67" s="113" t="s">
        <v>25</v>
      </c>
      <c r="C67" s="114" t="s">
        <v>344</v>
      </c>
      <c r="D67" s="113" t="s">
        <v>303</v>
      </c>
      <c r="E67" s="115">
        <v>1.302083333333333</v>
      </c>
      <c r="F67" s="113" t="s">
        <v>27</v>
      </c>
      <c r="G67" s="116">
        <v>6</v>
      </c>
      <c r="H67" s="137">
        <v>419</v>
      </c>
    </row>
    <row r="68" spans="1:8" ht="18" x14ac:dyDescent="0.3">
      <c r="A68" s="138">
        <v>45990</v>
      </c>
      <c r="B68" s="139" t="s">
        <v>25</v>
      </c>
      <c r="C68" s="140" t="s">
        <v>338</v>
      </c>
      <c r="D68" s="139" t="s">
        <v>303</v>
      </c>
      <c r="E68" s="141">
        <v>1.1284722222222221</v>
      </c>
      <c r="F68" s="139" t="s">
        <v>27</v>
      </c>
      <c r="G68" s="142">
        <v>7</v>
      </c>
      <c r="H68" s="143">
        <v>419</v>
      </c>
    </row>
    <row r="69" spans="1:8" ht="18" x14ac:dyDescent="0.3">
      <c r="A69" s="138">
        <v>45990</v>
      </c>
      <c r="B69" s="139" t="s">
        <v>25</v>
      </c>
      <c r="C69" s="140" t="s">
        <v>347</v>
      </c>
      <c r="D69" s="139" t="s">
        <v>303</v>
      </c>
      <c r="E69" s="141">
        <v>1.788194444444444</v>
      </c>
      <c r="F69" s="139" t="s">
        <v>27</v>
      </c>
      <c r="G69" s="142">
        <v>4</v>
      </c>
      <c r="H69" s="143">
        <v>419</v>
      </c>
    </row>
    <row r="70" spans="1:8" ht="18" x14ac:dyDescent="0.3">
      <c r="A70" s="138">
        <v>45990</v>
      </c>
      <c r="B70" s="139" t="s">
        <v>25</v>
      </c>
      <c r="C70" s="140" t="s">
        <v>343</v>
      </c>
      <c r="D70" s="139" t="s">
        <v>303</v>
      </c>
      <c r="E70" s="141">
        <v>1.8888888888888891</v>
      </c>
      <c r="F70" s="139" t="s">
        <v>27</v>
      </c>
      <c r="G70" s="142">
        <v>5</v>
      </c>
      <c r="H70" s="143">
        <v>419</v>
      </c>
    </row>
    <row r="71" spans="1:8" ht="18" x14ac:dyDescent="0.3">
      <c r="A71" s="136">
        <v>45990</v>
      </c>
      <c r="B71" s="113" t="s">
        <v>378</v>
      </c>
      <c r="C71" s="114" t="s">
        <v>379</v>
      </c>
      <c r="D71" s="113" t="s">
        <v>303</v>
      </c>
      <c r="E71" s="115">
        <v>1.2152777777777779</v>
      </c>
      <c r="F71" s="113" t="s">
        <v>380</v>
      </c>
      <c r="G71" s="116">
        <v>9</v>
      </c>
      <c r="H71" s="137">
        <v>430</v>
      </c>
    </row>
    <row r="72" spans="1:8" ht="18" x14ac:dyDescent="0.3">
      <c r="A72" s="124">
        <v>45990</v>
      </c>
      <c r="B72" s="125" t="s">
        <v>35</v>
      </c>
      <c r="C72" s="126" t="s">
        <v>434</v>
      </c>
      <c r="D72" s="125" t="s">
        <v>303</v>
      </c>
      <c r="E72" s="127">
        <v>1.2361111111111109</v>
      </c>
      <c r="F72" s="125" t="s">
        <v>37</v>
      </c>
      <c r="G72" s="128">
        <v>8</v>
      </c>
      <c r="H72" s="129">
        <v>436</v>
      </c>
    </row>
    <row r="73" spans="1:8" ht="18" x14ac:dyDescent="0.3">
      <c r="A73" s="224">
        <v>45990</v>
      </c>
      <c r="B73" s="225" t="s">
        <v>35</v>
      </c>
      <c r="C73" s="226" t="s">
        <v>314</v>
      </c>
      <c r="D73" s="225" t="s">
        <v>303</v>
      </c>
      <c r="E73" s="227">
        <v>1.333333333333333</v>
      </c>
      <c r="F73" s="225" t="s">
        <v>37</v>
      </c>
      <c r="G73" s="228">
        <v>1</v>
      </c>
      <c r="H73" s="229">
        <v>436</v>
      </c>
    </row>
    <row r="74" spans="1:8" ht="18" x14ac:dyDescent="0.3">
      <c r="A74" s="112">
        <v>45991</v>
      </c>
      <c r="B74" s="113" t="s">
        <v>25</v>
      </c>
      <c r="C74" s="114" t="s">
        <v>714</v>
      </c>
      <c r="D74" s="113" t="s">
        <v>703</v>
      </c>
      <c r="E74" s="115">
        <v>1.2847222222222221</v>
      </c>
      <c r="F74" s="113" t="s">
        <v>588</v>
      </c>
      <c r="G74" s="116">
        <v>11</v>
      </c>
      <c r="H74" s="117">
        <v>329</v>
      </c>
    </row>
    <row r="75" spans="1:8" ht="18" x14ac:dyDescent="0.3">
      <c r="A75" s="118">
        <v>45991</v>
      </c>
      <c r="B75" s="119" t="s">
        <v>25</v>
      </c>
      <c r="C75" s="120" t="s">
        <v>714</v>
      </c>
      <c r="D75" s="119" t="s">
        <v>703</v>
      </c>
      <c r="E75" s="121">
        <v>1.2847222222222221</v>
      </c>
      <c r="F75" s="119" t="s">
        <v>579</v>
      </c>
      <c r="G75" s="122">
        <v>11</v>
      </c>
      <c r="H75" s="123">
        <v>388</v>
      </c>
    </row>
    <row r="76" spans="1:8" ht="18" x14ac:dyDescent="0.3">
      <c r="A76" s="118">
        <v>45991</v>
      </c>
      <c r="B76" s="119" t="s">
        <v>25</v>
      </c>
      <c r="C76" s="120" t="s">
        <v>714</v>
      </c>
      <c r="D76" s="119" t="s">
        <v>703</v>
      </c>
      <c r="E76" s="121">
        <v>1.2847222222222221</v>
      </c>
      <c r="F76" s="119" t="s">
        <v>581</v>
      </c>
      <c r="G76" s="122">
        <v>11</v>
      </c>
      <c r="H76" s="123">
        <v>412</v>
      </c>
    </row>
    <row r="77" spans="1:8" ht="18" x14ac:dyDescent="0.3">
      <c r="A77" s="118">
        <v>45991</v>
      </c>
      <c r="B77" s="119" t="s">
        <v>25</v>
      </c>
      <c r="C77" s="120" t="s">
        <v>714</v>
      </c>
      <c r="D77" s="119" t="s">
        <v>703</v>
      </c>
      <c r="E77" s="121">
        <v>1.2847222222222221</v>
      </c>
      <c r="F77" s="119" t="s">
        <v>591</v>
      </c>
      <c r="G77" s="122">
        <v>11</v>
      </c>
      <c r="H77" s="123">
        <v>579</v>
      </c>
    </row>
    <row r="78" spans="1:8" ht="18" x14ac:dyDescent="0.3">
      <c r="A78" s="124">
        <v>45991</v>
      </c>
      <c r="B78" s="125" t="s">
        <v>35</v>
      </c>
      <c r="C78" s="126" t="s">
        <v>719</v>
      </c>
      <c r="D78" s="125" t="s">
        <v>703</v>
      </c>
      <c r="E78" s="127">
        <v>1.7673611111111109</v>
      </c>
      <c r="F78" s="125" t="s">
        <v>37</v>
      </c>
      <c r="G78" s="128">
        <v>6</v>
      </c>
      <c r="H78" s="129">
        <v>436</v>
      </c>
    </row>
    <row r="79" spans="1:8" ht="18" x14ac:dyDescent="0.3">
      <c r="A79" s="130">
        <v>45991</v>
      </c>
      <c r="B79" s="131" t="s">
        <v>35</v>
      </c>
      <c r="C79" s="132" t="s">
        <v>709</v>
      </c>
      <c r="D79" s="131" t="s">
        <v>703</v>
      </c>
      <c r="E79" s="133">
        <v>1.850694444444444</v>
      </c>
      <c r="F79" s="131" t="s">
        <v>37</v>
      </c>
      <c r="G79" s="134">
        <v>1</v>
      </c>
      <c r="H79" s="135">
        <v>471</v>
      </c>
    </row>
    <row r="80" spans="1:8" ht="15.6" x14ac:dyDescent="0.3">
      <c r="A80" s="189"/>
      <c r="B80" s="189"/>
      <c r="C80" s="189"/>
      <c r="D80" s="189"/>
      <c r="E80" s="190" t="s">
        <v>702</v>
      </c>
      <c r="F80" s="189"/>
      <c r="G80" s="189"/>
      <c r="H80" s="3"/>
    </row>
    <row r="81" spans="1:8" ht="18" x14ac:dyDescent="0.3">
      <c r="A81" s="136">
        <v>45991</v>
      </c>
      <c r="B81" s="113" t="s">
        <v>304</v>
      </c>
      <c r="C81" s="114" t="s">
        <v>305</v>
      </c>
      <c r="D81" s="113" t="s">
        <v>303</v>
      </c>
      <c r="E81" s="115">
        <v>1.274305555555556</v>
      </c>
      <c r="F81" s="113" t="s">
        <v>306</v>
      </c>
      <c r="G81" s="116">
        <v>6</v>
      </c>
      <c r="H81" s="137">
        <v>400</v>
      </c>
    </row>
    <row r="82" spans="1:8" ht="18" x14ac:dyDescent="0.3">
      <c r="A82" s="136">
        <v>45991</v>
      </c>
      <c r="B82" s="113" t="s">
        <v>333</v>
      </c>
      <c r="C82" s="114" t="s">
        <v>337</v>
      </c>
      <c r="D82" s="113" t="s">
        <v>303</v>
      </c>
      <c r="E82" s="115">
        <v>1.381944444444444</v>
      </c>
      <c r="F82" s="113" t="s">
        <v>306</v>
      </c>
      <c r="G82" s="116">
        <v>7</v>
      </c>
      <c r="H82" s="137">
        <v>401</v>
      </c>
    </row>
    <row r="83" spans="1:8" ht="18" x14ac:dyDescent="0.3">
      <c r="A83" s="136">
        <v>45991</v>
      </c>
      <c r="B83" s="113" t="s">
        <v>55</v>
      </c>
      <c r="C83" s="114" t="s">
        <v>363</v>
      </c>
      <c r="D83" s="113" t="s">
        <v>303</v>
      </c>
      <c r="E83" s="115">
        <v>1.645833333333333</v>
      </c>
      <c r="F83" s="113" t="s">
        <v>60</v>
      </c>
      <c r="G83" s="116">
        <v>2</v>
      </c>
      <c r="H83" s="137">
        <v>409</v>
      </c>
    </row>
    <row r="84" spans="1:8" ht="18" x14ac:dyDescent="0.3">
      <c r="A84" s="138">
        <v>45991</v>
      </c>
      <c r="B84" s="139" t="s">
        <v>55</v>
      </c>
      <c r="C84" s="140" t="s">
        <v>364</v>
      </c>
      <c r="D84" s="139" t="s">
        <v>303</v>
      </c>
      <c r="E84" s="141">
        <v>1.5173611111111109</v>
      </c>
      <c r="F84" s="139" t="s">
        <v>60</v>
      </c>
      <c r="G84" s="142">
        <v>9</v>
      </c>
      <c r="H84" s="143">
        <v>449</v>
      </c>
    </row>
    <row r="85" spans="1:8" ht="18" x14ac:dyDescent="0.3">
      <c r="A85" s="136">
        <v>45991</v>
      </c>
      <c r="B85" s="113" t="s">
        <v>25</v>
      </c>
      <c r="C85" s="114" t="s">
        <v>344</v>
      </c>
      <c r="D85" s="113" t="s">
        <v>303</v>
      </c>
      <c r="E85" s="115">
        <v>1.302083333333333</v>
      </c>
      <c r="F85" s="113" t="s">
        <v>27</v>
      </c>
      <c r="G85" s="116">
        <v>3</v>
      </c>
      <c r="H85" s="137">
        <v>419</v>
      </c>
    </row>
    <row r="86" spans="1:8" ht="18" x14ac:dyDescent="0.3">
      <c r="A86" s="138">
        <v>45991</v>
      </c>
      <c r="B86" s="139" t="s">
        <v>25</v>
      </c>
      <c r="C86" s="140" t="s">
        <v>338</v>
      </c>
      <c r="D86" s="139" t="s">
        <v>303</v>
      </c>
      <c r="E86" s="141">
        <v>1.1284722222222221</v>
      </c>
      <c r="F86" s="139" t="s">
        <v>27</v>
      </c>
      <c r="G86" s="142">
        <v>3</v>
      </c>
      <c r="H86" s="143">
        <v>419</v>
      </c>
    </row>
    <row r="87" spans="1:8" ht="18" x14ac:dyDescent="0.3">
      <c r="A87" s="138">
        <v>45991</v>
      </c>
      <c r="B87" s="139" t="s">
        <v>25</v>
      </c>
      <c r="C87" s="140" t="s">
        <v>347</v>
      </c>
      <c r="D87" s="139" t="s">
        <v>303</v>
      </c>
      <c r="E87" s="141">
        <v>1.788194444444444</v>
      </c>
      <c r="F87" s="139" t="s">
        <v>27</v>
      </c>
      <c r="G87" s="142">
        <v>8</v>
      </c>
      <c r="H87" s="143">
        <v>419</v>
      </c>
    </row>
    <row r="88" spans="1:8" ht="18" x14ac:dyDescent="0.3">
      <c r="A88" s="124">
        <v>45991</v>
      </c>
      <c r="B88" s="125" t="s">
        <v>35</v>
      </c>
      <c r="C88" s="126" t="s">
        <v>319</v>
      </c>
      <c r="D88" s="125" t="s">
        <v>303</v>
      </c>
      <c r="E88" s="127">
        <v>1.083333333333333</v>
      </c>
      <c r="F88" s="125" t="s">
        <v>37</v>
      </c>
      <c r="G88" s="128">
        <v>9</v>
      </c>
      <c r="H88" s="129">
        <v>436</v>
      </c>
    </row>
    <row r="89" spans="1:8" ht="18" x14ac:dyDescent="0.3">
      <c r="A89" s="130">
        <v>45991</v>
      </c>
      <c r="B89" s="131" t="s">
        <v>35</v>
      </c>
      <c r="C89" s="132" t="s">
        <v>430</v>
      </c>
      <c r="D89" s="131" t="s">
        <v>303</v>
      </c>
      <c r="E89" s="133">
        <v>1.333333333333333</v>
      </c>
      <c r="F89" s="131" t="s">
        <v>37</v>
      </c>
      <c r="G89" s="134">
        <v>9</v>
      </c>
      <c r="H89" s="135">
        <v>436</v>
      </c>
    </row>
    <row r="90" spans="1:8" ht="18" x14ac:dyDescent="0.3">
      <c r="A90" s="224">
        <v>45991</v>
      </c>
      <c r="B90" s="225" t="s">
        <v>35</v>
      </c>
      <c r="C90" s="226" t="s">
        <v>314</v>
      </c>
      <c r="D90" s="225" t="s">
        <v>303</v>
      </c>
      <c r="E90" s="227">
        <v>1.319444444444444</v>
      </c>
      <c r="F90" s="225" t="s">
        <v>37</v>
      </c>
      <c r="G90" s="228">
        <v>6</v>
      </c>
      <c r="H90" s="229">
        <v>436</v>
      </c>
    </row>
  </sheetData>
  <dataValidations count="20">
    <dataValidation type="custom" allowBlank="1" showInputMessage="1" promptTitle="LOAD FACTOR ANALYSIS" prompt="SM-454_x000d__x000a_LF 93.8%_x000d__x000a_SOLD 168_x000d__x000a_LST-SOLD 23NOV_x000d__x000a_WEEKLY 1_x000d__x000a_TO-DAY NIL_x000d__x000a_Y-DAY 1_x000d__x000a_LOWEST AVAIL T2_x000d__x000a_CAPACITY 179_x000d__x000a_CLASSES S4 &amp; T1 &amp; U8 &amp; +1 more" sqref="A2 B2 C2 D2 E2 F2 G2 H2" xr:uid="{00000000-0002-0000-1200-000000000000}">
      <formula1>TRUE</formula1>
    </dataValidation>
    <dataValidation type="custom" allowBlank="1" showInputMessage="1" promptTitle="LOAD FACTOR ANALYSIS" prompt="SM-456_x000d__x000a_LF 96.1%_x000d__x000a_SOLD 172_x000d__x000a_LST-SOLD 12NOV_x000d__x000a_WEEKLY NIL_x000d__x000a_TO-DAY NIL_x000d__x000a_Y-DAY NIL_x000d__x000a_LOWEST AVAIL L7_x000d__x000a_CAPACITY 179_x000d__x000a_CLASSES L1 &amp; S1 &amp; X3 &amp; +2 more" sqref="A3 B3 C3 D3 E3 F3 G3 H3" xr:uid="{00000000-0002-0000-1200-000001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8 A54 B8 B54 C8 C54 D8 D54 E8 E54 F8 F54 G8 G54 H8 H54" xr:uid="{00000000-0002-0000-1200-000002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9 A30 A52 A73 A90 B9 B30 B52 B73 B90 C9 C30 C52 C73 C90 D9 D30 D52 D73 D90 E9 E30 E52 E73 E90 F9 F30 F52 F73 F90 G9 G30 G52 G73 G90 H9 H30 H52 H73 H90" xr:uid="{00000000-0002-0000-1200-000003000000}">
      <formula1>TRUE</formula1>
    </dataValidation>
    <dataValidation type="custom" allowBlank="1" showInputMessage="1" promptTitle="LOAD FACTOR ANALYSIS" prompt="SM-454_x000d__x000a_LF 72.1%_x000d__x000a_SOLD 129_x000d__x000a_LST-SOLD 23NOV_x000d__x000a_WEEKLY 22_x000d__x000a_TO-DAY NIL_x000d__x000a_Y-DAY 5_x000d__x000a_LOWEST AVAIL O8_x000d__x000a_CAPACITY 179_x000d__x000a_CLASSES U3 &amp; O12 &amp; I30 &amp; +2 more" sqref="A20 B20 C20 D20 E20 F20 G20 H20" xr:uid="{00000000-0002-0000-1200-000004000000}">
      <formula1>TRUE</formula1>
    </dataValidation>
    <dataValidation type="custom" allowBlank="1" showInputMessage="1" promptTitle="LOAD FACTOR ANALYSIS" prompt="SM-492_x000d__x000a_LF 96.4%_x000d__x000a_SOLD 162_x000d__x000a_LST-SOLD 24NOV_x000d__x000a_WEEKLY 24_x000d__x000a_TO-DAY 1_x000d__x000a_Y-DAY 7_x000d__x000a_LOWEST AVAIL O6_x000d__x000a_CAPACITY 168_x000d__x000a_CLASSES S4 &amp; U7 &amp; O13 &amp; +3 more" sqref="A21 B21 C21 D21 E21 F21 G21 H21" xr:uid="{00000000-0002-0000-1200-000005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29 B29 C29 D29 E29 F29 G29 H29" xr:uid="{00000000-0002-0000-1200-000006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31 A53 B31 B53 C31 C53 D31 D53 E31 E53 F31 F53 G31 G53 H31 H53" xr:uid="{00000000-0002-0000-1200-000007000000}">
      <formula1>TRUE</formula1>
    </dataValidation>
    <dataValidation type="custom" allowBlank="1" showInputMessage="1" promptTitle="LOAD FACTOR ANALYSIS" prompt="SM-422_x000d__x000a_LF 17.3%_x000d__x000a_SOLD 29_x000d__x000a_LST-SOLD 24NOV_x000d__x000a_WEEKLY 10_x000d__x000a_TO-DAY 1_x000d__x000a_Y-DAY 3_x000d__x000a_LOWEST AVAIL I9_x000d__x000a_CAPACITY 168_x000d__x000a_CLASSES S1 &amp; U6 &amp; O2 &amp; +1 more" sqref="A34 B34 C34 D34 E34 F34 G34 H34" xr:uid="{00000000-0002-0000-1200-000008000000}">
      <formula1>TRUE</formula1>
    </dataValidation>
    <dataValidation type="custom" allowBlank="1" showInputMessage="1" promptTitle="LOAD FACTOR ANALYSIS" prompt="SM-456_x000d__x000a_LF 57.5%_x000d__x000a_SOLD 103_x000d__x000a_LST-SOLD 23NOV_x000d__x000a_WEEKLY 39_x000d__x000a_TO-DAY NIL_x000d__x000a_Y-DAY 7_x000d__x000a_LOWEST AVAIL O4_x000d__x000a_CAPACITY 179_x000d__x000a_CLASSES T2 &amp; X2 &amp; U9 &amp; +3 more" sqref="A35 B35 C35 D35 E35 F35 G35 H35" xr:uid="{00000000-0002-0000-1200-000009000000}">
      <formula1>TRUE</formula1>
    </dataValidation>
    <dataValidation type="custom" allowBlank="1" showInputMessage="1" promptTitle="LOAD FACTOR ANALYSIS" prompt="SM-454_x000d__x000a_LF 78.6%_x000d__x000a_SOLD 132_x000d__x000a_LST-SOLD 23NOV_x000d__x000a_WEEKLY 23_x000d__x000a_TO-DAY NIL_x000d__x000a_Y-DAY 8_x000d__x000a_LOWEST AVAIL U9_x000d__x000a_CAPACITY 168_x000d__x000a_CLASSES U1 &amp; O12 &amp; I23 &amp; +2 more" sqref="A36 B36 C36 D36 E36 F36 G36 H36" xr:uid="{00000000-0002-0000-1200-00000A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44 A89 B44 B89 C44 C89 D44 D89 E44 E89 F44 F89 G44 G89 H44 H89" xr:uid="{00000000-0002-0000-1200-00000B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45 A72 B45 B72 C45 C72 D45 D72 E45 E72 F45 F72 G45 G72 H45 H72" xr:uid="{00000000-0002-0000-1200-00000C000000}">
      <formula1>TRUE</formula1>
    </dataValidation>
    <dataValidation type="custom" allowBlank="1" showInputMessage="1" promptTitle="LOAD FACTOR ANALYSIS" prompt="SM-492_x000d__x000a_LF 59.5%_x000d__x000a_SOLD 100_x000d__x000a_LST-SOLD 23NOV_x000d__x000a_WEEKLY 43_x000d__x000a_TO-DAY NIL_x000d__x000a_Y-DAY 8_x000d__x000a_LOWEST AVAIL U2_x000d__x000a_CAPACITY 168_x000d__x000a_CLASSES S3 &amp; W1 &amp; X6 &amp; +4 more" sqref="A49 B49 C49 D49 E49 F49 G49 H49" xr:uid="{00000000-0002-0000-1200-00000D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51 A88 B51 B88 C51 C88 D51 D88 E51 E88 F51 F88 G51 G88 H51 H88" xr:uid="{00000000-0002-0000-1200-00000E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55 B55 C55 D55 E55 F55 G55 H55" xr:uid="{00000000-0002-0000-1200-00000F000000}">
      <formula1>TRUE</formula1>
    </dataValidation>
    <dataValidation type="custom" allowBlank="1" showInputMessage="1" promptTitle="LOAD FACTOR ANALYSIS" prompt="SM-492_x000d__x000a_LF 77.4%_x000d__x000a_SOLD 130_x000d__x000a_LST-SOLD 23NOV_x000d__x000a_WEEKLY 13_x000d__x000a_TO-DAY NIL_x000d__x000a_Y-DAY 4_x000d__x000a_LOWEST AVAIL U8_x000d__x000a_CAPACITY 168_x000d__x000a_CLASSES S8 &amp; W1 &amp; X12 &amp; +4 more" sqref="A61 B61 C61 D61 E61 F61 G61 H61" xr:uid="{00000000-0002-0000-1200-000010000000}">
      <formula1>TRUE</formula1>
    </dataValidation>
    <dataValidation type="custom" allowBlank="1" showInputMessage="1" promptTitle="LOAD FACTOR ANALYSIS" prompt="SM-456_x000d__x000a_LF 94.6%_x000d__x000a_SOLD 159_x000d__x000a_LST-SOLD 23NOV_x000d__x000a_WEEKLY 9_x000d__x000a_TO-DAY NIL_x000d__x000a_Y-DAY 2_x000d__x000a_LOWEST AVAIL X9_x000d__x000a_CAPACITY 168_x000d__x000a_CLASSES S1 &amp; W1 &amp; T2 &amp; +4 more" sqref="A62 B62 C62 D62 E62 F62 G62 H62" xr:uid="{00000000-0002-0000-1200-000011000000}">
      <formula1>TRUE</formula1>
    </dataValidation>
    <dataValidation type="custom" allowBlank="1" showInputMessage="1" promptTitle="LOAD FACTOR ANALYSIS" prompt="SM-492_x000d__x000a_LF 80.4%_x000d__x000a_SOLD 135_x000d__x000a_LST-SOLD 23NOV_x000d__x000a_WEEKLY 29_x000d__x000a_TO-DAY NIL_x000d__x000a_Y-DAY 11_x000d__x000a_LOWEST AVAIL O6_x000d__x000a_CAPACITY 168_x000d__x000a_CLASSES S7 &amp; X4 &amp; U14 &amp; +3 more" sqref="A78 B78 C78 D78 E78 F78 G78 H78" xr:uid="{00000000-0002-0000-1200-000012000000}">
      <formula1>TRUE</formula1>
    </dataValidation>
    <dataValidation type="custom" allowBlank="1" showInputMessage="1" promptTitle="LOAD FACTOR ANALYSIS" prompt="SM-456_x000d__x000a_LF 63.1%_x000d__x000a_SOLD 106_x000d__x000a_LST-SOLD 23NOV_x000d__x000a_WEEKLY 38_x000d__x000a_TO-DAY NIL_x000d__x000a_Y-DAY 7_x000d__x000a_LOWEST AVAIL U1_x000d__x000a_CAPACITY 168_x000d__x000a_CLASSES S1 &amp; W2 &amp; X5 &amp; +4 more" sqref="A79 B79 C79 D79 E79 F79 G79 H79" xr:uid="{00000000-0002-0000-1200-000013000000}">
      <formula1>TRUE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18"/>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7.33203125" bestFit="1" customWidth="1"/>
    <col min="6" max="6" width="20.5546875" bestFit="1" customWidth="1"/>
    <col min="7" max="7" width="45.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3.88671875" bestFit="1" customWidth="1"/>
  </cols>
  <sheetData>
    <row r="1" spans="1:92" ht="28.8" customHeight="1" x14ac:dyDescent="0.3">
      <c r="A1" s="305" t="s">
        <v>0</v>
      </c>
      <c r="B1" s="281"/>
      <c r="C1" s="281"/>
      <c r="D1" s="305" t="s">
        <v>757</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45985.360351704388</v>
      </c>
      <c r="H2" s="292"/>
      <c r="I2" s="292"/>
      <c r="J2" s="292"/>
      <c r="K2" s="303">
        <v>45985.360351704789</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2" t="s">
        <v>35</v>
      </c>
      <c r="B6" s="82" t="s">
        <v>758</v>
      </c>
      <c r="C6" s="83">
        <v>0.1145833333333333</v>
      </c>
      <c r="D6" s="82" t="s">
        <v>131</v>
      </c>
      <c r="E6" s="231"/>
      <c r="F6" s="82" t="s">
        <v>132</v>
      </c>
      <c r="G6" s="284"/>
      <c r="H6" s="84" t="s">
        <v>758</v>
      </c>
      <c r="I6" s="85">
        <v>1.0713999999999999</v>
      </c>
      <c r="J6" s="86">
        <v>180</v>
      </c>
      <c r="K6" s="87">
        <v>45978</v>
      </c>
      <c r="L6" s="86">
        <v>8</v>
      </c>
      <c r="M6" s="86">
        <v>0</v>
      </c>
      <c r="N6" s="86">
        <v>0</v>
      </c>
      <c r="O6" s="88" t="s">
        <v>133</v>
      </c>
      <c r="P6" s="89">
        <v>0.1145833333333333</v>
      </c>
      <c r="Q6" s="86">
        <v>168</v>
      </c>
      <c r="R6" s="90" t="s">
        <v>759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02" t="s">
        <v>35</v>
      </c>
      <c r="B7" s="202" t="s">
        <v>760</v>
      </c>
      <c r="C7" s="203">
        <v>0.41666666666666669</v>
      </c>
      <c r="D7" s="202" t="s">
        <v>131</v>
      </c>
      <c r="E7" s="218"/>
      <c r="F7" s="202" t="s">
        <v>132</v>
      </c>
      <c r="G7" s="285"/>
      <c r="H7" s="179" t="s">
        <v>760</v>
      </c>
      <c r="I7" s="180">
        <v>1.0713999999999999</v>
      </c>
      <c r="J7" s="181">
        <v>180</v>
      </c>
      <c r="K7" s="182">
        <v>45978</v>
      </c>
      <c r="L7" s="181">
        <v>6</v>
      </c>
      <c r="M7" s="181">
        <v>0</v>
      </c>
      <c r="N7" s="181">
        <v>0</v>
      </c>
      <c r="O7" s="183" t="s">
        <v>133</v>
      </c>
      <c r="P7" s="184">
        <v>0.41666666666666669</v>
      </c>
      <c r="Q7" s="181">
        <v>168</v>
      </c>
      <c r="R7" s="185" t="s">
        <v>761</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05" t="s">
        <v>35</v>
      </c>
      <c r="B8" s="205" t="s">
        <v>762</v>
      </c>
      <c r="C8" s="206">
        <v>0.6875</v>
      </c>
      <c r="D8" s="205" t="s">
        <v>131</v>
      </c>
      <c r="E8" s="222"/>
      <c r="F8" s="205" t="s">
        <v>132</v>
      </c>
      <c r="G8" s="285"/>
      <c r="H8" s="19" t="s">
        <v>762</v>
      </c>
      <c r="I8" s="186">
        <v>1.0713999999999999</v>
      </c>
      <c r="J8" s="21">
        <v>180</v>
      </c>
      <c r="K8" s="22">
        <v>45972</v>
      </c>
      <c r="L8" s="21">
        <v>0</v>
      </c>
      <c r="M8" s="21">
        <v>0</v>
      </c>
      <c r="N8" s="21">
        <v>0</v>
      </c>
      <c r="O8" s="23" t="s">
        <v>133</v>
      </c>
      <c r="P8" s="24">
        <v>0.6875</v>
      </c>
      <c r="Q8" s="21">
        <v>168</v>
      </c>
      <c r="R8" s="25" t="s">
        <v>763</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232" t="s">
        <v>35</v>
      </c>
      <c r="B9" s="232" t="s">
        <v>764</v>
      </c>
      <c r="C9" s="233">
        <v>0.79166666666666663</v>
      </c>
      <c r="D9" s="232" t="s">
        <v>131</v>
      </c>
      <c r="E9" s="234"/>
      <c r="F9" s="232" t="s">
        <v>132</v>
      </c>
      <c r="G9" s="286"/>
      <c r="H9" s="75" t="s">
        <v>764</v>
      </c>
      <c r="I9" s="76">
        <v>1.0713999999999999</v>
      </c>
      <c r="J9" s="77">
        <v>180</v>
      </c>
      <c r="K9" s="78">
        <v>45971</v>
      </c>
      <c r="L9" s="77">
        <v>0</v>
      </c>
      <c r="M9" s="77">
        <v>0</v>
      </c>
      <c r="N9" s="77">
        <v>0</v>
      </c>
      <c r="O9" s="79" t="s">
        <v>133</v>
      </c>
      <c r="P9" s="80">
        <v>0.79166666666666663</v>
      </c>
      <c r="Q9" s="77">
        <v>168</v>
      </c>
      <c r="R9" s="81" t="s">
        <v>761</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95"/>
      <c r="B10" s="296"/>
      <c r="C10" s="296"/>
      <c r="D10" s="296"/>
      <c r="E10" s="296"/>
      <c r="F10" s="296"/>
      <c r="G10" s="289"/>
      <c r="H10" s="297"/>
      <c r="I10" s="297"/>
      <c r="J10" s="297"/>
      <c r="K10" s="297"/>
      <c r="L10" s="297"/>
      <c r="M10" s="297"/>
      <c r="N10" s="297"/>
      <c r="O10" s="298"/>
      <c r="P10" s="297"/>
      <c r="Q10" s="289"/>
      <c r="R10" s="2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282" t="s">
        <v>5</v>
      </c>
      <c r="B11" s="283"/>
      <c r="C11" s="283"/>
      <c r="D11" s="283"/>
      <c r="E11" s="283"/>
      <c r="F11" s="283"/>
      <c r="G11" s="5">
        <v>45990</v>
      </c>
      <c r="H11" s="278" t="s">
        <v>6</v>
      </c>
      <c r="I11" s="279"/>
      <c r="J11" s="279"/>
      <c r="K11" s="279"/>
      <c r="L11" s="279"/>
      <c r="M11" s="279"/>
      <c r="N11" s="279"/>
      <c r="O11" s="279"/>
      <c r="P11" s="279"/>
      <c r="Q11" s="279"/>
      <c r="R11" s="27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55" t="s">
        <v>7</v>
      </c>
      <c r="B12" s="55" t="s">
        <v>8</v>
      </c>
      <c r="C12" s="56" t="s">
        <v>9</v>
      </c>
      <c r="D12" s="55" t="s">
        <v>10</v>
      </c>
      <c r="E12" s="55" t="s">
        <v>11</v>
      </c>
      <c r="F12" s="55" t="s">
        <v>12</v>
      </c>
      <c r="G12" s="57" t="s">
        <v>13</v>
      </c>
      <c r="H12" s="55" t="s">
        <v>14</v>
      </c>
      <c r="I12" s="58" t="s">
        <v>15</v>
      </c>
      <c r="J12" s="59" t="s">
        <v>16</v>
      </c>
      <c r="K12" s="60" t="s">
        <v>17</v>
      </c>
      <c r="L12" s="59" t="s">
        <v>18</v>
      </c>
      <c r="M12" s="59" t="s">
        <v>19</v>
      </c>
      <c r="N12" s="59" t="s">
        <v>20</v>
      </c>
      <c r="O12" s="55" t="s">
        <v>21</v>
      </c>
      <c r="P12" s="56" t="s">
        <v>22</v>
      </c>
      <c r="Q12" s="59" t="s">
        <v>23</v>
      </c>
      <c r="R12" s="55"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35" t="s">
        <v>304</v>
      </c>
      <c r="B13" s="235" t="s">
        <v>765</v>
      </c>
      <c r="C13" s="236">
        <v>0.95486111111111116</v>
      </c>
      <c r="D13" s="235" t="s">
        <v>306</v>
      </c>
      <c r="E13" s="235" t="s">
        <v>95</v>
      </c>
      <c r="F13" s="235" t="s">
        <v>766</v>
      </c>
      <c r="G13" s="308"/>
      <c r="H13" s="50"/>
      <c r="I13" s="51"/>
      <c r="J13" s="51"/>
      <c r="K13" s="51"/>
      <c r="L13" s="51"/>
      <c r="M13" s="51"/>
      <c r="N13" s="51"/>
      <c r="O13" s="52"/>
      <c r="P13" s="51"/>
      <c r="Q13" s="53"/>
      <c r="R13" s="5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95"/>
      <c r="B14" s="296"/>
      <c r="C14" s="296"/>
      <c r="D14" s="296"/>
      <c r="E14" s="296"/>
      <c r="F14" s="296"/>
      <c r="G14" s="289"/>
      <c r="H14" s="297"/>
      <c r="I14" s="297"/>
      <c r="J14" s="297"/>
      <c r="K14" s="297"/>
      <c r="L14" s="297"/>
      <c r="M14" s="297"/>
      <c r="N14" s="297"/>
      <c r="O14" s="298"/>
      <c r="P14" s="297"/>
      <c r="Q14" s="289"/>
      <c r="R14" s="2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82" t="s">
        <v>5</v>
      </c>
      <c r="B15" s="283"/>
      <c r="C15" s="283"/>
      <c r="D15" s="283"/>
      <c r="E15" s="283"/>
      <c r="F15" s="283"/>
      <c r="G15" s="5">
        <v>45991</v>
      </c>
      <c r="H15" s="278" t="s">
        <v>6</v>
      </c>
      <c r="I15" s="279"/>
      <c r="J15" s="279"/>
      <c r="K15" s="279"/>
      <c r="L15" s="279"/>
      <c r="M15" s="279"/>
      <c r="N15" s="279"/>
      <c r="O15" s="279"/>
      <c r="P15" s="279"/>
      <c r="Q15" s="279"/>
      <c r="R15" s="27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55" t="s">
        <v>7</v>
      </c>
      <c r="B16" s="55" t="s">
        <v>8</v>
      </c>
      <c r="C16" s="56" t="s">
        <v>9</v>
      </c>
      <c r="D16" s="55" t="s">
        <v>10</v>
      </c>
      <c r="E16" s="55" t="s">
        <v>11</v>
      </c>
      <c r="F16" s="55" t="s">
        <v>12</v>
      </c>
      <c r="G16" s="57" t="s">
        <v>13</v>
      </c>
      <c r="H16" s="55" t="s">
        <v>14</v>
      </c>
      <c r="I16" s="58" t="s">
        <v>15</v>
      </c>
      <c r="J16" s="59" t="s">
        <v>16</v>
      </c>
      <c r="K16" s="60" t="s">
        <v>17</v>
      </c>
      <c r="L16" s="59" t="s">
        <v>18</v>
      </c>
      <c r="M16" s="59" t="s">
        <v>19</v>
      </c>
      <c r="N16" s="59" t="s">
        <v>20</v>
      </c>
      <c r="O16" s="55" t="s">
        <v>21</v>
      </c>
      <c r="P16" s="56" t="s">
        <v>22</v>
      </c>
      <c r="Q16" s="59" t="s">
        <v>23</v>
      </c>
      <c r="R16" s="55"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235" t="s">
        <v>304</v>
      </c>
      <c r="B17" s="235" t="s">
        <v>767</v>
      </c>
      <c r="C17" s="236">
        <v>0.1875</v>
      </c>
      <c r="D17" s="235" t="s">
        <v>306</v>
      </c>
      <c r="E17" s="235" t="s">
        <v>122</v>
      </c>
      <c r="F17" s="235" t="s">
        <v>385</v>
      </c>
      <c r="G17" s="308"/>
      <c r="H17" s="50"/>
      <c r="I17" s="51"/>
      <c r="J17" s="51"/>
      <c r="K17" s="51"/>
      <c r="L17" s="51"/>
      <c r="M17" s="51"/>
      <c r="N17" s="51"/>
      <c r="O17" s="52"/>
      <c r="P17" s="51"/>
      <c r="Q17" s="53"/>
      <c r="R17" s="5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88"/>
      <c r="B18" s="289"/>
      <c r="C18" s="289"/>
      <c r="D18" s="289"/>
      <c r="E18" s="289"/>
      <c r="F18" s="289"/>
      <c r="G18" s="289"/>
      <c r="H18" s="289"/>
      <c r="I18" s="289"/>
      <c r="J18" s="289"/>
      <c r="K18" s="289"/>
      <c r="L18" s="289"/>
      <c r="M18" s="289"/>
      <c r="N18" s="289"/>
      <c r="O18" s="289"/>
      <c r="P18" s="289"/>
      <c r="Q18" s="289"/>
      <c r="R18" s="2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sheetData>
  <mergeCells count="21">
    <mergeCell ref="G13"/>
    <mergeCell ref="A11:F11"/>
    <mergeCell ref="A1:C1"/>
    <mergeCell ref="G1:H1"/>
    <mergeCell ref="H15:R15"/>
    <mergeCell ref="O1:Q1"/>
    <mergeCell ref="H4:R4"/>
    <mergeCell ref="A18:R18"/>
    <mergeCell ref="A2:F2"/>
    <mergeCell ref="A3:R3"/>
    <mergeCell ref="A14:R14"/>
    <mergeCell ref="G2:J2"/>
    <mergeCell ref="A4:F4"/>
    <mergeCell ref="G6:G9"/>
    <mergeCell ref="J1:M1"/>
    <mergeCell ref="G17"/>
    <mergeCell ref="H11:R11"/>
    <mergeCell ref="A10:R10"/>
    <mergeCell ref="K2:R2"/>
    <mergeCell ref="D1:F1"/>
    <mergeCell ref="A15:F1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6"/>
  <sheetViews>
    <sheetView workbookViewId="0">
      <pane ySplit="1" topLeftCell="A2" activePane="bottomLeft" state="frozen"/>
      <selection pane="bottomLeft"/>
    </sheetView>
  </sheetViews>
  <sheetFormatPr defaultRowHeight="14.4" x14ac:dyDescent="0.3"/>
  <cols>
    <col min="1" max="1" width="11.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29" width="7.5546875" bestFit="1" customWidth="1"/>
    <col min="30"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758</v>
      </c>
      <c r="D2" s="95">
        <v>0.1145833333333333</v>
      </c>
      <c r="E2" s="94" t="s">
        <v>757</v>
      </c>
      <c r="F2" s="94" t="s">
        <v>174</v>
      </c>
      <c r="G2" s="96">
        <v>1.0713999999999999</v>
      </c>
      <c r="H2" s="97">
        <v>168</v>
      </c>
      <c r="I2" s="97">
        <v>180</v>
      </c>
      <c r="J2" s="97">
        <v>180</v>
      </c>
      <c r="K2" s="93">
        <v>45978</v>
      </c>
      <c r="L2" s="97">
        <v>0</v>
      </c>
      <c r="M2" s="97">
        <v>0</v>
      </c>
      <c r="N2" s="97">
        <v>8</v>
      </c>
      <c r="O2" s="94" t="s">
        <v>133</v>
      </c>
      <c r="P2" s="98"/>
      <c r="Q2" s="98"/>
      <c r="R2" s="98"/>
      <c r="S2" s="98"/>
      <c r="T2" s="98"/>
      <c r="U2" s="98"/>
      <c r="V2" s="98"/>
      <c r="W2" s="98"/>
      <c r="X2" s="98"/>
      <c r="Y2" s="98"/>
      <c r="Z2" s="98"/>
      <c r="AA2" s="98"/>
      <c r="AB2" s="97" t="s">
        <v>768</v>
      </c>
      <c r="AC2" s="97" t="s">
        <v>769</v>
      </c>
      <c r="AD2" s="98"/>
      <c r="AE2" s="98"/>
      <c r="AF2" s="98"/>
      <c r="AG2" s="98"/>
      <c r="AH2" s="98"/>
      <c r="AI2" s="98"/>
    </row>
    <row r="3" spans="1:35" ht="18" x14ac:dyDescent="0.3">
      <c r="A3" s="99" t="s">
        <v>173</v>
      </c>
      <c r="B3" s="100">
        <v>45986</v>
      </c>
      <c r="C3" s="101" t="s">
        <v>760</v>
      </c>
      <c r="D3" s="102">
        <v>0.41666666666666669</v>
      </c>
      <c r="E3" s="101" t="s">
        <v>757</v>
      </c>
      <c r="F3" s="101" t="s">
        <v>174</v>
      </c>
      <c r="G3" s="103">
        <v>1.0713999999999999</v>
      </c>
      <c r="H3" s="104">
        <v>168</v>
      </c>
      <c r="I3" s="104">
        <v>180</v>
      </c>
      <c r="J3" s="104">
        <v>180</v>
      </c>
      <c r="K3" s="100">
        <v>45978</v>
      </c>
      <c r="L3" s="104">
        <v>0</v>
      </c>
      <c r="M3" s="104">
        <v>0</v>
      </c>
      <c r="N3" s="104">
        <v>6</v>
      </c>
      <c r="O3" s="101" t="s">
        <v>133</v>
      </c>
      <c r="P3" s="105"/>
      <c r="Q3" s="105"/>
      <c r="R3" s="105"/>
      <c r="S3" s="105"/>
      <c r="T3" s="105"/>
      <c r="U3" s="105"/>
      <c r="V3" s="105"/>
      <c r="W3" s="105"/>
      <c r="X3" s="105"/>
      <c r="Y3" s="105"/>
      <c r="Z3" s="105"/>
      <c r="AA3" s="105"/>
      <c r="AB3" s="104" t="s">
        <v>770</v>
      </c>
      <c r="AC3" s="104" t="s">
        <v>771</v>
      </c>
      <c r="AD3" s="105"/>
      <c r="AE3" s="105"/>
      <c r="AF3" s="105"/>
      <c r="AG3" s="105"/>
      <c r="AH3" s="105"/>
      <c r="AI3" s="105"/>
    </row>
    <row r="4" spans="1:35" ht="18" x14ac:dyDescent="0.3">
      <c r="A4" s="92" t="s">
        <v>173</v>
      </c>
      <c r="B4" s="93">
        <v>45986</v>
      </c>
      <c r="C4" s="94" t="s">
        <v>762</v>
      </c>
      <c r="D4" s="95">
        <v>0.6875</v>
      </c>
      <c r="E4" s="94" t="s">
        <v>757</v>
      </c>
      <c r="F4" s="94" t="s">
        <v>174</v>
      </c>
      <c r="G4" s="96">
        <v>1.0713999999999999</v>
      </c>
      <c r="H4" s="97">
        <v>168</v>
      </c>
      <c r="I4" s="97">
        <v>180</v>
      </c>
      <c r="J4" s="97">
        <v>180</v>
      </c>
      <c r="K4" s="93">
        <v>45972</v>
      </c>
      <c r="L4" s="97">
        <v>0</v>
      </c>
      <c r="M4" s="97">
        <v>0</v>
      </c>
      <c r="N4" s="97">
        <v>0</v>
      </c>
      <c r="O4" s="94" t="s">
        <v>133</v>
      </c>
      <c r="P4" s="98"/>
      <c r="Q4" s="98"/>
      <c r="R4" s="98"/>
      <c r="S4" s="98"/>
      <c r="T4" s="98"/>
      <c r="U4" s="98"/>
      <c r="V4" s="98"/>
      <c r="W4" s="98"/>
      <c r="X4" s="98"/>
      <c r="Y4" s="98"/>
      <c r="Z4" s="98"/>
      <c r="AA4" s="98"/>
      <c r="AB4" s="97" t="s">
        <v>491</v>
      </c>
      <c r="AC4" s="97" t="s">
        <v>772</v>
      </c>
      <c r="AD4" s="98"/>
      <c r="AE4" s="98"/>
      <c r="AF4" s="98"/>
      <c r="AG4" s="98"/>
      <c r="AH4" s="98"/>
      <c r="AI4" s="98"/>
    </row>
    <row r="5" spans="1:35" ht="18" x14ac:dyDescent="0.3">
      <c r="A5" s="99" t="s">
        <v>173</v>
      </c>
      <c r="B5" s="100">
        <v>45986</v>
      </c>
      <c r="C5" s="101" t="s">
        <v>764</v>
      </c>
      <c r="D5" s="102">
        <v>0.79166666666666663</v>
      </c>
      <c r="E5" s="101" t="s">
        <v>757</v>
      </c>
      <c r="F5" s="101" t="s">
        <v>174</v>
      </c>
      <c r="G5" s="103">
        <v>1.0713999999999999</v>
      </c>
      <c r="H5" s="104">
        <v>168</v>
      </c>
      <c r="I5" s="104">
        <v>180</v>
      </c>
      <c r="J5" s="104">
        <v>180</v>
      </c>
      <c r="K5" s="100">
        <v>45971</v>
      </c>
      <c r="L5" s="104">
        <v>0</v>
      </c>
      <c r="M5" s="104">
        <v>0</v>
      </c>
      <c r="N5" s="104">
        <v>0</v>
      </c>
      <c r="O5" s="101" t="s">
        <v>133</v>
      </c>
      <c r="P5" s="105"/>
      <c r="Q5" s="105"/>
      <c r="R5" s="105"/>
      <c r="S5" s="105"/>
      <c r="T5" s="105"/>
      <c r="U5" s="105"/>
      <c r="V5" s="105"/>
      <c r="W5" s="105"/>
      <c r="X5" s="105"/>
      <c r="Y5" s="105"/>
      <c r="Z5" s="105"/>
      <c r="AA5" s="105"/>
      <c r="AB5" s="104" t="s">
        <v>770</v>
      </c>
      <c r="AC5" s="104" t="s">
        <v>771</v>
      </c>
      <c r="AD5" s="105"/>
      <c r="AE5" s="105"/>
      <c r="AF5" s="105"/>
      <c r="AG5" s="105"/>
      <c r="AH5" s="105"/>
      <c r="AI5" s="105"/>
    </row>
    <row r="6" spans="1:35" ht="18" x14ac:dyDescent="0.3">
      <c r="A6" s="106" t="s">
        <v>219</v>
      </c>
      <c r="B6" s="107"/>
      <c r="C6" s="108">
        <f>COUNTA(C2:C5)</f>
        <v>4</v>
      </c>
      <c r="D6" s="107"/>
      <c r="E6" s="107"/>
      <c r="F6" s="107"/>
      <c r="G6" s="109">
        <f>AVERAGE(G2:G5)</f>
        <v>1.0713999999999999</v>
      </c>
      <c r="H6" s="110">
        <f>SUM(H2:H5)</f>
        <v>672</v>
      </c>
      <c r="I6" s="110">
        <f>SUM(I2:I5)</f>
        <v>720</v>
      </c>
      <c r="J6" s="110">
        <f>SUM(J2:J5)</f>
        <v>720</v>
      </c>
      <c r="K6" s="107"/>
      <c r="L6" s="110">
        <f>SUM(L2:L5)</f>
        <v>0</v>
      </c>
      <c r="M6" s="110">
        <f>SUM(M2:M5)</f>
        <v>0</v>
      </c>
      <c r="N6" s="110">
        <f>SUM(N2:N5)</f>
        <v>14</v>
      </c>
      <c r="O6" s="107"/>
      <c r="P6" s="110">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0">
        <f t="shared" si="0"/>
        <v>0</v>
      </c>
      <c r="R6" s="110">
        <f t="shared" si="0"/>
        <v>0</v>
      </c>
      <c r="S6" s="110">
        <f t="shared" si="0"/>
        <v>0</v>
      </c>
      <c r="T6" s="110">
        <f t="shared" si="0"/>
        <v>0</v>
      </c>
      <c r="U6" s="110">
        <f t="shared" si="0"/>
        <v>0</v>
      </c>
      <c r="V6" s="110">
        <f t="shared" si="0"/>
        <v>0</v>
      </c>
      <c r="W6" s="110">
        <f t="shared" si="0"/>
        <v>0</v>
      </c>
      <c r="X6" s="110">
        <f t="shared" si="0"/>
        <v>0</v>
      </c>
      <c r="Y6" s="110">
        <f t="shared" si="0"/>
        <v>0</v>
      </c>
      <c r="Z6" s="110">
        <f t="shared" si="0"/>
        <v>0</v>
      </c>
      <c r="AA6" s="110">
        <f t="shared" si="0"/>
        <v>0</v>
      </c>
      <c r="AB6" s="110">
        <f t="shared" si="0"/>
        <v>0</v>
      </c>
      <c r="AC6" s="110">
        <f t="shared" si="0"/>
        <v>0</v>
      </c>
      <c r="AD6" s="110">
        <f t="shared" si="0"/>
        <v>0</v>
      </c>
      <c r="AE6" s="110">
        <f t="shared" si="0"/>
        <v>0</v>
      </c>
      <c r="AF6" s="110">
        <f t="shared" si="0"/>
        <v>0</v>
      </c>
      <c r="AG6" s="110">
        <f t="shared" si="0"/>
        <v>0</v>
      </c>
      <c r="AH6" s="110">
        <f t="shared" si="0"/>
        <v>0</v>
      </c>
      <c r="AI6" s="110">
        <f t="shared" si="0"/>
        <v>0</v>
      </c>
    </row>
  </sheetData>
  <autoFilter ref="A1:AI5"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7"/>
  <sheetViews>
    <sheetView workbookViewId="0"/>
  </sheetViews>
  <sheetFormatPr defaultRowHeight="14.4" x14ac:dyDescent="0.3"/>
  <cols>
    <col min="1" max="1" width="13"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87">
        <v>45986</v>
      </c>
      <c r="B2" s="125" t="s">
        <v>35</v>
      </c>
      <c r="C2" s="126" t="s">
        <v>758</v>
      </c>
      <c r="D2" s="125" t="s">
        <v>757</v>
      </c>
      <c r="E2" s="127">
        <v>1.114583333333333</v>
      </c>
      <c r="F2" s="125" t="s">
        <v>131</v>
      </c>
      <c r="G2" s="125"/>
      <c r="H2" s="188" t="s">
        <v>132</v>
      </c>
    </row>
    <row r="3" spans="1:8" ht="18" x14ac:dyDescent="0.3">
      <c r="A3" s="130">
        <v>45986</v>
      </c>
      <c r="B3" s="131" t="s">
        <v>35</v>
      </c>
      <c r="C3" s="132" t="s">
        <v>760</v>
      </c>
      <c r="D3" s="131" t="s">
        <v>757</v>
      </c>
      <c r="E3" s="133">
        <v>1.416666666666667</v>
      </c>
      <c r="F3" s="131" t="s">
        <v>131</v>
      </c>
      <c r="G3" s="131"/>
      <c r="H3" s="131" t="s">
        <v>132</v>
      </c>
    </row>
    <row r="4" spans="1:8" ht="18" x14ac:dyDescent="0.3">
      <c r="A4" s="130">
        <v>45986</v>
      </c>
      <c r="B4" s="131" t="s">
        <v>35</v>
      </c>
      <c r="C4" s="132" t="s">
        <v>762</v>
      </c>
      <c r="D4" s="131" t="s">
        <v>757</v>
      </c>
      <c r="E4" s="133">
        <v>1.6875</v>
      </c>
      <c r="F4" s="131" t="s">
        <v>131</v>
      </c>
      <c r="G4" s="131"/>
      <c r="H4" s="131" t="s">
        <v>132</v>
      </c>
    </row>
    <row r="5" spans="1:8" ht="18" x14ac:dyDescent="0.3">
      <c r="A5" s="224">
        <v>45986</v>
      </c>
      <c r="B5" s="225" t="s">
        <v>35</v>
      </c>
      <c r="C5" s="226" t="s">
        <v>764</v>
      </c>
      <c r="D5" s="225" t="s">
        <v>757</v>
      </c>
      <c r="E5" s="227">
        <v>1.791666666666667</v>
      </c>
      <c r="F5" s="225" t="s">
        <v>131</v>
      </c>
      <c r="G5" s="225"/>
      <c r="H5" s="225" t="s">
        <v>132</v>
      </c>
    </row>
    <row r="6" spans="1:8" ht="18" x14ac:dyDescent="0.3">
      <c r="A6" s="237">
        <v>45990</v>
      </c>
      <c r="B6" s="195" t="s">
        <v>304</v>
      </c>
      <c r="C6" s="196" t="s">
        <v>765</v>
      </c>
      <c r="D6" s="195" t="s">
        <v>757</v>
      </c>
      <c r="E6" s="197">
        <v>1.9548611111111109</v>
      </c>
      <c r="F6" s="195" t="s">
        <v>306</v>
      </c>
      <c r="G6" s="198">
        <v>2</v>
      </c>
      <c r="H6" s="238">
        <v>835</v>
      </c>
    </row>
    <row r="7" spans="1:8" ht="18" x14ac:dyDescent="0.3">
      <c r="A7" s="237">
        <v>45991</v>
      </c>
      <c r="B7" s="195" t="s">
        <v>304</v>
      </c>
      <c r="C7" s="196" t="s">
        <v>767</v>
      </c>
      <c r="D7" s="195" t="s">
        <v>757</v>
      </c>
      <c r="E7" s="197">
        <v>1.1875</v>
      </c>
      <c r="F7" s="195" t="s">
        <v>306</v>
      </c>
      <c r="G7" s="198">
        <v>5</v>
      </c>
      <c r="H7" s="238">
        <v>935</v>
      </c>
    </row>
  </sheetData>
  <dataValidations count="4">
    <dataValidation type="custom" allowBlank="1" showInputMessage="1" promptTitle="LOAD FACTOR ANALYSIS" prompt="SM482_x000d__x000a_LF 1.1%_x000d__x000a_SOLD 180_x000d__x000a_LST-SOLD 17NOV_x000d__x000a_WEEKLY 8_x000d__x000a_TO-DAY NIL_x000d__x000a_Y-DAY NIL_x000d__x000a_LOWEST AVAIL CLOSED_x000d__x000a_CAPACITY 168_x000d__x000a_CLASSES X83 &amp; U97" sqref="A2 B2 C2 D2 E2 F2 G2 H2" xr:uid="{00000000-0002-0000-1500-000000000000}">
      <formula1>TRUE</formula1>
    </dataValidation>
    <dataValidation type="custom" allowBlank="1" showInputMessage="1" promptTitle="LOAD FACTOR ANALYSIS" prompt="SM430_x000d__x000a_LF 1.1%_x000d__x000a_SOLD 180_x000d__x000a_LST-SOLD 17NOV_x000d__x000a_WEEKLY 6_x000d__x000a_TO-DAY NIL_x000d__x000a_Y-DAY NIL_x000d__x000a_LOWEST AVAIL CLOSED_x000d__x000a_CAPACITY 168_x000d__x000a_CLASSES X45 &amp; U135" sqref="A3 B3 C3 D3 E3 F3 G3 H3" xr:uid="{00000000-0002-0000-1500-000001000000}">
      <formula1>TRUE</formula1>
    </dataValidation>
    <dataValidation type="custom" allowBlank="1" showInputMessage="1" promptTitle="LOAD FACTOR ANALYSIS" prompt="SM982_x000d__x000a_LF 1.1%_x000d__x000a_SOLD 180_x000d__x000a_LST-SOLD 11NOV_x000d__x000a_WEEKLY NIL_x000d__x000a_TO-DAY NIL_x000d__x000a_Y-DAY NIL_x000d__x000a_LOWEST AVAIL CLOSED_x000d__x000a_CAPACITY 168_x000d__x000a_CLASSES X1 &amp; U179" sqref="A4 B4 C4 D4 E4 F4 G4 H4" xr:uid="{00000000-0002-0000-1500-000002000000}">
      <formula1>TRUE</formula1>
    </dataValidation>
    <dataValidation type="custom" allowBlank="1" showInputMessage="1" promptTitle="LOAD FACTOR ANALYSIS" prompt="SM484_x000d__x000a_LF 1.1%_x000d__x000a_SOLD 180_x000d__x000a_LST-SOLD 10NOV_x000d__x000a_WEEKLY NIL_x000d__x000a_TO-DAY NIL_x000d__x000a_Y-DAY NIL_x000d__x000a_LOWEST AVAIL CLOSED_x000d__x000a_CAPACITY 168_x000d__x000a_CLASSES X45 &amp; U135" sqref="A5 B5 C5 D5 E5 F5 G5 H5" xr:uid="{00000000-0002-0000-1500-000003000000}">
      <formula1>TRUE</formula1>
    </dataValidation>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5"/>
  <sheetViews>
    <sheetView zoomScale="85" workbookViewId="0"/>
  </sheetViews>
  <sheetFormatPr defaultRowHeight="14.4" x14ac:dyDescent="0.3"/>
  <cols>
    <col min="14" max="14" width="7.77734375" bestFit="1" customWidth="1"/>
  </cols>
  <sheetData>
    <row r="1" spans="1:92" ht="28.8" customHeight="1" x14ac:dyDescent="0.3">
      <c r="A1" s="305" t="s">
        <v>0</v>
      </c>
      <c r="B1" s="281"/>
      <c r="C1" s="281"/>
      <c r="D1" s="305" t="s">
        <v>773</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45985.360352865428</v>
      </c>
      <c r="H2" s="292"/>
      <c r="I2" s="292"/>
      <c r="J2" s="292"/>
      <c r="K2" s="303">
        <v>45985.360352865893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39"/>
      <c r="B4" s="239"/>
      <c r="C4" s="239"/>
      <c r="D4" s="239"/>
      <c r="E4" s="239"/>
      <c r="F4" s="239"/>
      <c r="G4" s="240"/>
      <c r="H4" s="241"/>
      <c r="I4" s="241"/>
      <c r="J4" s="241"/>
      <c r="K4" s="241"/>
      <c r="L4" s="241"/>
      <c r="M4" s="241"/>
      <c r="N4" s="241"/>
      <c r="O4" s="241"/>
      <c r="P4" s="241"/>
      <c r="Q4" s="241"/>
      <c r="R4" s="241"/>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41"/>
      <c r="B5" s="241"/>
      <c r="C5" s="241"/>
      <c r="D5" s="241"/>
      <c r="E5" s="241"/>
      <c r="F5" s="241"/>
      <c r="G5" s="241"/>
      <c r="H5" s="241"/>
      <c r="I5" s="241"/>
      <c r="J5" s="241"/>
      <c r="K5" s="241"/>
      <c r="L5" s="241"/>
      <c r="M5" s="241"/>
      <c r="N5" s="241"/>
      <c r="O5" s="241"/>
      <c r="P5" s="241"/>
      <c r="Q5" s="241"/>
      <c r="R5" s="241"/>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11" t="s">
        <v>220</v>
      </c>
      <c r="B1" s="111" t="s">
        <v>7</v>
      </c>
      <c r="C1" s="111" t="s">
        <v>8</v>
      </c>
      <c r="D1" s="111" t="s">
        <v>221</v>
      </c>
      <c r="E1" s="111" t="s">
        <v>9</v>
      </c>
      <c r="F1" s="111" t="s">
        <v>10</v>
      </c>
      <c r="G1" s="111" t="s">
        <v>11</v>
      </c>
      <c r="H1" s="111" t="s">
        <v>12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26"/>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2.77734375" bestFit="1" customWidth="1"/>
    <col min="5" max="5" width="18.6640625" bestFit="1" customWidth="1"/>
    <col min="6" max="6" width="20.5546875" bestFit="1" customWidth="1"/>
    <col min="7" max="7" width="49.77734375" bestFit="1" customWidth="1"/>
    <col min="8" max="8" width="9.5546875" bestFit="1" customWidth="1"/>
    <col min="9" max="9" width="6.109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305" t="s">
        <v>0</v>
      </c>
      <c r="B1" s="281"/>
      <c r="C1" s="281"/>
      <c r="D1" s="305" t="s">
        <v>774</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45985.3603530783</v>
      </c>
      <c r="H2" s="292"/>
      <c r="I2" s="292"/>
      <c r="J2" s="292"/>
      <c r="K2" s="303">
        <v>45985.36035307873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45987</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78</v>
      </c>
      <c r="B6" s="8" t="s">
        <v>775</v>
      </c>
      <c r="C6" s="9">
        <v>0.60416666666666663</v>
      </c>
      <c r="D6" s="8" t="s">
        <v>87</v>
      </c>
      <c r="E6" s="8" t="s">
        <v>38</v>
      </c>
      <c r="F6" s="8" t="s">
        <v>776</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48" t="s">
        <v>78</v>
      </c>
      <c r="B7" s="48" t="s">
        <v>775</v>
      </c>
      <c r="C7" s="49">
        <v>0.60416666666666663</v>
      </c>
      <c r="D7" s="48" t="s">
        <v>82</v>
      </c>
      <c r="E7" s="48" t="s">
        <v>88</v>
      </c>
      <c r="F7" s="48" t="s">
        <v>777</v>
      </c>
      <c r="G7" s="286"/>
      <c r="H7" s="50"/>
      <c r="I7" s="51"/>
      <c r="J7" s="51"/>
      <c r="K7" s="51"/>
      <c r="L7" s="51"/>
      <c r="M7" s="51"/>
      <c r="N7" s="51"/>
      <c r="O7" s="52"/>
      <c r="P7" s="51"/>
      <c r="Q7" s="53"/>
      <c r="R7" s="5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95"/>
      <c r="B8" s="296"/>
      <c r="C8" s="296"/>
      <c r="D8" s="296"/>
      <c r="E8" s="296"/>
      <c r="F8" s="296"/>
      <c r="G8" s="289"/>
      <c r="H8" s="297"/>
      <c r="I8" s="297"/>
      <c r="J8" s="297"/>
      <c r="K8" s="297"/>
      <c r="L8" s="297"/>
      <c r="M8" s="297"/>
      <c r="N8" s="297"/>
      <c r="O8" s="298"/>
      <c r="P8" s="297"/>
      <c r="Q8" s="289"/>
      <c r="R8" s="2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82" t="s">
        <v>5</v>
      </c>
      <c r="B9" s="283"/>
      <c r="C9" s="283"/>
      <c r="D9" s="283"/>
      <c r="E9" s="283"/>
      <c r="F9" s="283"/>
      <c r="G9" s="5">
        <v>45988</v>
      </c>
      <c r="H9" s="278" t="s">
        <v>6</v>
      </c>
      <c r="I9" s="279"/>
      <c r="J9" s="279"/>
      <c r="K9" s="279"/>
      <c r="L9" s="279"/>
      <c r="M9" s="279"/>
      <c r="N9" s="279"/>
      <c r="O9" s="279"/>
      <c r="P9" s="279"/>
      <c r="Q9" s="279"/>
      <c r="R9" s="27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55" t="s">
        <v>7</v>
      </c>
      <c r="B10" s="55" t="s">
        <v>8</v>
      </c>
      <c r="C10" s="56" t="s">
        <v>9</v>
      </c>
      <c r="D10" s="55" t="s">
        <v>10</v>
      </c>
      <c r="E10" s="55" t="s">
        <v>11</v>
      </c>
      <c r="F10" s="55" t="s">
        <v>12</v>
      </c>
      <c r="G10" s="57" t="s">
        <v>13</v>
      </c>
      <c r="H10" s="55" t="s">
        <v>14</v>
      </c>
      <c r="I10" s="58" t="s">
        <v>15</v>
      </c>
      <c r="J10" s="59" t="s">
        <v>16</v>
      </c>
      <c r="K10" s="60" t="s">
        <v>17</v>
      </c>
      <c r="L10" s="59" t="s">
        <v>18</v>
      </c>
      <c r="M10" s="59" t="s">
        <v>19</v>
      </c>
      <c r="N10" s="59" t="s">
        <v>20</v>
      </c>
      <c r="O10" s="55" t="s">
        <v>21</v>
      </c>
      <c r="P10" s="56" t="s">
        <v>22</v>
      </c>
      <c r="Q10" s="59" t="s">
        <v>23</v>
      </c>
      <c r="R10" s="55"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78</v>
      </c>
      <c r="B11" s="8" t="s">
        <v>775</v>
      </c>
      <c r="C11" s="9">
        <v>0.60416666666666663</v>
      </c>
      <c r="D11" s="8" t="s">
        <v>94</v>
      </c>
      <c r="E11" s="8" t="s">
        <v>38</v>
      </c>
      <c r="F11" s="8" t="s">
        <v>778</v>
      </c>
      <c r="G11" s="284"/>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5" t="s">
        <v>78</v>
      </c>
      <c r="B12" s="15" t="s">
        <v>775</v>
      </c>
      <c r="C12" s="16">
        <v>0.60416666666666663</v>
      </c>
      <c r="D12" s="15" t="s">
        <v>87</v>
      </c>
      <c r="E12" s="15" t="s">
        <v>88</v>
      </c>
      <c r="F12" s="15" t="s">
        <v>779</v>
      </c>
      <c r="G12" s="285"/>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48" t="s">
        <v>78</v>
      </c>
      <c r="B13" s="48" t="s">
        <v>775</v>
      </c>
      <c r="C13" s="49">
        <v>0.60416666666666663</v>
      </c>
      <c r="D13" s="48" t="s">
        <v>82</v>
      </c>
      <c r="E13" s="48" t="s">
        <v>88</v>
      </c>
      <c r="F13" s="48" t="s">
        <v>780</v>
      </c>
      <c r="G13" s="286"/>
      <c r="H13" s="50"/>
      <c r="I13" s="51"/>
      <c r="J13" s="51"/>
      <c r="K13" s="51"/>
      <c r="L13" s="51"/>
      <c r="M13" s="51"/>
      <c r="N13" s="51"/>
      <c r="O13" s="52"/>
      <c r="P13" s="51"/>
      <c r="Q13" s="53"/>
      <c r="R13" s="5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95"/>
      <c r="B14" s="296"/>
      <c r="C14" s="296"/>
      <c r="D14" s="296"/>
      <c r="E14" s="296"/>
      <c r="F14" s="296"/>
      <c r="G14" s="289"/>
      <c r="H14" s="297"/>
      <c r="I14" s="297"/>
      <c r="J14" s="297"/>
      <c r="K14" s="297"/>
      <c r="L14" s="297"/>
      <c r="M14" s="297"/>
      <c r="N14" s="297"/>
      <c r="O14" s="298"/>
      <c r="P14" s="297"/>
      <c r="Q14" s="289"/>
      <c r="R14" s="2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82" t="s">
        <v>5</v>
      </c>
      <c r="B15" s="283"/>
      <c r="C15" s="283"/>
      <c r="D15" s="283"/>
      <c r="E15" s="283"/>
      <c r="F15" s="283"/>
      <c r="G15" s="5">
        <v>45990</v>
      </c>
      <c r="H15" s="278" t="s">
        <v>6</v>
      </c>
      <c r="I15" s="279"/>
      <c r="J15" s="279"/>
      <c r="K15" s="279"/>
      <c r="L15" s="279"/>
      <c r="M15" s="279"/>
      <c r="N15" s="279"/>
      <c r="O15" s="279"/>
      <c r="P15" s="279"/>
      <c r="Q15" s="279"/>
      <c r="R15" s="27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55" t="s">
        <v>7</v>
      </c>
      <c r="B16" s="55" t="s">
        <v>8</v>
      </c>
      <c r="C16" s="56" t="s">
        <v>9</v>
      </c>
      <c r="D16" s="55" t="s">
        <v>10</v>
      </c>
      <c r="E16" s="55" t="s">
        <v>11</v>
      </c>
      <c r="F16" s="55" t="s">
        <v>12</v>
      </c>
      <c r="G16" s="57" t="s">
        <v>13</v>
      </c>
      <c r="H16" s="55" t="s">
        <v>14</v>
      </c>
      <c r="I16" s="58" t="s">
        <v>15</v>
      </c>
      <c r="J16" s="59" t="s">
        <v>16</v>
      </c>
      <c r="K16" s="60" t="s">
        <v>17</v>
      </c>
      <c r="L16" s="59" t="s">
        <v>18</v>
      </c>
      <c r="M16" s="59" t="s">
        <v>19</v>
      </c>
      <c r="N16" s="59" t="s">
        <v>20</v>
      </c>
      <c r="O16" s="55" t="s">
        <v>21</v>
      </c>
      <c r="P16" s="56" t="s">
        <v>22</v>
      </c>
      <c r="Q16" s="59" t="s">
        <v>23</v>
      </c>
      <c r="R16" s="55"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8" t="s">
        <v>78</v>
      </c>
      <c r="B17" s="8" t="s">
        <v>775</v>
      </c>
      <c r="C17" s="9">
        <v>0.60069444444444442</v>
      </c>
      <c r="D17" s="8" t="s">
        <v>94</v>
      </c>
      <c r="E17" s="8" t="s">
        <v>38</v>
      </c>
      <c r="F17" s="8" t="s">
        <v>781</v>
      </c>
      <c r="G17" s="284"/>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15" t="s">
        <v>78</v>
      </c>
      <c r="B18" s="15" t="s">
        <v>775</v>
      </c>
      <c r="C18" s="16">
        <v>0.60069444444444442</v>
      </c>
      <c r="D18" s="15" t="s">
        <v>87</v>
      </c>
      <c r="E18" s="15" t="s">
        <v>88</v>
      </c>
      <c r="F18" s="15" t="s">
        <v>65</v>
      </c>
      <c r="G18" s="285"/>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48" t="s">
        <v>78</v>
      </c>
      <c r="B19" s="48" t="s">
        <v>775</v>
      </c>
      <c r="C19" s="49">
        <v>0.60069444444444442</v>
      </c>
      <c r="D19" s="48" t="s">
        <v>82</v>
      </c>
      <c r="E19" s="48" t="s">
        <v>88</v>
      </c>
      <c r="F19" s="48" t="s">
        <v>637</v>
      </c>
      <c r="G19" s="286"/>
      <c r="H19" s="50"/>
      <c r="I19" s="51"/>
      <c r="J19" s="51"/>
      <c r="K19" s="51"/>
      <c r="L19" s="51"/>
      <c r="M19" s="51"/>
      <c r="N19" s="51"/>
      <c r="O19" s="52"/>
      <c r="P19" s="51"/>
      <c r="Q19" s="53"/>
      <c r="R19" s="5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95"/>
      <c r="B20" s="296"/>
      <c r="C20" s="296"/>
      <c r="D20" s="296"/>
      <c r="E20" s="296"/>
      <c r="F20" s="296"/>
      <c r="G20" s="289"/>
      <c r="H20" s="297"/>
      <c r="I20" s="297"/>
      <c r="J20" s="297"/>
      <c r="K20" s="297"/>
      <c r="L20" s="297"/>
      <c r="M20" s="297"/>
      <c r="N20" s="297"/>
      <c r="O20" s="298"/>
      <c r="P20" s="297"/>
      <c r="Q20" s="289"/>
      <c r="R20" s="29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82" t="s">
        <v>5</v>
      </c>
      <c r="B21" s="283"/>
      <c r="C21" s="283"/>
      <c r="D21" s="283"/>
      <c r="E21" s="283"/>
      <c r="F21" s="283"/>
      <c r="G21" s="5">
        <v>45991</v>
      </c>
      <c r="H21" s="278" t="s">
        <v>6</v>
      </c>
      <c r="I21" s="279"/>
      <c r="J21" s="279"/>
      <c r="K21" s="279"/>
      <c r="L21" s="279"/>
      <c r="M21" s="279"/>
      <c r="N21" s="279"/>
      <c r="O21" s="279"/>
      <c r="P21" s="279"/>
      <c r="Q21" s="279"/>
      <c r="R21" s="27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55" t="s">
        <v>7</v>
      </c>
      <c r="B22" s="55" t="s">
        <v>8</v>
      </c>
      <c r="C22" s="56" t="s">
        <v>9</v>
      </c>
      <c r="D22" s="55" t="s">
        <v>10</v>
      </c>
      <c r="E22" s="55" t="s">
        <v>11</v>
      </c>
      <c r="F22" s="55" t="s">
        <v>12</v>
      </c>
      <c r="G22" s="57" t="s">
        <v>13</v>
      </c>
      <c r="H22" s="55" t="s">
        <v>14</v>
      </c>
      <c r="I22" s="58" t="s">
        <v>15</v>
      </c>
      <c r="J22" s="59" t="s">
        <v>16</v>
      </c>
      <c r="K22" s="60" t="s">
        <v>17</v>
      </c>
      <c r="L22" s="59" t="s">
        <v>18</v>
      </c>
      <c r="M22" s="59" t="s">
        <v>19</v>
      </c>
      <c r="N22" s="59" t="s">
        <v>20</v>
      </c>
      <c r="O22" s="55" t="s">
        <v>21</v>
      </c>
      <c r="P22" s="56" t="s">
        <v>22</v>
      </c>
      <c r="Q22" s="59" t="s">
        <v>23</v>
      </c>
      <c r="R22" s="55"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8" t="s">
        <v>78</v>
      </c>
      <c r="B23" s="8" t="s">
        <v>775</v>
      </c>
      <c r="C23" s="9">
        <v>0.60069444444444442</v>
      </c>
      <c r="D23" s="8" t="s">
        <v>94</v>
      </c>
      <c r="E23" s="8" t="s">
        <v>124</v>
      </c>
      <c r="F23" s="8" t="s">
        <v>782</v>
      </c>
      <c r="G23" s="284"/>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5" t="s">
        <v>78</v>
      </c>
      <c r="B24" s="15" t="s">
        <v>775</v>
      </c>
      <c r="C24" s="16">
        <v>0.60069444444444442</v>
      </c>
      <c r="D24" s="15" t="s">
        <v>87</v>
      </c>
      <c r="E24" s="15" t="s">
        <v>125</v>
      </c>
      <c r="F24" s="15" t="s">
        <v>783</v>
      </c>
      <c r="G24" s="285"/>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48" t="s">
        <v>78</v>
      </c>
      <c r="B25" s="48" t="s">
        <v>775</v>
      </c>
      <c r="C25" s="49">
        <v>0.60069444444444442</v>
      </c>
      <c r="D25" s="48" t="s">
        <v>82</v>
      </c>
      <c r="E25" s="48" t="s">
        <v>125</v>
      </c>
      <c r="F25" s="48" t="s">
        <v>784</v>
      </c>
      <c r="G25" s="286"/>
      <c r="H25" s="50"/>
      <c r="I25" s="51"/>
      <c r="J25" s="51"/>
      <c r="K25" s="51"/>
      <c r="L25" s="51"/>
      <c r="M25" s="51"/>
      <c r="N25" s="51"/>
      <c r="O25" s="52"/>
      <c r="P25" s="51"/>
      <c r="Q25" s="53"/>
      <c r="R25" s="5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88"/>
      <c r="B26" s="289"/>
      <c r="C26" s="289"/>
      <c r="D26" s="289"/>
      <c r="E26" s="289"/>
      <c r="F26" s="289"/>
      <c r="G26" s="289"/>
      <c r="H26" s="289"/>
      <c r="I26" s="289"/>
      <c r="J26" s="289"/>
      <c r="K26" s="289"/>
      <c r="L26" s="289"/>
      <c r="M26" s="289"/>
      <c r="N26" s="289"/>
      <c r="O26" s="289"/>
      <c r="P26" s="289"/>
      <c r="Q26" s="289"/>
      <c r="R26" s="2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sheetData>
  <mergeCells count="25">
    <mergeCell ref="A26:R26"/>
    <mergeCell ref="H21:R21"/>
    <mergeCell ref="G6:G7"/>
    <mergeCell ref="A14:R14"/>
    <mergeCell ref="G2:J2"/>
    <mergeCell ref="A4:F4"/>
    <mergeCell ref="A8:R8"/>
    <mergeCell ref="A20:R20"/>
    <mergeCell ref="G17:G19"/>
    <mergeCell ref="G11:G13"/>
    <mergeCell ref="A9:F9"/>
    <mergeCell ref="K2:R2"/>
    <mergeCell ref="G23:G25"/>
    <mergeCell ref="A15:F15"/>
    <mergeCell ref="H15:R15"/>
    <mergeCell ref="O1:Q1"/>
    <mergeCell ref="A21:F21"/>
    <mergeCell ref="H4:R4"/>
    <mergeCell ref="A2:F2"/>
    <mergeCell ref="A3:R3"/>
    <mergeCell ref="H9:R9"/>
    <mergeCell ref="J1:M1"/>
    <mergeCell ref="D1:F1"/>
    <mergeCell ref="A1:C1"/>
    <mergeCell ref="G1:H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2"/>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15.5546875" bestFit="1" customWidth="1"/>
    <col min="6" max="6" width="36.4414062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45987</v>
      </c>
      <c r="B2" s="113" t="s">
        <v>78</v>
      </c>
      <c r="C2" s="114" t="s">
        <v>775</v>
      </c>
      <c r="D2" s="113" t="s">
        <v>774</v>
      </c>
      <c r="E2" s="115">
        <v>1.604166666666667</v>
      </c>
      <c r="F2" s="113" t="s">
        <v>87</v>
      </c>
      <c r="G2" s="116">
        <v>9</v>
      </c>
      <c r="H2" s="193" t="s">
        <v>776</v>
      </c>
    </row>
    <row r="3" spans="1:8" ht="18" x14ac:dyDescent="0.3">
      <c r="A3" s="144">
        <v>45987</v>
      </c>
      <c r="B3" s="145" t="s">
        <v>78</v>
      </c>
      <c r="C3" s="146" t="s">
        <v>775</v>
      </c>
      <c r="D3" s="145" t="s">
        <v>774</v>
      </c>
      <c r="E3" s="147">
        <v>1.604166666666667</v>
      </c>
      <c r="F3" s="145" t="s">
        <v>82</v>
      </c>
      <c r="G3" s="148">
        <v>9</v>
      </c>
      <c r="H3" s="145" t="s">
        <v>777</v>
      </c>
    </row>
    <row r="4" spans="1:8" ht="18" x14ac:dyDescent="0.3">
      <c r="A4" s="112">
        <v>45988</v>
      </c>
      <c r="B4" s="113" t="s">
        <v>78</v>
      </c>
      <c r="C4" s="114" t="s">
        <v>775</v>
      </c>
      <c r="D4" s="113" t="s">
        <v>774</v>
      </c>
      <c r="E4" s="115">
        <v>1.604166666666667</v>
      </c>
      <c r="F4" s="113" t="s">
        <v>94</v>
      </c>
      <c r="G4" s="116">
        <v>9</v>
      </c>
      <c r="H4" s="117">
        <v>756</v>
      </c>
    </row>
    <row r="5" spans="1:8" ht="18" x14ac:dyDescent="0.3">
      <c r="A5" s="118">
        <v>45988</v>
      </c>
      <c r="B5" s="119" t="s">
        <v>78</v>
      </c>
      <c r="C5" s="120" t="s">
        <v>775</v>
      </c>
      <c r="D5" s="119" t="s">
        <v>774</v>
      </c>
      <c r="E5" s="121">
        <v>1.604166666666667</v>
      </c>
      <c r="F5" s="119" t="s">
        <v>87</v>
      </c>
      <c r="G5" s="122">
        <v>9</v>
      </c>
      <c r="H5" s="119" t="s">
        <v>779</v>
      </c>
    </row>
    <row r="6" spans="1:8" ht="18" x14ac:dyDescent="0.3">
      <c r="A6" s="144">
        <v>45988</v>
      </c>
      <c r="B6" s="145" t="s">
        <v>78</v>
      </c>
      <c r="C6" s="146" t="s">
        <v>775</v>
      </c>
      <c r="D6" s="145" t="s">
        <v>774</v>
      </c>
      <c r="E6" s="147">
        <v>1.604166666666667</v>
      </c>
      <c r="F6" s="145" t="s">
        <v>82</v>
      </c>
      <c r="G6" s="148">
        <v>9</v>
      </c>
      <c r="H6" s="145" t="s">
        <v>780</v>
      </c>
    </row>
    <row r="7" spans="1:8" ht="18" x14ac:dyDescent="0.3">
      <c r="A7" s="112">
        <v>45990</v>
      </c>
      <c r="B7" s="113" t="s">
        <v>78</v>
      </c>
      <c r="C7" s="114" t="s">
        <v>775</v>
      </c>
      <c r="D7" s="113" t="s">
        <v>774</v>
      </c>
      <c r="E7" s="115">
        <v>1.600694444444444</v>
      </c>
      <c r="F7" s="113" t="s">
        <v>94</v>
      </c>
      <c r="G7" s="116">
        <v>9</v>
      </c>
      <c r="H7" s="117">
        <v>551</v>
      </c>
    </row>
    <row r="8" spans="1:8" ht="18" x14ac:dyDescent="0.3">
      <c r="A8" s="118">
        <v>45990</v>
      </c>
      <c r="B8" s="119" t="s">
        <v>78</v>
      </c>
      <c r="C8" s="120" t="s">
        <v>775</v>
      </c>
      <c r="D8" s="119" t="s">
        <v>774</v>
      </c>
      <c r="E8" s="121">
        <v>1.600694444444444</v>
      </c>
      <c r="F8" s="119" t="s">
        <v>87</v>
      </c>
      <c r="G8" s="122">
        <v>9</v>
      </c>
      <c r="H8" s="123">
        <v>829</v>
      </c>
    </row>
    <row r="9" spans="1:8" ht="18" x14ac:dyDescent="0.3">
      <c r="A9" s="144">
        <v>45990</v>
      </c>
      <c r="B9" s="145" t="s">
        <v>78</v>
      </c>
      <c r="C9" s="146" t="s">
        <v>775</v>
      </c>
      <c r="D9" s="145" t="s">
        <v>774</v>
      </c>
      <c r="E9" s="147">
        <v>1.600694444444444</v>
      </c>
      <c r="F9" s="145" t="s">
        <v>82</v>
      </c>
      <c r="G9" s="148">
        <v>9</v>
      </c>
      <c r="H9" s="192">
        <v>901</v>
      </c>
    </row>
    <row r="10" spans="1:8" ht="18" x14ac:dyDescent="0.3">
      <c r="A10" s="112">
        <v>45991</v>
      </c>
      <c r="B10" s="113" t="s">
        <v>78</v>
      </c>
      <c r="C10" s="114" t="s">
        <v>775</v>
      </c>
      <c r="D10" s="113" t="s">
        <v>774</v>
      </c>
      <c r="E10" s="115">
        <v>1.600694444444444</v>
      </c>
      <c r="F10" s="113" t="s">
        <v>94</v>
      </c>
      <c r="G10" s="116">
        <v>6</v>
      </c>
      <c r="H10" s="117">
        <v>647</v>
      </c>
    </row>
    <row r="11" spans="1:8" ht="18" x14ac:dyDescent="0.3">
      <c r="A11" s="118">
        <v>45991</v>
      </c>
      <c r="B11" s="119" t="s">
        <v>78</v>
      </c>
      <c r="C11" s="120" t="s">
        <v>775</v>
      </c>
      <c r="D11" s="119" t="s">
        <v>774</v>
      </c>
      <c r="E11" s="121">
        <v>1.600694444444444</v>
      </c>
      <c r="F11" s="119" t="s">
        <v>87</v>
      </c>
      <c r="G11" s="122">
        <v>6</v>
      </c>
      <c r="H11" s="123">
        <v>925</v>
      </c>
    </row>
    <row r="12" spans="1:8" ht="18" x14ac:dyDescent="0.3">
      <c r="A12" s="144">
        <v>45991</v>
      </c>
      <c r="B12" s="145" t="s">
        <v>78</v>
      </c>
      <c r="C12" s="146" t="s">
        <v>775</v>
      </c>
      <c r="D12" s="145" t="s">
        <v>774</v>
      </c>
      <c r="E12" s="147">
        <v>1.600694444444444</v>
      </c>
      <c r="F12" s="145" t="s">
        <v>82</v>
      </c>
      <c r="G12" s="148">
        <v>6</v>
      </c>
      <c r="H12" s="192">
        <v>997</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 x14ac:dyDescent="0.3"/>
  <cols>
    <col min="14" max="14" width="7.77734375" bestFit="1" customWidth="1"/>
  </cols>
  <sheetData>
    <row r="1" spans="1:92" ht="28.8" customHeight="1" x14ac:dyDescent="0.3">
      <c r="A1" s="305" t="s">
        <v>0</v>
      </c>
      <c r="B1" s="281"/>
      <c r="C1" s="281"/>
      <c r="D1" s="305" t="s">
        <v>785</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45985.360353891483</v>
      </c>
      <c r="H2" s="292"/>
      <c r="I2" s="292"/>
      <c r="J2" s="292"/>
      <c r="K2" s="303">
        <v>45985.360353891927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39"/>
      <c r="B4" s="239"/>
      <c r="C4" s="239"/>
      <c r="D4" s="239"/>
      <c r="E4" s="239"/>
      <c r="F4" s="239"/>
      <c r="G4" s="240"/>
      <c r="H4" s="241"/>
      <c r="I4" s="241"/>
      <c r="J4" s="241"/>
      <c r="K4" s="241"/>
      <c r="L4" s="241"/>
      <c r="M4" s="241"/>
      <c r="N4" s="241"/>
      <c r="O4" s="241"/>
      <c r="P4" s="241"/>
      <c r="Q4" s="241"/>
      <c r="R4" s="241"/>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41"/>
      <c r="B5" s="241"/>
      <c r="C5" s="241"/>
      <c r="D5" s="241"/>
      <c r="E5" s="241"/>
      <c r="F5" s="241"/>
      <c r="G5" s="241"/>
      <c r="H5" s="241"/>
      <c r="I5" s="241"/>
      <c r="J5" s="241"/>
      <c r="K5" s="241"/>
      <c r="L5" s="241"/>
      <c r="M5" s="241"/>
      <c r="N5" s="241"/>
      <c r="O5" s="241"/>
      <c r="P5" s="241"/>
      <c r="Q5" s="241"/>
      <c r="R5" s="241"/>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11" t="s">
        <v>220</v>
      </c>
      <c r="B1" s="111" t="s">
        <v>7</v>
      </c>
      <c r="C1" s="111" t="s">
        <v>8</v>
      </c>
      <c r="D1" s="111" t="s">
        <v>221</v>
      </c>
      <c r="E1" s="111" t="s">
        <v>9</v>
      </c>
      <c r="F1" s="111" t="s">
        <v>10</v>
      </c>
      <c r="G1" s="111" t="s">
        <v>11</v>
      </c>
      <c r="H1" s="111" t="s">
        <v>12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33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2.109375" bestFit="1" customWidth="1"/>
  </cols>
  <sheetData>
    <row r="1" spans="1:92" ht="28.8" customHeight="1" x14ac:dyDescent="0.3">
      <c r="A1" s="305" t="s">
        <v>0</v>
      </c>
      <c r="B1" s="281"/>
      <c r="C1" s="281"/>
      <c r="D1" s="305" t="s">
        <v>786</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45985.360354114782</v>
      </c>
      <c r="H2" s="292"/>
      <c r="I2" s="292"/>
      <c r="J2" s="292"/>
      <c r="K2" s="303">
        <v>45985.360354115277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787</v>
      </c>
      <c r="C6" s="9">
        <v>0.81597222222222221</v>
      </c>
      <c r="D6" s="8" t="s">
        <v>27</v>
      </c>
      <c r="E6" s="8" t="s">
        <v>108</v>
      </c>
      <c r="F6" s="8" t="s">
        <v>788</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787</v>
      </c>
      <c r="C7" s="16">
        <v>0.81597222222222221</v>
      </c>
      <c r="D7" s="15" t="s">
        <v>30</v>
      </c>
      <c r="E7" s="15" t="s">
        <v>109</v>
      </c>
      <c r="F7" s="15" t="s">
        <v>345</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787</v>
      </c>
      <c r="C8" s="16">
        <v>0.81597222222222221</v>
      </c>
      <c r="D8" s="15" t="s">
        <v>33</v>
      </c>
      <c r="E8" s="15" t="s">
        <v>109</v>
      </c>
      <c r="F8" s="15" t="s">
        <v>113</v>
      </c>
      <c r="G8" s="285"/>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46" t="s">
        <v>25</v>
      </c>
      <c r="B9" s="46" t="s">
        <v>789</v>
      </c>
      <c r="C9" s="47">
        <v>0.76041666666666663</v>
      </c>
      <c r="D9" s="46" t="s">
        <v>27</v>
      </c>
      <c r="E9" s="46" t="s">
        <v>102</v>
      </c>
      <c r="F9" s="46" t="s">
        <v>790</v>
      </c>
      <c r="G9" s="285"/>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25</v>
      </c>
      <c r="B10" s="15" t="s">
        <v>789</v>
      </c>
      <c r="C10" s="16">
        <v>0.76041666666666663</v>
      </c>
      <c r="D10" s="15" t="s">
        <v>30</v>
      </c>
      <c r="E10" s="15" t="s">
        <v>83</v>
      </c>
      <c r="F10" s="15" t="s">
        <v>353</v>
      </c>
      <c r="G10" s="285"/>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789</v>
      </c>
      <c r="C11" s="16">
        <v>0.76041666666666663</v>
      </c>
      <c r="D11" s="15" t="s">
        <v>33</v>
      </c>
      <c r="E11" s="15" t="s">
        <v>83</v>
      </c>
      <c r="F11" s="15" t="s">
        <v>791</v>
      </c>
      <c r="G11" s="285"/>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6" t="s">
        <v>25</v>
      </c>
      <c r="B12" s="46" t="s">
        <v>792</v>
      </c>
      <c r="C12" s="47">
        <v>0.44791666666666669</v>
      </c>
      <c r="D12" s="46" t="s">
        <v>27</v>
      </c>
      <c r="E12" s="46" t="s">
        <v>427</v>
      </c>
      <c r="F12" s="46" t="s">
        <v>793</v>
      </c>
      <c r="G12" s="285"/>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25</v>
      </c>
      <c r="B13" s="15" t="s">
        <v>792</v>
      </c>
      <c r="C13" s="16">
        <v>0.44791666666666669</v>
      </c>
      <c r="D13" s="15" t="s">
        <v>30</v>
      </c>
      <c r="E13" s="15" t="s">
        <v>428</v>
      </c>
      <c r="F13" s="15" t="s">
        <v>629</v>
      </c>
      <c r="G13" s="285"/>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25</v>
      </c>
      <c r="B14" s="15" t="s">
        <v>792</v>
      </c>
      <c r="C14" s="16">
        <v>0.44791666666666669</v>
      </c>
      <c r="D14" s="15" t="s">
        <v>33</v>
      </c>
      <c r="E14" s="15" t="s">
        <v>428</v>
      </c>
      <c r="F14" s="15" t="s">
        <v>791</v>
      </c>
      <c r="G14" s="285"/>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46" t="s">
        <v>25</v>
      </c>
      <c r="B15" s="46" t="s">
        <v>794</v>
      </c>
      <c r="C15" s="47">
        <v>0.5</v>
      </c>
      <c r="D15" s="46" t="s">
        <v>27</v>
      </c>
      <c r="E15" s="46" t="s">
        <v>427</v>
      </c>
      <c r="F15" s="46" t="s">
        <v>793</v>
      </c>
      <c r="G15" s="285"/>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25</v>
      </c>
      <c r="B16" s="15" t="s">
        <v>794</v>
      </c>
      <c r="C16" s="16">
        <v>0.5</v>
      </c>
      <c r="D16" s="15" t="s">
        <v>30</v>
      </c>
      <c r="E16" s="15" t="s">
        <v>428</v>
      </c>
      <c r="F16" s="15" t="s">
        <v>629</v>
      </c>
      <c r="G16" s="285"/>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25</v>
      </c>
      <c r="B17" s="15" t="s">
        <v>794</v>
      </c>
      <c r="C17" s="16">
        <v>0.5</v>
      </c>
      <c r="D17" s="15" t="s">
        <v>33</v>
      </c>
      <c r="E17" s="15" t="s">
        <v>428</v>
      </c>
      <c r="F17" s="15" t="s">
        <v>113</v>
      </c>
      <c r="G17" s="285"/>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44" t="s">
        <v>304</v>
      </c>
      <c r="B18" s="44" t="s">
        <v>795</v>
      </c>
      <c r="C18" s="45">
        <v>0.27777777777777779</v>
      </c>
      <c r="D18" s="44" t="s">
        <v>37</v>
      </c>
      <c r="E18" s="44" t="s">
        <v>38</v>
      </c>
      <c r="F18" s="44" t="s">
        <v>796</v>
      </c>
      <c r="G18" s="285"/>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44" t="s">
        <v>55</v>
      </c>
      <c r="B19" s="44" t="s">
        <v>797</v>
      </c>
      <c r="C19" s="45">
        <v>0.42708333333333331</v>
      </c>
      <c r="D19" s="44" t="s">
        <v>60</v>
      </c>
      <c r="E19" s="44" t="s">
        <v>95</v>
      </c>
      <c r="F19" s="44" t="s">
        <v>793</v>
      </c>
      <c r="G19" s="285"/>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55</v>
      </c>
      <c r="B20" s="15" t="s">
        <v>797</v>
      </c>
      <c r="C20" s="16">
        <v>0.42708333333333331</v>
      </c>
      <c r="D20" s="15" t="s">
        <v>62</v>
      </c>
      <c r="E20" s="15" t="s">
        <v>97</v>
      </c>
      <c r="F20" s="15" t="s">
        <v>798</v>
      </c>
      <c r="G20" s="285"/>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5" t="s">
        <v>55</v>
      </c>
      <c r="B21" s="15" t="s">
        <v>797</v>
      </c>
      <c r="C21" s="16">
        <v>0.42708333333333331</v>
      </c>
      <c r="D21" s="15" t="s">
        <v>64</v>
      </c>
      <c r="E21" s="15" t="s">
        <v>97</v>
      </c>
      <c r="F21" s="15" t="s">
        <v>29</v>
      </c>
      <c r="G21" s="285"/>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46" t="s">
        <v>55</v>
      </c>
      <c r="B22" s="46" t="s">
        <v>799</v>
      </c>
      <c r="C22" s="47">
        <v>0.30555555555555552</v>
      </c>
      <c r="D22" s="46" t="s">
        <v>60</v>
      </c>
      <c r="E22" s="46" t="s">
        <v>358</v>
      </c>
      <c r="F22" s="46" t="s">
        <v>446</v>
      </c>
      <c r="G22" s="285"/>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55</v>
      </c>
      <c r="B23" s="15" t="s">
        <v>799</v>
      </c>
      <c r="C23" s="16">
        <v>0.30555555555555552</v>
      </c>
      <c r="D23" s="15" t="s">
        <v>62</v>
      </c>
      <c r="E23" s="15" t="s">
        <v>360</v>
      </c>
      <c r="F23" s="15" t="s">
        <v>447</v>
      </c>
      <c r="G23" s="285"/>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5" t="s">
        <v>55</v>
      </c>
      <c r="B24" s="15" t="s">
        <v>799</v>
      </c>
      <c r="C24" s="16">
        <v>0.30555555555555552</v>
      </c>
      <c r="D24" s="15" t="s">
        <v>64</v>
      </c>
      <c r="E24" s="15" t="s">
        <v>360</v>
      </c>
      <c r="F24" s="15" t="s">
        <v>336</v>
      </c>
      <c r="G24" s="285"/>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6" t="s">
        <v>55</v>
      </c>
      <c r="B25" s="46" t="s">
        <v>800</v>
      </c>
      <c r="C25" s="47">
        <v>0.5</v>
      </c>
      <c r="D25" s="46" t="s">
        <v>60</v>
      </c>
      <c r="E25" s="46" t="s">
        <v>71</v>
      </c>
      <c r="F25" s="46" t="s">
        <v>446</v>
      </c>
      <c r="G25" s="285"/>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55</v>
      </c>
      <c r="B26" s="15" t="s">
        <v>800</v>
      </c>
      <c r="C26" s="16">
        <v>0.5</v>
      </c>
      <c r="D26" s="15" t="s">
        <v>62</v>
      </c>
      <c r="E26" s="15" t="s">
        <v>125</v>
      </c>
      <c r="F26" s="15" t="s">
        <v>447</v>
      </c>
      <c r="G26" s="285"/>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5" t="s">
        <v>55</v>
      </c>
      <c r="B27" s="15" t="s">
        <v>800</v>
      </c>
      <c r="C27" s="16">
        <v>0.5</v>
      </c>
      <c r="D27" s="15" t="s">
        <v>64</v>
      </c>
      <c r="E27" s="15" t="s">
        <v>125</v>
      </c>
      <c r="F27" s="15" t="s">
        <v>336</v>
      </c>
      <c r="G27" s="285"/>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46" t="s">
        <v>55</v>
      </c>
      <c r="B28" s="46" t="s">
        <v>801</v>
      </c>
      <c r="C28" s="47">
        <v>0.6875</v>
      </c>
      <c r="D28" s="46" t="s">
        <v>60</v>
      </c>
      <c r="E28" s="46" t="s">
        <v>116</v>
      </c>
      <c r="F28" s="46" t="s">
        <v>446</v>
      </c>
      <c r="G28" s="285"/>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55</v>
      </c>
      <c r="B29" s="15" t="s">
        <v>801</v>
      </c>
      <c r="C29" s="16">
        <v>0.6875</v>
      </c>
      <c r="D29" s="15" t="s">
        <v>62</v>
      </c>
      <c r="E29" s="15" t="s">
        <v>109</v>
      </c>
      <c r="F29" s="15" t="s">
        <v>447</v>
      </c>
      <c r="G29" s="285"/>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55</v>
      </c>
      <c r="B30" s="15" t="s">
        <v>801</v>
      </c>
      <c r="C30" s="16">
        <v>0.6875</v>
      </c>
      <c r="D30" s="15" t="s">
        <v>64</v>
      </c>
      <c r="E30" s="15" t="s">
        <v>109</v>
      </c>
      <c r="F30" s="15" t="s">
        <v>336</v>
      </c>
      <c r="G30" s="285"/>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46" t="s">
        <v>55</v>
      </c>
      <c r="B31" s="46" t="s">
        <v>802</v>
      </c>
      <c r="C31" s="47">
        <v>0.375</v>
      </c>
      <c r="D31" s="46" t="s">
        <v>60</v>
      </c>
      <c r="E31" s="46" t="s">
        <v>358</v>
      </c>
      <c r="F31" s="46" t="s">
        <v>446</v>
      </c>
      <c r="G31" s="285"/>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55</v>
      </c>
      <c r="B32" s="15" t="s">
        <v>802</v>
      </c>
      <c r="C32" s="16">
        <v>0.375</v>
      </c>
      <c r="D32" s="15" t="s">
        <v>62</v>
      </c>
      <c r="E32" s="15" t="s">
        <v>360</v>
      </c>
      <c r="F32" s="15" t="s">
        <v>447</v>
      </c>
      <c r="G32" s="285"/>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55</v>
      </c>
      <c r="B33" s="15" t="s">
        <v>802</v>
      </c>
      <c r="C33" s="16">
        <v>0.375</v>
      </c>
      <c r="D33" s="15" t="s">
        <v>64</v>
      </c>
      <c r="E33" s="15" t="s">
        <v>360</v>
      </c>
      <c r="F33" s="15" t="s">
        <v>336</v>
      </c>
      <c r="G33" s="285"/>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46" t="s">
        <v>55</v>
      </c>
      <c r="B34" s="46" t="s">
        <v>803</v>
      </c>
      <c r="C34" s="47">
        <v>0.82638888888888884</v>
      </c>
      <c r="D34" s="46" t="s">
        <v>60</v>
      </c>
      <c r="E34" s="46" t="s">
        <v>44</v>
      </c>
      <c r="F34" s="46" t="s">
        <v>350</v>
      </c>
      <c r="G34" s="285"/>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55</v>
      </c>
      <c r="B35" s="15" t="s">
        <v>803</v>
      </c>
      <c r="C35" s="16">
        <v>0.82638888888888884</v>
      </c>
      <c r="D35" s="15" t="s">
        <v>62</v>
      </c>
      <c r="E35" s="15" t="s">
        <v>61</v>
      </c>
      <c r="F35" s="15" t="s">
        <v>351</v>
      </c>
      <c r="G35" s="285"/>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55</v>
      </c>
      <c r="B36" s="15" t="s">
        <v>803</v>
      </c>
      <c r="C36" s="16">
        <v>0.82638888888888884</v>
      </c>
      <c r="D36" s="15" t="s">
        <v>64</v>
      </c>
      <c r="E36" s="15" t="s">
        <v>61</v>
      </c>
      <c r="F36" s="15" t="s">
        <v>59</v>
      </c>
      <c r="G36" s="285"/>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46" t="s">
        <v>55</v>
      </c>
      <c r="B37" s="46" t="s">
        <v>804</v>
      </c>
      <c r="C37" s="47">
        <v>0.56597222222222221</v>
      </c>
      <c r="D37" s="46" t="s">
        <v>60</v>
      </c>
      <c r="E37" s="46" t="s">
        <v>74</v>
      </c>
      <c r="F37" s="46" t="s">
        <v>350</v>
      </c>
      <c r="G37" s="285"/>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55</v>
      </c>
      <c r="B38" s="15" t="s">
        <v>804</v>
      </c>
      <c r="C38" s="16">
        <v>0.56597222222222221</v>
      </c>
      <c r="D38" s="15" t="s">
        <v>62</v>
      </c>
      <c r="E38" s="15" t="s">
        <v>31</v>
      </c>
      <c r="F38" s="15" t="s">
        <v>351</v>
      </c>
      <c r="G38" s="285"/>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55</v>
      </c>
      <c r="B39" s="15" t="s">
        <v>804</v>
      </c>
      <c r="C39" s="16">
        <v>0.56597222222222221</v>
      </c>
      <c r="D39" s="15" t="s">
        <v>64</v>
      </c>
      <c r="E39" s="15" t="s">
        <v>31</v>
      </c>
      <c r="F39" s="15" t="s">
        <v>59</v>
      </c>
      <c r="G39" s="285"/>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35</v>
      </c>
      <c r="B40" s="17" t="s">
        <v>805</v>
      </c>
      <c r="C40" s="18">
        <v>0.91319444444444453</v>
      </c>
      <c r="D40" s="17" t="s">
        <v>37</v>
      </c>
      <c r="E40" s="17" t="s">
        <v>124</v>
      </c>
      <c r="F40" s="17" t="s">
        <v>806</v>
      </c>
      <c r="G40" s="285"/>
      <c r="H40" s="19" t="s">
        <v>807</v>
      </c>
      <c r="I40" s="20">
        <v>0.80359999999999998</v>
      </c>
      <c r="J40" s="21">
        <v>135</v>
      </c>
      <c r="K40" s="22">
        <v>45984</v>
      </c>
      <c r="L40" s="21">
        <v>63</v>
      </c>
      <c r="M40" s="21">
        <v>0</v>
      </c>
      <c r="N40" s="21">
        <v>16</v>
      </c>
      <c r="O40" s="23" t="s">
        <v>201</v>
      </c>
      <c r="P40" s="24">
        <v>0.91319444444444453</v>
      </c>
      <c r="Q40" s="21">
        <v>168</v>
      </c>
      <c r="R40" s="25" t="s">
        <v>808</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44" t="s">
        <v>378</v>
      </c>
      <c r="B41" s="44" t="s">
        <v>809</v>
      </c>
      <c r="C41" s="45">
        <v>0.62152777777777779</v>
      </c>
      <c r="D41" s="44" t="s">
        <v>380</v>
      </c>
      <c r="E41" s="44" t="s">
        <v>381</v>
      </c>
      <c r="F41" s="44" t="s">
        <v>810</v>
      </c>
      <c r="G41" s="28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378</v>
      </c>
      <c r="B42" s="15" t="s">
        <v>809</v>
      </c>
      <c r="C42" s="16">
        <v>0.62152777777777779</v>
      </c>
      <c r="D42" s="15" t="s">
        <v>33</v>
      </c>
      <c r="E42" s="15" t="s">
        <v>360</v>
      </c>
      <c r="F42" s="15" t="s">
        <v>811</v>
      </c>
      <c r="G42" s="285"/>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44" t="s">
        <v>66</v>
      </c>
      <c r="B43" s="44" t="s">
        <v>812</v>
      </c>
      <c r="C43" s="45">
        <v>0.16666666666666671</v>
      </c>
      <c r="D43" s="44" t="s">
        <v>85</v>
      </c>
      <c r="E43" s="44" t="s">
        <v>38</v>
      </c>
      <c r="F43" s="44" t="s">
        <v>813</v>
      </c>
      <c r="G43" s="285"/>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46" t="s">
        <v>66</v>
      </c>
      <c r="B44" s="46" t="s">
        <v>814</v>
      </c>
      <c r="C44" s="47">
        <v>0.54166666666666663</v>
      </c>
      <c r="D44" s="46" t="s">
        <v>85</v>
      </c>
      <c r="E44" s="46" t="s">
        <v>76</v>
      </c>
      <c r="F44" s="46" t="s">
        <v>813</v>
      </c>
      <c r="G44" s="285"/>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46" t="s">
        <v>66</v>
      </c>
      <c r="B45" s="46" t="s">
        <v>815</v>
      </c>
      <c r="C45" s="47">
        <v>0.91666666666666663</v>
      </c>
      <c r="D45" s="46" t="s">
        <v>85</v>
      </c>
      <c r="E45" s="46" t="s">
        <v>74</v>
      </c>
      <c r="F45" s="46" t="s">
        <v>816</v>
      </c>
      <c r="G45" s="285"/>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44" t="s">
        <v>78</v>
      </c>
      <c r="B46" s="44" t="s">
        <v>817</v>
      </c>
      <c r="C46" s="45">
        <v>0.2986111111111111</v>
      </c>
      <c r="D46" s="44" t="s">
        <v>87</v>
      </c>
      <c r="E46" s="44" t="s">
        <v>38</v>
      </c>
      <c r="F46" s="44" t="s">
        <v>818</v>
      </c>
      <c r="G46" s="285"/>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5" t="s">
        <v>78</v>
      </c>
      <c r="B47" s="15" t="s">
        <v>817</v>
      </c>
      <c r="C47" s="16">
        <v>0.2986111111111111</v>
      </c>
      <c r="D47" s="15" t="s">
        <v>82</v>
      </c>
      <c r="E47" s="15" t="s">
        <v>88</v>
      </c>
      <c r="F47" s="15" t="s">
        <v>819</v>
      </c>
      <c r="G47" s="285"/>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46" t="s">
        <v>78</v>
      </c>
      <c r="B48" s="46" t="s">
        <v>820</v>
      </c>
      <c r="C48" s="47">
        <v>0.55208333333333337</v>
      </c>
      <c r="D48" s="46" t="s">
        <v>87</v>
      </c>
      <c r="E48" s="46" t="s">
        <v>74</v>
      </c>
      <c r="F48" s="46" t="s">
        <v>818</v>
      </c>
      <c r="G48" s="285"/>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78</v>
      </c>
      <c r="B49" s="15" t="s">
        <v>820</v>
      </c>
      <c r="C49" s="16">
        <v>0.55208333333333337</v>
      </c>
      <c r="D49" s="15" t="s">
        <v>82</v>
      </c>
      <c r="E49" s="15" t="s">
        <v>31</v>
      </c>
      <c r="F49" s="15" t="s">
        <v>819</v>
      </c>
      <c r="G49" s="285"/>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46" t="s">
        <v>78</v>
      </c>
      <c r="B50" s="46" t="s">
        <v>821</v>
      </c>
      <c r="C50" s="47">
        <v>0.4826388888888889</v>
      </c>
      <c r="D50" s="46" t="s">
        <v>87</v>
      </c>
      <c r="E50" s="46" t="s">
        <v>76</v>
      </c>
      <c r="F50" s="46" t="s">
        <v>818</v>
      </c>
      <c r="G50" s="285"/>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78</v>
      </c>
      <c r="B51" s="15" t="s">
        <v>821</v>
      </c>
      <c r="C51" s="16">
        <v>0.4826388888888889</v>
      </c>
      <c r="D51" s="15" t="s">
        <v>82</v>
      </c>
      <c r="E51" s="15" t="s">
        <v>88</v>
      </c>
      <c r="F51" s="15" t="s">
        <v>819</v>
      </c>
      <c r="G51" s="285"/>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46" t="s">
        <v>78</v>
      </c>
      <c r="B52" s="46" t="s">
        <v>822</v>
      </c>
      <c r="C52" s="47">
        <v>0.68402777777777779</v>
      </c>
      <c r="D52" s="46" t="s">
        <v>87</v>
      </c>
      <c r="E52" s="46" t="s">
        <v>76</v>
      </c>
      <c r="F52" s="46" t="s">
        <v>823</v>
      </c>
      <c r="G52" s="285"/>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5" t="s">
        <v>78</v>
      </c>
      <c r="B53" s="15" t="s">
        <v>822</v>
      </c>
      <c r="C53" s="16">
        <v>0.68402777777777779</v>
      </c>
      <c r="D53" s="15" t="s">
        <v>82</v>
      </c>
      <c r="E53" s="15" t="s">
        <v>88</v>
      </c>
      <c r="F53" s="15" t="s">
        <v>824</v>
      </c>
      <c r="G53" s="285"/>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46" t="s">
        <v>78</v>
      </c>
      <c r="B54" s="46" t="s">
        <v>825</v>
      </c>
      <c r="C54" s="47">
        <v>0.83680555555555547</v>
      </c>
      <c r="D54" s="46" t="s">
        <v>87</v>
      </c>
      <c r="E54" s="46" t="s">
        <v>76</v>
      </c>
      <c r="F54" s="46" t="s">
        <v>823</v>
      </c>
      <c r="G54" s="285"/>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5" t="s">
        <v>78</v>
      </c>
      <c r="B55" s="15" t="s">
        <v>825</v>
      </c>
      <c r="C55" s="16">
        <v>0.83680555555555547</v>
      </c>
      <c r="D55" s="15" t="s">
        <v>82</v>
      </c>
      <c r="E55" s="15" t="s">
        <v>88</v>
      </c>
      <c r="F55" s="15" t="s">
        <v>824</v>
      </c>
      <c r="G55" s="285"/>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46" t="s">
        <v>78</v>
      </c>
      <c r="B56" s="46" t="s">
        <v>826</v>
      </c>
      <c r="C56" s="47">
        <v>0.81597222222222221</v>
      </c>
      <c r="D56" s="46" t="s">
        <v>82</v>
      </c>
      <c r="E56" s="46" t="s">
        <v>102</v>
      </c>
      <c r="F56" s="46" t="s">
        <v>827</v>
      </c>
      <c r="G56" s="285"/>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46" t="s">
        <v>78</v>
      </c>
      <c r="B57" s="46" t="s">
        <v>828</v>
      </c>
      <c r="C57" s="47">
        <v>0.76041666666666663</v>
      </c>
      <c r="D57" s="46" t="s">
        <v>82</v>
      </c>
      <c r="E57" s="46" t="s">
        <v>102</v>
      </c>
      <c r="F57" s="46" t="s">
        <v>829</v>
      </c>
      <c r="G57" s="285"/>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61" t="s">
        <v>78</v>
      </c>
      <c r="B58" s="61" t="s">
        <v>830</v>
      </c>
      <c r="C58" s="62">
        <v>0.5</v>
      </c>
      <c r="D58" s="61" t="s">
        <v>82</v>
      </c>
      <c r="E58" s="61" t="s">
        <v>102</v>
      </c>
      <c r="F58" s="61" t="s">
        <v>829</v>
      </c>
      <c r="G58" s="286"/>
      <c r="H58" s="50"/>
      <c r="I58" s="51"/>
      <c r="J58" s="51"/>
      <c r="K58" s="51"/>
      <c r="L58" s="51"/>
      <c r="M58" s="51"/>
      <c r="N58" s="51"/>
      <c r="O58" s="52"/>
      <c r="P58" s="51"/>
      <c r="Q58" s="53"/>
      <c r="R58" s="5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95"/>
      <c r="B59" s="296"/>
      <c r="C59" s="296"/>
      <c r="D59" s="296"/>
      <c r="E59" s="296"/>
      <c r="F59" s="296"/>
      <c r="G59" s="289"/>
      <c r="H59" s="297"/>
      <c r="I59" s="297"/>
      <c r="J59" s="297"/>
      <c r="K59" s="297"/>
      <c r="L59" s="297"/>
      <c r="M59" s="297"/>
      <c r="N59" s="297"/>
      <c r="O59" s="298"/>
      <c r="P59" s="297"/>
      <c r="Q59" s="289"/>
      <c r="R59" s="29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82" t="s">
        <v>5</v>
      </c>
      <c r="B60" s="283"/>
      <c r="C60" s="283"/>
      <c r="D60" s="283"/>
      <c r="E60" s="283"/>
      <c r="F60" s="283"/>
      <c r="G60" s="5">
        <v>45987</v>
      </c>
      <c r="H60" s="278" t="s">
        <v>6</v>
      </c>
      <c r="I60" s="279"/>
      <c r="J60" s="279"/>
      <c r="K60" s="279"/>
      <c r="L60" s="279"/>
      <c r="M60" s="279"/>
      <c r="N60" s="279"/>
      <c r="O60" s="279"/>
      <c r="P60" s="279"/>
      <c r="Q60" s="279"/>
      <c r="R60" s="279"/>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55" t="s">
        <v>7</v>
      </c>
      <c r="B61" s="55" t="s">
        <v>8</v>
      </c>
      <c r="C61" s="56" t="s">
        <v>9</v>
      </c>
      <c r="D61" s="55" t="s">
        <v>10</v>
      </c>
      <c r="E61" s="55" t="s">
        <v>11</v>
      </c>
      <c r="F61" s="55" t="s">
        <v>12</v>
      </c>
      <c r="G61" s="57" t="s">
        <v>13</v>
      </c>
      <c r="H61" s="55" t="s">
        <v>14</v>
      </c>
      <c r="I61" s="58" t="s">
        <v>15</v>
      </c>
      <c r="J61" s="59" t="s">
        <v>16</v>
      </c>
      <c r="K61" s="60" t="s">
        <v>17</v>
      </c>
      <c r="L61" s="59" t="s">
        <v>18</v>
      </c>
      <c r="M61" s="59" t="s">
        <v>19</v>
      </c>
      <c r="N61" s="59" t="s">
        <v>20</v>
      </c>
      <c r="O61" s="55" t="s">
        <v>21</v>
      </c>
      <c r="P61" s="56" t="s">
        <v>22</v>
      </c>
      <c r="Q61" s="59" t="s">
        <v>23</v>
      </c>
      <c r="R61" s="55"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8" t="s">
        <v>25</v>
      </c>
      <c r="B62" s="8" t="s">
        <v>794</v>
      </c>
      <c r="C62" s="9">
        <v>0.5</v>
      </c>
      <c r="D62" s="8" t="s">
        <v>27</v>
      </c>
      <c r="E62" s="8" t="s">
        <v>95</v>
      </c>
      <c r="F62" s="8" t="s">
        <v>831</v>
      </c>
      <c r="G62" s="284"/>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5" t="s">
        <v>25</v>
      </c>
      <c r="B63" s="15" t="s">
        <v>794</v>
      </c>
      <c r="C63" s="16">
        <v>0.5</v>
      </c>
      <c r="D63" s="15" t="s">
        <v>30</v>
      </c>
      <c r="E63" s="15" t="s">
        <v>97</v>
      </c>
      <c r="F63" s="15" t="s">
        <v>446</v>
      </c>
      <c r="G63" s="285"/>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25</v>
      </c>
      <c r="B64" s="15" t="s">
        <v>794</v>
      </c>
      <c r="C64" s="16">
        <v>0.5</v>
      </c>
      <c r="D64" s="15" t="s">
        <v>33</v>
      </c>
      <c r="E64" s="15" t="s">
        <v>97</v>
      </c>
      <c r="F64" s="15" t="s">
        <v>113</v>
      </c>
      <c r="G64" s="285"/>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46" t="s">
        <v>25</v>
      </c>
      <c r="B65" s="46" t="s">
        <v>792</v>
      </c>
      <c r="C65" s="47">
        <v>0.44791666666666669</v>
      </c>
      <c r="D65" s="46" t="s">
        <v>27</v>
      </c>
      <c r="E65" s="46" t="s">
        <v>409</v>
      </c>
      <c r="F65" s="46" t="s">
        <v>832</v>
      </c>
      <c r="G65" s="285"/>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25</v>
      </c>
      <c r="B66" s="15" t="s">
        <v>792</v>
      </c>
      <c r="C66" s="16">
        <v>0.44791666666666669</v>
      </c>
      <c r="D66" s="15" t="s">
        <v>30</v>
      </c>
      <c r="E66" s="15" t="s">
        <v>410</v>
      </c>
      <c r="F66" s="15" t="s">
        <v>833</v>
      </c>
      <c r="G66" s="285"/>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25</v>
      </c>
      <c r="B67" s="15" t="s">
        <v>792</v>
      </c>
      <c r="C67" s="16">
        <v>0.44791666666666669</v>
      </c>
      <c r="D67" s="15" t="s">
        <v>33</v>
      </c>
      <c r="E67" s="15" t="s">
        <v>410</v>
      </c>
      <c r="F67" s="15" t="s">
        <v>791</v>
      </c>
      <c r="G67" s="285"/>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46" t="s">
        <v>25</v>
      </c>
      <c r="B68" s="46" t="s">
        <v>789</v>
      </c>
      <c r="C68" s="47">
        <v>0.76041666666666663</v>
      </c>
      <c r="D68" s="46" t="s">
        <v>27</v>
      </c>
      <c r="E68" s="46" t="s">
        <v>74</v>
      </c>
      <c r="F68" s="46" t="s">
        <v>788</v>
      </c>
      <c r="G68" s="285"/>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5" t="s">
        <v>25</v>
      </c>
      <c r="B69" s="15" t="s">
        <v>789</v>
      </c>
      <c r="C69" s="16">
        <v>0.76041666666666663</v>
      </c>
      <c r="D69" s="15" t="s">
        <v>30</v>
      </c>
      <c r="E69" s="15" t="s">
        <v>31</v>
      </c>
      <c r="F69" s="15" t="s">
        <v>345</v>
      </c>
      <c r="G69" s="285"/>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25</v>
      </c>
      <c r="B70" s="15" t="s">
        <v>789</v>
      </c>
      <c r="C70" s="16">
        <v>0.76041666666666663</v>
      </c>
      <c r="D70" s="15" t="s">
        <v>33</v>
      </c>
      <c r="E70" s="15" t="s">
        <v>31</v>
      </c>
      <c r="F70" s="15" t="s">
        <v>791</v>
      </c>
      <c r="G70" s="285"/>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6" t="s">
        <v>25</v>
      </c>
      <c r="B71" s="46" t="s">
        <v>787</v>
      </c>
      <c r="C71" s="47">
        <v>0.81597222222222221</v>
      </c>
      <c r="D71" s="46" t="s">
        <v>27</v>
      </c>
      <c r="E71" s="46" t="s">
        <v>834</v>
      </c>
      <c r="F71" s="46" t="s">
        <v>788</v>
      </c>
      <c r="G71" s="285"/>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5" t="s">
        <v>25</v>
      </c>
      <c r="B72" s="15" t="s">
        <v>787</v>
      </c>
      <c r="C72" s="16">
        <v>0.81597222222222221</v>
      </c>
      <c r="D72" s="15" t="s">
        <v>30</v>
      </c>
      <c r="E72" s="15" t="s">
        <v>835</v>
      </c>
      <c r="F72" s="15" t="s">
        <v>345</v>
      </c>
      <c r="G72" s="285"/>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5" t="s">
        <v>25</v>
      </c>
      <c r="B73" s="15" t="s">
        <v>787</v>
      </c>
      <c r="C73" s="16">
        <v>0.81597222222222221</v>
      </c>
      <c r="D73" s="15" t="s">
        <v>33</v>
      </c>
      <c r="E73" s="15" t="s">
        <v>835</v>
      </c>
      <c r="F73" s="15" t="s">
        <v>791</v>
      </c>
      <c r="G73" s="285"/>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44" t="s">
        <v>378</v>
      </c>
      <c r="B74" s="44" t="s">
        <v>836</v>
      </c>
      <c r="C74" s="45">
        <v>0.2361111111111111</v>
      </c>
      <c r="D74" s="44" t="s">
        <v>380</v>
      </c>
      <c r="E74" s="44" t="s">
        <v>381</v>
      </c>
      <c r="F74" s="44" t="s">
        <v>837</v>
      </c>
      <c r="G74" s="285"/>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5" t="s">
        <v>378</v>
      </c>
      <c r="B75" s="15" t="s">
        <v>836</v>
      </c>
      <c r="C75" s="16">
        <v>0.2361111111111111</v>
      </c>
      <c r="D75" s="15" t="s">
        <v>33</v>
      </c>
      <c r="E75" s="15" t="s">
        <v>360</v>
      </c>
      <c r="F75" s="15" t="s">
        <v>838</v>
      </c>
      <c r="G75" s="285"/>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44" t="s">
        <v>55</v>
      </c>
      <c r="B76" s="44" t="s">
        <v>799</v>
      </c>
      <c r="C76" s="45">
        <v>0.30555555555555552</v>
      </c>
      <c r="D76" s="44" t="s">
        <v>60</v>
      </c>
      <c r="E76" s="44" t="s">
        <v>381</v>
      </c>
      <c r="F76" s="44" t="s">
        <v>732</v>
      </c>
      <c r="G76" s="285"/>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55</v>
      </c>
      <c r="B77" s="15" t="s">
        <v>799</v>
      </c>
      <c r="C77" s="16">
        <v>0.30555555555555552</v>
      </c>
      <c r="D77" s="15" t="s">
        <v>62</v>
      </c>
      <c r="E77" s="15" t="s">
        <v>360</v>
      </c>
      <c r="F77" s="15" t="s">
        <v>833</v>
      </c>
      <c r="G77" s="285"/>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55</v>
      </c>
      <c r="B78" s="15" t="s">
        <v>799</v>
      </c>
      <c r="C78" s="16">
        <v>0.30555555555555552</v>
      </c>
      <c r="D78" s="15" t="s">
        <v>64</v>
      </c>
      <c r="E78" s="15" t="s">
        <v>360</v>
      </c>
      <c r="F78" s="15" t="s">
        <v>629</v>
      </c>
      <c r="G78" s="285"/>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46" t="s">
        <v>55</v>
      </c>
      <c r="B79" s="46" t="s">
        <v>797</v>
      </c>
      <c r="C79" s="47">
        <v>0.42708333333333331</v>
      </c>
      <c r="D79" s="46" t="s">
        <v>60</v>
      </c>
      <c r="E79" s="46" t="s">
        <v>102</v>
      </c>
      <c r="F79" s="46" t="s">
        <v>732</v>
      </c>
      <c r="G79" s="285"/>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55</v>
      </c>
      <c r="B80" s="15" t="s">
        <v>797</v>
      </c>
      <c r="C80" s="16">
        <v>0.42708333333333331</v>
      </c>
      <c r="D80" s="15" t="s">
        <v>62</v>
      </c>
      <c r="E80" s="15" t="s">
        <v>83</v>
      </c>
      <c r="F80" s="15" t="s">
        <v>833</v>
      </c>
      <c r="G80" s="285"/>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55</v>
      </c>
      <c r="B81" s="15" t="s">
        <v>797</v>
      </c>
      <c r="C81" s="16">
        <v>0.42708333333333331</v>
      </c>
      <c r="D81" s="15" t="s">
        <v>64</v>
      </c>
      <c r="E81" s="15" t="s">
        <v>83</v>
      </c>
      <c r="F81" s="15" t="s">
        <v>629</v>
      </c>
      <c r="G81" s="285"/>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46" t="s">
        <v>55</v>
      </c>
      <c r="B82" s="46" t="s">
        <v>802</v>
      </c>
      <c r="C82" s="47">
        <v>0.375</v>
      </c>
      <c r="D82" s="46" t="s">
        <v>60</v>
      </c>
      <c r="E82" s="46" t="s">
        <v>358</v>
      </c>
      <c r="F82" s="46" t="s">
        <v>732</v>
      </c>
      <c r="G82" s="285"/>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55</v>
      </c>
      <c r="B83" s="15" t="s">
        <v>802</v>
      </c>
      <c r="C83" s="16">
        <v>0.375</v>
      </c>
      <c r="D83" s="15" t="s">
        <v>62</v>
      </c>
      <c r="E83" s="15" t="s">
        <v>360</v>
      </c>
      <c r="F83" s="15" t="s">
        <v>833</v>
      </c>
      <c r="G83" s="285"/>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55</v>
      </c>
      <c r="B84" s="15" t="s">
        <v>802</v>
      </c>
      <c r="C84" s="16">
        <v>0.375</v>
      </c>
      <c r="D84" s="15" t="s">
        <v>64</v>
      </c>
      <c r="E84" s="15" t="s">
        <v>360</v>
      </c>
      <c r="F84" s="15" t="s">
        <v>629</v>
      </c>
      <c r="G84" s="285"/>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46" t="s">
        <v>55</v>
      </c>
      <c r="B85" s="46" t="s">
        <v>800</v>
      </c>
      <c r="C85" s="47">
        <v>0.5</v>
      </c>
      <c r="D85" s="46" t="s">
        <v>60</v>
      </c>
      <c r="E85" s="46" t="s">
        <v>71</v>
      </c>
      <c r="F85" s="46" t="s">
        <v>793</v>
      </c>
      <c r="G85" s="285"/>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55</v>
      </c>
      <c r="B86" s="15" t="s">
        <v>800</v>
      </c>
      <c r="C86" s="16">
        <v>0.5</v>
      </c>
      <c r="D86" s="15" t="s">
        <v>62</v>
      </c>
      <c r="E86" s="15" t="s">
        <v>125</v>
      </c>
      <c r="F86" s="15" t="s">
        <v>798</v>
      </c>
      <c r="G86" s="285"/>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55</v>
      </c>
      <c r="B87" s="15" t="s">
        <v>800</v>
      </c>
      <c r="C87" s="16">
        <v>0.5</v>
      </c>
      <c r="D87" s="15" t="s">
        <v>64</v>
      </c>
      <c r="E87" s="15" t="s">
        <v>125</v>
      </c>
      <c r="F87" s="15" t="s">
        <v>29</v>
      </c>
      <c r="G87" s="285"/>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46" t="s">
        <v>55</v>
      </c>
      <c r="B88" s="46" t="s">
        <v>801</v>
      </c>
      <c r="C88" s="47">
        <v>0.6875</v>
      </c>
      <c r="D88" s="46" t="s">
        <v>60</v>
      </c>
      <c r="E88" s="46" t="s">
        <v>358</v>
      </c>
      <c r="F88" s="46" t="s">
        <v>446</v>
      </c>
      <c r="G88" s="285"/>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5" t="s">
        <v>55</v>
      </c>
      <c r="B89" s="15" t="s">
        <v>801</v>
      </c>
      <c r="C89" s="16">
        <v>0.6875</v>
      </c>
      <c r="D89" s="15" t="s">
        <v>62</v>
      </c>
      <c r="E89" s="15" t="s">
        <v>360</v>
      </c>
      <c r="F89" s="15" t="s">
        <v>447</v>
      </c>
      <c r="G89" s="285"/>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55</v>
      </c>
      <c r="B90" s="15" t="s">
        <v>801</v>
      </c>
      <c r="C90" s="16">
        <v>0.6875</v>
      </c>
      <c r="D90" s="15" t="s">
        <v>64</v>
      </c>
      <c r="E90" s="15" t="s">
        <v>360</v>
      </c>
      <c r="F90" s="15" t="s">
        <v>336</v>
      </c>
      <c r="G90" s="285"/>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46" t="s">
        <v>55</v>
      </c>
      <c r="B91" s="46" t="s">
        <v>804</v>
      </c>
      <c r="C91" s="47">
        <v>0.56597222222222221</v>
      </c>
      <c r="D91" s="46" t="s">
        <v>60</v>
      </c>
      <c r="E91" s="46" t="s">
        <v>358</v>
      </c>
      <c r="F91" s="46" t="s">
        <v>446</v>
      </c>
      <c r="G91" s="285"/>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5" t="s">
        <v>55</v>
      </c>
      <c r="B92" s="15" t="s">
        <v>804</v>
      </c>
      <c r="C92" s="16">
        <v>0.56597222222222221</v>
      </c>
      <c r="D92" s="15" t="s">
        <v>62</v>
      </c>
      <c r="E92" s="15" t="s">
        <v>360</v>
      </c>
      <c r="F92" s="15" t="s">
        <v>447</v>
      </c>
      <c r="G92" s="285"/>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55</v>
      </c>
      <c r="B93" s="15" t="s">
        <v>804</v>
      </c>
      <c r="C93" s="16">
        <v>0.56597222222222221</v>
      </c>
      <c r="D93" s="15" t="s">
        <v>64</v>
      </c>
      <c r="E93" s="15" t="s">
        <v>360</v>
      </c>
      <c r="F93" s="15" t="s">
        <v>336</v>
      </c>
      <c r="G93" s="285"/>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46" t="s">
        <v>55</v>
      </c>
      <c r="B94" s="46" t="s">
        <v>803</v>
      </c>
      <c r="C94" s="47">
        <v>0.82638888888888884</v>
      </c>
      <c r="D94" s="46" t="s">
        <v>60</v>
      </c>
      <c r="E94" s="46" t="s">
        <v>143</v>
      </c>
      <c r="F94" s="46" t="s">
        <v>350</v>
      </c>
      <c r="G94" s="285"/>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55</v>
      </c>
      <c r="B95" s="15" t="s">
        <v>803</v>
      </c>
      <c r="C95" s="16">
        <v>0.82638888888888884</v>
      </c>
      <c r="D95" s="15" t="s">
        <v>62</v>
      </c>
      <c r="E95" s="15" t="s">
        <v>136</v>
      </c>
      <c r="F95" s="15" t="s">
        <v>351</v>
      </c>
      <c r="G95" s="285"/>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55</v>
      </c>
      <c r="B96" s="15" t="s">
        <v>803</v>
      </c>
      <c r="C96" s="16">
        <v>0.82638888888888884</v>
      </c>
      <c r="D96" s="15" t="s">
        <v>64</v>
      </c>
      <c r="E96" s="15" t="s">
        <v>136</v>
      </c>
      <c r="F96" s="15" t="s">
        <v>59</v>
      </c>
      <c r="G96" s="285"/>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44" t="s">
        <v>304</v>
      </c>
      <c r="B97" s="44" t="s">
        <v>795</v>
      </c>
      <c r="C97" s="45">
        <v>0.27777777777777779</v>
      </c>
      <c r="D97" s="44" t="s">
        <v>37</v>
      </c>
      <c r="E97" s="44" t="s">
        <v>38</v>
      </c>
      <c r="F97" s="44" t="s">
        <v>796</v>
      </c>
      <c r="G97" s="285"/>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7" t="s">
        <v>35</v>
      </c>
      <c r="B98" s="177" t="s">
        <v>805</v>
      </c>
      <c r="C98" s="178">
        <v>0.92361111111111116</v>
      </c>
      <c r="D98" s="177" t="s">
        <v>37</v>
      </c>
      <c r="E98" s="177" t="s">
        <v>38</v>
      </c>
      <c r="F98" s="177" t="s">
        <v>839</v>
      </c>
      <c r="G98" s="285"/>
      <c r="H98" s="179" t="s">
        <v>807</v>
      </c>
      <c r="I98" s="204">
        <v>0.58930000000000005</v>
      </c>
      <c r="J98" s="181">
        <v>99</v>
      </c>
      <c r="K98" s="182">
        <v>45984</v>
      </c>
      <c r="L98" s="181">
        <v>68</v>
      </c>
      <c r="M98" s="181">
        <v>0</v>
      </c>
      <c r="N98" s="181">
        <v>6</v>
      </c>
      <c r="O98" s="183" t="s">
        <v>202</v>
      </c>
      <c r="P98" s="184">
        <v>0.92361111111111116</v>
      </c>
      <c r="Q98" s="181">
        <v>168</v>
      </c>
      <c r="R98" s="185" t="s">
        <v>840</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26" t="s">
        <v>35</v>
      </c>
      <c r="B99" s="26" t="s">
        <v>841</v>
      </c>
      <c r="C99" s="27">
        <v>0.61111111111111105</v>
      </c>
      <c r="D99" s="26" t="s">
        <v>37</v>
      </c>
      <c r="E99" s="26" t="s">
        <v>76</v>
      </c>
      <c r="F99" s="26" t="s">
        <v>806</v>
      </c>
      <c r="G99" s="285"/>
      <c r="H99" s="28" t="s">
        <v>842</v>
      </c>
      <c r="I99" s="199">
        <v>0.69640000000000002</v>
      </c>
      <c r="J99" s="30">
        <v>117</v>
      </c>
      <c r="K99" s="31">
        <v>45984</v>
      </c>
      <c r="L99" s="30">
        <v>65</v>
      </c>
      <c r="M99" s="30">
        <v>0</v>
      </c>
      <c r="N99" s="30">
        <v>16</v>
      </c>
      <c r="O99" s="32" t="s">
        <v>322</v>
      </c>
      <c r="P99" s="33">
        <v>0.61111111111111105</v>
      </c>
      <c r="Q99" s="30">
        <v>168</v>
      </c>
      <c r="R99" s="34" t="s">
        <v>843</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44" t="s">
        <v>333</v>
      </c>
      <c r="B100" s="44" t="s">
        <v>844</v>
      </c>
      <c r="C100" s="45">
        <v>0.80208333333333337</v>
      </c>
      <c r="D100" s="44" t="s">
        <v>37</v>
      </c>
      <c r="E100" s="44" t="s">
        <v>38</v>
      </c>
      <c r="F100" s="44" t="s">
        <v>845</v>
      </c>
      <c r="G100" s="285"/>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44" t="s">
        <v>66</v>
      </c>
      <c r="B101" s="44" t="s">
        <v>815</v>
      </c>
      <c r="C101" s="45">
        <v>0.91666666666666663</v>
      </c>
      <c r="D101" s="44" t="s">
        <v>85</v>
      </c>
      <c r="E101" s="44" t="s">
        <v>38</v>
      </c>
      <c r="F101" s="44" t="s">
        <v>813</v>
      </c>
      <c r="G101" s="285"/>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46" t="s">
        <v>66</v>
      </c>
      <c r="B102" s="46" t="s">
        <v>812</v>
      </c>
      <c r="C102" s="47">
        <v>0.16666666666666671</v>
      </c>
      <c r="D102" s="46" t="s">
        <v>85</v>
      </c>
      <c r="E102" s="46" t="s">
        <v>76</v>
      </c>
      <c r="F102" s="46" t="s">
        <v>813</v>
      </c>
      <c r="G102" s="285"/>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46" t="s">
        <v>66</v>
      </c>
      <c r="B103" s="46" t="s">
        <v>814</v>
      </c>
      <c r="C103" s="47">
        <v>0.53472222222222221</v>
      </c>
      <c r="D103" s="46" t="s">
        <v>85</v>
      </c>
      <c r="E103" s="46" t="s">
        <v>76</v>
      </c>
      <c r="F103" s="46" t="s">
        <v>813</v>
      </c>
      <c r="G103" s="285"/>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44" t="s">
        <v>78</v>
      </c>
      <c r="B104" s="44" t="s">
        <v>817</v>
      </c>
      <c r="C104" s="45">
        <v>0.2986111111111111</v>
      </c>
      <c r="D104" s="44" t="s">
        <v>87</v>
      </c>
      <c r="E104" s="44" t="s">
        <v>38</v>
      </c>
      <c r="F104" s="44" t="s">
        <v>818</v>
      </c>
      <c r="G104" s="285"/>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78</v>
      </c>
      <c r="B105" s="15" t="s">
        <v>817</v>
      </c>
      <c r="C105" s="16">
        <v>0.2986111111111111</v>
      </c>
      <c r="D105" s="15" t="s">
        <v>82</v>
      </c>
      <c r="E105" s="15" t="s">
        <v>88</v>
      </c>
      <c r="F105" s="15" t="s">
        <v>819</v>
      </c>
      <c r="G105" s="285"/>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46" t="s">
        <v>78</v>
      </c>
      <c r="B106" s="46" t="s">
        <v>821</v>
      </c>
      <c r="C106" s="47">
        <v>0.4826388888888889</v>
      </c>
      <c r="D106" s="46" t="s">
        <v>87</v>
      </c>
      <c r="E106" s="46" t="s">
        <v>76</v>
      </c>
      <c r="F106" s="46" t="s">
        <v>846</v>
      </c>
      <c r="G106" s="285"/>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78</v>
      </c>
      <c r="B107" s="15" t="s">
        <v>821</v>
      </c>
      <c r="C107" s="16">
        <v>0.4826388888888889</v>
      </c>
      <c r="D107" s="15" t="s">
        <v>82</v>
      </c>
      <c r="E107" s="15" t="s">
        <v>88</v>
      </c>
      <c r="F107" s="15" t="s">
        <v>847</v>
      </c>
      <c r="G107" s="285"/>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46" t="s">
        <v>78</v>
      </c>
      <c r="B108" s="46" t="s">
        <v>822</v>
      </c>
      <c r="C108" s="47">
        <v>0.68402777777777779</v>
      </c>
      <c r="D108" s="46" t="s">
        <v>87</v>
      </c>
      <c r="E108" s="46" t="s">
        <v>76</v>
      </c>
      <c r="F108" s="46" t="s">
        <v>138</v>
      </c>
      <c r="G108" s="285"/>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78</v>
      </c>
      <c r="B109" s="15" t="s">
        <v>822</v>
      </c>
      <c r="C109" s="16">
        <v>0.68402777777777779</v>
      </c>
      <c r="D109" s="15" t="s">
        <v>82</v>
      </c>
      <c r="E109" s="15" t="s">
        <v>88</v>
      </c>
      <c r="F109" s="15" t="s">
        <v>791</v>
      </c>
      <c r="G109" s="285"/>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46" t="s">
        <v>78</v>
      </c>
      <c r="B110" s="46" t="s">
        <v>825</v>
      </c>
      <c r="C110" s="47">
        <v>0.83680555555555547</v>
      </c>
      <c r="D110" s="46" t="s">
        <v>87</v>
      </c>
      <c r="E110" s="46" t="s">
        <v>143</v>
      </c>
      <c r="F110" s="46" t="s">
        <v>138</v>
      </c>
      <c r="G110" s="285"/>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5" t="s">
        <v>78</v>
      </c>
      <c r="B111" s="15" t="s">
        <v>825</v>
      </c>
      <c r="C111" s="16">
        <v>0.83680555555555547</v>
      </c>
      <c r="D111" s="15" t="s">
        <v>82</v>
      </c>
      <c r="E111" s="15" t="s">
        <v>136</v>
      </c>
      <c r="F111" s="15" t="s">
        <v>791</v>
      </c>
      <c r="G111" s="285"/>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46" t="s">
        <v>78</v>
      </c>
      <c r="B112" s="46" t="s">
        <v>828</v>
      </c>
      <c r="C112" s="47">
        <v>0.76041666666666663</v>
      </c>
      <c r="D112" s="46" t="s">
        <v>82</v>
      </c>
      <c r="E112" s="46" t="s">
        <v>102</v>
      </c>
      <c r="F112" s="46" t="s">
        <v>848</v>
      </c>
      <c r="G112" s="285"/>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46" t="s">
        <v>78</v>
      </c>
      <c r="B113" s="46" t="s">
        <v>830</v>
      </c>
      <c r="C113" s="47">
        <v>0.5</v>
      </c>
      <c r="D113" s="46" t="s">
        <v>82</v>
      </c>
      <c r="E113" s="46" t="s">
        <v>102</v>
      </c>
      <c r="F113" s="46" t="s">
        <v>848</v>
      </c>
      <c r="G113" s="285"/>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61" t="s">
        <v>78</v>
      </c>
      <c r="B114" s="61" t="s">
        <v>826</v>
      </c>
      <c r="C114" s="62">
        <v>0.81597222222222221</v>
      </c>
      <c r="D114" s="61" t="s">
        <v>82</v>
      </c>
      <c r="E114" s="61" t="s">
        <v>102</v>
      </c>
      <c r="F114" s="61" t="s">
        <v>848</v>
      </c>
      <c r="G114" s="286"/>
      <c r="H114" s="50"/>
      <c r="I114" s="51"/>
      <c r="J114" s="51"/>
      <c r="K114" s="51"/>
      <c r="L114" s="51"/>
      <c r="M114" s="51"/>
      <c r="N114" s="51"/>
      <c r="O114" s="52"/>
      <c r="P114" s="51"/>
      <c r="Q114" s="53"/>
      <c r="R114" s="5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4.4" customHeight="1" x14ac:dyDescent="0.3">
      <c r="A115" s="295"/>
      <c r="B115" s="296"/>
      <c r="C115" s="296"/>
      <c r="D115" s="296"/>
      <c r="E115" s="296"/>
      <c r="F115" s="296"/>
      <c r="G115" s="289"/>
      <c r="H115" s="297"/>
      <c r="I115" s="297"/>
      <c r="J115" s="297"/>
      <c r="K115" s="297"/>
      <c r="L115" s="297"/>
      <c r="M115" s="297"/>
      <c r="N115" s="297"/>
      <c r="O115" s="298"/>
      <c r="P115" s="297"/>
      <c r="Q115" s="289"/>
      <c r="R115" s="290"/>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2.05" customHeight="1" x14ac:dyDescent="0.3">
      <c r="A116" s="282" t="s">
        <v>5</v>
      </c>
      <c r="B116" s="283"/>
      <c r="C116" s="283"/>
      <c r="D116" s="283"/>
      <c r="E116" s="283"/>
      <c r="F116" s="283"/>
      <c r="G116" s="5">
        <v>45988</v>
      </c>
      <c r="H116" s="278" t="s">
        <v>6</v>
      </c>
      <c r="I116" s="279"/>
      <c r="J116" s="279"/>
      <c r="K116" s="279"/>
      <c r="L116" s="279"/>
      <c r="M116" s="279"/>
      <c r="N116" s="279"/>
      <c r="O116" s="279"/>
      <c r="P116" s="279"/>
      <c r="Q116" s="279"/>
      <c r="R116" s="279"/>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4" customHeight="1" x14ac:dyDescent="0.3">
      <c r="A117" s="55" t="s">
        <v>7</v>
      </c>
      <c r="B117" s="55" t="s">
        <v>8</v>
      </c>
      <c r="C117" s="56" t="s">
        <v>9</v>
      </c>
      <c r="D117" s="55" t="s">
        <v>10</v>
      </c>
      <c r="E117" s="55" t="s">
        <v>11</v>
      </c>
      <c r="F117" s="55" t="s">
        <v>12</v>
      </c>
      <c r="G117" s="57" t="s">
        <v>13</v>
      </c>
      <c r="H117" s="55" t="s">
        <v>14</v>
      </c>
      <c r="I117" s="58" t="s">
        <v>15</v>
      </c>
      <c r="J117" s="59" t="s">
        <v>16</v>
      </c>
      <c r="K117" s="60" t="s">
        <v>17</v>
      </c>
      <c r="L117" s="59" t="s">
        <v>18</v>
      </c>
      <c r="M117" s="59" t="s">
        <v>19</v>
      </c>
      <c r="N117" s="59" t="s">
        <v>20</v>
      </c>
      <c r="O117" s="55" t="s">
        <v>21</v>
      </c>
      <c r="P117" s="56" t="s">
        <v>22</v>
      </c>
      <c r="Q117" s="59" t="s">
        <v>23</v>
      </c>
      <c r="R117" s="55" t="s">
        <v>24</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8" t="s">
        <v>25</v>
      </c>
      <c r="B118" s="8" t="s">
        <v>792</v>
      </c>
      <c r="C118" s="9">
        <v>0.44791666666666669</v>
      </c>
      <c r="D118" s="8" t="s">
        <v>27</v>
      </c>
      <c r="E118" s="8" t="s">
        <v>849</v>
      </c>
      <c r="F118" s="8" t="s">
        <v>832</v>
      </c>
      <c r="G118" s="284"/>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25</v>
      </c>
      <c r="B119" s="15" t="s">
        <v>792</v>
      </c>
      <c r="C119" s="16">
        <v>0.44791666666666669</v>
      </c>
      <c r="D119" s="15" t="s">
        <v>30</v>
      </c>
      <c r="E119" s="15" t="s">
        <v>850</v>
      </c>
      <c r="F119" s="15" t="s">
        <v>833</v>
      </c>
      <c r="G119" s="285"/>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25</v>
      </c>
      <c r="B120" s="15" t="s">
        <v>792</v>
      </c>
      <c r="C120" s="16">
        <v>0.44791666666666669</v>
      </c>
      <c r="D120" s="15" t="s">
        <v>33</v>
      </c>
      <c r="E120" s="15" t="s">
        <v>850</v>
      </c>
      <c r="F120" s="15" t="s">
        <v>791</v>
      </c>
      <c r="G120" s="285"/>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46" t="s">
        <v>25</v>
      </c>
      <c r="B121" s="46" t="s">
        <v>794</v>
      </c>
      <c r="C121" s="47">
        <v>0.5</v>
      </c>
      <c r="D121" s="46" t="s">
        <v>27</v>
      </c>
      <c r="E121" s="46" t="s">
        <v>348</v>
      </c>
      <c r="F121" s="46" t="s">
        <v>832</v>
      </c>
      <c r="G121" s="285"/>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25</v>
      </c>
      <c r="B122" s="15" t="s">
        <v>794</v>
      </c>
      <c r="C122" s="16">
        <v>0.5</v>
      </c>
      <c r="D122" s="15" t="s">
        <v>30</v>
      </c>
      <c r="E122" s="15" t="s">
        <v>105</v>
      </c>
      <c r="F122" s="15" t="s">
        <v>833</v>
      </c>
      <c r="G122" s="285"/>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25</v>
      </c>
      <c r="B123" s="15" t="s">
        <v>794</v>
      </c>
      <c r="C123" s="16">
        <v>0.5</v>
      </c>
      <c r="D123" s="15" t="s">
        <v>33</v>
      </c>
      <c r="E123" s="15" t="s">
        <v>105</v>
      </c>
      <c r="F123" s="15" t="s">
        <v>791</v>
      </c>
      <c r="G123" s="285"/>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46" t="s">
        <v>25</v>
      </c>
      <c r="B124" s="46" t="s">
        <v>787</v>
      </c>
      <c r="C124" s="47">
        <v>0.81597222222222221</v>
      </c>
      <c r="D124" s="46" t="s">
        <v>27</v>
      </c>
      <c r="E124" s="46" t="s">
        <v>50</v>
      </c>
      <c r="F124" s="46" t="s">
        <v>798</v>
      </c>
      <c r="G124" s="285"/>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25</v>
      </c>
      <c r="B125" s="15" t="s">
        <v>787</v>
      </c>
      <c r="C125" s="16">
        <v>0.81597222222222221</v>
      </c>
      <c r="D125" s="15" t="s">
        <v>30</v>
      </c>
      <c r="E125" s="15" t="s">
        <v>97</v>
      </c>
      <c r="F125" s="15" t="s">
        <v>104</v>
      </c>
      <c r="G125" s="285"/>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25</v>
      </c>
      <c r="B126" s="15" t="s">
        <v>787</v>
      </c>
      <c r="C126" s="16">
        <v>0.81597222222222221</v>
      </c>
      <c r="D126" s="15" t="s">
        <v>33</v>
      </c>
      <c r="E126" s="15" t="s">
        <v>97</v>
      </c>
      <c r="F126" s="15" t="s">
        <v>791</v>
      </c>
      <c r="G126" s="285"/>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46" t="s">
        <v>25</v>
      </c>
      <c r="B127" s="46" t="s">
        <v>789</v>
      </c>
      <c r="C127" s="47">
        <v>0.76041666666666663</v>
      </c>
      <c r="D127" s="46" t="s">
        <v>27</v>
      </c>
      <c r="E127" s="46" t="s">
        <v>71</v>
      </c>
      <c r="F127" s="46" t="s">
        <v>447</v>
      </c>
      <c r="G127" s="285"/>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25</v>
      </c>
      <c r="B128" s="15" t="s">
        <v>789</v>
      </c>
      <c r="C128" s="16">
        <v>0.76041666666666663</v>
      </c>
      <c r="D128" s="15" t="s">
        <v>30</v>
      </c>
      <c r="E128" s="15" t="s">
        <v>125</v>
      </c>
      <c r="F128" s="15" t="s">
        <v>851</v>
      </c>
      <c r="G128" s="285"/>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25</v>
      </c>
      <c r="B129" s="15" t="s">
        <v>789</v>
      </c>
      <c r="C129" s="16">
        <v>0.76041666666666663</v>
      </c>
      <c r="D129" s="15" t="s">
        <v>33</v>
      </c>
      <c r="E129" s="15" t="s">
        <v>125</v>
      </c>
      <c r="F129" s="15" t="s">
        <v>113</v>
      </c>
      <c r="G129" s="285"/>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44" t="s">
        <v>55</v>
      </c>
      <c r="B130" s="44" t="s">
        <v>799</v>
      </c>
      <c r="C130" s="45">
        <v>0.30555555555555552</v>
      </c>
      <c r="D130" s="44" t="s">
        <v>60</v>
      </c>
      <c r="E130" s="44" t="s">
        <v>28</v>
      </c>
      <c r="F130" s="44" t="s">
        <v>852</v>
      </c>
      <c r="G130" s="285"/>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5" t="s">
        <v>55</v>
      </c>
      <c r="B131" s="15" t="s">
        <v>799</v>
      </c>
      <c r="C131" s="16">
        <v>0.30555555555555552</v>
      </c>
      <c r="D131" s="15" t="s">
        <v>62</v>
      </c>
      <c r="E131" s="15" t="s">
        <v>31</v>
      </c>
      <c r="F131" s="15" t="s">
        <v>425</v>
      </c>
      <c r="G131" s="285"/>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55</v>
      </c>
      <c r="B132" s="15" t="s">
        <v>799</v>
      </c>
      <c r="C132" s="16">
        <v>0.30555555555555552</v>
      </c>
      <c r="D132" s="15" t="s">
        <v>64</v>
      </c>
      <c r="E132" s="15" t="s">
        <v>31</v>
      </c>
      <c r="F132" s="15" t="s">
        <v>853</v>
      </c>
      <c r="G132" s="285"/>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46" t="s">
        <v>55</v>
      </c>
      <c r="B133" s="46" t="s">
        <v>797</v>
      </c>
      <c r="C133" s="47">
        <v>0.42708333333333331</v>
      </c>
      <c r="D133" s="46" t="s">
        <v>60</v>
      </c>
      <c r="E133" s="46" t="s">
        <v>102</v>
      </c>
      <c r="F133" s="46" t="s">
        <v>852</v>
      </c>
      <c r="G133" s="285"/>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5" t="s">
        <v>55</v>
      </c>
      <c r="B134" s="15" t="s">
        <v>797</v>
      </c>
      <c r="C134" s="16">
        <v>0.42708333333333331</v>
      </c>
      <c r="D134" s="15" t="s">
        <v>62</v>
      </c>
      <c r="E134" s="15" t="s">
        <v>83</v>
      </c>
      <c r="F134" s="15" t="s">
        <v>425</v>
      </c>
      <c r="G134" s="285"/>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55</v>
      </c>
      <c r="B135" s="15" t="s">
        <v>797</v>
      </c>
      <c r="C135" s="16">
        <v>0.42708333333333331</v>
      </c>
      <c r="D135" s="15" t="s">
        <v>64</v>
      </c>
      <c r="E135" s="15" t="s">
        <v>83</v>
      </c>
      <c r="F135" s="15" t="s">
        <v>853</v>
      </c>
      <c r="G135" s="285"/>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46" t="s">
        <v>55</v>
      </c>
      <c r="B136" s="46" t="s">
        <v>802</v>
      </c>
      <c r="C136" s="47">
        <v>0.375</v>
      </c>
      <c r="D136" s="46" t="s">
        <v>60</v>
      </c>
      <c r="E136" s="46" t="s">
        <v>358</v>
      </c>
      <c r="F136" s="46" t="s">
        <v>852</v>
      </c>
      <c r="G136" s="285"/>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5" t="s">
        <v>55</v>
      </c>
      <c r="B137" s="15" t="s">
        <v>802</v>
      </c>
      <c r="C137" s="16">
        <v>0.375</v>
      </c>
      <c r="D137" s="15" t="s">
        <v>62</v>
      </c>
      <c r="E137" s="15" t="s">
        <v>360</v>
      </c>
      <c r="F137" s="15" t="s">
        <v>425</v>
      </c>
      <c r="G137" s="285"/>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55</v>
      </c>
      <c r="B138" s="15" t="s">
        <v>802</v>
      </c>
      <c r="C138" s="16">
        <v>0.375</v>
      </c>
      <c r="D138" s="15" t="s">
        <v>64</v>
      </c>
      <c r="E138" s="15" t="s">
        <v>360</v>
      </c>
      <c r="F138" s="15" t="s">
        <v>853</v>
      </c>
      <c r="G138" s="285"/>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46" t="s">
        <v>55</v>
      </c>
      <c r="B139" s="46" t="s">
        <v>800</v>
      </c>
      <c r="C139" s="47">
        <v>0.5</v>
      </c>
      <c r="D139" s="46" t="s">
        <v>60</v>
      </c>
      <c r="E139" s="46" t="s">
        <v>358</v>
      </c>
      <c r="F139" s="46" t="s">
        <v>732</v>
      </c>
      <c r="G139" s="285"/>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5" t="s">
        <v>55</v>
      </c>
      <c r="B140" s="15" t="s">
        <v>800</v>
      </c>
      <c r="C140" s="16">
        <v>0.5</v>
      </c>
      <c r="D140" s="15" t="s">
        <v>62</v>
      </c>
      <c r="E140" s="15" t="s">
        <v>360</v>
      </c>
      <c r="F140" s="15" t="s">
        <v>833</v>
      </c>
      <c r="G140" s="285"/>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55</v>
      </c>
      <c r="B141" s="15" t="s">
        <v>800</v>
      </c>
      <c r="C141" s="16">
        <v>0.5</v>
      </c>
      <c r="D141" s="15" t="s">
        <v>64</v>
      </c>
      <c r="E141" s="15" t="s">
        <v>360</v>
      </c>
      <c r="F141" s="15" t="s">
        <v>629</v>
      </c>
      <c r="G141" s="285"/>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46" t="s">
        <v>55</v>
      </c>
      <c r="B142" s="46" t="s">
        <v>804</v>
      </c>
      <c r="C142" s="47">
        <v>0.56597222222222221</v>
      </c>
      <c r="D142" s="46" t="s">
        <v>60</v>
      </c>
      <c r="E142" s="46" t="s">
        <v>358</v>
      </c>
      <c r="F142" s="46" t="s">
        <v>793</v>
      </c>
      <c r="G142" s="285"/>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55</v>
      </c>
      <c r="B143" s="15" t="s">
        <v>804</v>
      </c>
      <c r="C143" s="16">
        <v>0.56597222222222221</v>
      </c>
      <c r="D143" s="15" t="s">
        <v>62</v>
      </c>
      <c r="E143" s="15" t="s">
        <v>360</v>
      </c>
      <c r="F143" s="15" t="s">
        <v>798</v>
      </c>
      <c r="G143" s="285"/>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55</v>
      </c>
      <c r="B144" s="15" t="s">
        <v>804</v>
      </c>
      <c r="C144" s="16">
        <v>0.56597222222222221</v>
      </c>
      <c r="D144" s="15" t="s">
        <v>64</v>
      </c>
      <c r="E144" s="15" t="s">
        <v>360</v>
      </c>
      <c r="F144" s="15" t="s">
        <v>29</v>
      </c>
      <c r="G144" s="285"/>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46" t="s">
        <v>55</v>
      </c>
      <c r="B145" s="46" t="s">
        <v>803</v>
      </c>
      <c r="C145" s="47">
        <v>0.82638888888888884</v>
      </c>
      <c r="D145" s="46" t="s">
        <v>60</v>
      </c>
      <c r="E145" s="46" t="s">
        <v>358</v>
      </c>
      <c r="F145" s="46" t="s">
        <v>426</v>
      </c>
      <c r="G145" s="285"/>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55</v>
      </c>
      <c r="B146" s="15" t="s">
        <v>803</v>
      </c>
      <c r="C146" s="16">
        <v>0.82638888888888884</v>
      </c>
      <c r="D146" s="15" t="s">
        <v>62</v>
      </c>
      <c r="E146" s="15" t="s">
        <v>360</v>
      </c>
      <c r="F146" s="15" t="s">
        <v>59</v>
      </c>
      <c r="G146" s="285"/>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55</v>
      </c>
      <c r="B147" s="15" t="s">
        <v>803</v>
      </c>
      <c r="C147" s="16">
        <v>0.82638888888888884</v>
      </c>
      <c r="D147" s="15" t="s">
        <v>64</v>
      </c>
      <c r="E147" s="15" t="s">
        <v>360</v>
      </c>
      <c r="F147" s="15" t="s">
        <v>854</v>
      </c>
      <c r="G147" s="285"/>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46" t="s">
        <v>55</v>
      </c>
      <c r="B148" s="46" t="s">
        <v>801</v>
      </c>
      <c r="C148" s="47">
        <v>0.6875</v>
      </c>
      <c r="D148" s="46" t="s">
        <v>60</v>
      </c>
      <c r="E148" s="46" t="s">
        <v>71</v>
      </c>
      <c r="F148" s="46" t="s">
        <v>426</v>
      </c>
      <c r="G148" s="285"/>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5" t="s">
        <v>55</v>
      </c>
      <c r="B149" s="15" t="s">
        <v>801</v>
      </c>
      <c r="C149" s="16">
        <v>0.6875</v>
      </c>
      <c r="D149" s="15" t="s">
        <v>62</v>
      </c>
      <c r="E149" s="15" t="s">
        <v>125</v>
      </c>
      <c r="F149" s="15" t="s">
        <v>59</v>
      </c>
      <c r="G149" s="285"/>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5" t="s">
        <v>55</v>
      </c>
      <c r="B150" s="15" t="s">
        <v>801</v>
      </c>
      <c r="C150" s="16">
        <v>0.6875</v>
      </c>
      <c r="D150" s="15" t="s">
        <v>64</v>
      </c>
      <c r="E150" s="15" t="s">
        <v>125</v>
      </c>
      <c r="F150" s="15" t="s">
        <v>854</v>
      </c>
      <c r="G150" s="285"/>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44" t="s">
        <v>304</v>
      </c>
      <c r="B151" s="44" t="s">
        <v>855</v>
      </c>
      <c r="C151" s="45">
        <v>0.87847222222222221</v>
      </c>
      <c r="D151" s="44" t="s">
        <v>37</v>
      </c>
      <c r="E151" s="44" t="s">
        <v>124</v>
      </c>
      <c r="F151" s="44" t="s">
        <v>796</v>
      </c>
      <c r="G151" s="285"/>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44" t="s">
        <v>333</v>
      </c>
      <c r="B152" s="44" t="s">
        <v>856</v>
      </c>
      <c r="C152" s="45">
        <v>0.35416666666666669</v>
      </c>
      <c r="D152" s="44" t="s">
        <v>37</v>
      </c>
      <c r="E152" s="44" t="s">
        <v>38</v>
      </c>
      <c r="F152" s="44" t="s">
        <v>845</v>
      </c>
      <c r="G152" s="285"/>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46" t="s">
        <v>333</v>
      </c>
      <c r="B153" s="46" t="s">
        <v>844</v>
      </c>
      <c r="C153" s="47">
        <v>0.85763888888888884</v>
      </c>
      <c r="D153" s="46" t="s">
        <v>37</v>
      </c>
      <c r="E153" s="46" t="s">
        <v>76</v>
      </c>
      <c r="F153" s="46" t="s">
        <v>857</v>
      </c>
      <c r="G153" s="285"/>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35</v>
      </c>
      <c r="B154" s="17" t="s">
        <v>841</v>
      </c>
      <c r="C154" s="18">
        <v>0.61111111111111105</v>
      </c>
      <c r="D154" s="17" t="s">
        <v>37</v>
      </c>
      <c r="E154" s="17" t="s">
        <v>122</v>
      </c>
      <c r="F154" s="17" t="s">
        <v>806</v>
      </c>
      <c r="G154" s="285"/>
      <c r="H154" s="19" t="s">
        <v>842</v>
      </c>
      <c r="I154" s="20">
        <v>0.61899999999999999</v>
      </c>
      <c r="J154" s="21">
        <v>104</v>
      </c>
      <c r="K154" s="22">
        <v>45984</v>
      </c>
      <c r="L154" s="21">
        <v>24</v>
      </c>
      <c r="M154" s="21">
        <v>0</v>
      </c>
      <c r="N154" s="21">
        <v>5</v>
      </c>
      <c r="O154" s="23" t="s">
        <v>193</v>
      </c>
      <c r="P154" s="24">
        <v>0.61111111111111105</v>
      </c>
      <c r="Q154" s="21">
        <v>168</v>
      </c>
      <c r="R154" s="25" t="s">
        <v>858</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44" t="s">
        <v>378</v>
      </c>
      <c r="B155" s="44" t="s">
        <v>809</v>
      </c>
      <c r="C155" s="45">
        <v>0.62152777777777779</v>
      </c>
      <c r="D155" s="44" t="s">
        <v>380</v>
      </c>
      <c r="E155" s="44" t="s">
        <v>381</v>
      </c>
      <c r="F155" s="44" t="s">
        <v>859</v>
      </c>
      <c r="G155" s="285"/>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378</v>
      </c>
      <c r="B156" s="15" t="s">
        <v>809</v>
      </c>
      <c r="C156" s="16">
        <v>0.62152777777777779</v>
      </c>
      <c r="D156" s="15" t="s">
        <v>33</v>
      </c>
      <c r="E156" s="15" t="s">
        <v>360</v>
      </c>
      <c r="F156" s="15" t="s">
        <v>359</v>
      </c>
      <c r="G156" s="285"/>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44" t="s">
        <v>66</v>
      </c>
      <c r="B157" s="44" t="s">
        <v>812</v>
      </c>
      <c r="C157" s="45">
        <v>0.16666666666666671</v>
      </c>
      <c r="D157" s="44" t="s">
        <v>85</v>
      </c>
      <c r="E157" s="44" t="s">
        <v>38</v>
      </c>
      <c r="F157" s="44" t="s">
        <v>816</v>
      </c>
      <c r="G157" s="285"/>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46" t="s">
        <v>66</v>
      </c>
      <c r="B158" s="46" t="s">
        <v>814</v>
      </c>
      <c r="C158" s="47">
        <v>0.54166666666666663</v>
      </c>
      <c r="D158" s="46" t="s">
        <v>68</v>
      </c>
      <c r="E158" s="46" t="s">
        <v>116</v>
      </c>
      <c r="F158" s="46" t="s">
        <v>860</v>
      </c>
      <c r="G158" s="285"/>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46" t="s">
        <v>66</v>
      </c>
      <c r="B159" s="46" t="s">
        <v>815</v>
      </c>
      <c r="C159" s="47">
        <v>0.91666666666666663</v>
      </c>
      <c r="D159" s="46" t="s">
        <v>68</v>
      </c>
      <c r="E159" s="46" t="s">
        <v>116</v>
      </c>
      <c r="F159" s="46" t="s">
        <v>861</v>
      </c>
      <c r="G159" s="285"/>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44" t="s">
        <v>78</v>
      </c>
      <c r="B160" s="44" t="s">
        <v>822</v>
      </c>
      <c r="C160" s="45">
        <v>0.68402777777777779</v>
      </c>
      <c r="D160" s="44" t="s">
        <v>87</v>
      </c>
      <c r="E160" s="44" t="s">
        <v>108</v>
      </c>
      <c r="F160" s="44" t="s">
        <v>862</v>
      </c>
      <c r="G160" s="285"/>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78</v>
      </c>
      <c r="B161" s="15" t="s">
        <v>822</v>
      </c>
      <c r="C161" s="16">
        <v>0.68402777777777779</v>
      </c>
      <c r="D161" s="15" t="s">
        <v>82</v>
      </c>
      <c r="E161" s="15" t="s">
        <v>109</v>
      </c>
      <c r="F161" s="15" t="s">
        <v>863</v>
      </c>
      <c r="G161" s="285"/>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46" t="s">
        <v>78</v>
      </c>
      <c r="B162" s="46" t="s">
        <v>821</v>
      </c>
      <c r="C162" s="47">
        <v>0.4826388888888889</v>
      </c>
      <c r="D162" s="46" t="s">
        <v>87</v>
      </c>
      <c r="E162" s="46" t="s">
        <v>116</v>
      </c>
      <c r="F162" s="46" t="s">
        <v>862</v>
      </c>
      <c r="G162" s="285"/>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78</v>
      </c>
      <c r="B163" s="15" t="s">
        <v>821</v>
      </c>
      <c r="C163" s="16">
        <v>0.4826388888888889</v>
      </c>
      <c r="D163" s="15" t="s">
        <v>82</v>
      </c>
      <c r="E163" s="15" t="s">
        <v>109</v>
      </c>
      <c r="F163" s="15" t="s">
        <v>863</v>
      </c>
      <c r="G163" s="285"/>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46" t="s">
        <v>78</v>
      </c>
      <c r="B164" s="46" t="s">
        <v>817</v>
      </c>
      <c r="C164" s="47">
        <v>0.2986111111111111</v>
      </c>
      <c r="D164" s="46" t="s">
        <v>87</v>
      </c>
      <c r="E164" s="46" t="s">
        <v>76</v>
      </c>
      <c r="F164" s="46" t="s">
        <v>138</v>
      </c>
      <c r="G164" s="285"/>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78</v>
      </c>
      <c r="B165" s="15" t="s">
        <v>817</v>
      </c>
      <c r="C165" s="16">
        <v>0.2986111111111111</v>
      </c>
      <c r="D165" s="15" t="s">
        <v>82</v>
      </c>
      <c r="E165" s="15" t="s">
        <v>88</v>
      </c>
      <c r="F165" s="15" t="s">
        <v>791</v>
      </c>
      <c r="G165" s="285"/>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46" t="s">
        <v>78</v>
      </c>
      <c r="B166" s="46" t="s">
        <v>830</v>
      </c>
      <c r="C166" s="47">
        <v>0.5</v>
      </c>
      <c r="D166" s="46" t="s">
        <v>82</v>
      </c>
      <c r="E166" s="46" t="s">
        <v>102</v>
      </c>
      <c r="F166" s="46" t="s">
        <v>848</v>
      </c>
      <c r="G166" s="285"/>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46" t="s">
        <v>78</v>
      </c>
      <c r="B167" s="46" t="s">
        <v>828</v>
      </c>
      <c r="C167" s="47">
        <v>0.76041666666666663</v>
      </c>
      <c r="D167" s="46" t="s">
        <v>82</v>
      </c>
      <c r="E167" s="46" t="s">
        <v>102</v>
      </c>
      <c r="F167" s="46" t="s">
        <v>864</v>
      </c>
      <c r="G167" s="285"/>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46" t="s">
        <v>78</v>
      </c>
      <c r="B168" s="46" t="s">
        <v>826</v>
      </c>
      <c r="C168" s="47">
        <v>0.81597222222222221</v>
      </c>
      <c r="D168" s="46" t="s">
        <v>82</v>
      </c>
      <c r="E168" s="46" t="s">
        <v>102</v>
      </c>
      <c r="F168" s="46" t="s">
        <v>864</v>
      </c>
      <c r="G168" s="285"/>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46" t="s">
        <v>78</v>
      </c>
      <c r="B169" s="46" t="s">
        <v>825</v>
      </c>
      <c r="C169" s="47">
        <v>0.83680555555555547</v>
      </c>
      <c r="D169" s="46" t="s">
        <v>87</v>
      </c>
      <c r="E169" s="46" t="s">
        <v>76</v>
      </c>
      <c r="F169" s="46" t="s">
        <v>865</v>
      </c>
      <c r="G169" s="285"/>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48" t="s">
        <v>78</v>
      </c>
      <c r="B170" s="48" t="s">
        <v>825</v>
      </c>
      <c r="C170" s="49">
        <v>0.83680555555555547</v>
      </c>
      <c r="D170" s="48" t="s">
        <v>82</v>
      </c>
      <c r="E170" s="48" t="s">
        <v>88</v>
      </c>
      <c r="F170" s="48" t="s">
        <v>866</v>
      </c>
      <c r="G170" s="286"/>
      <c r="H170" s="50"/>
      <c r="I170" s="51"/>
      <c r="J170" s="51"/>
      <c r="K170" s="51"/>
      <c r="L170" s="51"/>
      <c r="M170" s="51"/>
      <c r="N170" s="51"/>
      <c r="O170" s="52"/>
      <c r="P170" s="51"/>
      <c r="Q170" s="53"/>
      <c r="R170" s="5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 customHeight="1" x14ac:dyDescent="0.3">
      <c r="A171" s="295"/>
      <c r="B171" s="296"/>
      <c r="C171" s="296"/>
      <c r="D171" s="296"/>
      <c r="E171" s="296"/>
      <c r="F171" s="296"/>
      <c r="G171" s="289"/>
      <c r="H171" s="297"/>
      <c r="I171" s="297"/>
      <c r="J171" s="297"/>
      <c r="K171" s="297"/>
      <c r="L171" s="297"/>
      <c r="M171" s="297"/>
      <c r="N171" s="297"/>
      <c r="O171" s="298"/>
      <c r="P171" s="297"/>
      <c r="Q171" s="289"/>
      <c r="R171" s="290"/>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2.05" customHeight="1" x14ac:dyDescent="0.3">
      <c r="A172" s="282" t="s">
        <v>5</v>
      </c>
      <c r="B172" s="283"/>
      <c r="C172" s="283"/>
      <c r="D172" s="283"/>
      <c r="E172" s="283"/>
      <c r="F172" s="283"/>
      <c r="G172" s="5">
        <v>45989</v>
      </c>
      <c r="H172" s="278" t="s">
        <v>6</v>
      </c>
      <c r="I172" s="279"/>
      <c r="J172" s="279"/>
      <c r="K172" s="279"/>
      <c r="L172" s="279"/>
      <c r="M172" s="279"/>
      <c r="N172" s="279"/>
      <c r="O172" s="279"/>
      <c r="P172" s="279"/>
      <c r="Q172" s="279"/>
      <c r="R172" s="279"/>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4" customHeight="1" x14ac:dyDescent="0.3">
      <c r="A173" s="55" t="s">
        <v>7</v>
      </c>
      <c r="B173" s="55" t="s">
        <v>8</v>
      </c>
      <c r="C173" s="56" t="s">
        <v>9</v>
      </c>
      <c r="D173" s="55" t="s">
        <v>10</v>
      </c>
      <c r="E173" s="55" t="s">
        <v>11</v>
      </c>
      <c r="F173" s="55" t="s">
        <v>12</v>
      </c>
      <c r="G173" s="57" t="s">
        <v>13</v>
      </c>
      <c r="H173" s="55" t="s">
        <v>14</v>
      </c>
      <c r="I173" s="58" t="s">
        <v>15</v>
      </c>
      <c r="J173" s="59" t="s">
        <v>16</v>
      </c>
      <c r="K173" s="60" t="s">
        <v>17</v>
      </c>
      <c r="L173" s="59" t="s">
        <v>18</v>
      </c>
      <c r="M173" s="59" t="s">
        <v>19</v>
      </c>
      <c r="N173" s="59" t="s">
        <v>20</v>
      </c>
      <c r="O173" s="55" t="s">
        <v>21</v>
      </c>
      <c r="P173" s="56" t="s">
        <v>22</v>
      </c>
      <c r="Q173" s="59" t="s">
        <v>23</v>
      </c>
      <c r="R173" s="55" t="s">
        <v>24</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8" t="s">
        <v>25</v>
      </c>
      <c r="B174" s="8" t="s">
        <v>789</v>
      </c>
      <c r="C174" s="9">
        <v>0.76041666666666663</v>
      </c>
      <c r="D174" s="8" t="s">
        <v>27</v>
      </c>
      <c r="E174" s="8" t="s">
        <v>28</v>
      </c>
      <c r="F174" s="8" t="s">
        <v>832</v>
      </c>
      <c r="G174" s="284"/>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25</v>
      </c>
      <c r="B175" s="15" t="s">
        <v>789</v>
      </c>
      <c r="C175" s="16">
        <v>0.76041666666666663</v>
      </c>
      <c r="D175" s="15" t="s">
        <v>30</v>
      </c>
      <c r="E175" s="15" t="s">
        <v>31</v>
      </c>
      <c r="F175" s="15" t="s">
        <v>833</v>
      </c>
      <c r="G175" s="285"/>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789</v>
      </c>
      <c r="C176" s="16">
        <v>0.76041666666666663</v>
      </c>
      <c r="D176" s="15" t="s">
        <v>33</v>
      </c>
      <c r="E176" s="15" t="s">
        <v>31</v>
      </c>
      <c r="F176" s="15" t="s">
        <v>791</v>
      </c>
      <c r="G176" s="285"/>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46" t="s">
        <v>25</v>
      </c>
      <c r="B177" s="46" t="s">
        <v>787</v>
      </c>
      <c r="C177" s="47">
        <v>0.81597222222222221</v>
      </c>
      <c r="D177" s="46" t="s">
        <v>27</v>
      </c>
      <c r="E177" s="46" t="s">
        <v>427</v>
      </c>
      <c r="F177" s="46" t="s">
        <v>832</v>
      </c>
      <c r="G177" s="285"/>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5" t="s">
        <v>25</v>
      </c>
      <c r="B178" s="15" t="s">
        <v>787</v>
      </c>
      <c r="C178" s="16">
        <v>0.81597222222222221</v>
      </c>
      <c r="D178" s="15" t="s">
        <v>30</v>
      </c>
      <c r="E178" s="15" t="s">
        <v>428</v>
      </c>
      <c r="F178" s="15" t="s">
        <v>833</v>
      </c>
      <c r="G178" s="285"/>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787</v>
      </c>
      <c r="C179" s="16">
        <v>0.81597222222222221</v>
      </c>
      <c r="D179" s="15" t="s">
        <v>33</v>
      </c>
      <c r="E179" s="15" t="s">
        <v>428</v>
      </c>
      <c r="F179" s="15" t="s">
        <v>791</v>
      </c>
      <c r="G179" s="285"/>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46" t="s">
        <v>25</v>
      </c>
      <c r="B180" s="46" t="s">
        <v>792</v>
      </c>
      <c r="C180" s="47">
        <v>0.44791666666666669</v>
      </c>
      <c r="D180" s="46" t="s">
        <v>27</v>
      </c>
      <c r="E180" s="46" t="s">
        <v>467</v>
      </c>
      <c r="F180" s="46" t="s">
        <v>788</v>
      </c>
      <c r="G180" s="285"/>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5" t="s">
        <v>25</v>
      </c>
      <c r="B181" s="15" t="s">
        <v>792</v>
      </c>
      <c r="C181" s="16">
        <v>0.44791666666666669</v>
      </c>
      <c r="D181" s="15" t="s">
        <v>30</v>
      </c>
      <c r="E181" s="15" t="s">
        <v>468</v>
      </c>
      <c r="F181" s="15" t="s">
        <v>345</v>
      </c>
      <c r="G181" s="285"/>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25</v>
      </c>
      <c r="B182" s="15" t="s">
        <v>792</v>
      </c>
      <c r="C182" s="16">
        <v>0.44791666666666669</v>
      </c>
      <c r="D182" s="15" t="s">
        <v>33</v>
      </c>
      <c r="E182" s="15" t="s">
        <v>468</v>
      </c>
      <c r="F182" s="15" t="s">
        <v>791</v>
      </c>
      <c r="G182" s="285"/>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46" t="s">
        <v>25</v>
      </c>
      <c r="B183" s="46" t="s">
        <v>794</v>
      </c>
      <c r="C183" s="47">
        <v>0.5</v>
      </c>
      <c r="D183" s="46" t="s">
        <v>27</v>
      </c>
      <c r="E183" s="46" t="s">
        <v>102</v>
      </c>
      <c r="F183" s="46" t="s">
        <v>788</v>
      </c>
      <c r="G183" s="285"/>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25</v>
      </c>
      <c r="B184" s="15" t="s">
        <v>794</v>
      </c>
      <c r="C184" s="16">
        <v>0.5</v>
      </c>
      <c r="D184" s="15" t="s">
        <v>30</v>
      </c>
      <c r="E184" s="15" t="s">
        <v>83</v>
      </c>
      <c r="F184" s="15" t="s">
        <v>345</v>
      </c>
      <c r="G184" s="285"/>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25</v>
      </c>
      <c r="B185" s="15" t="s">
        <v>794</v>
      </c>
      <c r="C185" s="16">
        <v>0.5</v>
      </c>
      <c r="D185" s="15" t="s">
        <v>33</v>
      </c>
      <c r="E185" s="15" t="s">
        <v>83</v>
      </c>
      <c r="F185" s="15" t="s">
        <v>791</v>
      </c>
      <c r="G185" s="285"/>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44" t="s">
        <v>55</v>
      </c>
      <c r="B186" s="44" t="s">
        <v>803</v>
      </c>
      <c r="C186" s="45">
        <v>0.82638888888888884</v>
      </c>
      <c r="D186" s="44" t="s">
        <v>60</v>
      </c>
      <c r="E186" s="44" t="s">
        <v>122</v>
      </c>
      <c r="F186" s="44" t="s">
        <v>852</v>
      </c>
      <c r="G186" s="285"/>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55</v>
      </c>
      <c r="B187" s="15" t="s">
        <v>803</v>
      </c>
      <c r="C187" s="16">
        <v>0.82638888888888884</v>
      </c>
      <c r="D187" s="15" t="s">
        <v>62</v>
      </c>
      <c r="E187" s="15" t="s">
        <v>92</v>
      </c>
      <c r="F187" s="15" t="s">
        <v>425</v>
      </c>
      <c r="G187" s="285"/>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55</v>
      </c>
      <c r="B188" s="15" t="s">
        <v>803</v>
      </c>
      <c r="C188" s="16">
        <v>0.82638888888888884</v>
      </c>
      <c r="D188" s="15" t="s">
        <v>64</v>
      </c>
      <c r="E188" s="15" t="s">
        <v>92</v>
      </c>
      <c r="F188" s="15" t="s">
        <v>853</v>
      </c>
      <c r="G188" s="285"/>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46" t="s">
        <v>55</v>
      </c>
      <c r="B189" s="46" t="s">
        <v>801</v>
      </c>
      <c r="C189" s="47">
        <v>0.6875</v>
      </c>
      <c r="D189" s="46" t="s">
        <v>60</v>
      </c>
      <c r="E189" s="46" t="s">
        <v>44</v>
      </c>
      <c r="F189" s="46" t="s">
        <v>732</v>
      </c>
      <c r="G189" s="285"/>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5" t="s">
        <v>55</v>
      </c>
      <c r="B190" s="15" t="s">
        <v>801</v>
      </c>
      <c r="C190" s="16">
        <v>0.6875</v>
      </c>
      <c r="D190" s="15" t="s">
        <v>62</v>
      </c>
      <c r="E190" s="15" t="s">
        <v>61</v>
      </c>
      <c r="F190" s="15" t="s">
        <v>833</v>
      </c>
      <c r="G190" s="285"/>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55</v>
      </c>
      <c r="B191" s="15" t="s">
        <v>801</v>
      </c>
      <c r="C191" s="16">
        <v>0.6875</v>
      </c>
      <c r="D191" s="15" t="s">
        <v>64</v>
      </c>
      <c r="E191" s="15" t="s">
        <v>61</v>
      </c>
      <c r="F191" s="15" t="s">
        <v>629</v>
      </c>
      <c r="G191" s="285"/>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46" t="s">
        <v>55</v>
      </c>
      <c r="B192" s="46" t="s">
        <v>804</v>
      </c>
      <c r="C192" s="47">
        <v>0.56597222222222221</v>
      </c>
      <c r="D192" s="46" t="s">
        <v>60</v>
      </c>
      <c r="E192" s="46" t="s">
        <v>71</v>
      </c>
      <c r="F192" s="46" t="s">
        <v>732</v>
      </c>
      <c r="G192" s="285"/>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55</v>
      </c>
      <c r="B193" s="15" t="s">
        <v>804</v>
      </c>
      <c r="C193" s="16">
        <v>0.56597222222222221</v>
      </c>
      <c r="D193" s="15" t="s">
        <v>62</v>
      </c>
      <c r="E193" s="15" t="s">
        <v>125</v>
      </c>
      <c r="F193" s="15" t="s">
        <v>833</v>
      </c>
      <c r="G193" s="285"/>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55</v>
      </c>
      <c r="B194" s="15" t="s">
        <v>804</v>
      </c>
      <c r="C194" s="16">
        <v>0.56597222222222221</v>
      </c>
      <c r="D194" s="15" t="s">
        <v>64</v>
      </c>
      <c r="E194" s="15" t="s">
        <v>125</v>
      </c>
      <c r="F194" s="15" t="s">
        <v>629</v>
      </c>
      <c r="G194" s="285"/>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46" t="s">
        <v>55</v>
      </c>
      <c r="B195" s="46" t="s">
        <v>799</v>
      </c>
      <c r="C195" s="47">
        <v>0.30555555555555552</v>
      </c>
      <c r="D195" s="46" t="s">
        <v>60</v>
      </c>
      <c r="E195" s="46" t="s">
        <v>358</v>
      </c>
      <c r="F195" s="46" t="s">
        <v>793</v>
      </c>
      <c r="G195" s="285"/>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55</v>
      </c>
      <c r="B196" s="15" t="s">
        <v>799</v>
      </c>
      <c r="C196" s="16">
        <v>0.30555555555555552</v>
      </c>
      <c r="D196" s="15" t="s">
        <v>62</v>
      </c>
      <c r="E196" s="15" t="s">
        <v>360</v>
      </c>
      <c r="F196" s="15" t="s">
        <v>798</v>
      </c>
      <c r="G196" s="285"/>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55</v>
      </c>
      <c r="B197" s="15" t="s">
        <v>799</v>
      </c>
      <c r="C197" s="16">
        <v>0.30555555555555552</v>
      </c>
      <c r="D197" s="15" t="s">
        <v>64</v>
      </c>
      <c r="E197" s="15" t="s">
        <v>360</v>
      </c>
      <c r="F197" s="15" t="s">
        <v>29</v>
      </c>
      <c r="G197" s="285"/>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46" t="s">
        <v>55</v>
      </c>
      <c r="B198" s="46" t="s">
        <v>800</v>
      </c>
      <c r="C198" s="47">
        <v>0.5</v>
      </c>
      <c r="D198" s="46" t="s">
        <v>60</v>
      </c>
      <c r="E198" s="46" t="s">
        <v>71</v>
      </c>
      <c r="F198" s="46" t="s">
        <v>793</v>
      </c>
      <c r="G198" s="285"/>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55</v>
      </c>
      <c r="B199" s="15" t="s">
        <v>800</v>
      </c>
      <c r="C199" s="16">
        <v>0.5</v>
      </c>
      <c r="D199" s="15" t="s">
        <v>62</v>
      </c>
      <c r="E199" s="15" t="s">
        <v>125</v>
      </c>
      <c r="F199" s="15" t="s">
        <v>798</v>
      </c>
      <c r="G199" s="285"/>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55</v>
      </c>
      <c r="B200" s="15" t="s">
        <v>800</v>
      </c>
      <c r="C200" s="16">
        <v>0.5</v>
      </c>
      <c r="D200" s="15" t="s">
        <v>64</v>
      </c>
      <c r="E200" s="15" t="s">
        <v>125</v>
      </c>
      <c r="F200" s="15" t="s">
        <v>29</v>
      </c>
      <c r="G200" s="285"/>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46" t="s">
        <v>55</v>
      </c>
      <c r="B201" s="46" t="s">
        <v>797</v>
      </c>
      <c r="C201" s="47">
        <v>0.42708333333333331</v>
      </c>
      <c r="D201" s="46" t="s">
        <v>60</v>
      </c>
      <c r="E201" s="46" t="s">
        <v>71</v>
      </c>
      <c r="F201" s="46" t="s">
        <v>793</v>
      </c>
      <c r="G201" s="285"/>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55</v>
      </c>
      <c r="B202" s="15" t="s">
        <v>797</v>
      </c>
      <c r="C202" s="16">
        <v>0.42708333333333331</v>
      </c>
      <c r="D202" s="15" t="s">
        <v>62</v>
      </c>
      <c r="E202" s="15" t="s">
        <v>125</v>
      </c>
      <c r="F202" s="15" t="s">
        <v>798</v>
      </c>
      <c r="G202" s="285"/>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55</v>
      </c>
      <c r="B203" s="15" t="s">
        <v>797</v>
      </c>
      <c r="C203" s="16">
        <v>0.42708333333333331</v>
      </c>
      <c r="D203" s="15" t="s">
        <v>64</v>
      </c>
      <c r="E203" s="15" t="s">
        <v>125</v>
      </c>
      <c r="F203" s="15" t="s">
        <v>29</v>
      </c>
      <c r="G203" s="285"/>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46" t="s">
        <v>55</v>
      </c>
      <c r="B204" s="46" t="s">
        <v>802</v>
      </c>
      <c r="C204" s="47">
        <v>0.375</v>
      </c>
      <c r="D204" s="46" t="s">
        <v>60</v>
      </c>
      <c r="E204" s="46" t="s">
        <v>44</v>
      </c>
      <c r="F204" s="46" t="s">
        <v>793</v>
      </c>
      <c r="G204" s="285"/>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55</v>
      </c>
      <c r="B205" s="15" t="s">
        <v>802</v>
      </c>
      <c r="C205" s="16">
        <v>0.375</v>
      </c>
      <c r="D205" s="15" t="s">
        <v>62</v>
      </c>
      <c r="E205" s="15" t="s">
        <v>61</v>
      </c>
      <c r="F205" s="15" t="s">
        <v>798</v>
      </c>
      <c r="G205" s="285"/>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55</v>
      </c>
      <c r="B206" s="15" t="s">
        <v>802</v>
      </c>
      <c r="C206" s="16">
        <v>0.375</v>
      </c>
      <c r="D206" s="15" t="s">
        <v>64</v>
      </c>
      <c r="E206" s="15" t="s">
        <v>61</v>
      </c>
      <c r="F206" s="15" t="s">
        <v>29</v>
      </c>
      <c r="G206" s="285"/>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44" t="s">
        <v>304</v>
      </c>
      <c r="B207" s="44" t="s">
        <v>795</v>
      </c>
      <c r="C207" s="45">
        <v>0.27777777777777779</v>
      </c>
      <c r="D207" s="44" t="s">
        <v>37</v>
      </c>
      <c r="E207" s="44" t="s">
        <v>95</v>
      </c>
      <c r="F207" s="44" t="s">
        <v>867</v>
      </c>
      <c r="G207" s="285"/>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82" t="s">
        <v>35</v>
      </c>
      <c r="B208" s="82" t="s">
        <v>841</v>
      </c>
      <c r="C208" s="83">
        <v>0.60416666666666663</v>
      </c>
      <c r="D208" s="82" t="s">
        <v>37</v>
      </c>
      <c r="E208" s="82" t="s">
        <v>38</v>
      </c>
      <c r="F208" s="82" t="s">
        <v>839</v>
      </c>
      <c r="G208" s="285"/>
      <c r="H208" s="84" t="s">
        <v>842</v>
      </c>
      <c r="I208" s="230">
        <v>0.55359999999999998</v>
      </c>
      <c r="J208" s="86">
        <v>93</v>
      </c>
      <c r="K208" s="87">
        <v>45984</v>
      </c>
      <c r="L208" s="86">
        <v>32</v>
      </c>
      <c r="M208" s="86">
        <v>0</v>
      </c>
      <c r="N208" s="86">
        <v>6</v>
      </c>
      <c r="O208" s="88" t="s">
        <v>202</v>
      </c>
      <c r="P208" s="89">
        <v>0.60416666666666663</v>
      </c>
      <c r="Q208" s="86">
        <v>168</v>
      </c>
      <c r="R208" s="90" t="s">
        <v>868</v>
      </c>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26" t="s">
        <v>35</v>
      </c>
      <c r="B209" s="26" t="s">
        <v>805</v>
      </c>
      <c r="C209" s="27">
        <v>0.92361111111111116</v>
      </c>
      <c r="D209" s="26" t="s">
        <v>37</v>
      </c>
      <c r="E209" s="26" t="s">
        <v>44</v>
      </c>
      <c r="F209" s="26" t="s">
        <v>839</v>
      </c>
      <c r="G209" s="285"/>
      <c r="H209" s="28" t="s">
        <v>807</v>
      </c>
      <c r="I209" s="216">
        <v>0.45240000000000002</v>
      </c>
      <c r="J209" s="30">
        <v>76</v>
      </c>
      <c r="K209" s="31">
        <v>45984</v>
      </c>
      <c r="L209" s="30">
        <v>46</v>
      </c>
      <c r="M209" s="30">
        <v>0</v>
      </c>
      <c r="N209" s="30">
        <v>4</v>
      </c>
      <c r="O209" s="32" t="s">
        <v>194</v>
      </c>
      <c r="P209" s="33">
        <v>0.92361111111111116</v>
      </c>
      <c r="Q209" s="30">
        <v>168</v>
      </c>
      <c r="R209" s="34" t="s">
        <v>869</v>
      </c>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44" t="s">
        <v>333</v>
      </c>
      <c r="B210" s="44" t="s">
        <v>856</v>
      </c>
      <c r="C210" s="45">
        <v>0.39583333333333331</v>
      </c>
      <c r="D210" s="44" t="s">
        <v>37</v>
      </c>
      <c r="E210" s="44" t="s">
        <v>38</v>
      </c>
      <c r="F210" s="44" t="s">
        <v>845</v>
      </c>
      <c r="G210" s="285"/>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44" t="s">
        <v>66</v>
      </c>
      <c r="B211" s="44" t="s">
        <v>815</v>
      </c>
      <c r="C211" s="45">
        <v>0.91666666666666663</v>
      </c>
      <c r="D211" s="44" t="s">
        <v>85</v>
      </c>
      <c r="E211" s="44" t="s">
        <v>38</v>
      </c>
      <c r="F211" s="44" t="s">
        <v>813</v>
      </c>
      <c r="G211" s="285"/>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46" t="s">
        <v>66</v>
      </c>
      <c r="B212" s="46" t="s">
        <v>814</v>
      </c>
      <c r="C212" s="47">
        <v>0.54166666666666663</v>
      </c>
      <c r="D212" s="46" t="s">
        <v>85</v>
      </c>
      <c r="E212" s="46" t="s">
        <v>71</v>
      </c>
      <c r="F212" s="46" t="s">
        <v>813</v>
      </c>
      <c r="G212" s="285"/>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46" t="s">
        <v>66</v>
      </c>
      <c r="B213" s="46" t="s">
        <v>812</v>
      </c>
      <c r="C213" s="47">
        <v>0.16666666666666671</v>
      </c>
      <c r="D213" s="46" t="s">
        <v>68</v>
      </c>
      <c r="E213" s="46" t="s">
        <v>116</v>
      </c>
      <c r="F213" s="46" t="s">
        <v>870</v>
      </c>
      <c r="G213" s="285"/>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44" t="s">
        <v>78</v>
      </c>
      <c r="B214" s="44" t="s">
        <v>817</v>
      </c>
      <c r="C214" s="45">
        <v>0.2986111111111111</v>
      </c>
      <c r="D214" s="44" t="s">
        <v>87</v>
      </c>
      <c r="E214" s="44" t="s">
        <v>38</v>
      </c>
      <c r="F214" s="44" t="s">
        <v>823</v>
      </c>
      <c r="G214" s="285"/>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5" t="s">
        <v>78</v>
      </c>
      <c r="B215" s="15" t="s">
        <v>817</v>
      </c>
      <c r="C215" s="16">
        <v>0.2986111111111111</v>
      </c>
      <c r="D215" s="15" t="s">
        <v>82</v>
      </c>
      <c r="E215" s="15" t="s">
        <v>88</v>
      </c>
      <c r="F215" s="15" t="s">
        <v>824</v>
      </c>
      <c r="G215" s="285"/>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46" t="s">
        <v>78</v>
      </c>
      <c r="B216" s="46" t="s">
        <v>822</v>
      </c>
      <c r="C216" s="47">
        <v>0.68402777777777779</v>
      </c>
      <c r="D216" s="46" t="s">
        <v>87</v>
      </c>
      <c r="E216" s="46" t="s">
        <v>74</v>
      </c>
      <c r="F216" s="46" t="s">
        <v>823</v>
      </c>
      <c r="G216" s="285"/>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78</v>
      </c>
      <c r="B217" s="15" t="s">
        <v>822</v>
      </c>
      <c r="C217" s="16">
        <v>0.68402777777777779</v>
      </c>
      <c r="D217" s="15" t="s">
        <v>82</v>
      </c>
      <c r="E217" s="15" t="s">
        <v>31</v>
      </c>
      <c r="F217" s="15" t="s">
        <v>824</v>
      </c>
      <c r="G217" s="285"/>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46" t="s">
        <v>78</v>
      </c>
      <c r="B218" s="46" t="s">
        <v>825</v>
      </c>
      <c r="C218" s="47">
        <v>0.83680555555555547</v>
      </c>
      <c r="D218" s="46" t="s">
        <v>87</v>
      </c>
      <c r="E218" s="46" t="s">
        <v>76</v>
      </c>
      <c r="F218" s="46" t="s">
        <v>823</v>
      </c>
      <c r="G218" s="285"/>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5" t="s">
        <v>78</v>
      </c>
      <c r="B219" s="15" t="s">
        <v>825</v>
      </c>
      <c r="C219" s="16">
        <v>0.83680555555555547</v>
      </c>
      <c r="D219" s="15" t="s">
        <v>82</v>
      </c>
      <c r="E219" s="15" t="s">
        <v>88</v>
      </c>
      <c r="F219" s="15" t="s">
        <v>824</v>
      </c>
      <c r="G219" s="285"/>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46" t="s">
        <v>78</v>
      </c>
      <c r="B220" s="46" t="s">
        <v>821</v>
      </c>
      <c r="C220" s="47">
        <v>0.4826388888888889</v>
      </c>
      <c r="D220" s="46" t="s">
        <v>87</v>
      </c>
      <c r="E220" s="46" t="s">
        <v>76</v>
      </c>
      <c r="F220" s="46" t="s">
        <v>823</v>
      </c>
      <c r="G220" s="285"/>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78</v>
      </c>
      <c r="B221" s="15" t="s">
        <v>821</v>
      </c>
      <c r="C221" s="16">
        <v>0.4826388888888889</v>
      </c>
      <c r="D221" s="15" t="s">
        <v>82</v>
      </c>
      <c r="E221" s="15" t="s">
        <v>88</v>
      </c>
      <c r="F221" s="15" t="s">
        <v>824</v>
      </c>
      <c r="G221" s="285"/>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46" t="s">
        <v>78</v>
      </c>
      <c r="B222" s="46" t="s">
        <v>828</v>
      </c>
      <c r="C222" s="47">
        <v>0.76041666666666663</v>
      </c>
      <c r="D222" s="46" t="s">
        <v>82</v>
      </c>
      <c r="E222" s="46" t="s">
        <v>102</v>
      </c>
      <c r="F222" s="46" t="s">
        <v>848</v>
      </c>
      <c r="G222" s="285"/>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46" t="s">
        <v>78</v>
      </c>
      <c r="B223" s="46" t="s">
        <v>830</v>
      </c>
      <c r="C223" s="47">
        <v>0.5</v>
      </c>
      <c r="D223" s="46" t="s">
        <v>82</v>
      </c>
      <c r="E223" s="46" t="s">
        <v>102</v>
      </c>
      <c r="F223" s="46" t="s">
        <v>848</v>
      </c>
      <c r="G223" s="285"/>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61" t="s">
        <v>78</v>
      </c>
      <c r="B224" s="61" t="s">
        <v>826</v>
      </c>
      <c r="C224" s="62">
        <v>0.81597222222222221</v>
      </c>
      <c r="D224" s="61" t="s">
        <v>82</v>
      </c>
      <c r="E224" s="61" t="s">
        <v>102</v>
      </c>
      <c r="F224" s="61" t="s">
        <v>848</v>
      </c>
      <c r="G224" s="286"/>
      <c r="H224" s="50"/>
      <c r="I224" s="51"/>
      <c r="J224" s="51"/>
      <c r="K224" s="51"/>
      <c r="L224" s="51"/>
      <c r="M224" s="51"/>
      <c r="N224" s="51"/>
      <c r="O224" s="52"/>
      <c r="P224" s="51"/>
      <c r="Q224" s="53"/>
      <c r="R224" s="5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4.4" customHeight="1" x14ac:dyDescent="0.3">
      <c r="A225" s="295"/>
      <c r="B225" s="296"/>
      <c r="C225" s="296"/>
      <c r="D225" s="296"/>
      <c r="E225" s="296"/>
      <c r="F225" s="296"/>
      <c r="G225" s="289"/>
      <c r="H225" s="297"/>
      <c r="I225" s="297"/>
      <c r="J225" s="297"/>
      <c r="K225" s="297"/>
      <c r="L225" s="297"/>
      <c r="M225" s="297"/>
      <c r="N225" s="297"/>
      <c r="O225" s="298"/>
      <c r="P225" s="297"/>
      <c r="Q225" s="289"/>
      <c r="R225" s="290"/>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22.05" customHeight="1" x14ac:dyDescent="0.3">
      <c r="A226" s="282" t="s">
        <v>5</v>
      </c>
      <c r="B226" s="283"/>
      <c r="C226" s="283"/>
      <c r="D226" s="283"/>
      <c r="E226" s="283"/>
      <c r="F226" s="283"/>
      <c r="G226" s="5">
        <v>45990</v>
      </c>
      <c r="H226" s="278" t="s">
        <v>6</v>
      </c>
      <c r="I226" s="279"/>
      <c r="J226" s="279"/>
      <c r="K226" s="279"/>
      <c r="L226" s="279"/>
      <c r="M226" s="279"/>
      <c r="N226" s="279"/>
      <c r="O226" s="279"/>
      <c r="P226" s="279"/>
      <c r="Q226" s="279"/>
      <c r="R226" s="279"/>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24" customHeight="1" x14ac:dyDescent="0.3">
      <c r="A227" s="55" t="s">
        <v>7</v>
      </c>
      <c r="B227" s="55" t="s">
        <v>8</v>
      </c>
      <c r="C227" s="56" t="s">
        <v>9</v>
      </c>
      <c r="D227" s="55" t="s">
        <v>10</v>
      </c>
      <c r="E227" s="55" t="s">
        <v>11</v>
      </c>
      <c r="F227" s="55" t="s">
        <v>12</v>
      </c>
      <c r="G227" s="57" t="s">
        <v>13</v>
      </c>
      <c r="H227" s="55" t="s">
        <v>14</v>
      </c>
      <c r="I227" s="58" t="s">
        <v>15</v>
      </c>
      <c r="J227" s="59" t="s">
        <v>16</v>
      </c>
      <c r="K227" s="60" t="s">
        <v>17</v>
      </c>
      <c r="L227" s="59" t="s">
        <v>18</v>
      </c>
      <c r="M227" s="59" t="s">
        <v>19</v>
      </c>
      <c r="N227" s="59" t="s">
        <v>20</v>
      </c>
      <c r="O227" s="55" t="s">
        <v>21</v>
      </c>
      <c r="P227" s="56" t="s">
        <v>22</v>
      </c>
      <c r="Q227" s="59" t="s">
        <v>23</v>
      </c>
      <c r="R227" s="55" t="s">
        <v>24</v>
      </c>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8" t="s">
        <v>25</v>
      </c>
      <c r="B228" s="8" t="s">
        <v>794</v>
      </c>
      <c r="C228" s="9">
        <v>0.5</v>
      </c>
      <c r="D228" s="8" t="s">
        <v>27</v>
      </c>
      <c r="E228" s="8" t="s">
        <v>871</v>
      </c>
      <c r="F228" s="8" t="s">
        <v>831</v>
      </c>
      <c r="G228" s="284"/>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25</v>
      </c>
      <c r="B229" s="15" t="s">
        <v>794</v>
      </c>
      <c r="C229" s="16">
        <v>0.5</v>
      </c>
      <c r="D229" s="15" t="s">
        <v>30</v>
      </c>
      <c r="E229" s="15" t="s">
        <v>428</v>
      </c>
      <c r="F229" s="15" t="s">
        <v>446</v>
      </c>
      <c r="G229" s="285"/>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25</v>
      </c>
      <c r="B230" s="15" t="s">
        <v>794</v>
      </c>
      <c r="C230" s="16">
        <v>0.5</v>
      </c>
      <c r="D230" s="15" t="s">
        <v>33</v>
      </c>
      <c r="E230" s="15" t="s">
        <v>428</v>
      </c>
      <c r="F230" s="15" t="s">
        <v>791</v>
      </c>
      <c r="G230" s="285"/>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46" t="s">
        <v>25</v>
      </c>
      <c r="B231" s="46" t="s">
        <v>789</v>
      </c>
      <c r="C231" s="47">
        <v>0.76041666666666663</v>
      </c>
      <c r="D231" s="46" t="s">
        <v>27</v>
      </c>
      <c r="E231" s="46" t="s">
        <v>872</v>
      </c>
      <c r="F231" s="46" t="s">
        <v>831</v>
      </c>
      <c r="G231" s="285"/>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25</v>
      </c>
      <c r="B232" s="15" t="s">
        <v>789</v>
      </c>
      <c r="C232" s="16">
        <v>0.76041666666666663</v>
      </c>
      <c r="D232" s="15" t="s">
        <v>30</v>
      </c>
      <c r="E232" s="15" t="s">
        <v>873</v>
      </c>
      <c r="F232" s="15" t="s">
        <v>446</v>
      </c>
      <c r="G232" s="285"/>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25</v>
      </c>
      <c r="B233" s="15" t="s">
        <v>789</v>
      </c>
      <c r="C233" s="16">
        <v>0.76041666666666663</v>
      </c>
      <c r="D233" s="15" t="s">
        <v>33</v>
      </c>
      <c r="E233" s="15" t="s">
        <v>873</v>
      </c>
      <c r="F233" s="15" t="s">
        <v>791</v>
      </c>
      <c r="G233" s="285"/>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46" t="s">
        <v>25</v>
      </c>
      <c r="B234" s="46" t="s">
        <v>787</v>
      </c>
      <c r="C234" s="47">
        <v>0.81597222222222221</v>
      </c>
      <c r="D234" s="46" t="s">
        <v>27</v>
      </c>
      <c r="E234" s="46" t="s">
        <v>358</v>
      </c>
      <c r="F234" s="46" t="s">
        <v>831</v>
      </c>
      <c r="G234" s="285"/>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25</v>
      </c>
      <c r="B235" s="15" t="s">
        <v>787</v>
      </c>
      <c r="C235" s="16">
        <v>0.81597222222222221</v>
      </c>
      <c r="D235" s="15" t="s">
        <v>30</v>
      </c>
      <c r="E235" s="15" t="s">
        <v>360</v>
      </c>
      <c r="F235" s="15" t="s">
        <v>446</v>
      </c>
      <c r="G235" s="285"/>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5" t="s">
        <v>25</v>
      </c>
      <c r="B236" s="15" t="s">
        <v>787</v>
      </c>
      <c r="C236" s="16">
        <v>0.81597222222222221</v>
      </c>
      <c r="D236" s="15" t="s">
        <v>33</v>
      </c>
      <c r="E236" s="15" t="s">
        <v>360</v>
      </c>
      <c r="F236" s="15" t="s">
        <v>791</v>
      </c>
      <c r="G236" s="285"/>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46" t="s">
        <v>25</v>
      </c>
      <c r="B237" s="46" t="s">
        <v>792</v>
      </c>
      <c r="C237" s="47">
        <v>0.44791666666666669</v>
      </c>
      <c r="D237" s="46" t="s">
        <v>27</v>
      </c>
      <c r="E237" s="46" t="s">
        <v>874</v>
      </c>
      <c r="F237" s="46" t="s">
        <v>832</v>
      </c>
      <c r="G237" s="285"/>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25</v>
      </c>
      <c r="B238" s="15" t="s">
        <v>792</v>
      </c>
      <c r="C238" s="16">
        <v>0.44791666666666669</v>
      </c>
      <c r="D238" s="15" t="s">
        <v>30</v>
      </c>
      <c r="E238" s="15" t="s">
        <v>341</v>
      </c>
      <c r="F238" s="15" t="s">
        <v>833</v>
      </c>
      <c r="G238" s="285"/>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5" t="s">
        <v>25</v>
      </c>
      <c r="B239" s="15" t="s">
        <v>792</v>
      </c>
      <c r="C239" s="16">
        <v>0.44791666666666669</v>
      </c>
      <c r="D239" s="15" t="s">
        <v>33</v>
      </c>
      <c r="E239" s="15" t="s">
        <v>341</v>
      </c>
      <c r="F239" s="15" t="s">
        <v>791</v>
      </c>
      <c r="G239" s="285"/>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44" t="s">
        <v>55</v>
      </c>
      <c r="B240" s="44" t="s">
        <v>799</v>
      </c>
      <c r="C240" s="45">
        <v>0.30555555555555552</v>
      </c>
      <c r="D240" s="44" t="s">
        <v>60</v>
      </c>
      <c r="E240" s="44" t="s">
        <v>124</v>
      </c>
      <c r="F240" s="44" t="s">
        <v>852</v>
      </c>
      <c r="G240" s="285"/>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55</v>
      </c>
      <c r="B241" s="15" t="s">
        <v>799</v>
      </c>
      <c r="C241" s="16">
        <v>0.30555555555555552</v>
      </c>
      <c r="D241" s="15" t="s">
        <v>62</v>
      </c>
      <c r="E241" s="15" t="s">
        <v>125</v>
      </c>
      <c r="F241" s="15" t="s">
        <v>425</v>
      </c>
      <c r="G241" s="285"/>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55</v>
      </c>
      <c r="B242" s="15" t="s">
        <v>799</v>
      </c>
      <c r="C242" s="16">
        <v>0.30555555555555552</v>
      </c>
      <c r="D242" s="15" t="s">
        <v>64</v>
      </c>
      <c r="E242" s="15" t="s">
        <v>125</v>
      </c>
      <c r="F242" s="15" t="s">
        <v>853</v>
      </c>
      <c r="G242" s="285"/>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46" t="s">
        <v>55</v>
      </c>
      <c r="B243" s="46" t="s">
        <v>803</v>
      </c>
      <c r="C243" s="47">
        <v>0.82638888888888884</v>
      </c>
      <c r="D243" s="46" t="s">
        <v>60</v>
      </c>
      <c r="E243" s="46" t="s">
        <v>358</v>
      </c>
      <c r="F243" s="46" t="s">
        <v>852</v>
      </c>
      <c r="G243" s="285"/>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55</v>
      </c>
      <c r="B244" s="15" t="s">
        <v>803</v>
      </c>
      <c r="C244" s="16">
        <v>0.82638888888888884</v>
      </c>
      <c r="D244" s="15" t="s">
        <v>62</v>
      </c>
      <c r="E244" s="15" t="s">
        <v>360</v>
      </c>
      <c r="F244" s="15" t="s">
        <v>425</v>
      </c>
      <c r="G244" s="285"/>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55</v>
      </c>
      <c r="B245" s="15" t="s">
        <v>803</v>
      </c>
      <c r="C245" s="16">
        <v>0.82638888888888884</v>
      </c>
      <c r="D245" s="15" t="s">
        <v>64</v>
      </c>
      <c r="E245" s="15" t="s">
        <v>360</v>
      </c>
      <c r="F245" s="15" t="s">
        <v>853</v>
      </c>
      <c r="G245" s="285"/>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46" t="s">
        <v>55</v>
      </c>
      <c r="B246" s="46" t="s">
        <v>800</v>
      </c>
      <c r="C246" s="47">
        <v>0.5</v>
      </c>
      <c r="D246" s="46" t="s">
        <v>60</v>
      </c>
      <c r="E246" s="46" t="s">
        <v>102</v>
      </c>
      <c r="F246" s="46" t="s">
        <v>852</v>
      </c>
      <c r="G246" s="285"/>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5" t="s">
        <v>55</v>
      </c>
      <c r="B247" s="15" t="s">
        <v>800</v>
      </c>
      <c r="C247" s="16">
        <v>0.5</v>
      </c>
      <c r="D247" s="15" t="s">
        <v>62</v>
      </c>
      <c r="E247" s="15" t="s">
        <v>83</v>
      </c>
      <c r="F247" s="15" t="s">
        <v>425</v>
      </c>
      <c r="G247" s="285"/>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55</v>
      </c>
      <c r="B248" s="15" t="s">
        <v>800</v>
      </c>
      <c r="C248" s="16">
        <v>0.5</v>
      </c>
      <c r="D248" s="15" t="s">
        <v>64</v>
      </c>
      <c r="E248" s="15" t="s">
        <v>83</v>
      </c>
      <c r="F248" s="15" t="s">
        <v>853</v>
      </c>
      <c r="G248" s="285"/>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46" t="s">
        <v>55</v>
      </c>
      <c r="B249" s="46" t="s">
        <v>797</v>
      </c>
      <c r="C249" s="47">
        <v>0.42708333333333331</v>
      </c>
      <c r="D249" s="46" t="s">
        <v>60</v>
      </c>
      <c r="E249" s="46" t="s">
        <v>74</v>
      </c>
      <c r="F249" s="46" t="s">
        <v>852</v>
      </c>
      <c r="G249" s="285"/>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55</v>
      </c>
      <c r="B250" s="15" t="s">
        <v>797</v>
      </c>
      <c r="C250" s="16">
        <v>0.42708333333333331</v>
      </c>
      <c r="D250" s="15" t="s">
        <v>62</v>
      </c>
      <c r="E250" s="15" t="s">
        <v>31</v>
      </c>
      <c r="F250" s="15" t="s">
        <v>425</v>
      </c>
      <c r="G250" s="285"/>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5" t="s">
        <v>55</v>
      </c>
      <c r="B251" s="15" t="s">
        <v>797</v>
      </c>
      <c r="C251" s="16">
        <v>0.42708333333333331</v>
      </c>
      <c r="D251" s="15" t="s">
        <v>64</v>
      </c>
      <c r="E251" s="15" t="s">
        <v>31</v>
      </c>
      <c r="F251" s="15" t="s">
        <v>853</v>
      </c>
      <c r="G251" s="285"/>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46" t="s">
        <v>55</v>
      </c>
      <c r="B252" s="46" t="s">
        <v>801</v>
      </c>
      <c r="C252" s="47">
        <v>0.6875</v>
      </c>
      <c r="D252" s="46" t="s">
        <v>60</v>
      </c>
      <c r="E252" s="46" t="s">
        <v>71</v>
      </c>
      <c r="F252" s="46" t="s">
        <v>852</v>
      </c>
      <c r="G252" s="285"/>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5" t="s">
        <v>55</v>
      </c>
      <c r="B253" s="15" t="s">
        <v>801</v>
      </c>
      <c r="C253" s="16">
        <v>0.6875</v>
      </c>
      <c r="D253" s="15" t="s">
        <v>62</v>
      </c>
      <c r="E253" s="15" t="s">
        <v>125</v>
      </c>
      <c r="F253" s="15" t="s">
        <v>425</v>
      </c>
      <c r="G253" s="285"/>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5" t="s">
        <v>55</v>
      </c>
      <c r="B254" s="15" t="s">
        <v>801</v>
      </c>
      <c r="C254" s="16">
        <v>0.6875</v>
      </c>
      <c r="D254" s="15" t="s">
        <v>64</v>
      </c>
      <c r="E254" s="15" t="s">
        <v>125</v>
      </c>
      <c r="F254" s="15" t="s">
        <v>853</v>
      </c>
      <c r="G254" s="285"/>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46" t="s">
        <v>55</v>
      </c>
      <c r="B255" s="46" t="s">
        <v>802</v>
      </c>
      <c r="C255" s="47">
        <v>0.375</v>
      </c>
      <c r="D255" s="46" t="s">
        <v>60</v>
      </c>
      <c r="E255" s="46" t="s">
        <v>358</v>
      </c>
      <c r="F255" s="46" t="s">
        <v>852</v>
      </c>
      <c r="G255" s="285"/>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5" t="s">
        <v>55</v>
      </c>
      <c r="B256" s="15" t="s">
        <v>802</v>
      </c>
      <c r="C256" s="16">
        <v>0.375</v>
      </c>
      <c r="D256" s="15" t="s">
        <v>62</v>
      </c>
      <c r="E256" s="15" t="s">
        <v>360</v>
      </c>
      <c r="F256" s="15" t="s">
        <v>425</v>
      </c>
      <c r="G256" s="285"/>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5" t="s">
        <v>55</v>
      </c>
      <c r="B257" s="15" t="s">
        <v>802</v>
      </c>
      <c r="C257" s="16">
        <v>0.375</v>
      </c>
      <c r="D257" s="15" t="s">
        <v>64</v>
      </c>
      <c r="E257" s="15" t="s">
        <v>360</v>
      </c>
      <c r="F257" s="15" t="s">
        <v>853</v>
      </c>
      <c r="G257" s="285"/>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46" t="s">
        <v>55</v>
      </c>
      <c r="B258" s="46" t="s">
        <v>804</v>
      </c>
      <c r="C258" s="47">
        <v>0.56597222222222221</v>
      </c>
      <c r="D258" s="46" t="s">
        <v>60</v>
      </c>
      <c r="E258" s="46" t="s">
        <v>358</v>
      </c>
      <c r="F258" s="46" t="s">
        <v>852</v>
      </c>
      <c r="G258" s="285"/>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5" t="s">
        <v>55</v>
      </c>
      <c r="B259" s="15" t="s">
        <v>804</v>
      </c>
      <c r="C259" s="16">
        <v>0.56597222222222221</v>
      </c>
      <c r="D259" s="15" t="s">
        <v>62</v>
      </c>
      <c r="E259" s="15" t="s">
        <v>360</v>
      </c>
      <c r="F259" s="15" t="s">
        <v>425</v>
      </c>
      <c r="G259" s="285"/>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5" t="s">
        <v>55</v>
      </c>
      <c r="B260" s="15" t="s">
        <v>804</v>
      </c>
      <c r="C260" s="16">
        <v>0.56597222222222221</v>
      </c>
      <c r="D260" s="15" t="s">
        <v>64</v>
      </c>
      <c r="E260" s="15" t="s">
        <v>360</v>
      </c>
      <c r="F260" s="15" t="s">
        <v>853</v>
      </c>
      <c r="G260" s="285"/>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44" t="s">
        <v>304</v>
      </c>
      <c r="B261" s="44" t="s">
        <v>795</v>
      </c>
      <c r="C261" s="45">
        <v>0.27430555555555552</v>
      </c>
      <c r="D261" s="44" t="s">
        <v>37</v>
      </c>
      <c r="E261" s="44" t="s">
        <v>95</v>
      </c>
      <c r="F261" s="44" t="s">
        <v>867</v>
      </c>
      <c r="G261" s="285"/>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46" t="s">
        <v>304</v>
      </c>
      <c r="B262" s="46" t="s">
        <v>855</v>
      </c>
      <c r="C262" s="47">
        <v>0.87152777777777779</v>
      </c>
      <c r="D262" s="46" t="s">
        <v>37</v>
      </c>
      <c r="E262" s="46" t="s">
        <v>76</v>
      </c>
      <c r="F262" s="46" t="s">
        <v>796</v>
      </c>
      <c r="G262" s="285"/>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44" t="s">
        <v>66</v>
      </c>
      <c r="B263" s="44" t="s">
        <v>812</v>
      </c>
      <c r="C263" s="45">
        <v>0.16666666666666671</v>
      </c>
      <c r="D263" s="44" t="s">
        <v>94</v>
      </c>
      <c r="E263" s="44" t="s">
        <v>38</v>
      </c>
      <c r="F263" s="44" t="s">
        <v>796</v>
      </c>
      <c r="G263" s="285"/>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46" t="s">
        <v>66</v>
      </c>
      <c r="B264" s="46" t="s">
        <v>815</v>
      </c>
      <c r="C264" s="47">
        <v>0.91666666666666663</v>
      </c>
      <c r="D264" s="46" t="s">
        <v>94</v>
      </c>
      <c r="E264" s="46" t="s">
        <v>76</v>
      </c>
      <c r="F264" s="46" t="s">
        <v>875</v>
      </c>
      <c r="G264" s="285"/>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46" t="s">
        <v>66</v>
      </c>
      <c r="B265" s="46" t="s">
        <v>814</v>
      </c>
      <c r="C265" s="47">
        <v>0.54166666666666663</v>
      </c>
      <c r="D265" s="46" t="s">
        <v>85</v>
      </c>
      <c r="E265" s="46" t="s">
        <v>76</v>
      </c>
      <c r="F265" s="46" t="s">
        <v>816</v>
      </c>
      <c r="G265" s="285"/>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35</v>
      </c>
      <c r="B266" s="17" t="s">
        <v>841</v>
      </c>
      <c r="C266" s="18">
        <v>0.61111111111111105</v>
      </c>
      <c r="D266" s="17" t="s">
        <v>37</v>
      </c>
      <c r="E266" s="17" t="s">
        <v>38</v>
      </c>
      <c r="F266" s="17" t="s">
        <v>839</v>
      </c>
      <c r="G266" s="285"/>
      <c r="H266" s="19" t="s">
        <v>842</v>
      </c>
      <c r="I266" s="217">
        <v>0.54169999999999996</v>
      </c>
      <c r="J266" s="21">
        <v>91</v>
      </c>
      <c r="K266" s="22">
        <v>45984</v>
      </c>
      <c r="L266" s="21">
        <v>32</v>
      </c>
      <c r="M266" s="21">
        <v>0</v>
      </c>
      <c r="N266" s="21">
        <v>4</v>
      </c>
      <c r="O266" s="23" t="s">
        <v>202</v>
      </c>
      <c r="P266" s="24">
        <v>0.61111111111111105</v>
      </c>
      <c r="Q266" s="21">
        <v>168</v>
      </c>
      <c r="R266" s="25" t="s">
        <v>876</v>
      </c>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44" t="s">
        <v>333</v>
      </c>
      <c r="B267" s="44" t="s">
        <v>856</v>
      </c>
      <c r="C267" s="45">
        <v>0.35416666666666669</v>
      </c>
      <c r="D267" s="44" t="s">
        <v>37</v>
      </c>
      <c r="E267" s="44" t="s">
        <v>38</v>
      </c>
      <c r="F267" s="44" t="s">
        <v>845</v>
      </c>
      <c r="G267" s="285"/>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46" t="s">
        <v>333</v>
      </c>
      <c r="B268" s="46" t="s">
        <v>877</v>
      </c>
      <c r="C268" s="47">
        <v>0.20833333333333329</v>
      </c>
      <c r="D268" s="46" t="s">
        <v>37</v>
      </c>
      <c r="E268" s="46" t="s">
        <v>76</v>
      </c>
      <c r="F268" s="46" t="s">
        <v>845</v>
      </c>
      <c r="G268" s="285"/>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46" t="s">
        <v>333</v>
      </c>
      <c r="B269" s="46" t="s">
        <v>878</v>
      </c>
      <c r="C269" s="47">
        <v>0.72222222222222221</v>
      </c>
      <c r="D269" s="46" t="s">
        <v>37</v>
      </c>
      <c r="E269" s="46" t="s">
        <v>76</v>
      </c>
      <c r="F269" s="46" t="s">
        <v>845</v>
      </c>
      <c r="G269" s="285"/>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44" t="s">
        <v>378</v>
      </c>
      <c r="B270" s="44" t="s">
        <v>809</v>
      </c>
      <c r="C270" s="45">
        <v>0.62152777777777779</v>
      </c>
      <c r="D270" s="44" t="s">
        <v>380</v>
      </c>
      <c r="E270" s="44" t="s">
        <v>381</v>
      </c>
      <c r="F270" s="44" t="s">
        <v>879</v>
      </c>
      <c r="G270" s="285"/>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5" t="s">
        <v>378</v>
      </c>
      <c r="B271" s="15" t="s">
        <v>809</v>
      </c>
      <c r="C271" s="16">
        <v>0.62152777777777779</v>
      </c>
      <c r="D271" s="15" t="s">
        <v>33</v>
      </c>
      <c r="E271" s="15" t="s">
        <v>360</v>
      </c>
      <c r="F271" s="15" t="s">
        <v>98</v>
      </c>
      <c r="G271" s="285"/>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44" t="s">
        <v>78</v>
      </c>
      <c r="B272" s="44" t="s">
        <v>817</v>
      </c>
      <c r="C272" s="45">
        <v>0.2986111111111111</v>
      </c>
      <c r="D272" s="44" t="s">
        <v>87</v>
      </c>
      <c r="E272" s="44" t="s">
        <v>38</v>
      </c>
      <c r="F272" s="44" t="s">
        <v>818</v>
      </c>
      <c r="G272" s="285"/>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5" t="s">
        <v>78</v>
      </c>
      <c r="B273" s="15" t="s">
        <v>817</v>
      </c>
      <c r="C273" s="16">
        <v>0.2986111111111111</v>
      </c>
      <c r="D273" s="15" t="s">
        <v>82</v>
      </c>
      <c r="E273" s="15" t="s">
        <v>88</v>
      </c>
      <c r="F273" s="15" t="s">
        <v>819</v>
      </c>
      <c r="G273" s="285"/>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46" t="s">
        <v>78</v>
      </c>
      <c r="B274" s="46" t="s">
        <v>822</v>
      </c>
      <c r="C274" s="47">
        <v>0.68402777777777779</v>
      </c>
      <c r="D274" s="46" t="s">
        <v>87</v>
      </c>
      <c r="E274" s="46" t="s">
        <v>116</v>
      </c>
      <c r="F274" s="46" t="s">
        <v>818</v>
      </c>
      <c r="G274" s="285"/>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5" t="s">
        <v>78</v>
      </c>
      <c r="B275" s="15" t="s">
        <v>822</v>
      </c>
      <c r="C275" s="16">
        <v>0.68402777777777779</v>
      </c>
      <c r="D275" s="15" t="s">
        <v>82</v>
      </c>
      <c r="E275" s="15" t="s">
        <v>109</v>
      </c>
      <c r="F275" s="15" t="s">
        <v>819</v>
      </c>
      <c r="G275" s="285"/>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46" t="s">
        <v>78</v>
      </c>
      <c r="B276" s="46" t="s">
        <v>821</v>
      </c>
      <c r="C276" s="47">
        <v>0.4826388888888889</v>
      </c>
      <c r="D276" s="46" t="s">
        <v>87</v>
      </c>
      <c r="E276" s="46" t="s">
        <v>76</v>
      </c>
      <c r="F276" s="46" t="s">
        <v>818</v>
      </c>
      <c r="G276" s="285"/>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5" t="s">
        <v>78</v>
      </c>
      <c r="B277" s="15" t="s">
        <v>821</v>
      </c>
      <c r="C277" s="16">
        <v>0.4826388888888889</v>
      </c>
      <c r="D277" s="15" t="s">
        <v>82</v>
      </c>
      <c r="E277" s="15" t="s">
        <v>88</v>
      </c>
      <c r="F277" s="15" t="s">
        <v>819</v>
      </c>
      <c r="G277" s="285"/>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46" t="s">
        <v>78</v>
      </c>
      <c r="B278" s="46" t="s">
        <v>825</v>
      </c>
      <c r="C278" s="47">
        <v>0.83680555555555547</v>
      </c>
      <c r="D278" s="46" t="s">
        <v>87</v>
      </c>
      <c r="E278" s="46" t="s">
        <v>76</v>
      </c>
      <c r="F278" s="46" t="s">
        <v>823</v>
      </c>
      <c r="G278" s="285"/>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78</v>
      </c>
      <c r="B279" s="15" t="s">
        <v>825</v>
      </c>
      <c r="C279" s="16">
        <v>0.83680555555555547</v>
      </c>
      <c r="D279" s="15" t="s">
        <v>82</v>
      </c>
      <c r="E279" s="15" t="s">
        <v>88</v>
      </c>
      <c r="F279" s="15" t="s">
        <v>824</v>
      </c>
      <c r="G279" s="285"/>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46" t="s">
        <v>78</v>
      </c>
      <c r="B280" s="46" t="s">
        <v>828</v>
      </c>
      <c r="C280" s="47">
        <v>0.76041666666666663</v>
      </c>
      <c r="D280" s="46" t="s">
        <v>82</v>
      </c>
      <c r="E280" s="46" t="s">
        <v>102</v>
      </c>
      <c r="F280" s="46" t="s">
        <v>848</v>
      </c>
      <c r="G280" s="285"/>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46" t="s">
        <v>78</v>
      </c>
      <c r="B281" s="46" t="s">
        <v>830</v>
      </c>
      <c r="C281" s="47">
        <v>0.5</v>
      </c>
      <c r="D281" s="46" t="s">
        <v>82</v>
      </c>
      <c r="E281" s="46" t="s">
        <v>102</v>
      </c>
      <c r="F281" s="46" t="s">
        <v>848</v>
      </c>
      <c r="G281" s="285"/>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61" t="s">
        <v>78</v>
      </c>
      <c r="B282" s="61" t="s">
        <v>826</v>
      </c>
      <c r="C282" s="62">
        <v>0.81597222222222221</v>
      </c>
      <c r="D282" s="61" t="s">
        <v>82</v>
      </c>
      <c r="E282" s="61" t="s">
        <v>102</v>
      </c>
      <c r="F282" s="61" t="s">
        <v>848</v>
      </c>
      <c r="G282" s="286"/>
      <c r="H282" s="50"/>
      <c r="I282" s="51"/>
      <c r="J282" s="51"/>
      <c r="K282" s="51"/>
      <c r="L282" s="51"/>
      <c r="M282" s="51"/>
      <c r="N282" s="51"/>
      <c r="O282" s="52"/>
      <c r="P282" s="51"/>
      <c r="Q282" s="53"/>
      <c r="R282" s="5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4.4" customHeight="1" x14ac:dyDescent="0.3">
      <c r="A283" s="288"/>
      <c r="B283" s="289"/>
      <c r="C283" s="289"/>
      <c r="D283" s="289"/>
      <c r="E283" s="289"/>
      <c r="F283" s="289"/>
      <c r="G283" s="289"/>
      <c r="H283" s="289"/>
      <c r="I283" s="289"/>
      <c r="J283" s="289"/>
      <c r="K283" s="289"/>
      <c r="L283" s="289"/>
      <c r="M283" s="289"/>
      <c r="N283" s="289"/>
      <c r="O283" s="289"/>
      <c r="P283" s="289"/>
      <c r="Q283" s="289"/>
      <c r="R283" s="290"/>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22.05" customHeight="1" x14ac:dyDescent="0.3">
      <c r="A284" s="282" t="s">
        <v>5</v>
      </c>
      <c r="B284" s="283"/>
      <c r="C284" s="283"/>
      <c r="D284" s="283"/>
      <c r="E284" s="283"/>
      <c r="F284" s="283"/>
      <c r="G284" s="5">
        <v>45991</v>
      </c>
      <c r="H284" s="278" t="s">
        <v>6</v>
      </c>
      <c r="I284" s="279"/>
      <c r="J284" s="279"/>
      <c r="K284" s="279"/>
      <c r="L284" s="279"/>
      <c r="M284" s="279"/>
      <c r="N284" s="279"/>
      <c r="O284" s="279"/>
      <c r="P284" s="279"/>
      <c r="Q284" s="279"/>
      <c r="R284" s="279"/>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24" customHeight="1" x14ac:dyDescent="0.3">
      <c r="A285" s="55" t="s">
        <v>7</v>
      </c>
      <c r="B285" s="55" t="s">
        <v>8</v>
      </c>
      <c r="C285" s="56" t="s">
        <v>9</v>
      </c>
      <c r="D285" s="55" t="s">
        <v>10</v>
      </c>
      <c r="E285" s="55" t="s">
        <v>11</v>
      </c>
      <c r="F285" s="55" t="s">
        <v>12</v>
      </c>
      <c r="G285" s="57" t="s">
        <v>13</v>
      </c>
      <c r="H285" s="55" t="s">
        <v>14</v>
      </c>
      <c r="I285" s="58" t="s">
        <v>15</v>
      </c>
      <c r="J285" s="59" t="s">
        <v>16</v>
      </c>
      <c r="K285" s="60" t="s">
        <v>17</v>
      </c>
      <c r="L285" s="59" t="s">
        <v>18</v>
      </c>
      <c r="M285" s="59" t="s">
        <v>19</v>
      </c>
      <c r="N285" s="59" t="s">
        <v>20</v>
      </c>
      <c r="O285" s="55" t="s">
        <v>21</v>
      </c>
      <c r="P285" s="56" t="s">
        <v>22</v>
      </c>
      <c r="Q285" s="59" t="s">
        <v>23</v>
      </c>
      <c r="R285" s="55" t="s">
        <v>24</v>
      </c>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8" t="s">
        <v>25</v>
      </c>
      <c r="B286" s="8" t="s">
        <v>792</v>
      </c>
      <c r="C286" s="9">
        <v>0.44791666666666669</v>
      </c>
      <c r="D286" s="8" t="s">
        <v>27</v>
      </c>
      <c r="E286" s="8" t="s">
        <v>880</v>
      </c>
      <c r="F286" s="8" t="s">
        <v>831</v>
      </c>
      <c r="G286" s="284"/>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25</v>
      </c>
      <c r="B287" s="15" t="s">
        <v>792</v>
      </c>
      <c r="C287" s="16">
        <v>0.44791666666666669</v>
      </c>
      <c r="D287" s="15" t="s">
        <v>30</v>
      </c>
      <c r="E287" s="15" t="s">
        <v>410</v>
      </c>
      <c r="F287" s="15" t="s">
        <v>446</v>
      </c>
      <c r="G287" s="285"/>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25</v>
      </c>
      <c r="B288" s="15" t="s">
        <v>792</v>
      </c>
      <c r="C288" s="16">
        <v>0.44791666666666669</v>
      </c>
      <c r="D288" s="15" t="s">
        <v>33</v>
      </c>
      <c r="E288" s="15" t="s">
        <v>410</v>
      </c>
      <c r="F288" s="15" t="s">
        <v>791</v>
      </c>
      <c r="G288" s="285"/>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46" t="s">
        <v>25</v>
      </c>
      <c r="B289" s="46" t="s">
        <v>794</v>
      </c>
      <c r="C289" s="47">
        <v>0.5</v>
      </c>
      <c r="D289" s="46" t="s">
        <v>27</v>
      </c>
      <c r="E289" s="46" t="s">
        <v>50</v>
      </c>
      <c r="F289" s="46" t="s">
        <v>831</v>
      </c>
      <c r="G289" s="285"/>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25</v>
      </c>
      <c r="B290" s="15" t="s">
        <v>794</v>
      </c>
      <c r="C290" s="16">
        <v>0.5</v>
      </c>
      <c r="D290" s="15" t="s">
        <v>30</v>
      </c>
      <c r="E290" s="15" t="s">
        <v>97</v>
      </c>
      <c r="F290" s="15" t="s">
        <v>446</v>
      </c>
      <c r="G290" s="285"/>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5" t="s">
        <v>25</v>
      </c>
      <c r="B291" s="15" t="s">
        <v>794</v>
      </c>
      <c r="C291" s="16">
        <v>0.5</v>
      </c>
      <c r="D291" s="15" t="s">
        <v>33</v>
      </c>
      <c r="E291" s="15" t="s">
        <v>97</v>
      </c>
      <c r="F291" s="15" t="s">
        <v>791</v>
      </c>
      <c r="G291" s="285"/>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46" t="s">
        <v>25</v>
      </c>
      <c r="B292" s="46" t="s">
        <v>789</v>
      </c>
      <c r="C292" s="47">
        <v>0.76041666666666663</v>
      </c>
      <c r="D292" s="46" t="s">
        <v>27</v>
      </c>
      <c r="E292" s="46" t="s">
        <v>881</v>
      </c>
      <c r="F292" s="46" t="s">
        <v>831</v>
      </c>
      <c r="G292" s="285"/>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5" t="s">
        <v>25</v>
      </c>
      <c r="B293" s="15" t="s">
        <v>789</v>
      </c>
      <c r="C293" s="16">
        <v>0.76041666666666663</v>
      </c>
      <c r="D293" s="15" t="s">
        <v>30</v>
      </c>
      <c r="E293" s="15" t="s">
        <v>882</v>
      </c>
      <c r="F293" s="15" t="s">
        <v>446</v>
      </c>
      <c r="G293" s="285"/>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25</v>
      </c>
      <c r="B294" s="15" t="s">
        <v>789</v>
      </c>
      <c r="C294" s="16">
        <v>0.76041666666666663</v>
      </c>
      <c r="D294" s="15" t="s">
        <v>33</v>
      </c>
      <c r="E294" s="15" t="s">
        <v>882</v>
      </c>
      <c r="F294" s="15" t="s">
        <v>791</v>
      </c>
      <c r="G294" s="285"/>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46" t="s">
        <v>25</v>
      </c>
      <c r="B295" s="46" t="s">
        <v>787</v>
      </c>
      <c r="C295" s="47">
        <v>0.81597222222222221</v>
      </c>
      <c r="D295" s="46" t="s">
        <v>27</v>
      </c>
      <c r="E295" s="46" t="s">
        <v>44</v>
      </c>
      <c r="F295" s="46" t="s">
        <v>831</v>
      </c>
      <c r="G295" s="285"/>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5" t="s">
        <v>25</v>
      </c>
      <c r="B296" s="15" t="s">
        <v>787</v>
      </c>
      <c r="C296" s="16">
        <v>0.81597222222222221</v>
      </c>
      <c r="D296" s="15" t="s">
        <v>30</v>
      </c>
      <c r="E296" s="15" t="s">
        <v>61</v>
      </c>
      <c r="F296" s="15" t="s">
        <v>446</v>
      </c>
      <c r="G296" s="285"/>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25</v>
      </c>
      <c r="B297" s="15" t="s">
        <v>787</v>
      </c>
      <c r="C297" s="16">
        <v>0.81597222222222221</v>
      </c>
      <c r="D297" s="15" t="s">
        <v>33</v>
      </c>
      <c r="E297" s="15" t="s">
        <v>61</v>
      </c>
      <c r="F297" s="15" t="s">
        <v>791</v>
      </c>
      <c r="G297" s="285"/>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44" t="s">
        <v>55</v>
      </c>
      <c r="B298" s="44" t="s">
        <v>797</v>
      </c>
      <c r="C298" s="45">
        <v>0.42708333333333331</v>
      </c>
      <c r="D298" s="44" t="s">
        <v>60</v>
      </c>
      <c r="E298" s="44" t="s">
        <v>381</v>
      </c>
      <c r="F298" s="44" t="s">
        <v>831</v>
      </c>
      <c r="G298" s="285"/>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5" t="s">
        <v>55</v>
      </c>
      <c r="B299" s="15" t="s">
        <v>797</v>
      </c>
      <c r="C299" s="16">
        <v>0.42708333333333331</v>
      </c>
      <c r="D299" s="15" t="s">
        <v>62</v>
      </c>
      <c r="E299" s="15" t="s">
        <v>360</v>
      </c>
      <c r="F299" s="15" t="s">
        <v>883</v>
      </c>
      <c r="G299" s="285"/>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55</v>
      </c>
      <c r="B300" s="15" t="s">
        <v>797</v>
      </c>
      <c r="C300" s="16">
        <v>0.42708333333333331</v>
      </c>
      <c r="D300" s="15" t="s">
        <v>64</v>
      </c>
      <c r="E300" s="15" t="s">
        <v>360</v>
      </c>
      <c r="F300" s="15" t="s">
        <v>350</v>
      </c>
      <c r="G300" s="285"/>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46" t="s">
        <v>55</v>
      </c>
      <c r="B301" s="46" t="s">
        <v>802</v>
      </c>
      <c r="C301" s="47">
        <v>0.375</v>
      </c>
      <c r="D301" s="46" t="s">
        <v>60</v>
      </c>
      <c r="E301" s="46" t="s">
        <v>44</v>
      </c>
      <c r="F301" s="46" t="s">
        <v>831</v>
      </c>
      <c r="G301" s="285"/>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55</v>
      </c>
      <c r="B302" s="15" t="s">
        <v>802</v>
      </c>
      <c r="C302" s="16">
        <v>0.375</v>
      </c>
      <c r="D302" s="15" t="s">
        <v>62</v>
      </c>
      <c r="E302" s="15" t="s">
        <v>61</v>
      </c>
      <c r="F302" s="15" t="s">
        <v>883</v>
      </c>
      <c r="G302" s="285"/>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5" t="s">
        <v>55</v>
      </c>
      <c r="B303" s="15" t="s">
        <v>802</v>
      </c>
      <c r="C303" s="16">
        <v>0.375</v>
      </c>
      <c r="D303" s="15" t="s">
        <v>64</v>
      </c>
      <c r="E303" s="15" t="s">
        <v>61</v>
      </c>
      <c r="F303" s="15" t="s">
        <v>350</v>
      </c>
      <c r="G303" s="285"/>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46" t="s">
        <v>55</v>
      </c>
      <c r="B304" s="46" t="s">
        <v>799</v>
      </c>
      <c r="C304" s="47">
        <v>0.30555555555555552</v>
      </c>
      <c r="D304" s="46" t="s">
        <v>60</v>
      </c>
      <c r="E304" s="46" t="s">
        <v>71</v>
      </c>
      <c r="F304" s="46" t="s">
        <v>852</v>
      </c>
      <c r="G304" s="285"/>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55</v>
      </c>
      <c r="B305" s="15" t="s">
        <v>799</v>
      </c>
      <c r="C305" s="16">
        <v>0.30555555555555552</v>
      </c>
      <c r="D305" s="15" t="s">
        <v>62</v>
      </c>
      <c r="E305" s="15" t="s">
        <v>125</v>
      </c>
      <c r="F305" s="15" t="s">
        <v>425</v>
      </c>
      <c r="G305" s="285"/>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55</v>
      </c>
      <c r="B306" s="15" t="s">
        <v>799</v>
      </c>
      <c r="C306" s="16">
        <v>0.30555555555555552</v>
      </c>
      <c r="D306" s="15" t="s">
        <v>64</v>
      </c>
      <c r="E306" s="15" t="s">
        <v>125</v>
      </c>
      <c r="F306" s="15" t="s">
        <v>853</v>
      </c>
      <c r="G306" s="285"/>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46" t="s">
        <v>55</v>
      </c>
      <c r="B307" s="46" t="s">
        <v>803</v>
      </c>
      <c r="C307" s="47">
        <v>0.82638888888888884</v>
      </c>
      <c r="D307" s="46" t="s">
        <v>60</v>
      </c>
      <c r="E307" s="46" t="s">
        <v>358</v>
      </c>
      <c r="F307" s="46" t="s">
        <v>852</v>
      </c>
      <c r="G307" s="285"/>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55</v>
      </c>
      <c r="B308" s="15" t="s">
        <v>803</v>
      </c>
      <c r="C308" s="16">
        <v>0.82638888888888884</v>
      </c>
      <c r="D308" s="15" t="s">
        <v>62</v>
      </c>
      <c r="E308" s="15" t="s">
        <v>360</v>
      </c>
      <c r="F308" s="15" t="s">
        <v>425</v>
      </c>
      <c r="G308" s="285"/>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55</v>
      </c>
      <c r="B309" s="15" t="s">
        <v>803</v>
      </c>
      <c r="C309" s="16">
        <v>0.82638888888888884</v>
      </c>
      <c r="D309" s="15" t="s">
        <v>64</v>
      </c>
      <c r="E309" s="15" t="s">
        <v>360</v>
      </c>
      <c r="F309" s="15" t="s">
        <v>853</v>
      </c>
      <c r="G309" s="285"/>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46" t="s">
        <v>55</v>
      </c>
      <c r="B310" s="46" t="s">
        <v>800</v>
      </c>
      <c r="C310" s="47">
        <v>0.5</v>
      </c>
      <c r="D310" s="46" t="s">
        <v>60</v>
      </c>
      <c r="E310" s="46" t="s">
        <v>358</v>
      </c>
      <c r="F310" s="46" t="s">
        <v>852</v>
      </c>
      <c r="G310" s="285"/>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5" t="s">
        <v>55</v>
      </c>
      <c r="B311" s="15" t="s">
        <v>800</v>
      </c>
      <c r="C311" s="16">
        <v>0.5</v>
      </c>
      <c r="D311" s="15" t="s">
        <v>62</v>
      </c>
      <c r="E311" s="15" t="s">
        <v>360</v>
      </c>
      <c r="F311" s="15" t="s">
        <v>425</v>
      </c>
      <c r="G311" s="285"/>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5" t="s">
        <v>55</v>
      </c>
      <c r="B312" s="15" t="s">
        <v>800</v>
      </c>
      <c r="C312" s="16">
        <v>0.5</v>
      </c>
      <c r="D312" s="15" t="s">
        <v>64</v>
      </c>
      <c r="E312" s="15" t="s">
        <v>360</v>
      </c>
      <c r="F312" s="15" t="s">
        <v>853</v>
      </c>
      <c r="G312" s="285"/>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46" t="s">
        <v>55</v>
      </c>
      <c r="B313" s="46" t="s">
        <v>801</v>
      </c>
      <c r="C313" s="47">
        <v>0.6875</v>
      </c>
      <c r="D313" s="46" t="s">
        <v>60</v>
      </c>
      <c r="E313" s="46" t="s">
        <v>358</v>
      </c>
      <c r="F313" s="46" t="s">
        <v>852</v>
      </c>
      <c r="G313" s="285"/>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5" t="s">
        <v>55</v>
      </c>
      <c r="B314" s="15" t="s">
        <v>801</v>
      </c>
      <c r="C314" s="16">
        <v>0.6875</v>
      </c>
      <c r="D314" s="15" t="s">
        <v>62</v>
      </c>
      <c r="E314" s="15" t="s">
        <v>360</v>
      </c>
      <c r="F314" s="15" t="s">
        <v>425</v>
      </c>
      <c r="G314" s="285"/>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55</v>
      </c>
      <c r="B315" s="15" t="s">
        <v>801</v>
      </c>
      <c r="C315" s="16">
        <v>0.6875</v>
      </c>
      <c r="D315" s="15" t="s">
        <v>64</v>
      </c>
      <c r="E315" s="15" t="s">
        <v>360</v>
      </c>
      <c r="F315" s="15" t="s">
        <v>853</v>
      </c>
      <c r="G315" s="285"/>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46" t="s">
        <v>55</v>
      </c>
      <c r="B316" s="46" t="s">
        <v>804</v>
      </c>
      <c r="C316" s="47">
        <v>0.56597222222222221</v>
      </c>
      <c r="D316" s="46" t="s">
        <v>60</v>
      </c>
      <c r="E316" s="46" t="s">
        <v>44</v>
      </c>
      <c r="F316" s="46" t="s">
        <v>852</v>
      </c>
      <c r="G316" s="285"/>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55</v>
      </c>
      <c r="B317" s="15" t="s">
        <v>804</v>
      </c>
      <c r="C317" s="16">
        <v>0.56597222222222221</v>
      </c>
      <c r="D317" s="15" t="s">
        <v>62</v>
      </c>
      <c r="E317" s="15" t="s">
        <v>61</v>
      </c>
      <c r="F317" s="15" t="s">
        <v>425</v>
      </c>
      <c r="G317" s="285"/>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5" t="s">
        <v>55</v>
      </c>
      <c r="B318" s="15" t="s">
        <v>804</v>
      </c>
      <c r="C318" s="16">
        <v>0.56597222222222221</v>
      </c>
      <c r="D318" s="15" t="s">
        <v>64</v>
      </c>
      <c r="E318" s="15" t="s">
        <v>61</v>
      </c>
      <c r="F318" s="15" t="s">
        <v>853</v>
      </c>
      <c r="G318" s="285"/>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44" t="s">
        <v>304</v>
      </c>
      <c r="B319" s="44" t="s">
        <v>884</v>
      </c>
      <c r="C319" s="45">
        <v>0.58680555555555558</v>
      </c>
      <c r="D319" s="44" t="s">
        <v>37</v>
      </c>
      <c r="E319" s="44" t="s">
        <v>38</v>
      </c>
      <c r="F319" s="44" t="s">
        <v>796</v>
      </c>
      <c r="G319" s="285"/>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44" t="s">
        <v>66</v>
      </c>
      <c r="B320" s="44" t="s">
        <v>815</v>
      </c>
      <c r="C320" s="45">
        <v>0.91666666666666663</v>
      </c>
      <c r="D320" s="44" t="s">
        <v>94</v>
      </c>
      <c r="E320" s="44" t="s">
        <v>38</v>
      </c>
      <c r="F320" s="44" t="s">
        <v>875</v>
      </c>
      <c r="G320" s="285"/>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46" t="s">
        <v>66</v>
      </c>
      <c r="B321" s="46" t="s">
        <v>812</v>
      </c>
      <c r="C321" s="47">
        <v>0.1701388888888889</v>
      </c>
      <c r="D321" s="46" t="s">
        <v>85</v>
      </c>
      <c r="E321" s="46" t="s">
        <v>76</v>
      </c>
      <c r="F321" s="46" t="s">
        <v>813</v>
      </c>
      <c r="G321" s="285"/>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46" t="s">
        <v>66</v>
      </c>
      <c r="B322" s="46" t="s">
        <v>814</v>
      </c>
      <c r="C322" s="47">
        <v>0.52083333333333337</v>
      </c>
      <c r="D322" s="46" t="s">
        <v>85</v>
      </c>
      <c r="E322" s="46" t="s">
        <v>76</v>
      </c>
      <c r="F322" s="46" t="s">
        <v>813</v>
      </c>
      <c r="G322" s="285"/>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211" t="s">
        <v>35</v>
      </c>
      <c r="B323" s="211" t="s">
        <v>841</v>
      </c>
      <c r="C323" s="212">
        <v>0.625</v>
      </c>
      <c r="D323" s="211" t="s">
        <v>37</v>
      </c>
      <c r="E323" s="211" t="s">
        <v>38</v>
      </c>
      <c r="F323" s="211" t="s">
        <v>839</v>
      </c>
      <c r="G323" s="285"/>
      <c r="H323" s="37" t="s">
        <v>842</v>
      </c>
      <c r="I323" s="214">
        <v>0.48809999999999998</v>
      </c>
      <c r="J323" s="39">
        <v>82</v>
      </c>
      <c r="K323" s="40">
        <v>45984</v>
      </c>
      <c r="L323" s="39">
        <v>19</v>
      </c>
      <c r="M323" s="39">
        <v>0</v>
      </c>
      <c r="N323" s="39">
        <v>8</v>
      </c>
      <c r="O323" s="41" t="s">
        <v>202</v>
      </c>
      <c r="P323" s="42">
        <v>0.625</v>
      </c>
      <c r="Q323" s="39">
        <v>168</v>
      </c>
      <c r="R323" s="43" t="s">
        <v>885</v>
      </c>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44" t="s">
        <v>333</v>
      </c>
      <c r="B324" s="44" t="s">
        <v>856</v>
      </c>
      <c r="C324" s="45">
        <v>0.3576388888888889</v>
      </c>
      <c r="D324" s="44" t="s">
        <v>37</v>
      </c>
      <c r="E324" s="44" t="s">
        <v>38</v>
      </c>
      <c r="F324" s="44" t="s">
        <v>845</v>
      </c>
      <c r="G324" s="285"/>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46" t="s">
        <v>333</v>
      </c>
      <c r="B325" s="46" t="s">
        <v>886</v>
      </c>
      <c r="C325" s="47">
        <v>0.31597222222222221</v>
      </c>
      <c r="D325" s="46" t="s">
        <v>37</v>
      </c>
      <c r="E325" s="46" t="s">
        <v>76</v>
      </c>
      <c r="F325" s="46" t="s">
        <v>845</v>
      </c>
      <c r="G325" s="285"/>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44" t="s">
        <v>78</v>
      </c>
      <c r="B326" s="44" t="s">
        <v>817</v>
      </c>
      <c r="C326" s="45">
        <v>0.2986111111111111</v>
      </c>
      <c r="D326" s="44" t="s">
        <v>87</v>
      </c>
      <c r="E326" s="44" t="s">
        <v>38</v>
      </c>
      <c r="F326" s="44" t="s">
        <v>887</v>
      </c>
      <c r="G326" s="285"/>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78</v>
      </c>
      <c r="B327" s="15" t="s">
        <v>817</v>
      </c>
      <c r="C327" s="16">
        <v>0.2986111111111111</v>
      </c>
      <c r="D327" s="15" t="s">
        <v>82</v>
      </c>
      <c r="E327" s="15" t="s">
        <v>88</v>
      </c>
      <c r="F327" s="15" t="s">
        <v>888</v>
      </c>
      <c r="G327" s="285"/>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46" t="s">
        <v>78</v>
      </c>
      <c r="B328" s="46" t="s">
        <v>820</v>
      </c>
      <c r="C328" s="47">
        <v>0.55208333333333337</v>
      </c>
      <c r="D328" s="46" t="s">
        <v>87</v>
      </c>
      <c r="E328" s="46" t="s">
        <v>74</v>
      </c>
      <c r="F328" s="46" t="s">
        <v>887</v>
      </c>
      <c r="G328" s="285"/>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5" t="s">
        <v>78</v>
      </c>
      <c r="B329" s="15" t="s">
        <v>820</v>
      </c>
      <c r="C329" s="16">
        <v>0.55208333333333337</v>
      </c>
      <c r="D329" s="15" t="s">
        <v>82</v>
      </c>
      <c r="E329" s="15" t="s">
        <v>31</v>
      </c>
      <c r="F329" s="15" t="s">
        <v>888</v>
      </c>
      <c r="G329" s="285"/>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46" t="s">
        <v>78</v>
      </c>
      <c r="B330" s="46" t="s">
        <v>821</v>
      </c>
      <c r="C330" s="47">
        <v>0.4826388888888889</v>
      </c>
      <c r="D330" s="46" t="s">
        <v>87</v>
      </c>
      <c r="E330" s="46" t="s">
        <v>76</v>
      </c>
      <c r="F330" s="46" t="s">
        <v>887</v>
      </c>
      <c r="G330" s="285"/>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78</v>
      </c>
      <c r="B331" s="15" t="s">
        <v>821</v>
      </c>
      <c r="C331" s="16">
        <v>0.4826388888888889</v>
      </c>
      <c r="D331" s="15" t="s">
        <v>82</v>
      </c>
      <c r="E331" s="15" t="s">
        <v>88</v>
      </c>
      <c r="F331" s="15" t="s">
        <v>888</v>
      </c>
      <c r="G331" s="285"/>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46" t="s">
        <v>78</v>
      </c>
      <c r="B332" s="46" t="s">
        <v>822</v>
      </c>
      <c r="C332" s="47">
        <v>0.68402777777777779</v>
      </c>
      <c r="D332" s="46" t="s">
        <v>87</v>
      </c>
      <c r="E332" s="46" t="s">
        <v>76</v>
      </c>
      <c r="F332" s="46" t="s">
        <v>818</v>
      </c>
      <c r="G332" s="285"/>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5" t="s">
        <v>78</v>
      </c>
      <c r="B333" s="15" t="s">
        <v>822</v>
      </c>
      <c r="C333" s="16">
        <v>0.68402777777777779</v>
      </c>
      <c r="D333" s="15" t="s">
        <v>82</v>
      </c>
      <c r="E333" s="15" t="s">
        <v>88</v>
      </c>
      <c r="F333" s="15" t="s">
        <v>819</v>
      </c>
      <c r="G333" s="285"/>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46" t="s">
        <v>78</v>
      </c>
      <c r="B334" s="46" t="s">
        <v>825</v>
      </c>
      <c r="C334" s="47">
        <v>0.83680555555555547</v>
      </c>
      <c r="D334" s="46" t="s">
        <v>87</v>
      </c>
      <c r="E334" s="46" t="s">
        <v>76</v>
      </c>
      <c r="F334" s="46" t="s">
        <v>823</v>
      </c>
      <c r="G334" s="285"/>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5" t="s">
        <v>78</v>
      </c>
      <c r="B335" s="15" t="s">
        <v>825</v>
      </c>
      <c r="C335" s="16">
        <v>0.83680555555555547</v>
      </c>
      <c r="D335" s="15" t="s">
        <v>82</v>
      </c>
      <c r="E335" s="15" t="s">
        <v>88</v>
      </c>
      <c r="F335" s="15" t="s">
        <v>824</v>
      </c>
      <c r="G335" s="285"/>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46" t="s">
        <v>78</v>
      </c>
      <c r="B336" s="46" t="s">
        <v>828</v>
      </c>
      <c r="C336" s="47">
        <v>0.76041666666666663</v>
      </c>
      <c r="D336" s="46" t="s">
        <v>82</v>
      </c>
      <c r="E336" s="46" t="s">
        <v>102</v>
      </c>
      <c r="F336" s="46" t="s">
        <v>848</v>
      </c>
      <c r="G336" s="285"/>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46" t="s">
        <v>78</v>
      </c>
      <c r="B337" s="46" t="s">
        <v>830</v>
      </c>
      <c r="C337" s="47">
        <v>0.5</v>
      </c>
      <c r="D337" s="46" t="s">
        <v>82</v>
      </c>
      <c r="E337" s="46" t="s">
        <v>102</v>
      </c>
      <c r="F337" s="46" t="s">
        <v>848</v>
      </c>
      <c r="G337" s="285"/>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61" t="s">
        <v>78</v>
      </c>
      <c r="B338" s="61" t="s">
        <v>826</v>
      </c>
      <c r="C338" s="62">
        <v>0.81597222222222221</v>
      </c>
      <c r="D338" s="61" t="s">
        <v>82</v>
      </c>
      <c r="E338" s="61" t="s">
        <v>102</v>
      </c>
      <c r="F338" s="61" t="s">
        <v>848</v>
      </c>
      <c r="G338" s="286"/>
      <c r="H338" s="50"/>
      <c r="I338" s="51"/>
      <c r="J338" s="51"/>
      <c r="K338" s="51"/>
      <c r="L338" s="51"/>
      <c r="M338" s="51"/>
      <c r="N338" s="51"/>
      <c r="O338" s="52"/>
      <c r="P338" s="51"/>
      <c r="Q338" s="53"/>
      <c r="R338" s="5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4.4" customHeight="1" x14ac:dyDescent="0.3">
      <c r="A339" s="288"/>
      <c r="B339" s="289"/>
      <c r="C339" s="289"/>
      <c r="D339" s="289"/>
      <c r="E339" s="289"/>
      <c r="F339" s="289"/>
      <c r="G339" s="289"/>
      <c r="H339" s="289"/>
      <c r="I339" s="289"/>
      <c r="J339" s="289"/>
      <c r="K339" s="289"/>
      <c r="L339" s="289"/>
      <c r="M339" s="289"/>
      <c r="N339" s="289"/>
      <c r="O339" s="289"/>
      <c r="P339" s="289"/>
      <c r="Q339" s="289"/>
      <c r="R339" s="290"/>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sheetData>
  <mergeCells count="33">
    <mergeCell ref="A339:R339"/>
    <mergeCell ref="H116:R116"/>
    <mergeCell ref="H172:R172"/>
    <mergeCell ref="J1:M1"/>
    <mergeCell ref="A171:R171"/>
    <mergeCell ref="G286:G338"/>
    <mergeCell ref="A115:R115"/>
    <mergeCell ref="K2:R2"/>
    <mergeCell ref="D1:F1"/>
    <mergeCell ref="A226:F226"/>
    <mergeCell ref="A284:F284"/>
    <mergeCell ref="A59:R59"/>
    <mergeCell ref="A60:F60"/>
    <mergeCell ref="A1:C1"/>
    <mergeCell ref="G1:H1"/>
    <mergeCell ref="A225:R225"/>
    <mergeCell ref="G174:G224"/>
    <mergeCell ref="A172:F172"/>
    <mergeCell ref="O1:Q1"/>
    <mergeCell ref="G228:G282"/>
    <mergeCell ref="A283:R283"/>
    <mergeCell ref="H284:R284"/>
    <mergeCell ref="G62:G114"/>
    <mergeCell ref="G6:G58"/>
    <mergeCell ref="H4:R4"/>
    <mergeCell ref="G118:G170"/>
    <mergeCell ref="A2:F2"/>
    <mergeCell ref="A3:R3"/>
    <mergeCell ref="A116:F116"/>
    <mergeCell ref="H60:R60"/>
    <mergeCell ref="H226:R226"/>
    <mergeCell ref="G2:J2"/>
    <mergeCell ref="A4:F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10"/>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807</v>
      </c>
      <c r="D2" s="95">
        <v>0.91319444444444453</v>
      </c>
      <c r="E2" s="94" t="s">
        <v>786</v>
      </c>
      <c r="F2" s="94" t="s">
        <v>174</v>
      </c>
      <c r="G2" s="96">
        <v>0.80359999999999998</v>
      </c>
      <c r="H2" s="97">
        <v>168</v>
      </c>
      <c r="I2" s="97">
        <v>135</v>
      </c>
      <c r="J2" s="97">
        <v>0</v>
      </c>
      <c r="K2" s="93">
        <v>45984</v>
      </c>
      <c r="L2" s="97">
        <v>0</v>
      </c>
      <c r="M2" s="97">
        <v>16</v>
      </c>
      <c r="N2" s="97">
        <v>63</v>
      </c>
      <c r="O2" s="94" t="s">
        <v>201</v>
      </c>
      <c r="P2" s="98"/>
      <c r="Q2" s="98"/>
      <c r="R2" s="98"/>
      <c r="S2" s="98"/>
      <c r="T2" s="98"/>
      <c r="U2" s="98"/>
      <c r="V2" s="98"/>
      <c r="W2" s="98"/>
      <c r="X2" s="98"/>
      <c r="Y2" s="97" t="s">
        <v>200</v>
      </c>
      <c r="Z2" s="98"/>
      <c r="AA2" s="98"/>
      <c r="AB2" s="98"/>
      <c r="AC2" s="97" t="s">
        <v>217</v>
      </c>
      <c r="AD2" s="97" t="s">
        <v>889</v>
      </c>
      <c r="AE2" s="97" t="s">
        <v>890</v>
      </c>
      <c r="AF2" s="98"/>
      <c r="AG2" s="98"/>
      <c r="AH2" s="98"/>
      <c r="AI2" s="98"/>
    </row>
    <row r="3" spans="1:35" ht="18" x14ac:dyDescent="0.3">
      <c r="A3" s="99" t="s">
        <v>273</v>
      </c>
      <c r="B3" s="100">
        <v>45987</v>
      </c>
      <c r="C3" s="101" t="s">
        <v>842</v>
      </c>
      <c r="D3" s="102">
        <v>0.61111111111111105</v>
      </c>
      <c r="E3" s="101" t="s">
        <v>786</v>
      </c>
      <c r="F3" s="101" t="s">
        <v>174</v>
      </c>
      <c r="G3" s="103">
        <v>0.69640000000000002</v>
      </c>
      <c r="H3" s="104">
        <v>168</v>
      </c>
      <c r="I3" s="104">
        <v>117</v>
      </c>
      <c r="J3" s="104">
        <v>0</v>
      </c>
      <c r="K3" s="100">
        <v>45984</v>
      </c>
      <c r="L3" s="104">
        <v>0</v>
      </c>
      <c r="M3" s="104">
        <v>16</v>
      </c>
      <c r="N3" s="104">
        <v>65</v>
      </c>
      <c r="O3" s="101" t="s">
        <v>322</v>
      </c>
      <c r="P3" s="105"/>
      <c r="Q3" s="105"/>
      <c r="R3" s="105"/>
      <c r="S3" s="105"/>
      <c r="T3" s="105"/>
      <c r="U3" s="105"/>
      <c r="V3" s="105"/>
      <c r="W3" s="105"/>
      <c r="X3" s="105"/>
      <c r="Y3" s="105"/>
      <c r="Z3" s="105"/>
      <c r="AA3" s="105"/>
      <c r="AB3" s="105"/>
      <c r="AC3" s="104" t="s">
        <v>538</v>
      </c>
      <c r="AD3" s="104" t="s">
        <v>891</v>
      </c>
      <c r="AE3" s="104" t="s">
        <v>892</v>
      </c>
      <c r="AF3" s="105"/>
      <c r="AG3" s="105"/>
      <c r="AH3" s="105"/>
      <c r="AI3" s="105"/>
    </row>
    <row r="4" spans="1:35" ht="18" x14ac:dyDescent="0.3">
      <c r="A4" s="92" t="s">
        <v>273</v>
      </c>
      <c r="B4" s="93">
        <v>45987</v>
      </c>
      <c r="C4" s="94" t="s">
        <v>807</v>
      </c>
      <c r="D4" s="95">
        <v>0.92361111111111116</v>
      </c>
      <c r="E4" s="94" t="s">
        <v>786</v>
      </c>
      <c r="F4" s="94" t="s">
        <v>174</v>
      </c>
      <c r="G4" s="96">
        <v>0.58930000000000005</v>
      </c>
      <c r="H4" s="97">
        <v>168</v>
      </c>
      <c r="I4" s="97">
        <v>99</v>
      </c>
      <c r="J4" s="97">
        <v>0</v>
      </c>
      <c r="K4" s="93">
        <v>45984</v>
      </c>
      <c r="L4" s="97">
        <v>0</v>
      </c>
      <c r="M4" s="97">
        <v>6</v>
      </c>
      <c r="N4" s="97">
        <v>68</v>
      </c>
      <c r="O4" s="94" t="s">
        <v>202</v>
      </c>
      <c r="P4" s="98"/>
      <c r="Q4" s="98"/>
      <c r="R4" s="98"/>
      <c r="S4" s="98"/>
      <c r="T4" s="97" t="s">
        <v>188</v>
      </c>
      <c r="U4" s="97" t="s">
        <v>573</v>
      </c>
      <c r="V4" s="98"/>
      <c r="W4" s="98"/>
      <c r="X4" s="98"/>
      <c r="Y4" s="97" t="s">
        <v>200</v>
      </c>
      <c r="Z4" s="97" t="s">
        <v>525</v>
      </c>
      <c r="AA4" s="98"/>
      <c r="AB4" s="98"/>
      <c r="AC4" s="98"/>
      <c r="AD4" s="97" t="s">
        <v>513</v>
      </c>
      <c r="AE4" s="97" t="s">
        <v>893</v>
      </c>
      <c r="AF4" s="98"/>
      <c r="AG4" s="98"/>
      <c r="AH4" s="98"/>
      <c r="AI4" s="98"/>
    </row>
    <row r="5" spans="1:35" ht="18" x14ac:dyDescent="0.3">
      <c r="A5" s="99" t="s">
        <v>197</v>
      </c>
      <c r="B5" s="100">
        <v>45988</v>
      </c>
      <c r="C5" s="101" t="s">
        <v>842</v>
      </c>
      <c r="D5" s="102">
        <v>0.61111111111111105</v>
      </c>
      <c r="E5" s="101" t="s">
        <v>786</v>
      </c>
      <c r="F5" s="101" t="s">
        <v>174</v>
      </c>
      <c r="G5" s="103">
        <v>0.61899999999999999</v>
      </c>
      <c r="H5" s="104">
        <v>168</v>
      </c>
      <c r="I5" s="104">
        <v>104</v>
      </c>
      <c r="J5" s="104">
        <v>0</v>
      </c>
      <c r="K5" s="100">
        <v>45984</v>
      </c>
      <c r="L5" s="104">
        <v>0</v>
      </c>
      <c r="M5" s="104">
        <v>5</v>
      </c>
      <c r="N5" s="104">
        <v>24</v>
      </c>
      <c r="O5" s="101" t="s">
        <v>193</v>
      </c>
      <c r="P5" s="105"/>
      <c r="Q5" s="105"/>
      <c r="R5" s="105"/>
      <c r="S5" s="105"/>
      <c r="T5" s="105"/>
      <c r="U5" s="104" t="s">
        <v>894</v>
      </c>
      <c r="V5" s="105"/>
      <c r="W5" s="105"/>
      <c r="X5" s="105"/>
      <c r="Y5" s="104" t="s">
        <v>274</v>
      </c>
      <c r="Z5" s="104" t="s">
        <v>556</v>
      </c>
      <c r="AA5" s="105"/>
      <c r="AB5" s="104" t="s">
        <v>192</v>
      </c>
      <c r="AC5" s="104" t="s">
        <v>507</v>
      </c>
      <c r="AD5" s="104" t="s">
        <v>186</v>
      </c>
      <c r="AE5" s="104" t="s">
        <v>526</v>
      </c>
      <c r="AF5" s="105"/>
      <c r="AG5" s="105"/>
      <c r="AH5" s="105"/>
      <c r="AI5" s="105"/>
    </row>
    <row r="6" spans="1:35" ht="18" x14ac:dyDescent="0.3">
      <c r="A6" s="92" t="s">
        <v>543</v>
      </c>
      <c r="B6" s="93">
        <v>45989</v>
      </c>
      <c r="C6" s="94" t="s">
        <v>842</v>
      </c>
      <c r="D6" s="95">
        <v>0.60416666666666663</v>
      </c>
      <c r="E6" s="94" t="s">
        <v>786</v>
      </c>
      <c r="F6" s="94" t="s">
        <v>174</v>
      </c>
      <c r="G6" s="96">
        <v>0.55359999999999998</v>
      </c>
      <c r="H6" s="97">
        <v>168</v>
      </c>
      <c r="I6" s="97">
        <v>93</v>
      </c>
      <c r="J6" s="97">
        <v>0</v>
      </c>
      <c r="K6" s="93">
        <v>45984</v>
      </c>
      <c r="L6" s="97">
        <v>0</v>
      </c>
      <c r="M6" s="97">
        <v>6</v>
      </c>
      <c r="N6" s="97">
        <v>32</v>
      </c>
      <c r="O6" s="94" t="s">
        <v>202</v>
      </c>
      <c r="P6" s="98"/>
      <c r="Q6" s="98"/>
      <c r="R6" s="98"/>
      <c r="S6" s="98"/>
      <c r="T6" s="98"/>
      <c r="U6" s="97" t="s">
        <v>573</v>
      </c>
      <c r="V6" s="98"/>
      <c r="W6" s="98"/>
      <c r="X6" s="98"/>
      <c r="Y6" s="97" t="s">
        <v>200</v>
      </c>
      <c r="Z6" s="98"/>
      <c r="AA6" s="98"/>
      <c r="AB6" s="98"/>
      <c r="AC6" s="97" t="s">
        <v>538</v>
      </c>
      <c r="AD6" s="97" t="s">
        <v>895</v>
      </c>
      <c r="AE6" s="97" t="s">
        <v>544</v>
      </c>
      <c r="AF6" s="98"/>
      <c r="AG6" s="98"/>
      <c r="AH6" s="98"/>
      <c r="AI6" s="98"/>
    </row>
    <row r="7" spans="1:35" ht="18" x14ac:dyDescent="0.3">
      <c r="A7" s="99" t="s">
        <v>543</v>
      </c>
      <c r="B7" s="100">
        <v>45989</v>
      </c>
      <c r="C7" s="101" t="s">
        <v>807</v>
      </c>
      <c r="D7" s="102">
        <v>0.92361111111111116</v>
      </c>
      <c r="E7" s="101" t="s">
        <v>786</v>
      </c>
      <c r="F7" s="101" t="s">
        <v>174</v>
      </c>
      <c r="G7" s="103">
        <v>0.45240000000000002</v>
      </c>
      <c r="H7" s="104">
        <v>168</v>
      </c>
      <c r="I7" s="104">
        <v>76</v>
      </c>
      <c r="J7" s="104">
        <v>0</v>
      </c>
      <c r="K7" s="100">
        <v>45984</v>
      </c>
      <c r="L7" s="104">
        <v>0</v>
      </c>
      <c r="M7" s="104">
        <v>4</v>
      </c>
      <c r="N7" s="104">
        <v>46</v>
      </c>
      <c r="O7" s="101" t="s">
        <v>194</v>
      </c>
      <c r="P7" s="105"/>
      <c r="Q7" s="105"/>
      <c r="R7" s="105"/>
      <c r="S7" s="105"/>
      <c r="T7" s="105"/>
      <c r="U7" s="105"/>
      <c r="V7" s="105"/>
      <c r="W7" s="105"/>
      <c r="X7" s="105"/>
      <c r="Y7" s="105"/>
      <c r="Z7" s="104" t="s">
        <v>214</v>
      </c>
      <c r="AA7" s="105"/>
      <c r="AB7" s="105"/>
      <c r="AC7" s="105"/>
      <c r="AD7" s="104" t="s">
        <v>414</v>
      </c>
      <c r="AE7" s="104" t="s">
        <v>896</v>
      </c>
      <c r="AF7" s="105"/>
      <c r="AG7" s="105"/>
      <c r="AH7" s="105"/>
      <c r="AI7" s="105"/>
    </row>
    <row r="8" spans="1:35" ht="18" x14ac:dyDescent="0.3">
      <c r="A8" s="92" t="s">
        <v>205</v>
      </c>
      <c r="B8" s="93">
        <v>45990</v>
      </c>
      <c r="C8" s="94" t="s">
        <v>842</v>
      </c>
      <c r="D8" s="95">
        <v>0.61111111111111105</v>
      </c>
      <c r="E8" s="94" t="s">
        <v>786</v>
      </c>
      <c r="F8" s="94" t="s">
        <v>174</v>
      </c>
      <c r="G8" s="96">
        <v>0.54169999999999996</v>
      </c>
      <c r="H8" s="97">
        <v>168</v>
      </c>
      <c r="I8" s="97">
        <v>91</v>
      </c>
      <c r="J8" s="97">
        <v>0</v>
      </c>
      <c r="K8" s="93">
        <v>45984</v>
      </c>
      <c r="L8" s="97">
        <v>0</v>
      </c>
      <c r="M8" s="97">
        <v>4</v>
      </c>
      <c r="N8" s="97">
        <v>32</v>
      </c>
      <c r="O8" s="94" t="s">
        <v>202</v>
      </c>
      <c r="P8" s="98"/>
      <c r="Q8" s="98"/>
      <c r="R8" s="98"/>
      <c r="S8" s="98"/>
      <c r="T8" s="98"/>
      <c r="U8" s="97" t="s">
        <v>573</v>
      </c>
      <c r="V8" s="98"/>
      <c r="W8" s="98"/>
      <c r="X8" s="98"/>
      <c r="Y8" s="97" t="s">
        <v>200</v>
      </c>
      <c r="Z8" s="97" t="s">
        <v>525</v>
      </c>
      <c r="AA8" s="98"/>
      <c r="AB8" s="98"/>
      <c r="AC8" s="97" t="s">
        <v>522</v>
      </c>
      <c r="AD8" s="97" t="s">
        <v>523</v>
      </c>
      <c r="AE8" s="97" t="s">
        <v>526</v>
      </c>
      <c r="AF8" s="98"/>
      <c r="AG8" s="98"/>
      <c r="AH8" s="98"/>
      <c r="AI8" s="98"/>
    </row>
    <row r="9" spans="1:35" ht="18" x14ac:dyDescent="0.3">
      <c r="A9" s="99" t="s">
        <v>211</v>
      </c>
      <c r="B9" s="100">
        <v>45991</v>
      </c>
      <c r="C9" s="101" t="s">
        <v>842</v>
      </c>
      <c r="D9" s="102">
        <v>0.625</v>
      </c>
      <c r="E9" s="101" t="s">
        <v>786</v>
      </c>
      <c r="F9" s="101" t="s">
        <v>174</v>
      </c>
      <c r="G9" s="103">
        <v>0.48809999999999998</v>
      </c>
      <c r="H9" s="104">
        <v>168</v>
      </c>
      <c r="I9" s="104">
        <v>82</v>
      </c>
      <c r="J9" s="104">
        <v>0</v>
      </c>
      <c r="K9" s="100">
        <v>45984</v>
      </c>
      <c r="L9" s="104">
        <v>0</v>
      </c>
      <c r="M9" s="104">
        <v>8</v>
      </c>
      <c r="N9" s="104">
        <v>19</v>
      </c>
      <c r="O9" s="101" t="s">
        <v>202</v>
      </c>
      <c r="P9" s="105"/>
      <c r="Q9" s="105"/>
      <c r="R9" s="105"/>
      <c r="S9" s="105"/>
      <c r="T9" s="105"/>
      <c r="U9" s="104" t="s">
        <v>573</v>
      </c>
      <c r="V9" s="105"/>
      <c r="W9" s="105"/>
      <c r="X9" s="105"/>
      <c r="Y9" s="104" t="s">
        <v>200</v>
      </c>
      <c r="Z9" s="104" t="s">
        <v>525</v>
      </c>
      <c r="AA9" s="105"/>
      <c r="AB9" s="105"/>
      <c r="AC9" s="104" t="s">
        <v>531</v>
      </c>
      <c r="AD9" s="104" t="s">
        <v>897</v>
      </c>
      <c r="AE9" s="104" t="s">
        <v>544</v>
      </c>
      <c r="AF9" s="105"/>
      <c r="AG9" s="105"/>
      <c r="AH9" s="105"/>
      <c r="AI9" s="105"/>
    </row>
    <row r="10" spans="1:35" ht="18" x14ac:dyDescent="0.3">
      <c r="A10" s="106" t="s">
        <v>219</v>
      </c>
      <c r="B10" s="107"/>
      <c r="C10" s="108">
        <f>COUNTA(C2:C9)</f>
        <v>8</v>
      </c>
      <c r="D10" s="107"/>
      <c r="E10" s="107"/>
      <c r="F10" s="107"/>
      <c r="G10" s="109">
        <f>AVERAGE(G2:G9)</f>
        <v>0.59301250000000005</v>
      </c>
      <c r="H10" s="110">
        <f>SUM(H2:H9)</f>
        <v>1344</v>
      </c>
      <c r="I10" s="110">
        <f>SUM(I2:I9)</f>
        <v>797</v>
      </c>
      <c r="J10" s="110">
        <f>SUM(J2:J9)</f>
        <v>0</v>
      </c>
      <c r="K10" s="107"/>
      <c r="L10" s="110">
        <f>SUM(L2:L9)</f>
        <v>0</v>
      </c>
      <c r="M10" s="110">
        <f>SUM(M2:M9)</f>
        <v>65</v>
      </c>
      <c r="N10" s="110">
        <f>SUM(N2:N9)</f>
        <v>349</v>
      </c>
      <c r="O10" s="107"/>
      <c r="P10" s="110">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10">
        <f t="shared" si="0"/>
        <v>0</v>
      </c>
      <c r="R10" s="110">
        <f t="shared" si="0"/>
        <v>0</v>
      </c>
      <c r="S10" s="110">
        <f t="shared" si="0"/>
        <v>0</v>
      </c>
      <c r="T10" s="110">
        <f t="shared" si="0"/>
        <v>0</v>
      </c>
      <c r="U10" s="110">
        <f t="shared" si="0"/>
        <v>0</v>
      </c>
      <c r="V10" s="110">
        <f t="shared" si="0"/>
        <v>0</v>
      </c>
      <c r="W10" s="110">
        <f t="shared" si="0"/>
        <v>0</v>
      </c>
      <c r="X10" s="110">
        <f t="shared" si="0"/>
        <v>0</v>
      </c>
      <c r="Y10" s="110">
        <f t="shared" si="0"/>
        <v>0</v>
      </c>
      <c r="Z10" s="110">
        <f t="shared" si="0"/>
        <v>0</v>
      </c>
      <c r="AA10" s="110">
        <f t="shared" si="0"/>
        <v>0</v>
      </c>
      <c r="AB10" s="110">
        <f t="shared" si="0"/>
        <v>0</v>
      </c>
      <c r="AC10" s="110">
        <f t="shared" si="0"/>
        <v>0</v>
      </c>
      <c r="AD10" s="110">
        <f t="shared" si="0"/>
        <v>0</v>
      </c>
      <c r="AE10" s="110">
        <f t="shared" si="0"/>
        <v>0</v>
      </c>
      <c r="AF10" s="110">
        <f t="shared" si="0"/>
        <v>0</v>
      </c>
      <c r="AG10" s="110">
        <f t="shared" si="0"/>
        <v>0</v>
      </c>
      <c r="AH10" s="110">
        <f t="shared" si="0"/>
        <v>0</v>
      </c>
      <c r="AI10" s="110">
        <f t="shared" si="0"/>
        <v>0</v>
      </c>
    </row>
  </sheetData>
  <autoFilter ref="A1:AI9"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19"/>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25</v>
      </c>
      <c r="C2" s="114" t="s">
        <v>787</v>
      </c>
      <c r="D2" s="113" t="s">
        <v>786</v>
      </c>
      <c r="E2" s="115">
        <v>1.8159722222222221</v>
      </c>
      <c r="F2" s="113" t="s">
        <v>27</v>
      </c>
      <c r="G2" s="116">
        <v>1</v>
      </c>
      <c r="H2" s="117">
        <v>309</v>
      </c>
    </row>
    <row r="3" spans="1:8" ht="18" x14ac:dyDescent="0.3">
      <c r="A3" s="118">
        <v>45986</v>
      </c>
      <c r="B3" s="119" t="s">
        <v>25</v>
      </c>
      <c r="C3" s="120" t="s">
        <v>787</v>
      </c>
      <c r="D3" s="119" t="s">
        <v>786</v>
      </c>
      <c r="E3" s="121">
        <v>1.8159722222222221</v>
      </c>
      <c r="F3" s="119" t="s">
        <v>30</v>
      </c>
      <c r="G3" s="122">
        <v>1</v>
      </c>
      <c r="H3" s="123">
        <v>459</v>
      </c>
    </row>
    <row r="4" spans="1:8" ht="18" x14ac:dyDescent="0.3">
      <c r="A4" s="118">
        <v>45986</v>
      </c>
      <c r="B4" s="119" t="s">
        <v>25</v>
      </c>
      <c r="C4" s="120" t="s">
        <v>787</v>
      </c>
      <c r="D4" s="119" t="s">
        <v>786</v>
      </c>
      <c r="E4" s="121">
        <v>1.8159722222222221</v>
      </c>
      <c r="F4" s="119" t="s">
        <v>33</v>
      </c>
      <c r="G4" s="122">
        <v>1</v>
      </c>
      <c r="H4" s="119" t="s">
        <v>113</v>
      </c>
    </row>
    <row r="5" spans="1:8" ht="18" x14ac:dyDescent="0.3">
      <c r="A5" s="138">
        <v>45986</v>
      </c>
      <c r="B5" s="139" t="s">
        <v>25</v>
      </c>
      <c r="C5" s="140" t="s">
        <v>789</v>
      </c>
      <c r="D5" s="139" t="s">
        <v>786</v>
      </c>
      <c r="E5" s="141">
        <v>1.760416666666667</v>
      </c>
      <c r="F5" s="139" t="s">
        <v>27</v>
      </c>
      <c r="G5" s="142">
        <v>4</v>
      </c>
      <c r="H5" s="143">
        <v>339</v>
      </c>
    </row>
    <row r="6" spans="1:8" ht="18" x14ac:dyDescent="0.3">
      <c r="A6" s="118">
        <v>45986</v>
      </c>
      <c r="B6" s="119" t="s">
        <v>25</v>
      </c>
      <c r="C6" s="120" t="s">
        <v>789</v>
      </c>
      <c r="D6" s="119" t="s">
        <v>786</v>
      </c>
      <c r="E6" s="121">
        <v>1.760416666666667</v>
      </c>
      <c r="F6" s="119" t="s">
        <v>30</v>
      </c>
      <c r="G6" s="122">
        <v>4</v>
      </c>
      <c r="H6" s="123">
        <v>489</v>
      </c>
    </row>
    <row r="7" spans="1:8" ht="18" x14ac:dyDescent="0.3">
      <c r="A7" s="118">
        <v>45986</v>
      </c>
      <c r="B7" s="119" t="s">
        <v>25</v>
      </c>
      <c r="C7" s="120" t="s">
        <v>789</v>
      </c>
      <c r="D7" s="119" t="s">
        <v>786</v>
      </c>
      <c r="E7" s="121">
        <v>1.760416666666667</v>
      </c>
      <c r="F7" s="119" t="s">
        <v>33</v>
      </c>
      <c r="G7" s="122">
        <v>4</v>
      </c>
      <c r="H7" s="123">
        <v>899</v>
      </c>
    </row>
    <row r="8" spans="1:8" ht="18" x14ac:dyDescent="0.3">
      <c r="A8" s="138">
        <v>45986</v>
      </c>
      <c r="B8" s="139" t="s">
        <v>25</v>
      </c>
      <c r="C8" s="140" t="s">
        <v>792</v>
      </c>
      <c r="D8" s="139" t="s">
        <v>786</v>
      </c>
      <c r="E8" s="141">
        <v>1.447916666666667</v>
      </c>
      <c r="F8" s="139" t="s">
        <v>27</v>
      </c>
      <c r="G8" s="142">
        <v>10</v>
      </c>
      <c r="H8" s="143">
        <v>369</v>
      </c>
    </row>
    <row r="9" spans="1:8" ht="18" x14ac:dyDescent="0.3">
      <c r="A9" s="118">
        <v>45986</v>
      </c>
      <c r="B9" s="119" t="s">
        <v>25</v>
      </c>
      <c r="C9" s="120" t="s">
        <v>792</v>
      </c>
      <c r="D9" s="119" t="s">
        <v>786</v>
      </c>
      <c r="E9" s="121">
        <v>1.447916666666667</v>
      </c>
      <c r="F9" s="119" t="s">
        <v>30</v>
      </c>
      <c r="G9" s="122">
        <v>10</v>
      </c>
      <c r="H9" s="123">
        <v>519</v>
      </c>
    </row>
    <row r="10" spans="1:8" ht="18" x14ac:dyDescent="0.3">
      <c r="A10" s="118">
        <v>45986</v>
      </c>
      <c r="B10" s="119" t="s">
        <v>25</v>
      </c>
      <c r="C10" s="120" t="s">
        <v>792</v>
      </c>
      <c r="D10" s="119" t="s">
        <v>786</v>
      </c>
      <c r="E10" s="121">
        <v>1.447916666666667</v>
      </c>
      <c r="F10" s="119" t="s">
        <v>33</v>
      </c>
      <c r="G10" s="122">
        <v>10</v>
      </c>
      <c r="H10" s="123">
        <v>899</v>
      </c>
    </row>
    <row r="11" spans="1:8" ht="18" x14ac:dyDescent="0.3">
      <c r="A11" s="138">
        <v>45986</v>
      </c>
      <c r="B11" s="139" t="s">
        <v>25</v>
      </c>
      <c r="C11" s="140" t="s">
        <v>794</v>
      </c>
      <c r="D11" s="139" t="s">
        <v>786</v>
      </c>
      <c r="E11" s="141">
        <v>1.5</v>
      </c>
      <c r="F11" s="139" t="s">
        <v>27</v>
      </c>
      <c r="G11" s="142">
        <v>10</v>
      </c>
      <c r="H11" s="143">
        <v>369</v>
      </c>
    </row>
    <row r="12" spans="1:8" ht="18" x14ac:dyDescent="0.3">
      <c r="A12" s="118">
        <v>45986</v>
      </c>
      <c r="B12" s="119" t="s">
        <v>25</v>
      </c>
      <c r="C12" s="120" t="s">
        <v>794</v>
      </c>
      <c r="D12" s="119" t="s">
        <v>786</v>
      </c>
      <c r="E12" s="121">
        <v>1.5</v>
      </c>
      <c r="F12" s="119" t="s">
        <v>30</v>
      </c>
      <c r="G12" s="122">
        <v>10</v>
      </c>
      <c r="H12" s="123">
        <v>519</v>
      </c>
    </row>
    <row r="13" spans="1:8" ht="18" x14ac:dyDescent="0.3">
      <c r="A13" s="118">
        <v>45986</v>
      </c>
      <c r="B13" s="119" t="s">
        <v>25</v>
      </c>
      <c r="C13" s="120" t="s">
        <v>794</v>
      </c>
      <c r="D13" s="119" t="s">
        <v>786</v>
      </c>
      <c r="E13" s="121">
        <v>1.5</v>
      </c>
      <c r="F13" s="119" t="s">
        <v>33</v>
      </c>
      <c r="G13" s="122">
        <v>10</v>
      </c>
      <c r="H13" s="119" t="s">
        <v>113</v>
      </c>
    </row>
    <row r="14" spans="1:8" ht="18" x14ac:dyDescent="0.3">
      <c r="A14" s="136">
        <v>45986</v>
      </c>
      <c r="B14" s="113" t="s">
        <v>304</v>
      </c>
      <c r="C14" s="114" t="s">
        <v>795</v>
      </c>
      <c r="D14" s="113" t="s">
        <v>786</v>
      </c>
      <c r="E14" s="115">
        <v>1.2777777777777779</v>
      </c>
      <c r="F14" s="113" t="s">
        <v>37</v>
      </c>
      <c r="G14" s="116">
        <v>9</v>
      </c>
      <c r="H14" s="137">
        <v>350</v>
      </c>
    </row>
    <row r="15" spans="1:8" ht="18" x14ac:dyDescent="0.3">
      <c r="A15" s="136">
        <v>45986</v>
      </c>
      <c r="B15" s="113" t="s">
        <v>55</v>
      </c>
      <c r="C15" s="114" t="s">
        <v>797</v>
      </c>
      <c r="D15" s="113" t="s">
        <v>786</v>
      </c>
      <c r="E15" s="115">
        <v>1.427083333333333</v>
      </c>
      <c r="F15" s="113" t="s">
        <v>60</v>
      </c>
      <c r="G15" s="116">
        <v>2</v>
      </c>
      <c r="H15" s="137">
        <v>369</v>
      </c>
    </row>
    <row r="16" spans="1:8" ht="18" x14ac:dyDescent="0.3">
      <c r="A16" s="118">
        <v>45986</v>
      </c>
      <c r="B16" s="119" t="s">
        <v>55</v>
      </c>
      <c r="C16" s="120" t="s">
        <v>797</v>
      </c>
      <c r="D16" s="119" t="s">
        <v>786</v>
      </c>
      <c r="E16" s="121">
        <v>1.427083333333333</v>
      </c>
      <c r="F16" s="119" t="s">
        <v>62</v>
      </c>
      <c r="G16" s="122">
        <v>2</v>
      </c>
      <c r="H16" s="123">
        <v>469</v>
      </c>
    </row>
    <row r="17" spans="1:8" ht="18" x14ac:dyDescent="0.3">
      <c r="A17" s="118">
        <v>45986</v>
      </c>
      <c r="B17" s="119" t="s">
        <v>55</v>
      </c>
      <c r="C17" s="120" t="s">
        <v>797</v>
      </c>
      <c r="D17" s="119" t="s">
        <v>786</v>
      </c>
      <c r="E17" s="121">
        <v>1.427083333333333</v>
      </c>
      <c r="F17" s="119" t="s">
        <v>64</v>
      </c>
      <c r="G17" s="122">
        <v>2</v>
      </c>
      <c r="H17" s="123">
        <v>559</v>
      </c>
    </row>
    <row r="18" spans="1:8" ht="18" x14ac:dyDescent="0.3">
      <c r="A18" s="138">
        <v>45986</v>
      </c>
      <c r="B18" s="139" t="s">
        <v>55</v>
      </c>
      <c r="C18" s="140" t="s">
        <v>799</v>
      </c>
      <c r="D18" s="139" t="s">
        <v>786</v>
      </c>
      <c r="E18" s="141">
        <v>1.305555555555556</v>
      </c>
      <c r="F18" s="139" t="s">
        <v>60</v>
      </c>
      <c r="G18" s="142">
        <v>9</v>
      </c>
      <c r="H18" s="143">
        <v>409</v>
      </c>
    </row>
    <row r="19" spans="1:8" ht="18" x14ac:dyDescent="0.3">
      <c r="A19" s="118">
        <v>45986</v>
      </c>
      <c r="B19" s="119" t="s">
        <v>55</v>
      </c>
      <c r="C19" s="120" t="s">
        <v>799</v>
      </c>
      <c r="D19" s="119" t="s">
        <v>786</v>
      </c>
      <c r="E19" s="121">
        <v>1.305555555555556</v>
      </c>
      <c r="F19" s="119" t="s">
        <v>62</v>
      </c>
      <c r="G19" s="122">
        <v>9</v>
      </c>
      <c r="H19" s="123">
        <v>509</v>
      </c>
    </row>
    <row r="20" spans="1:8" ht="18" x14ac:dyDescent="0.3">
      <c r="A20" s="118">
        <v>45986</v>
      </c>
      <c r="B20" s="119" t="s">
        <v>55</v>
      </c>
      <c r="C20" s="120" t="s">
        <v>799</v>
      </c>
      <c r="D20" s="119" t="s">
        <v>786</v>
      </c>
      <c r="E20" s="121">
        <v>1.305555555555556</v>
      </c>
      <c r="F20" s="119" t="s">
        <v>64</v>
      </c>
      <c r="G20" s="122">
        <v>9</v>
      </c>
      <c r="H20" s="123">
        <v>599</v>
      </c>
    </row>
    <row r="21" spans="1:8" ht="18" x14ac:dyDescent="0.3">
      <c r="A21" s="138">
        <v>45986</v>
      </c>
      <c r="B21" s="139" t="s">
        <v>55</v>
      </c>
      <c r="C21" s="140" t="s">
        <v>800</v>
      </c>
      <c r="D21" s="139" t="s">
        <v>786</v>
      </c>
      <c r="E21" s="141">
        <v>1.5</v>
      </c>
      <c r="F21" s="139" t="s">
        <v>60</v>
      </c>
      <c r="G21" s="142">
        <v>6</v>
      </c>
      <c r="H21" s="143">
        <v>409</v>
      </c>
    </row>
    <row r="22" spans="1:8" ht="18" x14ac:dyDescent="0.3">
      <c r="A22" s="118">
        <v>45986</v>
      </c>
      <c r="B22" s="119" t="s">
        <v>55</v>
      </c>
      <c r="C22" s="120" t="s">
        <v>800</v>
      </c>
      <c r="D22" s="119" t="s">
        <v>786</v>
      </c>
      <c r="E22" s="121">
        <v>1.5</v>
      </c>
      <c r="F22" s="119" t="s">
        <v>62</v>
      </c>
      <c r="G22" s="122">
        <v>6</v>
      </c>
      <c r="H22" s="123">
        <v>509</v>
      </c>
    </row>
    <row r="23" spans="1:8" ht="18" x14ac:dyDescent="0.3">
      <c r="A23" s="118">
        <v>45986</v>
      </c>
      <c r="B23" s="119" t="s">
        <v>55</v>
      </c>
      <c r="C23" s="120" t="s">
        <v>800</v>
      </c>
      <c r="D23" s="119" t="s">
        <v>786</v>
      </c>
      <c r="E23" s="121">
        <v>1.5</v>
      </c>
      <c r="F23" s="119" t="s">
        <v>64</v>
      </c>
      <c r="G23" s="122">
        <v>6</v>
      </c>
      <c r="H23" s="123">
        <v>599</v>
      </c>
    </row>
    <row r="24" spans="1:8" ht="18" x14ac:dyDescent="0.3">
      <c r="A24" s="138">
        <v>45986</v>
      </c>
      <c r="B24" s="139" t="s">
        <v>55</v>
      </c>
      <c r="C24" s="140" t="s">
        <v>801</v>
      </c>
      <c r="D24" s="139" t="s">
        <v>786</v>
      </c>
      <c r="E24" s="141">
        <v>1.6875</v>
      </c>
      <c r="F24" s="139" t="s">
        <v>60</v>
      </c>
      <c r="G24" s="142">
        <v>1</v>
      </c>
      <c r="H24" s="143">
        <v>409</v>
      </c>
    </row>
    <row r="25" spans="1:8" ht="18" x14ac:dyDescent="0.3">
      <c r="A25" s="118">
        <v>45986</v>
      </c>
      <c r="B25" s="119" t="s">
        <v>55</v>
      </c>
      <c r="C25" s="120" t="s">
        <v>801</v>
      </c>
      <c r="D25" s="119" t="s">
        <v>786</v>
      </c>
      <c r="E25" s="121">
        <v>1.6875</v>
      </c>
      <c r="F25" s="119" t="s">
        <v>62</v>
      </c>
      <c r="G25" s="122">
        <v>1</v>
      </c>
      <c r="H25" s="123">
        <v>509</v>
      </c>
    </row>
    <row r="26" spans="1:8" ht="18" x14ac:dyDescent="0.3">
      <c r="A26" s="118">
        <v>45986</v>
      </c>
      <c r="B26" s="119" t="s">
        <v>55</v>
      </c>
      <c r="C26" s="120" t="s">
        <v>801</v>
      </c>
      <c r="D26" s="119" t="s">
        <v>786</v>
      </c>
      <c r="E26" s="121">
        <v>1.6875</v>
      </c>
      <c r="F26" s="119" t="s">
        <v>64</v>
      </c>
      <c r="G26" s="122">
        <v>1</v>
      </c>
      <c r="H26" s="123">
        <v>599</v>
      </c>
    </row>
    <row r="27" spans="1:8" ht="18" x14ac:dyDescent="0.3">
      <c r="A27" s="138">
        <v>45986</v>
      </c>
      <c r="B27" s="139" t="s">
        <v>55</v>
      </c>
      <c r="C27" s="140" t="s">
        <v>802</v>
      </c>
      <c r="D27" s="139" t="s">
        <v>786</v>
      </c>
      <c r="E27" s="141">
        <v>1.375</v>
      </c>
      <c r="F27" s="139" t="s">
        <v>60</v>
      </c>
      <c r="G27" s="142">
        <v>9</v>
      </c>
      <c r="H27" s="143">
        <v>409</v>
      </c>
    </row>
    <row r="28" spans="1:8" ht="18" x14ac:dyDescent="0.3">
      <c r="A28" s="118">
        <v>45986</v>
      </c>
      <c r="B28" s="119" t="s">
        <v>55</v>
      </c>
      <c r="C28" s="120" t="s">
        <v>802</v>
      </c>
      <c r="D28" s="119" t="s">
        <v>786</v>
      </c>
      <c r="E28" s="121">
        <v>1.375</v>
      </c>
      <c r="F28" s="119" t="s">
        <v>62</v>
      </c>
      <c r="G28" s="122">
        <v>9</v>
      </c>
      <c r="H28" s="123">
        <v>509</v>
      </c>
    </row>
    <row r="29" spans="1:8" ht="18" x14ac:dyDescent="0.3">
      <c r="A29" s="118">
        <v>45986</v>
      </c>
      <c r="B29" s="119" t="s">
        <v>55</v>
      </c>
      <c r="C29" s="120" t="s">
        <v>802</v>
      </c>
      <c r="D29" s="119" t="s">
        <v>786</v>
      </c>
      <c r="E29" s="121">
        <v>1.375</v>
      </c>
      <c r="F29" s="119" t="s">
        <v>64</v>
      </c>
      <c r="G29" s="122">
        <v>9</v>
      </c>
      <c r="H29" s="123">
        <v>599</v>
      </c>
    </row>
    <row r="30" spans="1:8" ht="18" x14ac:dyDescent="0.3">
      <c r="A30" s="138">
        <v>45986</v>
      </c>
      <c r="B30" s="139" t="s">
        <v>55</v>
      </c>
      <c r="C30" s="140" t="s">
        <v>803</v>
      </c>
      <c r="D30" s="139" t="s">
        <v>786</v>
      </c>
      <c r="E30" s="141">
        <v>1.8263888888888891</v>
      </c>
      <c r="F30" s="139" t="s">
        <v>60</v>
      </c>
      <c r="G30" s="142">
        <v>8</v>
      </c>
      <c r="H30" s="143">
        <v>449</v>
      </c>
    </row>
    <row r="31" spans="1:8" ht="18" x14ac:dyDescent="0.3">
      <c r="A31" s="118">
        <v>45986</v>
      </c>
      <c r="B31" s="119" t="s">
        <v>55</v>
      </c>
      <c r="C31" s="120" t="s">
        <v>803</v>
      </c>
      <c r="D31" s="119" t="s">
        <v>786</v>
      </c>
      <c r="E31" s="121">
        <v>1.8263888888888891</v>
      </c>
      <c r="F31" s="119" t="s">
        <v>62</v>
      </c>
      <c r="G31" s="122">
        <v>8</v>
      </c>
      <c r="H31" s="123">
        <v>549</v>
      </c>
    </row>
    <row r="32" spans="1:8" ht="18" x14ac:dyDescent="0.3">
      <c r="A32" s="118">
        <v>45986</v>
      </c>
      <c r="B32" s="119" t="s">
        <v>55</v>
      </c>
      <c r="C32" s="120" t="s">
        <v>803</v>
      </c>
      <c r="D32" s="119" t="s">
        <v>786</v>
      </c>
      <c r="E32" s="121">
        <v>1.8263888888888891</v>
      </c>
      <c r="F32" s="119" t="s">
        <v>64</v>
      </c>
      <c r="G32" s="122">
        <v>8</v>
      </c>
      <c r="H32" s="123">
        <v>639</v>
      </c>
    </row>
    <row r="33" spans="1:8" ht="18" x14ac:dyDescent="0.3">
      <c r="A33" s="138">
        <v>45986</v>
      </c>
      <c r="B33" s="139" t="s">
        <v>55</v>
      </c>
      <c r="C33" s="140" t="s">
        <v>804</v>
      </c>
      <c r="D33" s="139" t="s">
        <v>786</v>
      </c>
      <c r="E33" s="141">
        <v>1.5659722222222221</v>
      </c>
      <c r="F33" s="139" t="s">
        <v>60</v>
      </c>
      <c r="G33" s="142">
        <v>7</v>
      </c>
      <c r="H33" s="143">
        <v>449</v>
      </c>
    </row>
    <row r="34" spans="1:8" ht="18" x14ac:dyDescent="0.3">
      <c r="A34" s="118">
        <v>45986</v>
      </c>
      <c r="B34" s="119" t="s">
        <v>55</v>
      </c>
      <c r="C34" s="120" t="s">
        <v>804</v>
      </c>
      <c r="D34" s="119" t="s">
        <v>786</v>
      </c>
      <c r="E34" s="121">
        <v>1.5659722222222221</v>
      </c>
      <c r="F34" s="119" t="s">
        <v>62</v>
      </c>
      <c r="G34" s="122">
        <v>7</v>
      </c>
      <c r="H34" s="123">
        <v>549</v>
      </c>
    </row>
    <row r="35" spans="1:8" ht="18" x14ac:dyDescent="0.3">
      <c r="A35" s="118">
        <v>45986</v>
      </c>
      <c r="B35" s="119" t="s">
        <v>55</v>
      </c>
      <c r="C35" s="120" t="s">
        <v>804</v>
      </c>
      <c r="D35" s="119" t="s">
        <v>786</v>
      </c>
      <c r="E35" s="121">
        <v>1.5659722222222221</v>
      </c>
      <c r="F35" s="119" t="s">
        <v>64</v>
      </c>
      <c r="G35" s="122">
        <v>7</v>
      </c>
      <c r="H35" s="123">
        <v>639</v>
      </c>
    </row>
    <row r="36" spans="1:8" ht="18" x14ac:dyDescent="0.3">
      <c r="A36" s="124">
        <v>45986</v>
      </c>
      <c r="B36" s="125" t="s">
        <v>35</v>
      </c>
      <c r="C36" s="126" t="s">
        <v>805</v>
      </c>
      <c r="D36" s="125" t="s">
        <v>786</v>
      </c>
      <c r="E36" s="127">
        <v>1.913194444444444</v>
      </c>
      <c r="F36" s="125" t="s">
        <v>37</v>
      </c>
      <c r="G36" s="128">
        <v>6</v>
      </c>
      <c r="H36" s="129">
        <v>397</v>
      </c>
    </row>
    <row r="37" spans="1:8" ht="18" x14ac:dyDescent="0.3">
      <c r="A37" s="136">
        <v>45986</v>
      </c>
      <c r="B37" s="113" t="s">
        <v>378</v>
      </c>
      <c r="C37" s="114" t="s">
        <v>809</v>
      </c>
      <c r="D37" s="113" t="s">
        <v>786</v>
      </c>
      <c r="E37" s="115">
        <v>1.6215277777777779</v>
      </c>
      <c r="F37" s="113" t="s">
        <v>380</v>
      </c>
      <c r="G37" s="116">
        <v>9</v>
      </c>
      <c r="H37" s="137">
        <v>417</v>
      </c>
    </row>
    <row r="38" spans="1:8" ht="18" x14ac:dyDescent="0.3">
      <c r="A38" s="118">
        <v>45986</v>
      </c>
      <c r="B38" s="119" t="s">
        <v>378</v>
      </c>
      <c r="C38" s="120" t="s">
        <v>809</v>
      </c>
      <c r="D38" s="119" t="s">
        <v>786</v>
      </c>
      <c r="E38" s="121">
        <v>1.6215277777777779</v>
      </c>
      <c r="F38" s="119" t="s">
        <v>33</v>
      </c>
      <c r="G38" s="122">
        <v>9</v>
      </c>
      <c r="H38" s="123">
        <v>540</v>
      </c>
    </row>
    <row r="39" spans="1:8" ht="18" x14ac:dyDescent="0.3">
      <c r="A39" s="136">
        <v>45986</v>
      </c>
      <c r="B39" s="113" t="s">
        <v>66</v>
      </c>
      <c r="C39" s="114" t="s">
        <v>812</v>
      </c>
      <c r="D39" s="113" t="s">
        <v>786</v>
      </c>
      <c r="E39" s="115">
        <v>1.166666666666667</v>
      </c>
      <c r="F39" s="113" t="s">
        <v>85</v>
      </c>
      <c r="G39" s="116">
        <v>9</v>
      </c>
      <c r="H39" s="137">
        <v>437</v>
      </c>
    </row>
    <row r="40" spans="1:8" ht="18" x14ac:dyDescent="0.3">
      <c r="A40" s="138">
        <v>45986</v>
      </c>
      <c r="B40" s="139" t="s">
        <v>66</v>
      </c>
      <c r="C40" s="140" t="s">
        <v>814</v>
      </c>
      <c r="D40" s="139" t="s">
        <v>786</v>
      </c>
      <c r="E40" s="141">
        <v>1.541666666666667</v>
      </c>
      <c r="F40" s="139" t="s">
        <v>85</v>
      </c>
      <c r="G40" s="142">
        <v>9</v>
      </c>
      <c r="H40" s="143">
        <v>437</v>
      </c>
    </row>
    <row r="41" spans="1:8" ht="18" x14ac:dyDescent="0.3">
      <c r="A41" s="138">
        <v>45986</v>
      </c>
      <c r="B41" s="139" t="s">
        <v>66</v>
      </c>
      <c r="C41" s="140" t="s">
        <v>815</v>
      </c>
      <c r="D41" s="139" t="s">
        <v>786</v>
      </c>
      <c r="E41" s="141">
        <v>1.916666666666667</v>
      </c>
      <c r="F41" s="139" t="s">
        <v>85</v>
      </c>
      <c r="G41" s="142">
        <v>7</v>
      </c>
      <c r="H41" s="143">
        <v>441</v>
      </c>
    </row>
    <row r="42" spans="1:8" ht="18" x14ac:dyDescent="0.3">
      <c r="A42" s="136">
        <v>45986</v>
      </c>
      <c r="B42" s="113" t="s">
        <v>78</v>
      </c>
      <c r="C42" s="114" t="s">
        <v>817</v>
      </c>
      <c r="D42" s="113" t="s">
        <v>786</v>
      </c>
      <c r="E42" s="115">
        <v>1.2986111111111109</v>
      </c>
      <c r="F42" s="113" t="s">
        <v>87</v>
      </c>
      <c r="G42" s="116">
        <v>9</v>
      </c>
      <c r="H42" s="137">
        <v>661</v>
      </c>
    </row>
    <row r="43" spans="1:8" ht="18" x14ac:dyDescent="0.3">
      <c r="A43" s="118">
        <v>45986</v>
      </c>
      <c r="B43" s="119" t="s">
        <v>78</v>
      </c>
      <c r="C43" s="120" t="s">
        <v>817</v>
      </c>
      <c r="D43" s="119" t="s">
        <v>786</v>
      </c>
      <c r="E43" s="121">
        <v>1.2986111111111109</v>
      </c>
      <c r="F43" s="119" t="s">
        <v>82</v>
      </c>
      <c r="G43" s="122">
        <v>9</v>
      </c>
      <c r="H43" s="123">
        <v>711</v>
      </c>
    </row>
    <row r="44" spans="1:8" ht="18" x14ac:dyDescent="0.3">
      <c r="A44" s="138">
        <v>45986</v>
      </c>
      <c r="B44" s="139" t="s">
        <v>78</v>
      </c>
      <c r="C44" s="140" t="s">
        <v>820</v>
      </c>
      <c r="D44" s="139" t="s">
        <v>786</v>
      </c>
      <c r="E44" s="141">
        <v>1.552083333333333</v>
      </c>
      <c r="F44" s="139" t="s">
        <v>87</v>
      </c>
      <c r="G44" s="142">
        <v>7</v>
      </c>
      <c r="H44" s="143">
        <v>661</v>
      </c>
    </row>
    <row r="45" spans="1:8" ht="18" x14ac:dyDescent="0.3">
      <c r="A45" s="118">
        <v>45986</v>
      </c>
      <c r="B45" s="119" t="s">
        <v>78</v>
      </c>
      <c r="C45" s="120" t="s">
        <v>820</v>
      </c>
      <c r="D45" s="119" t="s">
        <v>786</v>
      </c>
      <c r="E45" s="121">
        <v>1.552083333333333</v>
      </c>
      <c r="F45" s="119" t="s">
        <v>82</v>
      </c>
      <c r="G45" s="122">
        <v>7</v>
      </c>
      <c r="H45" s="123">
        <v>711</v>
      </c>
    </row>
    <row r="46" spans="1:8" ht="18" x14ac:dyDescent="0.3">
      <c r="A46" s="138">
        <v>45986</v>
      </c>
      <c r="B46" s="139" t="s">
        <v>78</v>
      </c>
      <c r="C46" s="140" t="s">
        <v>821</v>
      </c>
      <c r="D46" s="139" t="s">
        <v>786</v>
      </c>
      <c r="E46" s="141">
        <v>1.4826388888888891</v>
      </c>
      <c r="F46" s="139" t="s">
        <v>87</v>
      </c>
      <c r="G46" s="142">
        <v>9</v>
      </c>
      <c r="H46" s="143">
        <v>661</v>
      </c>
    </row>
    <row r="47" spans="1:8" ht="18" x14ac:dyDescent="0.3">
      <c r="A47" s="118">
        <v>45986</v>
      </c>
      <c r="B47" s="119" t="s">
        <v>78</v>
      </c>
      <c r="C47" s="120" t="s">
        <v>821</v>
      </c>
      <c r="D47" s="119" t="s">
        <v>786</v>
      </c>
      <c r="E47" s="121">
        <v>1.4826388888888891</v>
      </c>
      <c r="F47" s="119" t="s">
        <v>82</v>
      </c>
      <c r="G47" s="122">
        <v>9</v>
      </c>
      <c r="H47" s="123">
        <v>711</v>
      </c>
    </row>
    <row r="48" spans="1:8" ht="18" x14ac:dyDescent="0.3">
      <c r="A48" s="138">
        <v>45986</v>
      </c>
      <c r="B48" s="139" t="s">
        <v>78</v>
      </c>
      <c r="C48" s="140" t="s">
        <v>822</v>
      </c>
      <c r="D48" s="139" t="s">
        <v>786</v>
      </c>
      <c r="E48" s="141">
        <v>1.6840277777777779</v>
      </c>
      <c r="F48" s="139" t="s">
        <v>87</v>
      </c>
      <c r="G48" s="142">
        <v>9</v>
      </c>
      <c r="H48" s="143">
        <v>774</v>
      </c>
    </row>
    <row r="49" spans="1:8" ht="18" x14ac:dyDescent="0.3">
      <c r="A49" s="118">
        <v>45986</v>
      </c>
      <c r="B49" s="119" t="s">
        <v>78</v>
      </c>
      <c r="C49" s="120" t="s">
        <v>822</v>
      </c>
      <c r="D49" s="119" t="s">
        <v>786</v>
      </c>
      <c r="E49" s="121">
        <v>1.6840277777777779</v>
      </c>
      <c r="F49" s="119" t="s">
        <v>82</v>
      </c>
      <c r="G49" s="122">
        <v>9</v>
      </c>
      <c r="H49" s="123">
        <v>824</v>
      </c>
    </row>
    <row r="50" spans="1:8" ht="18" x14ac:dyDescent="0.3">
      <c r="A50" s="138">
        <v>45986</v>
      </c>
      <c r="B50" s="139" t="s">
        <v>78</v>
      </c>
      <c r="C50" s="140" t="s">
        <v>825</v>
      </c>
      <c r="D50" s="139" t="s">
        <v>786</v>
      </c>
      <c r="E50" s="141">
        <v>1.836805555555556</v>
      </c>
      <c r="F50" s="139" t="s">
        <v>87</v>
      </c>
      <c r="G50" s="142">
        <v>9</v>
      </c>
      <c r="H50" s="143">
        <v>774</v>
      </c>
    </row>
    <row r="51" spans="1:8" ht="18" x14ac:dyDescent="0.3">
      <c r="A51" s="118">
        <v>45986</v>
      </c>
      <c r="B51" s="119" t="s">
        <v>78</v>
      </c>
      <c r="C51" s="120" t="s">
        <v>825</v>
      </c>
      <c r="D51" s="119" t="s">
        <v>786</v>
      </c>
      <c r="E51" s="121">
        <v>1.836805555555556</v>
      </c>
      <c r="F51" s="119" t="s">
        <v>82</v>
      </c>
      <c r="G51" s="122">
        <v>9</v>
      </c>
      <c r="H51" s="123">
        <v>824</v>
      </c>
    </row>
    <row r="52" spans="1:8" ht="18" x14ac:dyDescent="0.3">
      <c r="A52" s="138">
        <v>45986</v>
      </c>
      <c r="B52" s="139" t="s">
        <v>78</v>
      </c>
      <c r="C52" s="140" t="s">
        <v>826</v>
      </c>
      <c r="D52" s="139" t="s">
        <v>786</v>
      </c>
      <c r="E52" s="141">
        <v>1.8159722222222221</v>
      </c>
      <c r="F52" s="139" t="s">
        <v>82</v>
      </c>
      <c r="G52" s="142">
        <v>4</v>
      </c>
      <c r="H52" s="139" t="s">
        <v>827</v>
      </c>
    </row>
    <row r="53" spans="1:8" ht="18" x14ac:dyDescent="0.3">
      <c r="A53" s="138">
        <v>45986</v>
      </c>
      <c r="B53" s="139" t="s">
        <v>78</v>
      </c>
      <c r="C53" s="140" t="s">
        <v>828</v>
      </c>
      <c r="D53" s="139" t="s">
        <v>786</v>
      </c>
      <c r="E53" s="141">
        <v>1.760416666666667</v>
      </c>
      <c r="F53" s="139" t="s">
        <v>82</v>
      </c>
      <c r="G53" s="142">
        <v>4</v>
      </c>
      <c r="H53" s="139" t="s">
        <v>829</v>
      </c>
    </row>
    <row r="54" spans="1:8" ht="18" x14ac:dyDescent="0.3">
      <c r="A54" s="149">
        <v>45986</v>
      </c>
      <c r="B54" s="150" t="s">
        <v>78</v>
      </c>
      <c r="C54" s="151" t="s">
        <v>830</v>
      </c>
      <c r="D54" s="150" t="s">
        <v>786</v>
      </c>
      <c r="E54" s="152">
        <v>1.5</v>
      </c>
      <c r="F54" s="150" t="s">
        <v>82</v>
      </c>
      <c r="G54" s="153">
        <v>4</v>
      </c>
      <c r="H54" s="150" t="s">
        <v>829</v>
      </c>
    </row>
    <row r="55" spans="1:8" ht="18" x14ac:dyDescent="0.3">
      <c r="A55" s="112">
        <v>45987</v>
      </c>
      <c r="B55" s="113" t="s">
        <v>25</v>
      </c>
      <c r="C55" s="114" t="s">
        <v>794</v>
      </c>
      <c r="D55" s="113" t="s">
        <v>786</v>
      </c>
      <c r="E55" s="115">
        <v>1.5</v>
      </c>
      <c r="F55" s="113" t="s">
        <v>27</v>
      </c>
      <c r="G55" s="116">
        <v>2</v>
      </c>
      <c r="H55" s="117">
        <v>259</v>
      </c>
    </row>
    <row r="56" spans="1:8" ht="18" x14ac:dyDescent="0.3">
      <c r="A56" s="118">
        <v>45987</v>
      </c>
      <c r="B56" s="119" t="s">
        <v>25</v>
      </c>
      <c r="C56" s="120" t="s">
        <v>794</v>
      </c>
      <c r="D56" s="119" t="s">
        <v>786</v>
      </c>
      <c r="E56" s="121">
        <v>1.5</v>
      </c>
      <c r="F56" s="119" t="s">
        <v>30</v>
      </c>
      <c r="G56" s="122">
        <v>2</v>
      </c>
      <c r="H56" s="123">
        <v>409</v>
      </c>
    </row>
    <row r="57" spans="1:8" ht="18" x14ac:dyDescent="0.3">
      <c r="A57" s="118">
        <v>45987</v>
      </c>
      <c r="B57" s="119" t="s">
        <v>25</v>
      </c>
      <c r="C57" s="120" t="s">
        <v>794</v>
      </c>
      <c r="D57" s="119" t="s">
        <v>786</v>
      </c>
      <c r="E57" s="121">
        <v>1.5</v>
      </c>
      <c r="F57" s="119" t="s">
        <v>33</v>
      </c>
      <c r="G57" s="122">
        <v>2</v>
      </c>
      <c r="H57" s="119" t="s">
        <v>113</v>
      </c>
    </row>
    <row r="58" spans="1:8" ht="18" x14ac:dyDescent="0.3">
      <c r="A58" s="138">
        <v>45987</v>
      </c>
      <c r="B58" s="139" t="s">
        <v>25</v>
      </c>
      <c r="C58" s="140" t="s">
        <v>792</v>
      </c>
      <c r="D58" s="139" t="s">
        <v>786</v>
      </c>
      <c r="E58" s="141">
        <v>1.447916666666667</v>
      </c>
      <c r="F58" s="139" t="s">
        <v>27</v>
      </c>
      <c r="G58" s="142">
        <v>20</v>
      </c>
      <c r="H58" s="143">
        <v>279</v>
      </c>
    </row>
    <row r="59" spans="1:8" ht="18" x14ac:dyDescent="0.3">
      <c r="A59" s="118">
        <v>45987</v>
      </c>
      <c r="B59" s="119" t="s">
        <v>25</v>
      </c>
      <c r="C59" s="120" t="s">
        <v>792</v>
      </c>
      <c r="D59" s="119" t="s">
        <v>786</v>
      </c>
      <c r="E59" s="121">
        <v>1.447916666666667</v>
      </c>
      <c r="F59" s="119" t="s">
        <v>30</v>
      </c>
      <c r="G59" s="122">
        <v>20</v>
      </c>
      <c r="H59" s="123">
        <v>429</v>
      </c>
    </row>
    <row r="60" spans="1:8" ht="18" x14ac:dyDescent="0.3">
      <c r="A60" s="118">
        <v>45987</v>
      </c>
      <c r="B60" s="119" t="s">
        <v>25</v>
      </c>
      <c r="C60" s="120" t="s">
        <v>792</v>
      </c>
      <c r="D60" s="119" t="s">
        <v>786</v>
      </c>
      <c r="E60" s="121">
        <v>1.447916666666667</v>
      </c>
      <c r="F60" s="119" t="s">
        <v>33</v>
      </c>
      <c r="G60" s="122">
        <v>20</v>
      </c>
      <c r="H60" s="123">
        <v>899</v>
      </c>
    </row>
    <row r="61" spans="1:8" ht="18" x14ac:dyDescent="0.3">
      <c r="A61" s="138">
        <v>45987</v>
      </c>
      <c r="B61" s="139" t="s">
        <v>25</v>
      </c>
      <c r="C61" s="140" t="s">
        <v>789</v>
      </c>
      <c r="D61" s="139" t="s">
        <v>786</v>
      </c>
      <c r="E61" s="141">
        <v>1.760416666666667</v>
      </c>
      <c r="F61" s="139" t="s">
        <v>27</v>
      </c>
      <c r="G61" s="142">
        <v>7</v>
      </c>
      <c r="H61" s="143">
        <v>309</v>
      </c>
    </row>
    <row r="62" spans="1:8" ht="18" x14ac:dyDescent="0.3">
      <c r="A62" s="118">
        <v>45987</v>
      </c>
      <c r="B62" s="119" t="s">
        <v>25</v>
      </c>
      <c r="C62" s="120" t="s">
        <v>789</v>
      </c>
      <c r="D62" s="119" t="s">
        <v>786</v>
      </c>
      <c r="E62" s="121">
        <v>1.760416666666667</v>
      </c>
      <c r="F62" s="119" t="s">
        <v>30</v>
      </c>
      <c r="G62" s="122">
        <v>7</v>
      </c>
      <c r="H62" s="123">
        <v>459</v>
      </c>
    </row>
    <row r="63" spans="1:8" ht="18" x14ac:dyDescent="0.3">
      <c r="A63" s="118">
        <v>45987</v>
      </c>
      <c r="B63" s="119" t="s">
        <v>25</v>
      </c>
      <c r="C63" s="120" t="s">
        <v>789</v>
      </c>
      <c r="D63" s="119" t="s">
        <v>786</v>
      </c>
      <c r="E63" s="121">
        <v>1.760416666666667</v>
      </c>
      <c r="F63" s="119" t="s">
        <v>33</v>
      </c>
      <c r="G63" s="122">
        <v>7</v>
      </c>
      <c r="H63" s="123">
        <v>899</v>
      </c>
    </row>
    <row r="64" spans="1:8" ht="18" x14ac:dyDescent="0.3">
      <c r="A64" s="138">
        <v>45987</v>
      </c>
      <c r="B64" s="139" t="s">
        <v>25</v>
      </c>
      <c r="C64" s="140" t="s">
        <v>787</v>
      </c>
      <c r="D64" s="139" t="s">
        <v>786</v>
      </c>
      <c r="E64" s="141">
        <v>1.8159722222222221</v>
      </c>
      <c r="F64" s="139" t="s">
        <v>27</v>
      </c>
      <c r="G64" s="142">
        <v>19</v>
      </c>
      <c r="H64" s="143">
        <v>309</v>
      </c>
    </row>
    <row r="65" spans="1:8" ht="18" x14ac:dyDescent="0.3">
      <c r="A65" s="118">
        <v>45987</v>
      </c>
      <c r="B65" s="119" t="s">
        <v>25</v>
      </c>
      <c r="C65" s="120" t="s">
        <v>787</v>
      </c>
      <c r="D65" s="119" t="s">
        <v>786</v>
      </c>
      <c r="E65" s="121">
        <v>1.8159722222222221</v>
      </c>
      <c r="F65" s="119" t="s">
        <v>30</v>
      </c>
      <c r="G65" s="122">
        <v>19</v>
      </c>
      <c r="H65" s="123">
        <v>459</v>
      </c>
    </row>
    <row r="66" spans="1:8" ht="18" x14ac:dyDescent="0.3">
      <c r="A66" s="118">
        <v>45987</v>
      </c>
      <c r="B66" s="119" t="s">
        <v>25</v>
      </c>
      <c r="C66" s="120" t="s">
        <v>787</v>
      </c>
      <c r="D66" s="119" t="s">
        <v>786</v>
      </c>
      <c r="E66" s="121">
        <v>1.8159722222222221</v>
      </c>
      <c r="F66" s="119" t="s">
        <v>33</v>
      </c>
      <c r="G66" s="122">
        <v>19</v>
      </c>
      <c r="H66" s="123">
        <v>899</v>
      </c>
    </row>
    <row r="67" spans="1:8" ht="18" x14ac:dyDescent="0.3">
      <c r="A67" s="136">
        <v>45987</v>
      </c>
      <c r="B67" s="113" t="s">
        <v>378</v>
      </c>
      <c r="C67" s="114" t="s">
        <v>836</v>
      </c>
      <c r="D67" s="113" t="s">
        <v>786</v>
      </c>
      <c r="E67" s="115">
        <v>1.2361111111111109</v>
      </c>
      <c r="F67" s="113" t="s">
        <v>380</v>
      </c>
      <c r="G67" s="116">
        <v>9</v>
      </c>
      <c r="H67" s="137">
        <v>316</v>
      </c>
    </row>
    <row r="68" spans="1:8" ht="18" x14ac:dyDescent="0.3">
      <c r="A68" s="118">
        <v>45987</v>
      </c>
      <c r="B68" s="119" t="s">
        <v>378</v>
      </c>
      <c r="C68" s="120" t="s">
        <v>836</v>
      </c>
      <c r="D68" s="119" t="s">
        <v>786</v>
      </c>
      <c r="E68" s="121">
        <v>1.2361111111111109</v>
      </c>
      <c r="F68" s="119" t="s">
        <v>33</v>
      </c>
      <c r="G68" s="122">
        <v>9</v>
      </c>
      <c r="H68" s="123">
        <v>439</v>
      </c>
    </row>
    <row r="69" spans="1:8" ht="18" x14ac:dyDescent="0.3">
      <c r="A69" s="136">
        <v>45987</v>
      </c>
      <c r="B69" s="113" t="s">
        <v>55</v>
      </c>
      <c r="C69" s="114" t="s">
        <v>799</v>
      </c>
      <c r="D69" s="113" t="s">
        <v>786</v>
      </c>
      <c r="E69" s="115">
        <v>1.305555555555556</v>
      </c>
      <c r="F69" s="113" t="s">
        <v>60</v>
      </c>
      <c r="G69" s="116">
        <v>9</v>
      </c>
      <c r="H69" s="137">
        <v>329</v>
      </c>
    </row>
    <row r="70" spans="1:8" ht="18" x14ac:dyDescent="0.3">
      <c r="A70" s="118">
        <v>45987</v>
      </c>
      <c r="B70" s="119" t="s">
        <v>55</v>
      </c>
      <c r="C70" s="120" t="s">
        <v>799</v>
      </c>
      <c r="D70" s="119" t="s">
        <v>786</v>
      </c>
      <c r="E70" s="121">
        <v>1.305555555555556</v>
      </c>
      <c r="F70" s="119" t="s">
        <v>62</v>
      </c>
      <c r="G70" s="122">
        <v>9</v>
      </c>
      <c r="H70" s="123">
        <v>429</v>
      </c>
    </row>
    <row r="71" spans="1:8" ht="18" x14ac:dyDescent="0.3">
      <c r="A71" s="118">
        <v>45987</v>
      </c>
      <c r="B71" s="119" t="s">
        <v>55</v>
      </c>
      <c r="C71" s="120" t="s">
        <v>799</v>
      </c>
      <c r="D71" s="119" t="s">
        <v>786</v>
      </c>
      <c r="E71" s="121">
        <v>1.305555555555556</v>
      </c>
      <c r="F71" s="119" t="s">
        <v>64</v>
      </c>
      <c r="G71" s="122">
        <v>9</v>
      </c>
      <c r="H71" s="123">
        <v>519</v>
      </c>
    </row>
    <row r="72" spans="1:8" ht="18" x14ac:dyDescent="0.3">
      <c r="A72" s="138">
        <v>45987</v>
      </c>
      <c r="B72" s="139" t="s">
        <v>55</v>
      </c>
      <c r="C72" s="140" t="s">
        <v>797</v>
      </c>
      <c r="D72" s="139" t="s">
        <v>786</v>
      </c>
      <c r="E72" s="141">
        <v>1.427083333333333</v>
      </c>
      <c r="F72" s="139" t="s">
        <v>60</v>
      </c>
      <c r="G72" s="142">
        <v>4</v>
      </c>
      <c r="H72" s="143">
        <v>329</v>
      </c>
    </row>
    <row r="73" spans="1:8" ht="18" x14ac:dyDescent="0.3">
      <c r="A73" s="118">
        <v>45987</v>
      </c>
      <c r="B73" s="119" t="s">
        <v>55</v>
      </c>
      <c r="C73" s="120" t="s">
        <v>797</v>
      </c>
      <c r="D73" s="119" t="s">
        <v>786</v>
      </c>
      <c r="E73" s="121">
        <v>1.427083333333333</v>
      </c>
      <c r="F73" s="119" t="s">
        <v>62</v>
      </c>
      <c r="G73" s="122">
        <v>4</v>
      </c>
      <c r="H73" s="123">
        <v>429</v>
      </c>
    </row>
    <row r="74" spans="1:8" ht="18" x14ac:dyDescent="0.3">
      <c r="A74" s="118">
        <v>45987</v>
      </c>
      <c r="B74" s="119" t="s">
        <v>55</v>
      </c>
      <c r="C74" s="120" t="s">
        <v>797</v>
      </c>
      <c r="D74" s="119" t="s">
        <v>786</v>
      </c>
      <c r="E74" s="121">
        <v>1.427083333333333</v>
      </c>
      <c r="F74" s="119" t="s">
        <v>64</v>
      </c>
      <c r="G74" s="122">
        <v>4</v>
      </c>
      <c r="H74" s="123">
        <v>519</v>
      </c>
    </row>
    <row r="75" spans="1:8" ht="18" x14ac:dyDescent="0.3">
      <c r="A75" s="138">
        <v>45987</v>
      </c>
      <c r="B75" s="139" t="s">
        <v>55</v>
      </c>
      <c r="C75" s="140" t="s">
        <v>802</v>
      </c>
      <c r="D75" s="139" t="s">
        <v>786</v>
      </c>
      <c r="E75" s="141">
        <v>1.375</v>
      </c>
      <c r="F75" s="139" t="s">
        <v>60</v>
      </c>
      <c r="G75" s="142">
        <v>9</v>
      </c>
      <c r="H75" s="143">
        <v>329</v>
      </c>
    </row>
    <row r="76" spans="1:8" ht="18" x14ac:dyDescent="0.3">
      <c r="A76" s="118">
        <v>45987</v>
      </c>
      <c r="B76" s="119" t="s">
        <v>55</v>
      </c>
      <c r="C76" s="120" t="s">
        <v>802</v>
      </c>
      <c r="D76" s="119" t="s">
        <v>786</v>
      </c>
      <c r="E76" s="121">
        <v>1.375</v>
      </c>
      <c r="F76" s="119" t="s">
        <v>62</v>
      </c>
      <c r="G76" s="122">
        <v>9</v>
      </c>
      <c r="H76" s="123">
        <v>429</v>
      </c>
    </row>
    <row r="77" spans="1:8" ht="18" x14ac:dyDescent="0.3">
      <c r="A77" s="118">
        <v>45987</v>
      </c>
      <c r="B77" s="119" t="s">
        <v>55</v>
      </c>
      <c r="C77" s="120" t="s">
        <v>802</v>
      </c>
      <c r="D77" s="119" t="s">
        <v>786</v>
      </c>
      <c r="E77" s="121">
        <v>1.375</v>
      </c>
      <c r="F77" s="119" t="s">
        <v>64</v>
      </c>
      <c r="G77" s="122">
        <v>9</v>
      </c>
      <c r="H77" s="123">
        <v>519</v>
      </c>
    </row>
    <row r="78" spans="1:8" ht="18" x14ac:dyDescent="0.3">
      <c r="A78" s="138">
        <v>45987</v>
      </c>
      <c r="B78" s="139" t="s">
        <v>55</v>
      </c>
      <c r="C78" s="140" t="s">
        <v>800</v>
      </c>
      <c r="D78" s="139" t="s">
        <v>786</v>
      </c>
      <c r="E78" s="141">
        <v>1.5</v>
      </c>
      <c r="F78" s="139" t="s">
        <v>60</v>
      </c>
      <c r="G78" s="142">
        <v>6</v>
      </c>
      <c r="H78" s="143">
        <v>369</v>
      </c>
    </row>
    <row r="79" spans="1:8" ht="18" x14ac:dyDescent="0.3">
      <c r="A79" s="118">
        <v>45987</v>
      </c>
      <c r="B79" s="119" t="s">
        <v>55</v>
      </c>
      <c r="C79" s="120" t="s">
        <v>800</v>
      </c>
      <c r="D79" s="119" t="s">
        <v>786</v>
      </c>
      <c r="E79" s="121">
        <v>1.5</v>
      </c>
      <c r="F79" s="119" t="s">
        <v>62</v>
      </c>
      <c r="G79" s="122">
        <v>6</v>
      </c>
      <c r="H79" s="123">
        <v>469</v>
      </c>
    </row>
    <row r="80" spans="1:8" ht="18" x14ac:dyDescent="0.3">
      <c r="A80" s="118">
        <v>45987</v>
      </c>
      <c r="B80" s="119" t="s">
        <v>55</v>
      </c>
      <c r="C80" s="120" t="s">
        <v>800</v>
      </c>
      <c r="D80" s="119" t="s">
        <v>786</v>
      </c>
      <c r="E80" s="121">
        <v>1.5</v>
      </c>
      <c r="F80" s="119" t="s">
        <v>64</v>
      </c>
      <c r="G80" s="122">
        <v>6</v>
      </c>
      <c r="H80" s="123">
        <v>559</v>
      </c>
    </row>
    <row r="81" spans="1:8" ht="18" x14ac:dyDescent="0.3">
      <c r="A81" s="138">
        <v>45987</v>
      </c>
      <c r="B81" s="139" t="s">
        <v>55</v>
      </c>
      <c r="C81" s="140" t="s">
        <v>801</v>
      </c>
      <c r="D81" s="139" t="s">
        <v>786</v>
      </c>
      <c r="E81" s="141">
        <v>1.6875</v>
      </c>
      <c r="F81" s="139" t="s">
        <v>60</v>
      </c>
      <c r="G81" s="142">
        <v>9</v>
      </c>
      <c r="H81" s="143">
        <v>409</v>
      </c>
    </row>
    <row r="82" spans="1:8" ht="18" x14ac:dyDescent="0.3">
      <c r="A82" s="118">
        <v>45987</v>
      </c>
      <c r="B82" s="119" t="s">
        <v>55</v>
      </c>
      <c r="C82" s="120" t="s">
        <v>801</v>
      </c>
      <c r="D82" s="119" t="s">
        <v>786</v>
      </c>
      <c r="E82" s="121">
        <v>1.6875</v>
      </c>
      <c r="F82" s="119" t="s">
        <v>62</v>
      </c>
      <c r="G82" s="122">
        <v>9</v>
      </c>
      <c r="H82" s="123">
        <v>509</v>
      </c>
    </row>
    <row r="83" spans="1:8" ht="18" x14ac:dyDescent="0.3">
      <c r="A83" s="118">
        <v>45987</v>
      </c>
      <c r="B83" s="119" t="s">
        <v>55</v>
      </c>
      <c r="C83" s="120" t="s">
        <v>801</v>
      </c>
      <c r="D83" s="119" t="s">
        <v>786</v>
      </c>
      <c r="E83" s="121">
        <v>1.6875</v>
      </c>
      <c r="F83" s="119" t="s">
        <v>64</v>
      </c>
      <c r="G83" s="122">
        <v>9</v>
      </c>
      <c r="H83" s="123">
        <v>599</v>
      </c>
    </row>
    <row r="84" spans="1:8" ht="18" x14ac:dyDescent="0.3">
      <c r="A84" s="138">
        <v>45987</v>
      </c>
      <c r="B84" s="139" t="s">
        <v>55</v>
      </c>
      <c r="C84" s="140" t="s">
        <v>804</v>
      </c>
      <c r="D84" s="139" t="s">
        <v>786</v>
      </c>
      <c r="E84" s="141">
        <v>1.5659722222222221</v>
      </c>
      <c r="F84" s="139" t="s">
        <v>60</v>
      </c>
      <c r="G84" s="142">
        <v>9</v>
      </c>
      <c r="H84" s="143">
        <v>409</v>
      </c>
    </row>
    <row r="85" spans="1:8" ht="18" x14ac:dyDescent="0.3">
      <c r="A85" s="118">
        <v>45987</v>
      </c>
      <c r="B85" s="119" t="s">
        <v>55</v>
      </c>
      <c r="C85" s="120" t="s">
        <v>804</v>
      </c>
      <c r="D85" s="119" t="s">
        <v>786</v>
      </c>
      <c r="E85" s="121">
        <v>1.5659722222222221</v>
      </c>
      <c r="F85" s="119" t="s">
        <v>62</v>
      </c>
      <c r="G85" s="122">
        <v>9</v>
      </c>
      <c r="H85" s="123">
        <v>509</v>
      </c>
    </row>
    <row r="86" spans="1:8" ht="18" x14ac:dyDescent="0.3">
      <c r="A86" s="118">
        <v>45987</v>
      </c>
      <c r="B86" s="119" t="s">
        <v>55</v>
      </c>
      <c r="C86" s="120" t="s">
        <v>804</v>
      </c>
      <c r="D86" s="119" t="s">
        <v>786</v>
      </c>
      <c r="E86" s="121">
        <v>1.5659722222222221</v>
      </c>
      <c r="F86" s="119" t="s">
        <v>64</v>
      </c>
      <c r="G86" s="122">
        <v>9</v>
      </c>
      <c r="H86" s="123">
        <v>599</v>
      </c>
    </row>
    <row r="87" spans="1:8" ht="18" x14ac:dyDescent="0.3">
      <c r="A87" s="138">
        <v>45987</v>
      </c>
      <c r="B87" s="139" t="s">
        <v>55</v>
      </c>
      <c r="C87" s="140" t="s">
        <v>803</v>
      </c>
      <c r="D87" s="139" t="s">
        <v>786</v>
      </c>
      <c r="E87" s="141">
        <v>1.8263888888888891</v>
      </c>
      <c r="F87" s="139" t="s">
        <v>60</v>
      </c>
      <c r="G87" s="142">
        <v>3</v>
      </c>
      <c r="H87" s="143">
        <v>449</v>
      </c>
    </row>
    <row r="88" spans="1:8" ht="18" x14ac:dyDescent="0.3">
      <c r="A88" s="118">
        <v>45987</v>
      </c>
      <c r="B88" s="119" t="s">
        <v>55</v>
      </c>
      <c r="C88" s="120" t="s">
        <v>803</v>
      </c>
      <c r="D88" s="119" t="s">
        <v>786</v>
      </c>
      <c r="E88" s="121">
        <v>1.8263888888888891</v>
      </c>
      <c r="F88" s="119" t="s">
        <v>62</v>
      </c>
      <c r="G88" s="122">
        <v>3</v>
      </c>
      <c r="H88" s="123">
        <v>549</v>
      </c>
    </row>
    <row r="89" spans="1:8" ht="18" x14ac:dyDescent="0.3">
      <c r="A89" s="118">
        <v>45987</v>
      </c>
      <c r="B89" s="119" t="s">
        <v>55</v>
      </c>
      <c r="C89" s="120" t="s">
        <v>803</v>
      </c>
      <c r="D89" s="119" t="s">
        <v>786</v>
      </c>
      <c r="E89" s="121">
        <v>1.8263888888888891</v>
      </c>
      <c r="F89" s="119" t="s">
        <v>64</v>
      </c>
      <c r="G89" s="122">
        <v>3</v>
      </c>
      <c r="H89" s="123">
        <v>639</v>
      </c>
    </row>
    <row r="90" spans="1:8" ht="18" x14ac:dyDescent="0.3">
      <c r="A90" s="136">
        <v>45987</v>
      </c>
      <c r="B90" s="113" t="s">
        <v>304</v>
      </c>
      <c r="C90" s="114" t="s">
        <v>795</v>
      </c>
      <c r="D90" s="113" t="s">
        <v>786</v>
      </c>
      <c r="E90" s="115">
        <v>1.2777777777777779</v>
      </c>
      <c r="F90" s="113" t="s">
        <v>37</v>
      </c>
      <c r="G90" s="116">
        <v>9</v>
      </c>
      <c r="H90" s="137">
        <v>350</v>
      </c>
    </row>
    <row r="91" spans="1:8" ht="18" x14ac:dyDescent="0.3">
      <c r="A91" s="124">
        <v>45987</v>
      </c>
      <c r="B91" s="125" t="s">
        <v>35</v>
      </c>
      <c r="C91" s="126" t="s">
        <v>805</v>
      </c>
      <c r="D91" s="125" t="s">
        <v>786</v>
      </c>
      <c r="E91" s="127">
        <v>1.9236111111111109</v>
      </c>
      <c r="F91" s="125" t="s">
        <v>37</v>
      </c>
      <c r="G91" s="128">
        <v>9</v>
      </c>
      <c r="H91" s="129">
        <v>355</v>
      </c>
    </row>
    <row r="92" spans="1:8" ht="18" x14ac:dyDescent="0.3">
      <c r="A92" s="130">
        <v>45987</v>
      </c>
      <c r="B92" s="131" t="s">
        <v>35</v>
      </c>
      <c r="C92" s="132" t="s">
        <v>841</v>
      </c>
      <c r="D92" s="131" t="s">
        <v>786</v>
      </c>
      <c r="E92" s="133">
        <v>1.6111111111111109</v>
      </c>
      <c r="F92" s="131" t="s">
        <v>37</v>
      </c>
      <c r="G92" s="134">
        <v>9</v>
      </c>
      <c r="H92" s="135">
        <v>397</v>
      </c>
    </row>
    <row r="93" spans="1:8" ht="18" x14ac:dyDescent="0.3">
      <c r="A93" s="136">
        <v>45987</v>
      </c>
      <c r="B93" s="113" t="s">
        <v>333</v>
      </c>
      <c r="C93" s="114" t="s">
        <v>844</v>
      </c>
      <c r="D93" s="113" t="s">
        <v>786</v>
      </c>
      <c r="E93" s="115">
        <v>1.802083333333333</v>
      </c>
      <c r="F93" s="113" t="s">
        <v>37</v>
      </c>
      <c r="G93" s="116">
        <v>9</v>
      </c>
      <c r="H93" s="137">
        <v>357</v>
      </c>
    </row>
    <row r="94" spans="1:8" ht="18" x14ac:dyDescent="0.3">
      <c r="A94" s="136">
        <v>45987</v>
      </c>
      <c r="B94" s="113" t="s">
        <v>66</v>
      </c>
      <c r="C94" s="114" t="s">
        <v>815</v>
      </c>
      <c r="D94" s="113" t="s">
        <v>786</v>
      </c>
      <c r="E94" s="115">
        <v>1.916666666666667</v>
      </c>
      <c r="F94" s="113" t="s">
        <v>85</v>
      </c>
      <c r="G94" s="116">
        <v>9</v>
      </c>
      <c r="H94" s="137">
        <v>437</v>
      </c>
    </row>
    <row r="95" spans="1:8" ht="18" x14ac:dyDescent="0.3">
      <c r="A95" s="138">
        <v>45987</v>
      </c>
      <c r="B95" s="139" t="s">
        <v>66</v>
      </c>
      <c r="C95" s="140" t="s">
        <v>812</v>
      </c>
      <c r="D95" s="139" t="s">
        <v>786</v>
      </c>
      <c r="E95" s="141">
        <v>1.166666666666667</v>
      </c>
      <c r="F95" s="139" t="s">
        <v>85</v>
      </c>
      <c r="G95" s="142">
        <v>9</v>
      </c>
      <c r="H95" s="143">
        <v>437</v>
      </c>
    </row>
    <row r="96" spans="1:8" ht="18" x14ac:dyDescent="0.3">
      <c r="A96" s="138">
        <v>45987</v>
      </c>
      <c r="B96" s="139" t="s">
        <v>66</v>
      </c>
      <c r="C96" s="140" t="s">
        <v>814</v>
      </c>
      <c r="D96" s="139" t="s">
        <v>786</v>
      </c>
      <c r="E96" s="141">
        <v>1.5347222222222221</v>
      </c>
      <c r="F96" s="139" t="s">
        <v>85</v>
      </c>
      <c r="G96" s="142">
        <v>9</v>
      </c>
      <c r="H96" s="143">
        <v>437</v>
      </c>
    </row>
    <row r="97" spans="1:8" ht="18" x14ac:dyDescent="0.3">
      <c r="A97" s="136">
        <v>45987</v>
      </c>
      <c r="B97" s="113" t="s">
        <v>78</v>
      </c>
      <c r="C97" s="114" t="s">
        <v>817</v>
      </c>
      <c r="D97" s="113" t="s">
        <v>786</v>
      </c>
      <c r="E97" s="115">
        <v>1.2986111111111109</v>
      </c>
      <c r="F97" s="113" t="s">
        <v>87</v>
      </c>
      <c r="G97" s="116">
        <v>9</v>
      </c>
      <c r="H97" s="137">
        <v>661</v>
      </c>
    </row>
    <row r="98" spans="1:8" ht="18" x14ac:dyDescent="0.3">
      <c r="A98" s="118">
        <v>45987</v>
      </c>
      <c r="B98" s="119" t="s">
        <v>78</v>
      </c>
      <c r="C98" s="120" t="s">
        <v>817</v>
      </c>
      <c r="D98" s="119" t="s">
        <v>786</v>
      </c>
      <c r="E98" s="121">
        <v>1.2986111111111109</v>
      </c>
      <c r="F98" s="119" t="s">
        <v>82</v>
      </c>
      <c r="G98" s="122">
        <v>9</v>
      </c>
      <c r="H98" s="123">
        <v>711</v>
      </c>
    </row>
    <row r="99" spans="1:8" ht="18" x14ac:dyDescent="0.3">
      <c r="A99" s="138">
        <v>45987</v>
      </c>
      <c r="B99" s="139" t="s">
        <v>78</v>
      </c>
      <c r="C99" s="140" t="s">
        <v>821</v>
      </c>
      <c r="D99" s="139" t="s">
        <v>786</v>
      </c>
      <c r="E99" s="141">
        <v>1.4826388888888891</v>
      </c>
      <c r="F99" s="139" t="s">
        <v>87</v>
      </c>
      <c r="G99" s="142">
        <v>9</v>
      </c>
      <c r="H99" s="143">
        <v>736</v>
      </c>
    </row>
    <row r="100" spans="1:8" ht="18" x14ac:dyDescent="0.3">
      <c r="A100" s="118">
        <v>45987</v>
      </c>
      <c r="B100" s="119" t="s">
        <v>78</v>
      </c>
      <c r="C100" s="120" t="s">
        <v>821</v>
      </c>
      <c r="D100" s="119" t="s">
        <v>786</v>
      </c>
      <c r="E100" s="121">
        <v>1.4826388888888891</v>
      </c>
      <c r="F100" s="119" t="s">
        <v>82</v>
      </c>
      <c r="G100" s="122">
        <v>9</v>
      </c>
      <c r="H100" s="123">
        <v>786</v>
      </c>
    </row>
    <row r="101" spans="1:8" ht="18" x14ac:dyDescent="0.3">
      <c r="A101" s="138">
        <v>45987</v>
      </c>
      <c r="B101" s="139" t="s">
        <v>78</v>
      </c>
      <c r="C101" s="140" t="s">
        <v>822</v>
      </c>
      <c r="D101" s="139" t="s">
        <v>786</v>
      </c>
      <c r="E101" s="141">
        <v>1.6840277777777779</v>
      </c>
      <c r="F101" s="139" t="s">
        <v>87</v>
      </c>
      <c r="G101" s="142">
        <v>9</v>
      </c>
      <c r="H101" s="143">
        <v>849</v>
      </c>
    </row>
    <row r="102" spans="1:8" ht="18" x14ac:dyDescent="0.3">
      <c r="A102" s="118">
        <v>45987</v>
      </c>
      <c r="B102" s="119" t="s">
        <v>78</v>
      </c>
      <c r="C102" s="120" t="s">
        <v>822</v>
      </c>
      <c r="D102" s="119" t="s">
        <v>786</v>
      </c>
      <c r="E102" s="121">
        <v>1.6840277777777779</v>
      </c>
      <c r="F102" s="119" t="s">
        <v>82</v>
      </c>
      <c r="G102" s="122">
        <v>9</v>
      </c>
      <c r="H102" s="123">
        <v>899</v>
      </c>
    </row>
    <row r="103" spans="1:8" ht="18" x14ac:dyDescent="0.3">
      <c r="A103" s="138">
        <v>45987</v>
      </c>
      <c r="B103" s="139" t="s">
        <v>78</v>
      </c>
      <c r="C103" s="140" t="s">
        <v>825</v>
      </c>
      <c r="D103" s="139" t="s">
        <v>786</v>
      </c>
      <c r="E103" s="141">
        <v>1.836805555555556</v>
      </c>
      <c r="F103" s="139" t="s">
        <v>87</v>
      </c>
      <c r="G103" s="142">
        <v>3</v>
      </c>
      <c r="H103" s="143">
        <v>849</v>
      </c>
    </row>
    <row r="104" spans="1:8" ht="18" x14ac:dyDescent="0.3">
      <c r="A104" s="118">
        <v>45987</v>
      </c>
      <c r="B104" s="119" t="s">
        <v>78</v>
      </c>
      <c r="C104" s="120" t="s">
        <v>825</v>
      </c>
      <c r="D104" s="119" t="s">
        <v>786</v>
      </c>
      <c r="E104" s="121">
        <v>1.836805555555556</v>
      </c>
      <c r="F104" s="119" t="s">
        <v>82</v>
      </c>
      <c r="G104" s="122">
        <v>3</v>
      </c>
      <c r="H104" s="123">
        <v>899</v>
      </c>
    </row>
    <row r="105" spans="1:8" ht="18" x14ac:dyDescent="0.3">
      <c r="A105" s="138">
        <v>45987</v>
      </c>
      <c r="B105" s="139" t="s">
        <v>78</v>
      </c>
      <c r="C105" s="140" t="s">
        <v>828</v>
      </c>
      <c r="D105" s="139" t="s">
        <v>786</v>
      </c>
      <c r="E105" s="141">
        <v>1.760416666666667</v>
      </c>
      <c r="F105" s="139" t="s">
        <v>82</v>
      </c>
      <c r="G105" s="142">
        <v>4</v>
      </c>
      <c r="H105" s="139" t="s">
        <v>848</v>
      </c>
    </row>
    <row r="106" spans="1:8" ht="18" x14ac:dyDescent="0.3">
      <c r="A106" s="138">
        <v>45987</v>
      </c>
      <c r="B106" s="139" t="s">
        <v>78</v>
      </c>
      <c r="C106" s="140" t="s">
        <v>830</v>
      </c>
      <c r="D106" s="139" t="s">
        <v>786</v>
      </c>
      <c r="E106" s="141">
        <v>1.5</v>
      </c>
      <c r="F106" s="139" t="s">
        <v>82</v>
      </c>
      <c r="G106" s="142">
        <v>4</v>
      </c>
      <c r="H106" s="139" t="s">
        <v>848</v>
      </c>
    </row>
    <row r="107" spans="1:8" ht="18" x14ac:dyDescent="0.3">
      <c r="A107" s="149">
        <v>45987</v>
      </c>
      <c r="B107" s="150" t="s">
        <v>78</v>
      </c>
      <c r="C107" s="151" t="s">
        <v>826</v>
      </c>
      <c r="D107" s="150" t="s">
        <v>786</v>
      </c>
      <c r="E107" s="152">
        <v>1.8159722222222221</v>
      </c>
      <c r="F107" s="150" t="s">
        <v>82</v>
      </c>
      <c r="G107" s="153">
        <v>4</v>
      </c>
      <c r="H107" s="150" t="s">
        <v>848</v>
      </c>
    </row>
    <row r="108" spans="1:8" ht="18" x14ac:dyDescent="0.3">
      <c r="A108" s="112">
        <v>45988</v>
      </c>
      <c r="B108" s="113" t="s">
        <v>25</v>
      </c>
      <c r="C108" s="114" t="s">
        <v>792</v>
      </c>
      <c r="D108" s="113" t="s">
        <v>786</v>
      </c>
      <c r="E108" s="115">
        <v>1.447916666666667</v>
      </c>
      <c r="F108" s="113" t="s">
        <v>27</v>
      </c>
      <c r="G108" s="116">
        <v>15</v>
      </c>
      <c r="H108" s="117">
        <v>279</v>
      </c>
    </row>
    <row r="109" spans="1:8" ht="18" x14ac:dyDescent="0.3">
      <c r="A109" s="118">
        <v>45988</v>
      </c>
      <c r="B109" s="119" t="s">
        <v>25</v>
      </c>
      <c r="C109" s="120" t="s">
        <v>792</v>
      </c>
      <c r="D109" s="119" t="s">
        <v>786</v>
      </c>
      <c r="E109" s="121">
        <v>1.447916666666667</v>
      </c>
      <c r="F109" s="119" t="s">
        <v>30</v>
      </c>
      <c r="G109" s="122">
        <v>15</v>
      </c>
      <c r="H109" s="123">
        <v>429</v>
      </c>
    </row>
    <row r="110" spans="1:8" ht="18" x14ac:dyDescent="0.3">
      <c r="A110" s="118">
        <v>45988</v>
      </c>
      <c r="B110" s="119" t="s">
        <v>25</v>
      </c>
      <c r="C110" s="120" t="s">
        <v>792</v>
      </c>
      <c r="D110" s="119" t="s">
        <v>786</v>
      </c>
      <c r="E110" s="121">
        <v>1.447916666666667</v>
      </c>
      <c r="F110" s="119" t="s">
        <v>33</v>
      </c>
      <c r="G110" s="122">
        <v>15</v>
      </c>
      <c r="H110" s="123">
        <v>899</v>
      </c>
    </row>
    <row r="111" spans="1:8" ht="18" x14ac:dyDescent="0.3">
      <c r="A111" s="138">
        <v>45988</v>
      </c>
      <c r="B111" s="139" t="s">
        <v>25</v>
      </c>
      <c r="C111" s="140" t="s">
        <v>794</v>
      </c>
      <c r="D111" s="139" t="s">
        <v>786</v>
      </c>
      <c r="E111" s="141">
        <v>1.5</v>
      </c>
      <c r="F111" s="139" t="s">
        <v>27</v>
      </c>
      <c r="G111" s="142">
        <v>14</v>
      </c>
      <c r="H111" s="143">
        <v>279</v>
      </c>
    </row>
    <row r="112" spans="1:8" ht="18" x14ac:dyDescent="0.3">
      <c r="A112" s="118">
        <v>45988</v>
      </c>
      <c r="B112" s="119" t="s">
        <v>25</v>
      </c>
      <c r="C112" s="120" t="s">
        <v>794</v>
      </c>
      <c r="D112" s="119" t="s">
        <v>786</v>
      </c>
      <c r="E112" s="121">
        <v>1.5</v>
      </c>
      <c r="F112" s="119" t="s">
        <v>30</v>
      </c>
      <c r="G112" s="122">
        <v>14</v>
      </c>
      <c r="H112" s="123">
        <v>429</v>
      </c>
    </row>
    <row r="113" spans="1:8" ht="18" x14ac:dyDescent="0.3">
      <c r="A113" s="118">
        <v>45988</v>
      </c>
      <c r="B113" s="119" t="s">
        <v>25</v>
      </c>
      <c r="C113" s="120" t="s">
        <v>794</v>
      </c>
      <c r="D113" s="119" t="s">
        <v>786</v>
      </c>
      <c r="E113" s="121">
        <v>1.5</v>
      </c>
      <c r="F113" s="119" t="s">
        <v>33</v>
      </c>
      <c r="G113" s="122">
        <v>14</v>
      </c>
      <c r="H113" s="123">
        <v>899</v>
      </c>
    </row>
    <row r="114" spans="1:8" ht="18" x14ac:dyDescent="0.3">
      <c r="A114" s="138">
        <v>45988</v>
      </c>
      <c r="B114" s="139" t="s">
        <v>25</v>
      </c>
      <c r="C114" s="140" t="s">
        <v>787</v>
      </c>
      <c r="D114" s="139" t="s">
        <v>786</v>
      </c>
      <c r="E114" s="141">
        <v>1.8159722222222221</v>
      </c>
      <c r="F114" s="139" t="s">
        <v>27</v>
      </c>
      <c r="G114" s="142">
        <v>2</v>
      </c>
      <c r="H114" s="143">
        <v>469</v>
      </c>
    </row>
    <row r="115" spans="1:8" ht="18" x14ac:dyDescent="0.3">
      <c r="A115" s="118">
        <v>45988</v>
      </c>
      <c r="B115" s="119" t="s">
        <v>25</v>
      </c>
      <c r="C115" s="120" t="s">
        <v>787</v>
      </c>
      <c r="D115" s="119" t="s">
        <v>786</v>
      </c>
      <c r="E115" s="121">
        <v>1.8159722222222221</v>
      </c>
      <c r="F115" s="119" t="s">
        <v>30</v>
      </c>
      <c r="G115" s="122">
        <v>2</v>
      </c>
      <c r="H115" s="123">
        <v>619</v>
      </c>
    </row>
    <row r="116" spans="1:8" ht="18" x14ac:dyDescent="0.3">
      <c r="A116" s="118">
        <v>45988</v>
      </c>
      <c r="B116" s="119" t="s">
        <v>25</v>
      </c>
      <c r="C116" s="120" t="s">
        <v>787</v>
      </c>
      <c r="D116" s="119" t="s">
        <v>786</v>
      </c>
      <c r="E116" s="121">
        <v>1.8159722222222221</v>
      </c>
      <c r="F116" s="119" t="s">
        <v>33</v>
      </c>
      <c r="G116" s="122">
        <v>2</v>
      </c>
      <c r="H116" s="123">
        <v>899</v>
      </c>
    </row>
    <row r="117" spans="1:8" ht="18" x14ac:dyDescent="0.3">
      <c r="A117" s="138">
        <v>45988</v>
      </c>
      <c r="B117" s="139" t="s">
        <v>25</v>
      </c>
      <c r="C117" s="140" t="s">
        <v>789</v>
      </c>
      <c r="D117" s="139" t="s">
        <v>786</v>
      </c>
      <c r="E117" s="141">
        <v>1.760416666666667</v>
      </c>
      <c r="F117" s="139" t="s">
        <v>27</v>
      </c>
      <c r="G117" s="142">
        <v>6</v>
      </c>
      <c r="H117" s="143">
        <v>509</v>
      </c>
    </row>
    <row r="118" spans="1:8" ht="18" x14ac:dyDescent="0.3">
      <c r="A118" s="118">
        <v>45988</v>
      </c>
      <c r="B118" s="119" t="s">
        <v>25</v>
      </c>
      <c r="C118" s="120" t="s">
        <v>789</v>
      </c>
      <c r="D118" s="119" t="s">
        <v>786</v>
      </c>
      <c r="E118" s="121">
        <v>1.760416666666667</v>
      </c>
      <c r="F118" s="119" t="s">
        <v>30</v>
      </c>
      <c r="G118" s="122">
        <v>6</v>
      </c>
      <c r="H118" s="123">
        <v>659</v>
      </c>
    </row>
    <row r="119" spans="1:8" ht="18" x14ac:dyDescent="0.3">
      <c r="A119" s="118">
        <v>45988</v>
      </c>
      <c r="B119" s="119" t="s">
        <v>25</v>
      </c>
      <c r="C119" s="120" t="s">
        <v>789</v>
      </c>
      <c r="D119" s="119" t="s">
        <v>786</v>
      </c>
      <c r="E119" s="121">
        <v>1.760416666666667</v>
      </c>
      <c r="F119" s="119" t="s">
        <v>33</v>
      </c>
      <c r="G119" s="122">
        <v>6</v>
      </c>
      <c r="H119" s="119" t="s">
        <v>113</v>
      </c>
    </row>
    <row r="120" spans="1:8" ht="18" x14ac:dyDescent="0.3">
      <c r="A120" s="136">
        <v>45988</v>
      </c>
      <c r="B120" s="113" t="s">
        <v>55</v>
      </c>
      <c r="C120" s="114" t="s">
        <v>799</v>
      </c>
      <c r="D120" s="113" t="s">
        <v>786</v>
      </c>
      <c r="E120" s="115">
        <v>1.305555555555556</v>
      </c>
      <c r="F120" s="113" t="s">
        <v>60</v>
      </c>
      <c r="G120" s="116">
        <v>7</v>
      </c>
      <c r="H120" s="137">
        <v>289</v>
      </c>
    </row>
    <row r="121" spans="1:8" ht="18" x14ac:dyDescent="0.3">
      <c r="A121" s="118">
        <v>45988</v>
      </c>
      <c r="B121" s="119" t="s">
        <v>55</v>
      </c>
      <c r="C121" s="120" t="s">
        <v>799</v>
      </c>
      <c r="D121" s="119" t="s">
        <v>786</v>
      </c>
      <c r="E121" s="121">
        <v>1.305555555555556</v>
      </c>
      <c r="F121" s="119" t="s">
        <v>62</v>
      </c>
      <c r="G121" s="122">
        <v>7</v>
      </c>
      <c r="H121" s="123">
        <v>389</v>
      </c>
    </row>
    <row r="122" spans="1:8" ht="18" x14ac:dyDescent="0.3">
      <c r="A122" s="118">
        <v>45988</v>
      </c>
      <c r="B122" s="119" t="s">
        <v>55</v>
      </c>
      <c r="C122" s="120" t="s">
        <v>799</v>
      </c>
      <c r="D122" s="119" t="s">
        <v>786</v>
      </c>
      <c r="E122" s="121">
        <v>1.305555555555556</v>
      </c>
      <c r="F122" s="119" t="s">
        <v>64</v>
      </c>
      <c r="G122" s="122">
        <v>7</v>
      </c>
      <c r="H122" s="123">
        <v>479</v>
      </c>
    </row>
    <row r="123" spans="1:8" ht="18" x14ac:dyDescent="0.3">
      <c r="A123" s="138">
        <v>45988</v>
      </c>
      <c r="B123" s="139" t="s">
        <v>55</v>
      </c>
      <c r="C123" s="140" t="s">
        <v>797</v>
      </c>
      <c r="D123" s="139" t="s">
        <v>786</v>
      </c>
      <c r="E123" s="141">
        <v>1.427083333333333</v>
      </c>
      <c r="F123" s="139" t="s">
        <v>60</v>
      </c>
      <c r="G123" s="142">
        <v>4</v>
      </c>
      <c r="H123" s="143">
        <v>289</v>
      </c>
    </row>
    <row r="124" spans="1:8" ht="18" x14ac:dyDescent="0.3">
      <c r="A124" s="118">
        <v>45988</v>
      </c>
      <c r="B124" s="119" t="s">
        <v>55</v>
      </c>
      <c r="C124" s="120" t="s">
        <v>797</v>
      </c>
      <c r="D124" s="119" t="s">
        <v>786</v>
      </c>
      <c r="E124" s="121">
        <v>1.427083333333333</v>
      </c>
      <c r="F124" s="119" t="s">
        <v>62</v>
      </c>
      <c r="G124" s="122">
        <v>4</v>
      </c>
      <c r="H124" s="123">
        <v>389</v>
      </c>
    </row>
    <row r="125" spans="1:8" ht="18" x14ac:dyDescent="0.3">
      <c r="A125" s="118">
        <v>45988</v>
      </c>
      <c r="B125" s="119" t="s">
        <v>55</v>
      </c>
      <c r="C125" s="120" t="s">
        <v>797</v>
      </c>
      <c r="D125" s="119" t="s">
        <v>786</v>
      </c>
      <c r="E125" s="121">
        <v>1.427083333333333</v>
      </c>
      <c r="F125" s="119" t="s">
        <v>64</v>
      </c>
      <c r="G125" s="122">
        <v>4</v>
      </c>
      <c r="H125" s="123">
        <v>479</v>
      </c>
    </row>
    <row r="126" spans="1:8" ht="18" x14ac:dyDescent="0.3">
      <c r="A126" s="138">
        <v>45988</v>
      </c>
      <c r="B126" s="139" t="s">
        <v>55</v>
      </c>
      <c r="C126" s="140" t="s">
        <v>802</v>
      </c>
      <c r="D126" s="139" t="s">
        <v>786</v>
      </c>
      <c r="E126" s="141">
        <v>1.375</v>
      </c>
      <c r="F126" s="139" t="s">
        <v>60</v>
      </c>
      <c r="G126" s="142">
        <v>9</v>
      </c>
      <c r="H126" s="143">
        <v>289</v>
      </c>
    </row>
    <row r="127" spans="1:8" ht="18" x14ac:dyDescent="0.3">
      <c r="A127" s="118">
        <v>45988</v>
      </c>
      <c r="B127" s="119" t="s">
        <v>55</v>
      </c>
      <c r="C127" s="120" t="s">
        <v>802</v>
      </c>
      <c r="D127" s="119" t="s">
        <v>786</v>
      </c>
      <c r="E127" s="121">
        <v>1.375</v>
      </c>
      <c r="F127" s="119" t="s">
        <v>62</v>
      </c>
      <c r="G127" s="122">
        <v>9</v>
      </c>
      <c r="H127" s="123">
        <v>389</v>
      </c>
    </row>
    <row r="128" spans="1:8" ht="18" x14ac:dyDescent="0.3">
      <c r="A128" s="118">
        <v>45988</v>
      </c>
      <c r="B128" s="119" t="s">
        <v>55</v>
      </c>
      <c r="C128" s="120" t="s">
        <v>802</v>
      </c>
      <c r="D128" s="119" t="s">
        <v>786</v>
      </c>
      <c r="E128" s="121">
        <v>1.375</v>
      </c>
      <c r="F128" s="119" t="s">
        <v>64</v>
      </c>
      <c r="G128" s="122">
        <v>9</v>
      </c>
      <c r="H128" s="123">
        <v>479</v>
      </c>
    </row>
    <row r="129" spans="1:8" ht="18" x14ac:dyDescent="0.3">
      <c r="A129" s="138">
        <v>45988</v>
      </c>
      <c r="B129" s="139" t="s">
        <v>55</v>
      </c>
      <c r="C129" s="140" t="s">
        <v>800</v>
      </c>
      <c r="D129" s="139" t="s">
        <v>786</v>
      </c>
      <c r="E129" s="141">
        <v>1.5</v>
      </c>
      <c r="F129" s="139" t="s">
        <v>60</v>
      </c>
      <c r="G129" s="142">
        <v>9</v>
      </c>
      <c r="H129" s="143">
        <v>329</v>
      </c>
    </row>
    <row r="130" spans="1:8" ht="18" x14ac:dyDescent="0.3">
      <c r="A130" s="118">
        <v>45988</v>
      </c>
      <c r="B130" s="119" t="s">
        <v>55</v>
      </c>
      <c r="C130" s="120" t="s">
        <v>800</v>
      </c>
      <c r="D130" s="119" t="s">
        <v>786</v>
      </c>
      <c r="E130" s="121">
        <v>1.5</v>
      </c>
      <c r="F130" s="119" t="s">
        <v>62</v>
      </c>
      <c r="G130" s="122">
        <v>9</v>
      </c>
      <c r="H130" s="123">
        <v>429</v>
      </c>
    </row>
    <row r="131" spans="1:8" ht="18" x14ac:dyDescent="0.3">
      <c r="A131" s="118">
        <v>45988</v>
      </c>
      <c r="B131" s="119" t="s">
        <v>55</v>
      </c>
      <c r="C131" s="120" t="s">
        <v>800</v>
      </c>
      <c r="D131" s="119" t="s">
        <v>786</v>
      </c>
      <c r="E131" s="121">
        <v>1.5</v>
      </c>
      <c r="F131" s="119" t="s">
        <v>64</v>
      </c>
      <c r="G131" s="122">
        <v>9</v>
      </c>
      <c r="H131" s="123">
        <v>519</v>
      </c>
    </row>
    <row r="132" spans="1:8" ht="18" x14ac:dyDescent="0.3">
      <c r="A132" s="138">
        <v>45988</v>
      </c>
      <c r="B132" s="139" t="s">
        <v>55</v>
      </c>
      <c r="C132" s="140" t="s">
        <v>804</v>
      </c>
      <c r="D132" s="139" t="s">
        <v>786</v>
      </c>
      <c r="E132" s="141">
        <v>1.5659722222222221</v>
      </c>
      <c r="F132" s="139" t="s">
        <v>60</v>
      </c>
      <c r="G132" s="142">
        <v>9</v>
      </c>
      <c r="H132" s="143">
        <v>369</v>
      </c>
    </row>
    <row r="133" spans="1:8" ht="18" x14ac:dyDescent="0.3">
      <c r="A133" s="118">
        <v>45988</v>
      </c>
      <c r="B133" s="119" t="s">
        <v>55</v>
      </c>
      <c r="C133" s="120" t="s">
        <v>804</v>
      </c>
      <c r="D133" s="119" t="s">
        <v>786</v>
      </c>
      <c r="E133" s="121">
        <v>1.5659722222222221</v>
      </c>
      <c r="F133" s="119" t="s">
        <v>62</v>
      </c>
      <c r="G133" s="122">
        <v>9</v>
      </c>
      <c r="H133" s="123">
        <v>469</v>
      </c>
    </row>
    <row r="134" spans="1:8" ht="18" x14ac:dyDescent="0.3">
      <c r="A134" s="118">
        <v>45988</v>
      </c>
      <c r="B134" s="119" t="s">
        <v>55</v>
      </c>
      <c r="C134" s="120" t="s">
        <v>804</v>
      </c>
      <c r="D134" s="119" t="s">
        <v>786</v>
      </c>
      <c r="E134" s="121">
        <v>1.5659722222222221</v>
      </c>
      <c r="F134" s="119" t="s">
        <v>64</v>
      </c>
      <c r="G134" s="122">
        <v>9</v>
      </c>
      <c r="H134" s="123">
        <v>559</v>
      </c>
    </row>
    <row r="135" spans="1:8" ht="18" x14ac:dyDescent="0.3">
      <c r="A135" s="138">
        <v>45988</v>
      </c>
      <c r="B135" s="139" t="s">
        <v>55</v>
      </c>
      <c r="C135" s="140" t="s">
        <v>803</v>
      </c>
      <c r="D135" s="139" t="s">
        <v>786</v>
      </c>
      <c r="E135" s="141">
        <v>1.8263888888888891</v>
      </c>
      <c r="F135" s="139" t="s">
        <v>60</v>
      </c>
      <c r="G135" s="142">
        <v>9</v>
      </c>
      <c r="H135" s="143">
        <v>539</v>
      </c>
    </row>
    <row r="136" spans="1:8" ht="18" x14ac:dyDescent="0.3">
      <c r="A136" s="118">
        <v>45988</v>
      </c>
      <c r="B136" s="119" t="s">
        <v>55</v>
      </c>
      <c r="C136" s="120" t="s">
        <v>803</v>
      </c>
      <c r="D136" s="119" t="s">
        <v>786</v>
      </c>
      <c r="E136" s="121">
        <v>1.8263888888888891</v>
      </c>
      <c r="F136" s="119" t="s">
        <v>62</v>
      </c>
      <c r="G136" s="122">
        <v>9</v>
      </c>
      <c r="H136" s="123">
        <v>639</v>
      </c>
    </row>
    <row r="137" spans="1:8" ht="18" x14ac:dyDescent="0.3">
      <c r="A137" s="118">
        <v>45988</v>
      </c>
      <c r="B137" s="119" t="s">
        <v>55</v>
      </c>
      <c r="C137" s="120" t="s">
        <v>803</v>
      </c>
      <c r="D137" s="119" t="s">
        <v>786</v>
      </c>
      <c r="E137" s="121">
        <v>1.8263888888888891</v>
      </c>
      <c r="F137" s="119" t="s">
        <v>64</v>
      </c>
      <c r="G137" s="122">
        <v>9</v>
      </c>
      <c r="H137" s="123">
        <v>729</v>
      </c>
    </row>
    <row r="138" spans="1:8" ht="18" x14ac:dyDescent="0.3">
      <c r="A138" s="138">
        <v>45988</v>
      </c>
      <c r="B138" s="139" t="s">
        <v>55</v>
      </c>
      <c r="C138" s="140" t="s">
        <v>801</v>
      </c>
      <c r="D138" s="139" t="s">
        <v>786</v>
      </c>
      <c r="E138" s="141">
        <v>1.6875</v>
      </c>
      <c r="F138" s="139" t="s">
        <v>60</v>
      </c>
      <c r="G138" s="142">
        <v>6</v>
      </c>
      <c r="H138" s="143">
        <v>539</v>
      </c>
    </row>
    <row r="139" spans="1:8" ht="18" x14ac:dyDescent="0.3">
      <c r="A139" s="118">
        <v>45988</v>
      </c>
      <c r="B139" s="119" t="s">
        <v>55</v>
      </c>
      <c r="C139" s="120" t="s">
        <v>801</v>
      </c>
      <c r="D139" s="119" t="s">
        <v>786</v>
      </c>
      <c r="E139" s="121">
        <v>1.6875</v>
      </c>
      <c r="F139" s="119" t="s">
        <v>62</v>
      </c>
      <c r="G139" s="122">
        <v>6</v>
      </c>
      <c r="H139" s="123">
        <v>639</v>
      </c>
    </row>
    <row r="140" spans="1:8" ht="18" x14ac:dyDescent="0.3">
      <c r="A140" s="118">
        <v>45988</v>
      </c>
      <c r="B140" s="119" t="s">
        <v>55</v>
      </c>
      <c r="C140" s="120" t="s">
        <v>801</v>
      </c>
      <c r="D140" s="119" t="s">
        <v>786</v>
      </c>
      <c r="E140" s="121">
        <v>1.6875</v>
      </c>
      <c r="F140" s="119" t="s">
        <v>64</v>
      </c>
      <c r="G140" s="122">
        <v>6</v>
      </c>
      <c r="H140" s="123">
        <v>729</v>
      </c>
    </row>
    <row r="141" spans="1:8" ht="18" x14ac:dyDescent="0.3">
      <c r="A141" s="136">
        <v>45988</v>
      </c>
      <c r="B141" s="113" t="s">
        <v>304</v>
      </c>
      <c r="C141" s="114" t="s">
        <v>855</v>
      </c>
      <c r="D141" s="113" t="s">
        <v>786</v>
      </c>
      <c r="E141" s="115">
        <v>1.8784722222222221</v>
      </c>
      <c r="F141" s="113" t="s">
        <v>37</v>
      </c>
      <c r="G141" s="116">
        <v>6</v>
      </c>
      <c r="H141" s="137">
        <v>350</v>
      </c>
    </row>
    <row r="142" spans="1:8" ht="18" x14ac:dyDescent="0.3">
      <c r="A142" s="136">
        <v>45988</v>
      </c>
      <c r="B142" s="113" t="s">
        <v>333</v>
      </c>
      <c r="C142" s="114" t="s">
        <v>856</v>
      </c>
      <c r="D142" s="113" t="s">
        <v>786</v>
      </c>
      <c r="E142" s="115">
        <v>1.354166666666667</v>
      </c>
      <c r="F142" s="113" t="s">
        <v>37</v>
      </c>
      <c r="G142" s="116">
        <v>9</v>
      </c>
      <c r="H142" s="137">
        <v>357</v>
      </c>
    </row>
    <row r="143" spans="1:8" ht="18" x14ac:dyDescent="0.3">
      <c r="A143" s="138">
        <v>45988</v>
      </c>
      <c r="B143" s="139" t="s">
        <v>333</v>
      </c>
      <c r="C143" s="140" t="s">
        <v>844</v>
      </c>
      <c r="D143" s="139" t="s">
        <v>786</v>
      </c>
      <c r="E143" s="141">
        <v>1.8576388888888891</v>
      </c>
      <c r="F143" s="139" t="s">
        <v>37</v>
      </c>
      <c r="G143" s="142">
        <v>9</v>
      </c>
      <c r="H143" s="143">
        <v>416</v>
      </c>
    </row>
    <row r="144" spans="1:8" ht="18" x14ac:dyDescent="0.3">
      <c r="A144" s="124">
        <v>45988</v>
      </c>
      <c r="B144" s="125" t="s">
        <v>35</v>
      </c>
      <c r="C144" s="126" t="s">
        <v>841</v>
      </c>
      <c r="D144" s="125" t="s">
        <v>786</v>
      </c>
      <c r="E144" s="127">
        <v>1.6111111111111109</v>
      </c>
      <c r="F144" s="125" t="s">
        <v>37</v>
      </c>
      <c r="G144" s="128">
        <v>5</v>
      </c>
      <c r="H144" s="129">
        <v>397</v>
      </c>
    </row>
    <row r="145" spans="1:8" ht="18" x14ac:dyDescent="0.3">
      <c r="A145" s="136">
        <v>45988</v>
      </c>
      <c r="B145" s="113" t="s">
        <v>378</v>
      </c>
      <c r="C145" s="114" t="s">
        <v>809</v>
      </c>
      <c r="D145" s="113" t="s">
        <v>786</v>
      </c>
      <c r="E145" s="115">
        <v>1.6215277777777779</v>
      </c>
      <c r="F145" s="113" t="s">
        <v>380</v>
      </c>
      <c r="G145" s="116">
        <v>9</v>
      </c>
      <c r="H145" s="137">
        <v>406</v>
      </c>
    </row>
    <row r="146" spans="1:8" ht="18" x14ac:dyDescent="0.3">
      <c r="A146" s="118">
        <v>45988</v>
      </c>
      <c r="B146" s="119" t="s">
        <v>378</v>
      </c>
      <c r="C146" s="120" t="s">
        <v>809</v>
      </c>
      <c r="D146" s="119" t="s">
        <v>786</v>
      </c>
      <c r="E146" s="121">
        <v>1.6215277777777779</v>
      </c>
      <c r="F146" s="119" t="s">
        <v>33</v>
      </c>
      <c r="G146" s="122">
        <v>9</v>
      </c>
      <c r="H146" s="123">
        <v>529</v>
      </c>
    </row>
    <row r="147" spans="1:8" ht="18" x14ac:dyDescent="0.3">
      <c r="A147" s="136">
        <v>45988</v>
      </c>
      <c r="B147" s="113" t="s">
        <v>66</v>
      </c>
      <c r="C147" s="114" t="s">
        <v>812</v>
      </c>
      <c r="D147" s="113" t="s">
        <v>786</v>
      </c>
      <c r="E147" s="115">
        <v>1.166666666666667</v>
      </c>
      <c r="F147" s="113" t="s">
        <v>85</v>
      </c>
      <c r="G147" s="116">
        <v>9</v>
      </c>
      <c r="H147" s="137">
        <v>441</v>
      </c>
    </row>
    <row r="148" spans="1:8" ht="18" x14ac:dyDescent="0.3">
      <c r="A148" s="138">
        <v>45988</v>
      </c>
      <c r="B148" s="139" t="s">
        <v>66</v>
      </c>
      <c r="C148" s="140" t="s">
        <v>814</v>
      </c>
      <c r="D148" s="139" t="s">
        <v>786</v>
      </c>
      <c r="E148" s="141">
        <v>1.541666666666667</v>
      </c>
      <c r="F148" s="139" t="s">
        <v>68</v>
      </c>
      <c r="G148" s="142">
        <v>1</v>
      </c>
      <c r="H148" s="143">
        <v>527</v>
      </c>
    </row>
    <row r="149" spans="1:8" ht="18" x14ac:dyDescent="0.3">
      <c r="A149" s="138">
        <v>45988</v>
      </c>
      <c r="B149" s="139" t="s">
        <v>66</v>
      </c>
      <c r="C149" s="140" t="s">
        <v>815</v>
      </c>
      <c r="D149" s="139" t="s">
        <v>786</v>
      </c>
      <c r="E149" s="141">
        <v>1.916666666666667</v>
      </c>
      <c r="F149" s="139" t="s">
        <v>68</v>
      </c>
      <c r="G149" s="142">
        <v>1</v>
      </c>
      <c r="H149" s="143">
        <v>531</v>
      </c>
    </row>
    <row r="150" spans="1:8" ht="18" x14ac:dyDescent="0.3">
      <c r="A150" s="136">
        <v>45988</v>
      </c>
      <c r="B150" s="113" t="s">
        <v>78</v>
      </c>
      <c r="C150" s="114" t="s">
        <v>822</v>
      </c>
      <c r="D150" s="113" t="s">
        <v>786</v>
      </c>
      <c r="E150" s="115">
        <v>1.6840277777777779</v>
      </c>
      <c r="F150" s="113" t="s">
        <v>87</v>
      </c>
      <c r="G150" s="116">
        <v>1</v>
      </c>
      <c r="H150" s="137">
        <v>728</v>
      </c>
    </row>
    <row r="151" spans="1:8" ht="18" x14ac:dyDescent="0.3">
      <c r="A151" s="118">
        <v>45988</v>
      </c>
      <c r="B151" s="119" t="s">
        <v>78</v>
      </c>
      <c r="C151" s="120" t="s">
        <v>822</v>
      </c>
      <c r="D151" s="119" t="s">
        <v>786</v>
      </c>
      <c r="E151" s="121">
        <v>1.6840277777777779</v>
      </c>
      <c r="F151" s="119" t="s">
        <v>82</v>
      </c>
      <c r="G151" s="122">
        <v>1</v>
      </c>
      <c r="H151" s="123">
        <v>778</v>
      </c>
    </row>
    <row r="152" spans="1:8" ht="18" x14ac:dyDescent="0.3">
      <c r="A152" s="138">
        <v>45988</v>
      </c>
      <c r="B152" s="139" t="s">
        <v>78</v>
      </c>
      <c r="C152" s="140" t="s">
        <v>821</v>
      </c>
      <c r="D152" s="139" t="s">
        <v>786</v>
      </c>
      <c r="E152" s="141">
        <v>1.4826388888888891</v>
      </c>
      <c r="F152" s="139" t="s">
        <v>87</v>
      </c>
      <c r="G152" s="142">
        <v>1</v>
      </c>
      <c r="H152" s="143">
        <v>728</v>
      </c>
    </row>
    <row r="153" spans="1:8" ht="18" x14ac:dyDescent="0.3">
      <c r="A153" s="118">
        <v>45988</v>
      </c>
      <c r="B153" s="119" t="s">
        <v>78</v>
      </c>
      <c r="C153" s="120" t="s">
        <v>821</v>
      </c>
      <c r="D153" s="119" t="s">
        <v>786</v>
      </c>
      <c r="E153" s="121">
        <v>1.4826388888888891</v>
      </c>
      <c r="F153" s="119" t="s">
        <v>82</v>
      </c>
      <c r="G153" s="122">
        <v>1</v>
      </c>
      <c r="H153" s="123">
        <v>778</v>
      </c>
    </row>
    <row r="154" spans="1:8" ht="18" x14ac:dyDescent="0.3">
      <c r="A154" s="138">
        <v>45988</v>
      </c>
      <c r="B154" s="139" t="s">
        <v>78</v>
      </c>
      <c r="C154" s="140" t="s">
        <v>817</v>
      </c>
      <c r="D154" s="139" t="s">
        <v>786</v>
      </c>
      <c r="E154" s="141">
        <v>1.2986111111111109</v>
      </c>
      <c r="F154" s="139" t="s">
        <v>87</v>
      </c>
      <c r="G154" s="142">
        <v>9</v>
      </c>
      <c r="H154" s="143">
        <v>849</v>
      </c>
    </row>
    <row r="155" spans="1:8" ht="18" x14ac:dyDescent="0.3">
      <c r="A155" s="118">
        <v>45988</v>
      </c>
      <c r="B155" s="119" t="s">
        <v>78</v>
      </c>
      <c r="C155" s="120" t="s">
        <v>817</v>
      </c>
      <c r="D155" s="119" t="s">
        <v>786</v>
      </c>
      <c r="E155" s="121">
        <v>1.2986111111111109</v>
      </c>
      <c r="F155" s="119" t="s">
        <v>82</v>
      </c>
      <c r="G155" s="122">
        <v>9</v>
      </c>
      <c r="H155" s="123">
        <v>899</v>
      </c>
    </row>
    <row r="156" spans="1:8" ht="18" x14ac:dyDescent="0.3">
      <c r="A156" s="138">
        <v>45988</v>
      </c>
      <c r="B156" s="139" t="s">
        <v>78</v>
      </c>
      <c r="C156" s="140" t="s">
        <v>830</v>
      </c>
      <c r="D156" s="139" t="s">
        <v>786</v>
      </c>
      <c r="E156" s="141">
        <v>1.5</v>
      </c>
      <c r="F156" s="139" t="s">
        <v>82</v>
      </c>
      <c r="G156" s="142">
        <v>4</v>
      </c>
      <c r="H156" s="139" t="s">
        <v>848</v>
      </c>
    </row>
    <row r="157" spans="1:8" ht="18" x14ac:dyDescent="0.3">
      <c r="A157" s="138">
        <v>45988</v>
      </c>
      <c r="B157" s="139" t="s">
        <v>78</v>
      </c>
      <c r="C157" s="140" t="s">
        <v>828</v>
      </c>
      <c r="D157" s="139" t="s">
        <v>786</v>
      </c>
      <c r="E157" s="141">
        <v>1.760416666666667</v>
      </c>
      <c r="F157" s="139" t="s">
        <v>82</v>
      </c>
      <c r="G157" s="142">
        <v>4</v>
      </c>
      <c r="H157" s="139" t="s">
        <v>864</v>
      </c>
    </row>
    <row r="158" spans="1:8" ht="18" x14ac:dyDescent="0.3">
      <c r="A158" s="138">
        <v>45988</v>
      </c>
      <c r="B158" s="139" t="s">
        <v>78</v>
      </c>
      <c r="C158" s="140" t="s">
        <v>826</v>
      </c>
      <c r="D158" s="139" t="s">
        <v>786</v>
      </c>
      <c r="E158" s="141">
        <v>1.8159722222222221</v>
      </c>
      <c r="F158" s="139" t="s">
        <v>82</v>
      </c>
      <c r="G158" s="142">
        <v>4</v>
      </c>
      <c r="H158" s="139" t="s">
        <v>864</v>
      </c>
    </row>
    <row r="159" spans="1:8" ht="18" x14ac:dyDescent="0.3">
      <c r="A159" s="138">
        <v>45988</v>
      </c>
      <c r="B159" s="139" t="s">
        <v>78</v>
      </c>
      <c r="C159" s="140" t="s">
        <v>825</v>
      </c>
      <c r="D159" s="139" t="s">
        <v>786</v>
      </c>
      <c r="E159" s="141">
        <v>1.836805555555556</v>
      </c>
      <c r="F159" s="139" t="s">
        <v>87</v>
      </c>
      <c r="G159" s="142">
        <v>9</v>
      </c>
      <c r="H159" s="139" t="s">
        <v>865</v>
      </c>
    </row>
    <row r="160" spans="1:8" ht="18" x14ac:dyDescent="0.3">
      <c r="A160" s="144">
        <v>45988</v>
      </c>
      <c r="B160" s="145" t="s">
        <v>78</v>
      </c>
      <c r="C160" s="146" t="s">
        <v>825</v>
      </c>
      <c r="D160" s="145" t="s">
        <v>786</v>
      </c>
      <c r="E160" s="147">
        <v>1.836805555555556</v>
      </c>
      <c r="F160" s="145" t="s">
        <v>82</v>
      </c>
      <c r="G160" s="148">
        <v>9</v>
      </c>
      <c r="H160" s="145" t="s">
        <v>866</v>
      </c>
    </row>
    <row r="161" spans="1:8" ht="18" x14ac:dyDescent="0.3">
      <c r="A161" s="112">
        <v>45989</v>
      </c>
      <c r="B161" s="113" t="s">
        <v>25</v>
      </c>
      <c r="C161" s="114" t="s">
        <v>789</v>
      </c>
      <c r="D161" s="113" t="s">
        <v>786</v>
      </c>
      <c r="E161" s="115">
        <v>1.760416666666667</v>
      </c>
      <c r="F161" s="113" t="s">
        <v>27</v>
      </c>
      <c r="G161" s="116">
        <v>7</v>
      </c>
      <c r="H161" s="117">
        <v>279</v>
      </c>
    </row>
    <row r="162" spans="1:8" ht="18" x14ac:dyDescent="0.3">
      <c r="A162" s="118">
        <v>45989</v>
      </c>
      <c r="B162" s="119" t="s">
        <v>25</v>
      </c>
      <c r="C162" s="120" t="s">
        <v>789</v>
      </c>
      <c r="D162" s="119" t="s">
        <v>786</v>
      </c>
      <c r="E162" s="121">
        <v>1.760416666666667</v>
      </c>
      <c r="F162" s="119" t="s">
        <v>30</v>
      </c>
      <c r="G162" s="122">
        <v>7</v>
      </c>
      <c r="H162" s="123">
        <v>429</v>
      </c>
    </row>
    <row r="163" spans="1:8" ht="18" x14ac:dyDescent="0.3">
      <c r="A163" s="118">
        <v>45989</v>
      </c>
      <c r="B163" s="119" t="s">
        <v>25</v>
      </c>
      <c r="C163" s="120" t="s">
        <v>789</v>
      </c>
      <c r="D163" s="119" t="s">
        <v>786</v>
      </c>
      <c r="E163" s="121">
        <v>1.760416666666667</v>
      </c>
      <c r="F163" s="119" t="s">
        <v>33</v>
      </c>
      <c r="G163" s="122">
        <v>7</v>
      </c>
      <c r="H163" s="123">
        <v>899</v>
      </c>
    </row>
    <row r="164" spans="1:8" ht="18" x14ac:dyDescent="0.3">
      <c r="A164" s="138">
        <v>45989</v>
      </c>
      <c r="B164" s="139" t="s">
        <v>25</v>
      </c>
      <c r="C164" s="140" t="s">
        <v>787</v>
      </c>
      <c r="D164" s="139" t="s">
        <v>786</v>
      </c>
      <c r="E164" s="141">
        <v>1.8159722222222221</v>
      </c>
      <c r="F164" s="139" t="s">
        <v>27</v>
      </c>
      <c r="G164" s="142">
        <v>10</v>
      </c>
      <c r="H164" s="143">
        <v>279</v>
      </c>
    </row>
    <row r="165" spans="1:8" ht="18" x14ac:dyDescent="0.3">
      <c r="A165" s="118">
        <v>45989</v>
      </c>
      <c r="B165" s="119" t="s">
        <v>25</v>
      </c>
      <c r="C165" s="120" t="s">
        <v>787</v>
      </c>
      <c r="D165" s="119" t="s">
        <v>786</v>
      </c>
      <c r="E165" s="121">
        <v>1.8159722222222221</v>
      </c>
      <c r="F165" s="119" t="s">
        <v>30</v>
      </c>
      <c r="G165" s="122">
        <v>10</v>
      </c>
      <c r="H165" s="123">
        <v>429</v>
      </c>
    </row>
    <row r="166" spans="1:8" ht="18" x14ac:dyDescent="0.3">
      <c r="A166" s="118">
        <v>45989</v>
      </c>
      <c r="B166" s="119" t="s">
        <v>25</v>
      </c>
      <c r="C166" s="120" t="s">
        <v>787</v>
      </c>
      <c r="D166" s="119" t="s">
        <v>786</v>
      </c>
      <c r="E166" s="121">
        <v>1.8159722222222221</v>
      </c>
      <c r="F166" s="119" t="s">
        <v>33</v>
      </c>
      <c r="G166" s="122">
        <v>10</v>
      </c>
      <c r="H166" s="123">
        <v>899</v>
      </c>
    </row>
    <row r="167" spans="1:8" ht="18" x14ac:dyDescent="0.3">
      <c r="A167" s="138">
        <v>45989</v>
      </c>
      <c r="B167" s="139" t="s">
        <v>25</v>
      </c>
      <c r="C167" s="140" t="s">
        <v>792</v>
      </c>
      <c r="D167" s="139" t="s">
        <v>786</v>
      </c>
      <c r="E167" s="141">
        <v>1.447916666666667</v>
      </c>
      <c r="F167" s="139" t="s">
        <v>27</v>
      </c>
      <c r="G167" s="142">
        <v>11</v>
      </c>
      <c r="H167" s="143">
        <v>309</v>
      </c>
    </row>
    <row r="168" spans="1:8" ht="18" x14ac:dyDescent="0.3">
      <c r="A168" s="118">
        <v>45989</v>
      </c>
      <c r="B168" s="119" t="s">
        <v>25</v>
      </c>
      <c r="C168" s="120" t="s">
        <v>792</v>
      </c>
      <c r="D168" s="119" t="s">
        <v>786</v>
      </c>
      <c r="E168" s="121">
        <v>1.447916666666667</v>
      </c>
      <c r="F168" s="119" t="s">
        <v>30</v>
      </c>
      <c r="G168" s="122">
        <v>11</v>
      </c>
      <c r="H168" s="123">
        <v>459</v>
      </c>
    </row>
    <row r="169" spans="1:8" ht="18" x14ac:dyDescent="0.3">
      <c r="A169" s="118">
        <v>45989</v>
      </c>
      <c r="B169" s="119" t="s">
        <v>25</v>
      </c>
      <c r="C169" s="120" t="s">
        <v>792</v>
      </c>
      <c r="D169" s="119" t="s">
        <v>786</v>
      </c>
      <c r="E169" s="121">
        <v>1.447916666666667</v>
      </c>
      <c r="F169" s="119" t="s">
        <v>33</v>
      </c>
      <c r="G169" s="122">
        <v>11</v>
      </c>
      <c r="H169" s="123">
        <v>899</v>
      </c>
    </row>
    <row r="170" spans="1:8" ht="18" x14ac:dyDescent="0.3">
      <c r="A170" s="138">
        <v>45989</v>
      </c>
      <c r="B170" s="139" t="s">
        <v>25</v>
      </c>
      <c r="C170" s="140" t="s">
        <v>794</v>
      </c>
      <c r="D170" s="139" t="s">
        <v>786</v>
      </c>
      <c r="E170" s="141">
        <v>1.5</v>
      </c>
      <c r="F170" s="139" t="s">
        <v>27</v>
      </c>
      <c r="G170" s="142">
        <v>4</v>
      </c>
      <c r="H170" s="143">
        <v>309</v>
      </c>
    </row>
    <row r="171" spans="1:8" ht="18" x14ac:dyDescent="0.3">
      <c r="A171" s="118">
        <v>45989</v>
      </c>
      <c r="B171" s="119" t="s">
        <v>25</v>
      </c>
      <c r="C171" s="120" t="s">
        <v>794</v>
      </c>
      <c r="D171" s="119" t="s">
        <v>786</v>
      </c>
      <c r="E171" s="121">
        <v>1.5</v>
      </c>
      <c r="F171" s="119" t="s">
        <v>30</v>
      </c>
      <c r="G171" s="122">
        <v>4</v>
      </c>
      <c r="H171" s="123">
        <v>459</v>
      </c>
    </row>
    <row r="172" spans="1:8" ht="18" x14ac:dyDescent="0.3">
      <c r="A172" s="118">
        <v>45989</v>
      </c>
      <c r="B172" s="119" t="s">
        <v>25</v>
      </c>
      <c r="C172" s="120" t="s">
        <v>794</v>
      </c>
      <c r="D172" s="119" t="s">
        <v>786</v>
      </c>
      <c r="E172" s="121">
        <v>1.5</v>
      </c>
      <c r="F172" s="119" t="s">
        <v>33</v>
      </c>
      <c r="G172" s="122">
        <v>4</v>
      </c>
      <c r="H172" s="123">
        <v>899</v>
      </c>
    </row>
    <row r="173" spans="1:8" ht="18" x14ac:dyDescent="0.3">
      <c r="A173" s="136">
        <v>45989</v>
      </c>
      <c r="B173" s="113" t="s">
        <v>55</v>
      </c>
      <c r="C173" s="114" t="s">
        <v>803</v>
      </c>
      <c r="D173" s="113" t="s">
        <v>786</v>
      </c>
      <c r="E173" s="115">
        <v>1.8263888888888891</v>
      </c>
      <c r="F173" s="113" t="s">
        <v>60</v>
      </c>
      <c r="G173" s="116">
        <v>5</v>
      </c>
      <c r="H173" s="137">
        <v>289</v>
      </c>
    </row>
    <row r="174" spans="1:8" ht="18" x14ac:dyDescent="0.3">
      <c r="A174" s="118">
        <v>45989</v>
      </c>
      <c r="B174" s="119" t="s">
        <v>55</v>
      </c>
      <c r="C174" s="120" t="s">
        <v>803</v>
      </c>
      <c r="D174" s="119" t="s">
        <v>786</v>
      </c>
      <c r="E174" s="121">
        <v>1.8263888888888891</v>
      </c>
      <c r="F174" s="119" t="s">
        <v>62</v>
      </c>
      <c r="G174" s="122">
        <v>5</v>
      </c>
      <c r="H174" s="123">
        <v>389</v>
      </c>
    </row>
    <row r="175" spans="1:8" ht="18" x14ac:dyDescent="0.3">
      <c r="A175" s="118">
        <v>45989</v>
      </c>
      <c r="B175" s="119" t="s">
        <v>55</v>
      </c>
      <c r="C175" s="120" t="s">
        <v>803</v>
      </c>
      <c r="D175" s="119" t="s">
        <v>786</v>
      </c>
      <c r="E175" s="121">
        <v>1.8263888888888891</v>
      </c>
      <c r="F175" s="119" t="s">
        <v>64</v>
      </c>
      <c r="G175" s="122">
        <v>5</v>
      </c>
      <c r="H175" s="123">
        <v>479</v>
      </c>
    </row>
    <row r="176" spans="1:8" ht="18" x14ac:dyDescent="0.3">
      <c r="A176" s="138">
        <v>45989</v>
      </c>
      <c r="B176" s="139" t="s">
        <v>55</v>
      </c>
      <c r="C176" s="140" t="s">
        <v>801</v>
      </c>
      <c r="D176" s="139" t="s">
        <v>786</v>
      </c>
      <c r="E176" s="141">
        <v>1.6875</v>
      </c>
      <c r="F176" s="139" t="s">
        <v>60</v>
      </c>
      <c r="G176" s="142">
        <v>8</v>
      </c>
      <c r="H176" s="143">
        <v>329</v>
      </c>
    </row>
    <row r="177" spans="1:8" ht="18" x14ac:dyDescent="0.3">
      <c r="A177" s="118">
        <v>45989</v>
      </c>
      <c r="B177" s="119" t="s">
        <v>55</v>
      </c>
      <c r="C177" s="120" t="s">
        <v>801</v>
      </c>
      <c r="D177" s="119" t="s">
        <v>786</v>
      </c>
      <c r="E177" s="121">
        <v>1.6875</v>
      </c>
      <c r="F177" s="119" t="s">
        <v>62</v>
      </c>
      <c r="G177" s="122">
        <v>8</v>
      </c>
      <c r="H177" s="123">
        <v>429</v>
      </c>
    </row>
    <row r="178" spans="1:8" ht="18" x14ac:dyDescent="0.3">
      <c r="A178" s="118">
        <v>45989</v>
      </c>
      <c r="B178" s="119" t="s">
        <v>55</v>
      </c>
      <c r="C178" s="120" t="s">
        <v>801</v>
      </c>
      <c r="D178" s="119" t="s">
        <v>786</v>
      </c>
      <c r="E178" s="121">
        <v>1.6875</v>
      </c>
      <c r="F178" s="119" t="s">
        <v>64</v>
      </c>
      <c r="G178" s="122">
        <v>8</v>
      </c>
      <c r="H178" s="123">
        <v>519</v>
      </c>
    </row>
    <row r="179" spans="1:8" ht="18" x14ac:dyDescent="0.3">
      <c r="A179" s="138">
        <v>45989</v>
      </c>
      <c r="B179" s="139" t="s">
        <v>55</v>
      </c>
      <c r="C179" s="140" t="s">
        <v>804</v>
      </c>
      <c r="D179" s="139" t="s">
        <v>786</v>
      </c>
      <c r="E179" s="141">
        <v>1.5659722222222221</v>
      </c>
      <c r="F179" s="139" t="s">
        <v>60</v>
      </c>
      <c r="G179" s="142">
        <v>6</v>
      </c>
      <c r="H179" s="143">
        <v>329</v>
      </c>
    </row>
    <row r="180" spans="1:8" ht="18" x14ac:dyDescent="0.3">
      <c r="A180" s="118">
        <v>45989</v>
      </c>
      <c r="B180" s="119" t="s">
        <v>55</v>
      </c>
      <c r="C180" s="120" t="s">
        <v>804</v>
      </c>
      <c r="D180" s="119" t="s">
        <v>786</v>
      </c>
      <c r="E180" s="121">
        <v>1.5659722222222221</v>
      </c>
      <c r="F180" s="119" t="s">
        <v>62</v>
      </c>
      <c r="G180" s="122">
        <v>6</v>
      </c>
      <c r="H180" s="123">
        <v>429</v>
      </c>
    </row>
    <row r="181" spans="1:8" ht="18" x14ac:dyDescent="0.3">
      <c r="A181" s="118">
        <v>45989</v>
      </c>
      <c r="B181" s="119" t="s">
        <v>55</v>
      </c>
      <c r="C181" s="120" t="s">
        <v>804</v>
      </c>
      <c r="D181" s="119" t="s">
        <v>786</v>
      </c>
      <c r="E181" s="121">
        <v>1.5659722222222221</v>
      </c>
      <c r="F181" s="119" t="s">
        <v>64</v>
      </c>
      <c r="G181" s="122">
        <v>6</v>
      </c>
      <c r="H181" s="123">
        <v>519</v>
      </c>
    </row>
    <row r="182" spans="1:8" ht="18" x14ac:dyDescent="0.3">
      <c r="A182" s="138">
        <v>45989</v>
      </c>
      <c r="B182" s="139" t="s">
        <v>55</v>
      </c>
      <c r="C182" s="140" t="s">
        <v>799</v>
      </c>
      <c r="D182" s="139" t="s">
        <v>786</v>
      </c>
      <c r="E182" s="141">
        <v>1.305555555555556</v>
      </c>
      <c r="F182" s="139" t="s">
        <v>60</v>
      </c>
      <c r="G182" s="142">
        <v>9</v>
      </c>
      <c r="H182" s="143">
        <v>369</v>
      </c>
    </row>
    <row r="183" spans="1:8" ht="18" x14ac:dyDescent="0.3">
      <c r="A183" s="118">
        <v>45989</v>
      </c>
      <c r="B183" s="119" t="s">
        <v>55</v>
      </c>
      <c r="C183" s="120" t="s">
        <v>799</v>
      </c>
      <c r="D183" s="119" t="s">
        <v>786</v>
      </c>
      <c r="E183" s="121">
        <v>1.305555555555556</v>
      </c>
      <c r="F183" s="119" t="s">
        <v>62</v>
      </c>
      <c r="G183" s="122">
        <v>9</v>
      </c>
      <c r="H183" s="123">
        <v>469</v>
      </c>
    </row>
    <row r="184" spans="1:8" ht="18" x14ac:dyDescent="0.3">
      <c r="A184" s="118">
        <v>45989</v>
      </c>
      <c r="B184" s="119" t="s">
        <v>55</v>
      </c>
      <c r="C184" s="120" t="s">
        <v>799</v>
      </c>
      <c r="D184" s="119" t="s">
        <v>786</v>
      </c>
      <c r="E184" s="121">
        <v>1.305555555555556</v>
      </c>
      <c r="F184" s="119" t="s">
        <v>64</v>
      </c>
      <c r="G184" s="122">
        <v>9</v>
      </c>
      <c r="H184" s="123">
        <v>559</v>
      </c>
    </row>
    <row r="185" spans="1:8" ht="18" x14ac:dyDescent="0.3">
      <c r="A185" s="138">
        <v>45989</v>
      </c>
      <c r="B185" s="139" t="s">
        <v>55</v>
      </c>
      <c r="C185" s="140" t="s">
        <v>800</v>
      </c>
      <c r="D185" s="139" t="s">
        <v>786</v>
      </c>
      <c r="E185" s="141">
        <v>1.5</v>
      </c>
      <c r="F185" s="139" t="s">
        <v>60</v>
      </c>
      <c r="G185" s="142">
        <v>6</v>
      </c>
      <c r="H185" s="143">
        <v>369</v>
      </c>
    </row>
    <row r="186" spans="1:8" ht="18" x14ac:dyDescent="0.3">
      <c r="A186" s="118">
        <v>45989</v>
      </c>
      <c r="B186" s="119" t="s">
        <v>55</v>
      </c>
      <c r="C186" s="120" t="s">
        <v>800</v>
      </c>
      <c r="D186" s="119" t="s">
        <v>786</v>
      </c>
      <c r="E186" s="121">
        <v>1.5</v>
      </c>
      <c r="F186" s="119" t="s">
        <v>62</v>
      </c>
      <c r="G186" s="122">
        <v>6</v>
      </c>
      <c r="H186" s="123">
        <v>469</v>
      </c>
    </row>
    <row r="187" spans="1:8" ht="18" x14ac:dyDescent="0.3">
      <c r="A187" s="118">
        <v>45989</v>
      </c>
      <c r="B187" s="119" t="s">
        <v>55</v>
      </c>
      <c r="C187" s="120" t="s">
        <v>800</v>
      </c>
      <c r="D187" s="119" t="s">
        <v>786</v>
      </c>
      <c r="E187" s="121">
        <v>1.5</v>
      </c>
      <c r="F187" s="119" t="s">
        <v>64</v>
      </c>
      <c r="G187" s="122">
        <v>6</v>
      </c>
      <c r="H187" s="123">
        <v>559</v>
      </c>
    </row>
    <row r="188" spans="1:8" ht="18" x14ac:dyDescent="0.3">
      <c r="A188" s="138">
        <v>45989</v>
      </c>
      <c r="B188" s="139" t="s">
        <v>55</v>
      </c>
      <c r="C188" s="140" t="s">
        <v>797</v>
      </c>
      <c r="D188" s="139" t="s">
        <v>786</v>
      </c>
      <c r="E188" s="141">
        <v>1.427083333333333</v>
      </c>
      <c r="F188" s="139" t="s">
        <v>60</v>
      </c>
      <c r="G188" s="142">
        <v>6</v>
      </c>
      <c r="H188" s="143">
        <v>369</v>
      </c>
    </row>
    <row r="189" spans="1:8" ht="18" x14ac:dyDescent="0.3">
      <c r="A189" s="118">
        <v>45989</v>
      </c>
      <c r="B189" s="119" t="s">
        <v>55</v>
      </c>
      <c r="C189" s="120" t="s">
        <v>797</v>
      </c>
      <c r="D189" s="119" t="s">
        <v>786</v>
      </c>
      <c r="E189" s="121">
        <v>1.427083333333333</v>
      </c>
      <c r="F189" s="119" t="s">
        <v>62</v>
      </c>
      <c r="G189" s="122">
        <v>6</v>
      </c>
      <c r="H189" s="123">
        <v>469</v>
      </c>
    </row>
    <row r="190" spans="1:8" ht="18" x14ac:dyDescent="0.3">
      <c r="A190" s="118">
        <v>45989</v>
      </c>
      <c r="B190" s="119" t="s">
        <v>55</v>
      </c>
      <c r="C190" s="120" t="s">
        <v>797</v>
      </c>
      <c r="D190" s="119" t="s">
        <v>786</v>
      </c>
      <c r="E190" s="121">
        <v>1.427083333333333</v>
      </c>
      <c r="F190" s="119" t="s">
        <v>64</v>
      </c>
      <c r="G190" s="122">
        <v>6</v>
      </c>
      <c r="H190" s="123">
        <v>559</v>
      </c>
    </row>
    <row r="191" spans="1:8" ht="18" x14ac:dyDescent="0.3">
      <c r="A191" s="138">
        <v>45989</v>
      </c>
      <c r="B191" s="139" t="s">
        <v>55</v>
      </c>
      <c r="C191" s="140" t="s">
        <v>802</v>
      </c>
      <c r="D191" s="139" t="s">
        <v>786</v>
      </c>
      <c r="E191" s="141">
        <v>1.375</v>
      </c>
      <c r="F191" s="139" t="s">
        <v>60</v>
      </c>
      <c r="G191" s="142">
        <v>8</v>
      </c>
      <c r="H191" s="143">
        <v>369</v>
      </c>
    </row>
    <row r="192" spans="1:8" ht="18" x14ac:dyDescent="0.3">
      <c r="A192" s="118">
        <v>45989</v>
      </c>
      <c r="B192" s="119" t="s">
        <v>55</v>
      </c>
      <c r="C192" s="120" t="s">
        <v>802</v>
      </c>
      <c r="D192" s="119" t="s">
        <v>786</v>
      </c>
      <c r="E192" s="121">
        <v>1.375</v>
      </c>
      <c r="F192" s="119" t="s">
        <v>62</v>
      </c>
      <c r="G192" s="122">
        <v>8</v>
      </c>
      <c r="H192" s="123">
        <v>469</v>
      </c>
    </row>
    <row r="193" spans="1:8" ht="18" x14ac:dyDescent="0.3">
      <c r="A193" s="118">
        <v>45989</v>
      </c>
      <c r="B193" s="119" t="s">
        <v>55</v>
      </c>
      <c r="C193" s="120" t="s">
        <v>802</v>
      </c>
      <c r="D193" s="119" t="s">
        <v>786</v>
      </c>
      <c r="E193" s="121">
        <v>1.375</v>
      </c>
      <c r="F193" s="119" t="s">
        <v>64</v>
      </c>
      <c r="G193" s="122">
        <v>8</v>
      </c>
      <c r="H193" s="123">
        <v>559</v>
      </c>
    </row>
    <row r="194" spans="1:8" ht="18" x14ac:dyDescent="0.3">
      <c r="A194" s="136">
        <v>45989</v>
      </c>
      <c r="B194" s="113" t="s">
        <v>304</v>
      </c>
      <c r="C194" s="114" t="s">
        <v>795</v>
      </c>
      <c r="D194" s="113" t="s">
        <v>786</v>
      </c>
      <c r="E194" s="115">
        <v>1.2777777777777779</v>
      </c>
      <c r="F194" s="113" t="s">
        <v>37</v>
      </c>
      <c r="G194" s="116">
        <v>2</v>
      </c>
      <c r="H194" s="137">
        <v>290</v>
      </c>
    </row>
    <row r="195" spans="1:8" ht="18" x14ac:dyDescent="0.3">
      <c r="A195" s="124">
        <v>45989</v>
      </c>
      <c r="B195" s="125" t="s">
        <v>35</v>
      </c>
      <c r="C195" s="126" t="s">
        <v>841</v>
      </c>
      <c r="D195" s="125" t="s">
        <v>786</v>
      </c>
      <c r="E195" s="127">
        <v>1.604166666666667</v>
      </c>
      <c r="F195" s="125" t="s">
        <v>37</v>
      </c>
      <c r="G195" s="128">
        <v>9</v>
      </c>
      <c r="H195" s="129">
        <v>355</v>
      </c>
    </row>
    <row r="196" spans="1:8" ht="18" x14ac:dyDescent="0.3">
      <c r="A196" s="130">
        <v>45989</v>
      </c>
      <c r="B196" s="131" t="s">
        <v>35</v>
      </c>
      <c r="C196" s="132" t="s">
        <v>805</v>
      </c>
      <c r="D196" s="131" t="s">
        <v>786</v>
      </c>
      <c r="E196" s="133">
        <v>1.9236111111111109</v>
      </c>
      <c r="F196" s="131" t="s">
        <v>37</v>
      </c>
      <c r="G196" s="134">
        <v>8</v>
      </c>
      <c r="H196" s="135">
        <v>355</v>
      </c>
    </row>
    <row r="197" spans="1:8" ht="18" x14ac:dyDescent="0.3">
      <c r="A197" s="136">
        <v>45989</v>
      </c>
      <c r="B197" s="113" t="s">
        <v>333</v>
      </c>
      <c r="C197" s="114" t="s">
        <v>856</v>
      </c>
      <c r="D197" s="113" t="s">
        <v>786</v>
      </c>
      <c r="E197" s="115">
        <v>1.395833333333333</v>
      </c>
      <c r="F197" s="113" t="s">
        <v>37</v>
      </c>
      <c r="G197" s="116">
        <v>9</v>
      </c>
      <c r="H197" s="137">
        <v>357</v>
      </c>
    </row>
    <row r="198" spans="1:8" ht="18" x14ac:dyDescent="0.3">
      <c r="A198" s="136">
        <v>45989</v>
      </c>
      <c r="B198" s="113" t="s">
        <v>66</v>
      </c>
      <c r="C198" s="114" t="s">
        <v>815</v>
      </c>
      <c r="D198" s="113" t="s">
        <v>786</v>
      </c>
      <c r="E198" s="115">
        <v>1.916666666666667</v>
      </c>
      <c r="F198" s="113" t="s">
        <v>85</v>
      </c>
      <c r="G198" s="116">
        <v>9</v>
      </c>
      <c r="H198" s="137">
        <v>437</v>
      </c>
    </row>
    <row r="199" spans="1:8" ht="18" x14ac:dyDescent="0.3">
      <c r="A199" s="138">
        <v>45989</v>
      </c>
      <c r="B199" s="139" t="s">
        <v>66</v>
      </c>
      <c r="C199" s="140" t="s">
        <v>814</v>
      </c>
      <c r="D199" s="139" t="s">
        <v>786</v>
      </c>
      <c r="E199" s="141">
        <v>1.541666666666667</v>
      </c>
      <c r="F199" s="139" t="s">
        <v>85</v>
      </c>
      <c r="G199" s="142">
        <v>6</v>
      </c>
      <c r="H199" s="143">
        <v>437</v>
      </c>
    </row>
    <row r="200" spans="1:8" ht="18" x14ac:dyDescent="0.3">
      <c r="A200" s="138">
        <v>45989</v>
      </c>
      <c r="B200" s="139" t="s">
        <v>66</v>
      </c>
      <c r="C200" s="140" t="s">
        <v>812</v>
      </c>
      <c r="D200" s="139" t="s">
        <v>786</v>
      </c>
      <c r="E200" s="141">
        <v>1.166666666666667</v>
      </c>
      <c r="F200" s="139" t="s">
        <v>68</v>
      </c>
      <c r="G200" s="142">
        <v>1</v>
      </c>
      <c r="H200" s="143">
        <v>462</v>
      </c>
    </row>
    <row r="201" spans="1:8" ht="18" x14ac:dyDescent="0.3">
      <c r="A201" s="136">
        <v>45989</v>
      </c>
      <c r="B201" s="113" t="s">
        <v>78</v>
      </c>
      <c r="C201" s="114" t="s">
        <v>817</v>
      </c>
      <c r="D201" s="113" t="s">
        <v>786</v>
      </c>
      <c r="E201" s="115">
        <v>1.2986111111111109</v>
      </c>
      <c r="F201" s="113" t="s">
        <v>87</v>
      </c>
      <c r="G201" s="116">
        <v>9</v>
      </c>
      <c r="H201" s="137">
        <v>774</v>
      </c>
    </row>
    <row r="202" spans="1:8" ht="18" x14ac:dyDescent="0.3">
      <c r="A202" s="118">
        <v>45989</v>
      </c>
      <c r="B202" s="119" t="s">
        <v>78</v>
      </c>
      <c r="C202" s="120" t="s">
        <v>817</v>
      </c>
      <c r="D202" s="119" t="s">
        <v>786</v>
      </c>
      <c r="E202" s="121">
        <v>1.2986111111111109</v>
      </c>
      <c r="F202" s="119" t="s">
        <v>82</v>
      </c>
      <c r="G202" s="122">
        <v>9</v>
      </c>
      <c r="H202" s="123">
        <v>824</v>
      </c>
    </row>
    <row r="203" spans="1:8" ht="18" x14ac:dyDescent="0.3">
      <c r="A203" s="138">
        <v>45989</v>
      </c>
      <c r="B203" s="139" t="s">
        <v>78</v>
      </c>
      <c r="C203" s="140" t="s">
        <v>822</v>
      </c>
      <c r="D203" s="139" t="s">
        <v>786</v>
      </c>
      <c r="E203" s="141">
        <v>1.6840277777777779</v>
      </c>
      <c r="F203" s="139" t="s">
        <v>87</v>
      </c>
      <c r="G203" s="142">
        <v>7</v>
      </c>
      <c r="H203" s="143">
        <v>774</v>
      </c>
    </row>
    <row r="204" spans="1:8" ht="18" x14ac:dyDescent="0.3">
      <c r="A204" s="118">
        <v>45989</v>
      </c>
      <c r="B204" s="119" t="s">
        <v>78</v>
      </c>
      <c r="C204" s="120" t="s">
        <v>822</v>
      </c>
      <c r="D204" s="119" t="s">
        <v>786</v>
      </c>
      <c r="E204" s="121">
        <v>1.6840277777777779</v>
      </c>
      <c r="F204" s="119" t="s">
        <v>82</v>
      </c>
      <c r="G204" s="122">
        <v>7</v>
      </c>
      <c r="H204" s="123">
        <v>824</v>
      </c>
    </row>
    <row r="205" spans="1:8" ht="18" x14ac:dyDescent="0.3">
      <c r="A205" s="138">
        <v>45989</v>
      </c>
      <c r="B205" s="139" t="s">
        <v>78</v>
      </c>
      <c r="C205" s="140" t="s">
        <v>825</v>
      </c>
      <c r="D205" s="139" t="s">
        <v>786</v>
      </c>
      <c r="E205" s="141">
        <v>1.836805555555556</v>
      </c>
      <c r="F205" s="139" t="s">
        <v>87</v>
      </c>
      <c r="G205" s="142">
        <v>9</v>
      </c>
      <c r="H205" s="143">
        <v>774</v>
      </c>
    </row>
    <row r="206" spans="1:8" ht="18" x14ac:dyDescent="0.3">
      <c r="A206" s="118">
        <v>45989</v>
      </c>
      <c r="B206" s="119" t="s">
        <v>78</v>
      </c>
      <c r="C206" s="120" t="s">
        <v>825</v>
      </c>
      <c r="D206" s="119" t="s">
        <v>786</v>
      </c>
      <c r="E206" s="121">
        <v>1.836805555555556</v>
      </c>
      <c r="F206" s="119" t="s">
        <v>82</v>
      </c>
      <c r="G206" s="122">
        <v>9</v>
      </c>
      <c r="H206" s="123">
        <v>824</v>
      </c>
    </row>
    <row r="207" spans="1:8" ht="18" x14ac:dyDescent="0.3">
      <c r="A207" s="138">
        <v>45989</v>
      </c>
      <c r="B207" s="139" t="s">
        <v>78</v>
      </c>
      <c r="C207" s="140" t="s">
        <v>821</v>
      </c>
      <c r="D207" s="139" t="s">
        <v>786</v>
      </c>
      <c r="E207" s="141">
        <v>1.4826388888888891</v>
      </c>
      <c r="F207" s="139" t="s">
        <v>87</v>
      </c>
      <c r="G207" s="142">
        <v>9</v>
      </c>
      <c r="H207" s="143">
        <v>774</v>
      </c>
    </row>
    <row r="208" spans="1:8" ht="18" x14ac:dyDescent="0.3">
      <c r="A208" s="118">
        <v>45989</v>
      </c>
      <c r="B208" s="119" t="s">
        <v>78</v>
      </c>
      <c r="C208" s="120" t="s">
        <v>821</v>
      </c>
      <c r="D208" s="119" t="s">
        <v>786</v>
      </c>
      <c r="E208" s="121">
        <v>1.4826388888888891</v>
      </c>
      <c r="F208" s="119" t="s">
        <v>82</v>
      </c>
      <c r="G208" s="122">
        <v>9</v>
      </c>
      <c r="H208" s="123">
        <v>824</v>
      </c>
    </row>
    <row r="209" spans="1:8" ht="18" x14ac:dyDescent="0.3">
      <c r="A209" s="138">
        <v>45989</v>
      </c>
      <c r="B209" s="139" t="s">
        <v>78</v>
      </c>
      <c r="C209" s="140" t="s">
        <v>828</v>
      </c>
      <c r="D209" s="139" t="s">
        <v>786</v>
      </c>
      <c r="E209" s="141">
        <v>1.760416666666667</v>
      </c>
      <c r="F209" s="139" t="s">
        <v>82</v>
      </c>
      <c r="G209" s="142">
        <v>4</v>
      </c>
      <c r="H209" s="139" t="s">
        <v>848</v>
      </c>
    </row>
    <row r="210" spans="1:8" ht="18" x14ac:dyDescent="0.3">
      <c r="A210" s="138">
        <v>45989</v>
      </c>
      <c r="B210" s="139" t="s">
        <v>78</v>
      </c>
      <c r="C210" s="140" t="s">
        <v>830</v>
      </c>
      <c r="D210" s="139" t="s">
        <v>786</v>
      </c>
      <c r="E210" s="141">
        <v>1.5</v>
      </c>
      <c r="F210" s="139" t="s">
        <v>82</v>
      </c>
      <c r="G210" s="142">
        <v>4</v>
      </c>
      <c r="H210" s="139" t="s">
        <v>848</v>
      </c>
    </row>
    <row r="211" spans="1:8" ht="18" x14ac:dyDescent="0.3">
      <c r="A211" s="149">
        <v>45989</v>
      </c>
      <c r="B211" s="150" t="s">
        <v>78</v>
      </c>
      <c r="C211" s="151" t="s">
        <v>826</v>
      </c>
      <c r="D211" s="150" t="s">
        <v>786</v>
      </c>
      <c r="E211" s="152">
        <v>1.8159722222222221</v>
      </c>
      <c r="F211" s="150" t="s">
        <v>82</v>
      </c>
      <c r="G211" s="153">
        <v>4</v>
      </c>
      <c r="H211" s="150" t="s">
        <v>848</v>
      </c>
    </row>
    <row r="212" spans="1:8" ht="18" x14ac:dyDescent="0.3">
      <c r="A212" s="112">
        <v>45990</v>
      </c>
      <c r="B212" s="113" t="s">
        <v>25</v>
      </c>
      <c r="C212" s="114" t="s">
        <v>794</v>
      </c>
      <c r="D212" s="113" t="s">
        <v>786</v>
      </c>
      <c r="E212" s="115">
        <v>1.5</v>
      </c>
      <c r="F212" s="113" t="s">
        <v>27</v>
      </c>
      <c r="G212" s="116">
        <v>10</v>
      </c>
      <c r="H212" s="117">
        <v>259</v>
      </c>
    </row>
    <row r="213" spans="1:8" ht="18" x14ac:dyDescent="0.3">
      <c r="A213" s="118">
        <v>45990</v>
      </c>
      <c r="B213" s="119" t="s">
        <v>25</v>
      </c>
      <c r="C213" s="120" t="s">
        <v>794</v>
      </c>
      <c r="D213" s="119" t="s">
        <v>786</v>
      </c>
      <c r="E213" s="121">
        <v>1.5</v>
      </c>
      <c r="F213" s="119" t="s">
        <v>30</v>
      </c>
      <c r="G213" s="122">
        <v>10</v>
      </c>
      <c r="H213" s="123">
        <v>409</v>
      </c>
    </row>
    <row r="214" spans="1:8" ht="18" x14ac:dyDescent="0.3">
      <c r="A214" s="118">
        <v>45990</v>
      </c>
      <c r="B214" s="119" t="s">
        <v>25</v>
      </c>
      <c r="C214" s="120" t="s">
        <v>794</v>
      </c>
      <c r="D214" s="119" t="s">
        <v>786</v>
      </c>
      <c r="E214" s="121">
        <v>1.5</v>
      </c>
      <c r="F214" s="119" t="s">
        <v>33</v>
      </c>
      <c r="G214" s="122">
        <v>10</v>
      </c>
      <c r="H214" s="123">
        <v>899</v>
      </c>
    </row>
    <row r="215" spans="1:8" ht="18" x14ac:dyDescent="0.3">
      <c r="A215" s="138">
        <v>45990</v>
      </c>
      <c r="B215" s="139" t="s">
        <v>25</v>
      </c>
      <c r="C215" s="140" t="s">
        <v>789</v>
      </c>
      <c r="D215" s="139" t="s">
        <v>786</v>
      </c>
      <c r="E215" s="141">
        <v>1.760416666666667</v>
      </c>
      <c r="F215" s="139" t="s">
        <v>27</v>
      </c>
      <c r="G215" s="142">
        <v>17</v>
      </c>
      <c r="H215" s="143">
        <v>259</v>
      </c>
    </row>
    <row r="216" spans="1:8" ht="18" x14ac:dyDescent="0.3">
      <c r="A216" s="118">
        <v>45990</v>
      </c>
      <c r="B216" s="119" t="s">
        <v>25</v>
      </c>
      <c r="C216" s="120" t="s">
        <v>789</v>
      </c>
      <c r="D216" s="119" t="s">
        <v>786</v>
      </c>
      <c r="E216" s="121">
        <v>1.760416666666667</v>
      </c>
      <c r="F216" s="119" t="s">
        <v>30</v>
      </c>
      <c r="G216" s="122">
        <v>17</v>
      </c>
      <c r="H216" s="123">
        <v>409</v>
      </c>
    </row>
    <row r="217" spans="1:8" ht="18" x14ac:dyDescent="0.3">
      <c r="A217" s="118">
        <v>45990</v>
      </c>
      <c r="B217" s="119" t="s">
        <v>25</v>
      </c>
      <c r="C217" s="120" t="s">
        <v>789</v>
      </c>
      <c r="D217" s="119" t="s">
        <v>786</v>
      </c>
      <c r="E217" s="121">
        <v>1.760416666666667</v>
      </c>
      <c r="F217" s="119" t="s">
        <v>33</v>
      </c>
      <c r="G217" s="122">
        <v>17</v>
      </c>
      <c r="H217" s="123">
        <v>899</v>
      </c>
    </row>
    <row r="218" spans="1:8" ht="18" x14ac:dyDescent="0.3">
      <c r="A218" s="138">
        <v>45990</v>
      </c>
      <c r="B218" s="139" t="s">
        <v>25</v>
      </c>
      <c r="C218" s="140" t="s">
        <v>787</v>
      </c>
      <c r="D218" s="139" t="s">
        <v>786</v>
      </c>
      <c r="E218" s="141">
        <v>1.8159722222222221</v>
      </c>
      <c r="F218" s="139" t="s">
        <v>27</v>
      </c>
      <c r="G218" s="142">
        <v>9</v>
      </c>
      <c r="H218" s="143">
        <v>259</v>
      </c>
    </row>
    <row r="219" spans="1:8" ht="18" x14ac:dyDescent="0.3">
      <c r="A219" s="118">
        <v>45990</v>
      </c>
      <c r="B219" s="119" t="s">
        <v>25</v>
      </c>
      <c r="C219" s="120" t="s">
        <v>787</v>
      </c>
      <c r="D219" s="119" t="s">
        <v>786</v>
      </c>
      <c r="E219" s="121">
        <v>1.8159722222222221</v>
      </c>
      <c r="F219" s="119" t="s">
        <v>30</v>
      </c>
      <c r="G219" s="122">
        <v>9</v>
      </c>
      <c r="H219" s="123">
        <v>409</v>
      </c>
    </row>
    <row r="220" spans="1:8" ht="18" x14ac:dyDescent="0.3">
      <c r="A220" s="118">
        <v>45990</v>
      </c>
      <c r="B220" s="119" t="s">
        <v>25</v>
      </c>
      <c r="C220" s="120" t="s">
        <v>787</v>
      </c>
      <c r="D220" s="119" t="s">
        <v>786</v>
      </c>
      <c r="E220" s="121">
        <v>1.8159722222222221</v>
      </c>
      <c r="F220" s="119" t="s">
        <v>33</v>
      </c>
      <c r="G220" s="122">
        <v>9</v>
      </c>
      <c r="H220" s="123">
        <v>899</v>
      </c>
    </row>
    <row r="221" spans="1:8" ht="18" x14ac:dyDescent="0.3">
      <c r="A221" s="138">
        <v>45990</v>
      </c>
      <c r="B221" s="139" t="s">
        <v>25</v>
      </c>
      <c r="C221" s="140" t="s">
        <v>792</v>
      </c>
      <c r="D221" s="139" t="s">
        <v>786</v>
      </c>
      <c r="E221" s="141">
        <v>1.447916666666667</v>
      </c>
      <c r="F221" s="139" t="s">
        <v>27</v>
      </c>
      <c r="G221" s="142">
        <v>25</v>
      </c>
      <c r="H221" s="143">
        <v>279</v>
      </c>
    </row>
    <row r="222" spans="1:8" ht="18" x14ac:dyDescent="0.3">
      <c r="A222" s="118">
        <v>45990</v>
      </c>
      <c r="B222" s="119" t="s">
        <v>25</v>
      </c>
      <c r="C222" s="120" t="s">
        <v>792</v>
      </c>
      <c r="D222" s="119" t="s">
        <v>786</v>
      </c>
      <c r="E222" s="121">
        <v>1.447916666666667</v>
      </c>
      <c r="F222" s="119" t="s">
        <v>30</v>
      </c>
      <c r="G222" s="122">
        <v>25</v>
      </c>
      <c r="H222" s="123">
        <v>429</v>
      </c>
    </row>
    <row r="223" spans="1:8" ht="18" x14ac:dyDescent="0.3">
      <c r="A223" s="118">
        <v>45990</v>
      </c>
      <c r="B223" s="119" t="s">
        <v>25</v>
      </c>
      <c r="C223" s="120" t="s">
        <v>792</v>
      </c>
      <c r="D223" s="119" t="s">
        <v>786</v>
      </c>
      <c r="E223" s="121">
        <v>1.447916666666667</v>
      </c>
      <c r="F223" s="119" t="s">
        <v>33</v>
      </c>
      <c r="G223" s="122">
        <v>25</v>
      </c>
      <c r="H223" s="123">
        <v>899</v>
      </c>
    </row>
    <row r="224" spans="1:8" ht="18" x14ac:dyDescent="0.3">
      <c r="A224" s="136">
        <v>45990</v>
      </c>
      <c r="B224" s="113" t="s">
        <v>55</v>
      </c>
      <c r="C224" s="114" t="s">
        <v>799</v>
      </c>
      <c r="D224" s="113" t="s">
        <v>786</v>
      </c>
      <c r="E224" s="115">
        <v>1.305555555555556</v>
      </c>
      <c r="F224" s="113" t="s">
        <v>60</v>
      </c>
      <c r="G224" s="116">
        <v>6</v>
      </c>
      <c r="H224" s="137">
        <v>289</v>
      </c>
    </row>
    <row r="225" spans="1:8" ht="18" x14ac:dyDescent="0.3">
      <c r="A225" s="118">
        <v>45990</v>
      </c>
      <c r="B225" s="119" t="s">
        <v>55</v>
      </c>
      <c r="C225" s="120" t="s">
        <v>799</v>
      </c>
      <c r="D225" s="119" t="s">
        <v>786</v>
      </c>
      <c r="E225" s="121">
        <v>1.305555555555556</v>
      </c>
      <c r="F225" s="119" t="s">
        <v>62</v>
      </c>
      <c r="G225" s="122">
        <v>6</v>
      </c>
      <c r="H225" s="123">
        <v>389</v>
      </c>
    </row>
    <row r="226" spans="1:8" ht="18" x14ac:dyDescent="0.3">
      <c r="A226" s="118">
        <v>45990</v>
      </c>
      <c r="B226" s="119" t="s">
        <v>55</v>
      </c>
      <c r="C226" s="120" t="s">
        <v>799</v>
      </c>
      <c r="D226" s="119" t="s">
        <v>786</v>
      </c>
      <c r="E226" s="121">
        <v>1.305555555555556</v>
      </c>
      <c r="F226" s="119" t="s">
        <v>64</v>
      </c>
      <c r="G226" s="122">
        <v>6</v>
      </c>
      <c r="H226" s="123">
        <v>479</v>
      </c>
    </row>
    <row r="227" spans="1:8" ht="18" x14ac:dyDescent="0.3">
      <c r="A227" s="138">
        <v>45990</v>
      </c>
      <c r="B227" s="139" t="s">
        <v>55</v>
      </c>
      <c r="C227" s="140" t="s">
        <v>803</v>
      </c>
      <c r="D227" s="139" t="s">
        <v>786</v>
      </c>
      <c r="E227" s="141">
        <v>1.8263888888888891</v>
      </c>
      <c r="F227" s="139" t="s">
        <v>60</v>
      </c>
      <c r="G227" s="142">
        <v>9</v>
      </c>
      <c r="H227" s="143">
        <v>289</v>
      </c>
    </row>
    <row r="228" spans="1:8" ht="18" x14ac:dyDescent="0.3">
      <c r="A228" s="118">
        <v>45990</v>
      </c>
      <c r="B228" s="119" t="s">
        <v>55</v>
      </c>
      <c r="C228" s="120" t="s">
        <v>803</v>
      </c>
      <c r="D228" s="119" t="s">
        <v>786</v>
      </c>
      <c r="E228" s="121">
        <v>1.8263888888888891</v>
      </c>
      <c r="F228" s="119" t="s">
        <v>62</v>
      </c>
      <c r="G228" s="122">
        <v>9</v>
      </c>
      <c r="H228" s="123">
        <v>389</v>
      </c>
    </row>
    <row r="229" spans="1:8" ht="18" x14ac:dyDescent="0.3">
      <c r="A229" s="118">
        <v>45990</v>
      </c>
      <c r="B229" s="119" t="s">
        <v>55</v>
      </c>
      <c r="C229" s="120" t="s">
        <v>803</v>
      </c>
      <c r="D229" s="119" t="s">
        <v>786</v>
      </c>
      <c r="E229" s="121">
        <v>1.8263888888888891</v>
      </c>
      <c r="F229" s="119" t="s">
        <v>64</v>
      </c>
      <c r="G229" s="122">
        <v>9</v>
      </c>
      <c r="H229" s="123">
        <v>479</v>
      </c>
    </row>
    <row r="230" spans="1:8" ht="18" x14ac:dyDescent="0.3">
      <c r="A230" s="138">
        <v>45990</v>
      </c>
      <c r="B230" s="139" t="s">
        <v>55</v>
      </c>
      <c r="C230" s="140" t="s">
        <v>800</v>
      </c>
      <c r="D230" s="139" t="s">
        <v>786</v>
      </c>
      <c r="E230" s="141">
        <v>1.5</v>
      </c>
      <c r="F230" s="139" t="s">
        <v>60</v>
      </c>
      <c r="G230" s="142">
        <v>4</v>
      </c>
      <c r="H230" s="143">
        <v>289</v>
      </c>
    </row>
    <row r="231" spans="1:8" ht="18" x14ac:dyDescent="0.3">
      <c r="A231" s="118">
        <v>45990</v>
      </c>
      <c r="B231" s="119" t="s">
        <v>55</v>
      </c>
      <c r="C231" s="120" t="s">
        <v>800</v>
      </c>
      <c r="D231" s="119" t="s">
        <v>786</v>
      </c>
      <c r="E231" s="121">
        <v>1.5</v>
      </c>
      <c r="F231" s="119" t="s">
        <v>62</v>
      </c>
      <c r="G231" s="122">
        <v>4</v>
      </c>
      <c r="H231" s="123">
        <v>389</v>
      </c>
    </row>
    <row r="232" spans="1:8" ht="18" x14ac:dyDescent="0.3">
      <c r="A232" s="118">
        <v>45990</v>
      </c>
      <c r="B232" s="119" t="s">
        <v>55</v>
      </c>
      <c r="C232" s="120" t="s">
        <v>800</v>
      </c>
      <c r="D232" s="119" t="s">
        <v>786</v>
      </c>
      <c r="E232" s="121">
        <v>1.5</v>
      </c>
      <c r="F232" s="119" t="s">
        <v>64</v>
      </c>
      <c r="G232" s="122">
        <v>4</v>
      </c>
      <c r="H232" s="123">
        <v>479</v>
      </c>
    </row>
    <row r="233" spans="1:8" ht="18" x14ac:dyDescent="0.3">
      <c r="A233" s="138">
        <v>45990</v>
      </c>
      <c r="B233" s="139" t="s">
        <v>55</v>
      </c>
      <c r="C233" s="140" t="s">
        <v>797</v>
      </c>
      <c r="D233" s="139" t="s">
        <v>786</v>
      </c>
      <c r="E233" s="141">
        <v>1.427083333333333</v>
      </c>
      <c r="F233" s="139" t="s">
        <v>60</v>
      </c>
      <c r="G233" s="142">
        <v>7</v>
      </c>
      <c r="H233" s="143">
        <v>289</v>
      </c>
    </row>
    <row r="234" spans="1:8" ht="18" x14ac:dyDescent="0.3">
      <c r="A234" s="118">
        <v>45990</v>
      </c>
      <c r="B234" s="119" t="s">
        <v>55</v>
      </c>
      <c r="C234" s="120" t="s">
        <v>797</v>
      </c>
      <c r="D234" s="119" t="s">
        <v>786</v>
      </c>
      <c r="E234" s="121">
        <v>1.427083333333333</v>
      </c>
      <c r="F234" s="119" t="s">
        <v>62</v>
      </c>
      <c r="G234" s="122">
        <v>7</v>
      </c>
      <c r="H234" s="123">
        <v>389</v>
      </c>
    </row>
    <row r="235" spans="1:8" ht="18" x14ac:dyDescent="0.3">
      <c r="A235" s="118">
        <v>45990</v>
      </c>
      <c r="B235" s="119" t="s">
        <v>55</v>
      </c>
      <c r="C235" s="120" t="s">
        <v>797</v>
      </c>
      <c r="D235" s="119" t="s">
        <v>786</v>
      </c>
      <c r="E235" s="121">
        <v>1.427083333333333</v>
      </c>
      <c r="F235" s="119" t="s">
        <v>64</v>
      </c>
      <c r="G235" s="122">
        <v>7</v>
      </c>
      <c r="H235" s="123">
        <v>479</v>
      </c>
    </row>
    <row r="236" spans="1:8" ht="18" x14ac:dyDescent="0.3">
      <c r="A236" s="138">
        <v>45990</v>
      </c>
      <c r="B236" s="139" t="s">
        <v>55</v>
      </c>
      <c r="C236" s="140" t="s">
        <v>801</v>
      </c>
      <c r="D236" s="139" t="s">
        <v>786</v>
      </c>
      <c r="E236" s="141">
        <v>1.6875</v>
      </c>
      <c r="F236" s="139" t="s">
        <v>60</v>
      </c>
      <c r="G236" s="142">
        <v>6</v>
      </c>
      <c r="H236" s="143">
        <v>289</v>
      </c>
    </row>
    <row r="237" spans="1:8" ht="18" x14ac:dyDescent="0.3">
      <c r="A237" s="118">
        <v>45990</v>
      </c>
      <c r="B237" s="119" t="s">
        <v>55</v>
      </c>
      <c r="C237" s="120" t="s">
        <v>801</v>
      </c>
      <c r="D237" s="119" t="s">
        <v>786</v>
      </c>
      <c r="E237" s="121">
        <v>1.6875</v>
      </c>
      <c r="F237" s="119" t="s">
        <v>62</v>
      </c>
      <c r="G237" s="122">
        <v>6</v>
      </c>
      <c r="H237" s="123">
        <v>389</v>
      </c>
    </row>
    <row r="238" spans="1:8" ht="18" x14ac:dyDescent="0.3">
      <c r="A238" s="118">
        <v>45990</v>
      </c>
      <c r="B238" s="119" t="s">
        <v>55</v>
      </c>
      <c r="C238" s="120" t="s">
        <v>801</v>
      </c>
      <c r="D238" s="119" t="s">
        <v>786</v>
      </c>
      <c r="E238" s="121">
        <v>1.6875</v>
      </c>
      <c r="F238" s="119" t="s">
        <v>64</v>
      </c>
      <c r="G238" s="122">
        <v>6</v>
      </c>
      <c r="H238" s="123">
        <v>479</v>
      </c>
    </row>
    <row r="239" spans="1:8" ht="18" x14ac:dyDescent="0.3">
      <c r="A239" s="138">
        <v>45990</v>
      </c>
      <c r="B239" s="139" t="s">
        <v>55</v>
      </c>
      <c r="C239" s="140" t="s">
        <v>802</v>
      </c>
      <c r="D239" s="139" t="s">
        <v>786</v>
      </c>
      <c r="E239" s="141">
        <v>1.375</v>
      </c>
      <c r="F239" s="139" t="s">
        <v>60</v>
      </c>
      <c r="G239" s="142">
        <v>9</v>
      </c>
      <c r="H239" s="143">
        <v>289</v>
      </c>
    </row>
    <row r="240" spans="1:8" ht="18" x14ac:dyDescent="0.3">
      <c r="A240" s="118">
        <v>45990</v>
      </c>
      <c r="B240" s="119" t="s">
        <v>55</v>
      </c>
      <c r="C240" s="120" t="s">
        <v>802</v>
      </c>
      <c r="D240" s="119" t="s">
        <v>786</v>
      </c>
      <c r="E240" s="121">
        <v>1.375</v>
      </c>
      <c r="F240" s="119" t="s">
        <v>62</v>
      </c>
      <c r="G240" s="122">
        <v>9</v>
      </c>
      <c r="H240" s="123">
        <v>389</v>
      </c>
    </row>
    <row r="241" spans="1:8" ht="18" x14ac:dyDescent="0.3">
      <c r="A241" s="118">
        <v>45990</v>
      </c>
      <c r="B241" s="119" t="s">
        <v>55</v>
      </c>
      <c r="C241" s="120" t="s">
        <v>802</v>
      </c>
      <c r="D241" s="119" t="s">
        <v>786</v>
      </c>
      <c r="E241" s="121">
        <v>1.375</v>
      </c>
      <c r="F241" s="119" t="s">
        <v>64</v>
      </c>
      <c r="G241" s="122">
        <v>9</v>
      </c>
      <c r="H241" s="123">
        <v>479</v>
      </c>
    </row>
    <row r="242" spans="1:8" ht="18" x14ac:dyDescent="0.3">
      <c r="A242" s="138">
        <v>45990</v>
      </c>
      <c r="B242" s="139" t="s">
        <v>55</v>
      </c>
      <c r="C242" s="140" t="s">
        <v>804</v>
      </c>
      <c r="D242" s="139" t="s">
        <v>786</v>
      </c>
      <c r="E242" s="141">
        <v>1.5659722222222221</v>
      </c>
      <c r="F242" s="139" t="s">
        <v>60</v>
      </c>
      <c r="G242" s="142">
        <v>9</v>
      </c>
      <c r="H242" s="143">
        <v>289</v>
      </c>
    </row>
    <row r="243" spans="1:8" ht="18" x14ac:dyDescent="0.3">
      <c r="A243" s="118">
        <v>45990</v>
      </c>
      <c r="B243" s="119" t="s">
        <v>55</v>
      </c>
      <c r="C243" s="120" t="s">
        <v>804</v>
      </c>
      <c r="D243" s="119" t="s">
        <v>786</v>
      </c>
      <c r="E243" s="121">
        <v>1.5659722222222221</v>
      </c>
      <c r="F243" s="119" t="s">
        <v>62</v>
      </c>
      <c r="G243" s="122">
        <v>9</v>
      </c>
      <c r="H243" s="123">
        <v>389</v>
      </c>
    </row>
    <row r="244" spans="1:8" ht="18" x14ac:dyDescent="0.3">
      <c r="A244" s="118">
        <v>45990</v>
      </c>
      <c r="B244" s="119" t="s">
        <v>55</v>
      </c>
      <c r="C244" s="120" t="s">
        <v>804</v>
      </c>
      <c r="D244" s="119" t="s">
        <v>786</v>
      </c>
      <c r="E244" s="121">
        <v>1.5659722222222221</v>
      </c>
      <c r="F244" s="119" t="s">
        <v>64</v>
      </c>
      <c r="G244" s="122">
        <v>9</v>
      </c>
      <c r="H244" s="123">
        <v>479</v>
      </c>
    </row>
    <row r="245" spans="1:8" ht="18" x14ac:dyDescent="0.3">
      <c r="A245" s="136">
        <v>45990</v>
      </c>
      <c r="B245" s="113" t="s">
        <v>304</v>
      </c>
      <c r="C245" s="114" t="s">
        <v>795</v>
      </c>
      <c r="D245" s="113" t="s">
        <v>786</v>
      </c>
      <c r="E245" s="115">
        <v>1.274305555555556</v>
      </c>
      <c r="F245" s="113" t="s">
        <v>37</v>
      </c>
      <c r="G245" s="116">
        <v>2</v>
      </c>
      <c r="H245" s="137">
        <v>290</v>
      </c>
    </row>
    <row r="246" spans="1:8" ht="18" x14ac:dyDescent="0.3">
      <c r="A246" s="138">
        <v>45990</v>
      </c>
      <c r="B246" s="139" t="s">
        <v>304</v>
      </c>
      <c r="C246" s="140" t="s">
        <v>855</v>
      </c>
      <c r="D246" s="139" t="s">
        <v>786</v>
      </c>
      <c r="E246" s="141">
        <v>1.8715277777777779</v>
      </c>
      <c r="F246" s="139" t="s">
        <v>37</v>
      </c>
      <c r="G246" s="142">
        <v>9</v>
      </c>
      <c r="H246" s="143">
        <v>350</v>
      </c>
    </row>
    <row r="247" spans="1:8" ht="18" x14ac:dyDescent="0.3">
      <c r="A247" s="136">
        <v>45990</v>
      </c>
      <c r="B247" s="113" t="s">
        <v>66</v>
      </c>
      <c r="C247" s="114" t="s">
        <v>812</v>
      </c>
      <c r="D247" s="113" t="s">
        <v>786</v>
      </c>
      <c r="E247" s="115">
        <v>1.166666666666667</v>
      </c>
      <c r="F247" s="113" t="s">
        <v>94</v>
      </c>
      <c r="G247" s="116">
        <v>9</v>
      </c>
      <c r="H247" s="137">
        <v>350</v>
      </c>
    </row>
    <row r="248" spans="1:8" ht="18" x14ac:dyDescent="0.3">
      <c r="A248" s="138">
        <v>45990</v>
      </c>
      <c r="B248" s="139" t="s">
        <v>66</v>
      </c>
      <c r="C248" s="140" t="s">
        <v>815</v>
      </c>
      <c r="D248" s="139" t="s">
        <v>786</v>
      </c>
      <c r="E248" s="141">
        <v>1.916666666666667</v>
      </c>
      <c r="F248" s="139" t="s">
        <v>94</v>
      </c>
      <c r="G248" s="142">
        <v>9</v>
      </c>
      <c r="H248" s="143">
        <v>354</v>
      </c>
    </row>
    <row r="249" spans="1:8" ht="18" x14ac:dyDescent="0.3">
      <c r="A249" s="138">
        <v>45990</v>
      </c>
      <c r="B249" s="139" t="s">
        <v>66</v>
      </c>
      <c r="C249" s="140" t="s">
        <v>814</v>
      </c>
      <c r="D249" s="139" t="s">
        <v>786</v>
      </c>
      <c r="E249" s="141">
        <v>1.541666666666667</v>
      </c>
      <c r="F249" s="139" t="s">
        <v>85</v>
      </c>
      <c r="G249" s="142">
        <v>9</v>
      </c>
      <c r="H249" s="143">
        <v>441</v>
      </c>
    </row>
    <row r="250" spans="1:8" ht="18" x14ac:dyDescent="0.3">
      <c r="A250" s="124">
        <v>45990</v>
      </c>
      <c r="B250" s="125" t="s">
        <v>35</v>
      </c>
      <c r="C250" s="126" t="s">
        <v>841</v>
      </c>
      <c r="D250" s="125" t="s">
        <v>786</v>
      </c>
      <c r="E250" s="127">
        <v>1.6111111111111109</v>
      </c>
      <c r="F250" s="125" t="s">
        <v>37</v>
      </c>
      <c r="G250" s="128">
        <v>9</v>
      </c>
      <c r="H250" s="129">
        <v>355</v>
      </c>
    </row>
    <row r="251" spans="1:8" ht="18" x14ac:dyDescent="0.3">
      <c r="A251" s="136">
        <v>45990</v>
      </c>
      <c r="B251" s="113" t="s">
        <v>333</v>
      </c>
      <c r="C251" s="114" t="s">
        <v>856</v>
      </c>
      <c r="D251" s="113" t="s">
        <v>786</v>
      </c>
      <c r="E251" s="115">
        <v>1.354166666666667</v>
      </c>
      <c r="F251" s="113" t="s">
        <v>37</v>
      </c>
      <c r="G251" s="116">
        <v>9</v>
      </c>
      <c r="H251" s="137">
        <v>357</v>
      </c>
    </row>
    <row r="252" spans="1:8" ht="18" x14ac:dyDescent="0.3">
      <c r="A252" s="138">
        <v>45990</v>
      </c>
      <c r="B252" s="139" t="s">
        <v>333</v>
      </c>
      <c r="C252" s="140" t="s">
        <v>877</v>
      </c>
      <c r="D252" s="139" t="s">
        <v>786</v>
      </c>
      <c r="E252" s="141">
        <v>1.208333333333333</v>
      </c>
      <c r="F252" s="139" t="s">
        <v>37</v>
      </c>
      <c r="G252" s="142">
        <v>9</v>
      </c>
      <c r="H252" s="143">
        <v>357</v>
      </c>
    </row>
    <row r="253" spans="1:8" ht="18" x14ac:dyDescent="0.3">
      <c r="A253" s="138">
        <v>45990</v>
      </c>
      <c r="B253" s="139" t="s">
        <v>333</v>
      </c>
      <c r="C253" s="140" t="s">
        <v>878</v>
      </c>
      <c r="D253" s="139" t="s">
        <v>786</v>
      </c>
      <c r="E253" s="141">
        <v>1.7222222222222221</v>
      </c>
      <c r="F253" s="139" t="s">
        <v>37</v>
      </c>
      <c r="G253" s="142">
        <v>9</v>
      </c>
      <c r="H253" s="143">
        <v>357</v>
      </c>
    </row>
    <row r="254" spans="1:8" ht="18" x14ac:dyDescent="0.3">
      <c r="A254" s="136">
        <v>45990</v>
      </c>
      <c r="B254" s="113" t="s">
        <v>378</v>
      </c>
      <c r="C254" s="114" t="s">
        <v>809</v>
      </c>
      <c r="D254" s="113" t="s">
        <v>786</v>
      </c>
      <c r="E254" s="115">
        <v>1.6215277777777779</v>
      </c>
      <c r="F254" s="113" t="s">
        <v>380</v>
      </c>
      <c r="G254" s="116">
        <v>9</v>
      </c>
      <c r="H254" s="137">
        <v>366</v>
      </c>
    </row>
    <row r="255" spans="1:8" ht="18" x14ac:dyDescent="0.3">
      <c r="A255" s="118">
        <v>45990</v>
      </c>
      <c r="B255" s="119" t="s">
        <v>378</v>
      </c>
      <c r="C255" s="120" t="s">
        <v>809</v>
      </c>
      <c r="D255" s="119" t="s">
        <v>786</v>
      </c>
      <c r="E255" s="121">
        <v>1.6215277777777779</v>
      </c>
      <c r="F255" s="119" t="s">
        <v>33</v>
      </c>
      <c r="G255" s="122">
        <v>9</v>
      </c>
      <c r="H255" s="123">
        <v>490</v>
      </c>
    </row>
    <row r="256" spans="1:8" ht="18" x14ac:dyDescent="0.3">
      <c r="A256" s="136">
        <v>45990</v>
      </c>
      <c r="B256" s="113" t="s">
        <v>78</v>
      </c>
      <c r="C256" s="114" t="s">
        <v>817</v>
      </c>
      <c r="D256" s="113" t="s">
        <v>786</v>
      </c>
      <c r="E256" s="115">
        <v>1.2986111111111109</v>
      </c>
      <c r="F256" s="113" t="s">
        <v>87</v>
      </c>
      <c r="G256" s="116">
        <v>9</v>
      </c>
      <c r="H256" s="137">
        <v>661</v>
      </c>
    </row>
    <row r="257" spans="1:8" ht="18" x14ac:dyDescent="0.3">
      <c r="A257" s="118">
        <v>45990</v>
      </c>
      <c r="B257" s="119" t="s">
        <v>78</v>
      </c>
      <c r="C257" s="120" t="s">
        <v>817</v>
      </c>
      <c r="D257" s="119" t="s">
        <v>786</v>
      </c>
      <c r="E257" s="121">
        <v>1.2986111111111109</v>
      </c>
      <c r="F257" s="119" t="s">
        <v>82</v>
      </c>
      <c r="G257" s="122">
        <v>9</v>
      </c>
      <c r="H257" s="123">
        <v>711</v>
      </c>
    </row>
    <row r="258" spans="1:8" ht="18" x14ac:dyDescent="0.3">
      <c r="A258" s="138">
        <v>45990</v>
      </c>
      <c r="B258" s="139" t="s">
        <v>78</v>
      </c>
      <c r="C258" s="140" t="s">
        <v>822</v>
      </c>
      <c r="D258" s="139" t="s">
        <v>786</v>
      </c>
      <c r="E258" s="141">
        <v>1.6840277777777779</v>
      </c>
      <c r="F258" s="139" t="s">
        <v>87</v>
      </c>
      <c r="G258" s="142">
        <v>1</v>
      </c>
      <c r="H258" s="143">
        <v>661</v>
      </c>
    </row>
    <row r="259" spans="1:8" ht="18" x14ac:dyDescent="0.3">
      <c r="A259" s="118">
        <v>45990</v>
      </c>
      <c r="B259" s="119" t="s">
        <v>78</v>
      </c>
      <c r="C259" s="120" t="s">
        <v>822</v>
      </c>
      <c r="D259" s="119" t="s">
        <v>786</v>
      </c>
      <c r="E259" s="121">
        <v>1.6840277777777779</v>
      </c>
      <c r="F259" s="119" t="s">
        <v>82</v>
      </c>
      <c r="G259" s="122">
        <v>1</v>
      </c>
      <c r="H259" s="123">
        <v>711</v>
      </c>
    </row>
    <row r="260" spans="1:8" ht="18" x14ac:dyDescent="0.3">
      <c r="A260" s="138">
        <v>45990</v>
      </c>
      <c r="B260" s="139" t="s">
        <v>78</v>
      </c>
      <c r="C260" s="140" t="s">
        <v>821</v>
      </c>
      <c r="D260" s="139" t="s">
        <v>786</v>
      </c>
      <c r="E260" s="141">
        <v>1.4826388888888891</v>
      </c>
      <c r="F260" s="139" t="s">
        <v>87</v>
      </c>
      <c r="G260" s="142">
        <v>9</v>
      </c>
      <c r="H260" s="143">
        <v>661</v>
      </c>
    </row>
    <row r="261" spans="1:8" ht="18" x14ac:dyDescent="0.3">
      <c r="A261" s="118">
        <v>45990</v>
      </c>
      <c r="B261" s="119" t="s">
        <v>78</v>
      </c>
      <c r="C261" s="120" t="s">
        <v>821</v>
      </c>
      <c r="D261" s="119" t="s">
        <v>786</v>
      </c>
      <c r="E261" s="121">
        <v>1.4826388888888891</v>
      </c>
      <c r="F261" s="119" t="s">
        <v>82</v>
      </c>
      <c r="G261" s="122">
        <v>9</v>
      </c>
      <c r="H261" s="123">
        <v>711</v>
      </c>
    </row>
    <row r="262" spans="1:8" ht="18" x14ac:dyDescent="0.3">
      <c r="A262" s="138">
        <v>45990</v>
      </c>
      <c r="B262" s="139" t="s">
        <v>78</v>
      </c>
      <c r="C262" s="140" t="s">
        <v>825</v>
      </c>
      <c r="D262" s="139" t="s">
        <v>786</v>
      </c>
      <c r="E262" s="141">
        <v>1.836805555555556</v>
      </c>
      <c r="F262" s="139" t="s">
        <v>87</v>
      </c>
      <c r="G262" s="142">
        <v>9</v>
      </c>
      <c r="H262" s="143">
        <v>774</v>
      </c>
    </row>
    <row r="263" spans="1:8" ht="18" x14ac:dyDescent="0.3">
      <c r="A263" s="118">
        <v>45990</v>
      </c>
      <c r="B263" s="119" t="s">
        <v>78</v>
      </c>
      <c r="C263" s="120" t="s">
        <v>825</v>
      </c>
      <c r="D263" s="119" t="s">
        <v>786</v>
      </c>
      <c r="E263" s="121">
        <v>1.836805555555556</v>
      </c>
      <c r="F263" s="119" t="s">
        <v>82</v>
      </c>
      <c r="G263" s="122">
        <v>9</v>
      </c>
      <c r="H263" s="123">
        <v>824</v>
      </c>
    </row>
    <row r="264" spans="1:8" ht="18" x14ac:dyDescent="0.3">
      <c r="A264" s="138">
        <v>45990</v>
      </c>
      <c r="B264" s="139" t="s">
        <v>78</v>
      </c>
      <c r="C264" s="140" t="s">
        <v>828</v>
      </c>
      <c r="D264" s="139" t="s">
        <v>786</v>
      </c>
      <c r="E264" s="141">
        <v>1.760416666666667</v>
      </c>
      <c r="F264" s="139" t="s">
        <v>82</v>
      </c>
      <c r="G264" s="142">
        <v>4</v>
      </c>
      <c r="H264" s="139" t="s">
        <v>848</v>
      </c>
    </row>
    <row r="265" spans="1:8" ht="18" x14ac:dyDescent="0.3">
      <c r="A265" s="138">
        <v>45990</v>
      </c>
      <c r="B265" s="139" t="s">
        <v>78</v>
      </c>
      <c r="C265" s="140" t="s">
        <v>830</v>
      </c>
      <c r="D265" s="139" t="s">
        <v>786</v>
      </c>
      <c r="E265" s="141">
        <v>1.5</v>
      </c>
      <c r="F265" s="139" t="s">
        <v>82</v>
      </c>
      <c r="G265" s="142">
        <v>4</v>
      </c>
      <c r="H265" s="139" t="s">
        <v>848</v>
      </c>
    </row>
    <row r="266" spans="1:8" ht="18" x14ac:dyDescent="0.3">
      <c r="A266" s="149">
        <v>45990</v>
      </c>
      <c r="B266" s="150" t="s">
        <v>78</v>
      </c>
      <c r="C266" s="151" t="s">
        <v>826</v>
      </c>
      <c r="D266" s="150" t="s">
        <v>786</v>
      </c>
      <c r="E266" s="152">
        <v>1.8159722222222221</v>
      </c>
      <c r="F266" s="150" t="s">
        <v>82</v>
      </c>
      <c r="G266" s="153">
        <v>4</v>
      </c>
      <c r="H266" s="150" t="s">
        <v>848</v>
      </c>
    </row>
    <row r="267" spans="1:8" ht="18" x14ac:dyDescent="0.3">
      <c r="A267" s="112">
        <v>45991</v>
      </c>
      <c r="B267" s="113" t="s">
        <v>25</v>
      </c>
      <c r="C267" s="114" t="s">
        <v>792</v>
      </c>
      <c r="D267" s="113" t="s">
        <v>786</v>
      </c>
      <c r="E267" s="115">
        <v>1.447916666666667</v>
      </c>
      <c r="F267" s="113" t="s">
        <v>27</v>
      </c>
      <c r="G267" s="116">
        <v>20</v>
      </c>
      <c r="H267" s="117">
        <v>259</v>
      </c>
    </row>
    <row r="268" spans="1:8" ht="18" x14ac:dyDescent="0.3">
      <c r="A268" s="118">
        <v>45991</v>
      </c>
      <c r="B268" s="119" t="s">
        <v>25</v>
      </c>
      <c r="C268" s="120" t="s">
        <v>792</v>
      </c>
      <c r="D268" s="119" t="s">
        <v>786</v>
      </c>
      <c r="E268" s="121">
        <v>1.447916666666667</v>
      </c>
      <c r="F268" s="119" t="s">
        <v>30</v>
      </c>
      <c r="G268" s="122">
        <v>20</v>
      </c>
      <c r="H268" s="123">
        <v>409</v>
      </c>
    </row>
    <row r="269" spans="1:8" ht="18" x14ac:dyDescent="0.3">
      <c r="A269" s="118">
        <v>45991</v>
      </c>
      <c r="B269" s="119" t="s">
        <v>25</v>
      </c>
      <c r="C269" s="120" t="s">
        <v>792</v>
      </c>
      <c r="D269" s="119" t="s">
        <v>786</v>
      </c>
      <c r="E269" s="121">
        <v>1.447916666666667</v>
      </c>
      <c r="F269" s="119" t="s">
        <v>33</v>
      </c>
      <c r="G269" s="122">
        <v>20</v>
      </c>
      <c r="H269" s="123">
        <v>899</v>
      </c>
    </row>
    <row r="270" spans="1:8" ht="18" x14ac:dyDescent="0.3">
      <c r="A270" s="138">
        <v>45991</v>
      </c>
      <c r="B270" s="139" t="s">
        <v>25</v>
      </c>
      <c r="C270" s="140" t="s">
        <v>794</v>
      </c>
      <c r="D270" s="139" t="s">
        <v>786</v>
      </c>
      <c r="E270" s="141">
        <v>1.5</v>
      </c>
      <c r="F270" s="139" t="s">
        <v>27</v>
      </c>
      <c r="G270" s="142">
        <v>2</v>
      </c>
      <c r="H270" s="143">
        <v>259</v>
      </c>
    </row>
    <row r="271" spans="1:8" ht="18" x14ac:dyDescent="0.3">
      <c r="A271" s="118">
        <v>45991</v>
      </c>
      <c r="B271" s="119" t="s">
        <v>25</v>
      </c>
      <c r="C271" s="120" t="s">
        <v>794</v>
      </c>
      <c r="D271" s="119" t="s">
        <v>786</v>
      </c>
      <c r="E271" s="121">
        <v>1.5</v>
      </c>
      <c r="F271" s="119" t="s">
        <v>30</v>
      </c>
      <c r="G271" s="122">
        <v>2</v>
      </c>
      <c r="H271" s="123">
        <v>409</v>
      </c>
    </row>
    <row r="272" spans="1:8" ht="18" x14ac:dyDescent="0.3">
      <c r="A272" s="118">
        <v>45991</v>
      </c>
      <c r="B272" s="119" t="s">
        <v>25</v>
      </c>
      <c r="C272" s="120" t="s">
        <v>794</v>
      </c>
      <c r="D272" s="119" t="s">
        <v>786</v>
      </c>
      <c r="E272" s="121">
        <v>1.5</v>
      </c>
      <c r="F272" s="119" t="s">
        <v>33</v>
      </c>
      <c r="G272" s="122">
        <v>2</v>
      </c>
      <c r="H272" s="123">
        <v>899</v>
      </c>
    </row>
    <row r="273" spans="1:8" ht="18" x14ac:dyDescent="0.3">
      <c r="A273" s="138">
        <v>45991</v>
      </c>
      <c r="B273" s="139" t="s">
        <v>25</v>
      </c>
      <c r="C273" s="140" t="s">
        <v>789</v>
      </c>
      <c r="D273" s="139" t="s">
        <v>786</v>
      </c>
      <c r="E273" s="141">
        <v>1.760416666666667</v>
      </c>
      <c r="F273" s="139" t="s">
        <v>27</v>
      </c>
      <c r="G273" s="142">
        <v>23</v>
      </c>
      <c r="H273" s="143">
        <v>259</v>
      </c>
    </row>
    <row r="274" spans="1:8" ht="18" x14ac:dyDescent="0.3">
      <c r="A274" s="118">
        <v>45991</v>
      </c>
      <c r="B274" s="119" t="s">
        <v>25</v>
      </c>
      <c r="C274" s="120" t="s">
        <v>789</v>
      </c>
      <c r="D274" s="119" t="s">
        <v>786</v>
      </c>
      <c r="E274" s="121">
        <v>1.760416666666667</v>
      </c>
      <c r="F274" s="119" t="s">
        <v>30</v>
      </c>
      <c r="G274" s="122">
        <v>23</v>
      </c>
      <c r="H274" s="123">
        <v>409</v>
      </c>
    </row>
    <row r="275" spans="1:8" ht="18" x14ac:dyDescent="0.3">
      <c r="A275" s="118">
        <v>45991</v>
      </c>
      <c r="B275" s="119" t="s">
        <v>25</v>
      </c>
      <c r="C275" s="120" t="s">
        <v>789</v>
      </c>
      <c r="D275" s="119" t="s">
        <v>786</v>
      </c>
      <c r="E275" s="121">
        <v>1.760416666666667</v>
      </c>
      <c r="F275" s="119" t="s">
        <v>33</v>
      </c>
      <c r="G275" s="122">
        <v>23</v>
      </c>
      <c r="H275" s="123">
        <v>899</v>
      </c>
    </row>
    <row r="276" spans="1:8" ht="18" x14ac:dyDescent="0.3">
      <c r="A276" s="138">
        <v>45991</v>
      </c>
      <c r="B276" s="139" t="s">
        <v>25</v>
      </c>
      <c r="C276" s="140" t="s">
        <v>787</v>
      </c>
      <c r="D276" s="139" t="s">
        <v>786</v>
      </c>
      <c r="E276" s="141">
        <v>1.8159722222222221</v>
      </c>
      <c r="F276" s="139" t="s">
        <v>27</v>
      </c>
      <c r="G276" s="142">
        <v>8</v>
      </c>
      <c r="H276" s="143">
        <v>259</v>
      </c>
    </row>
    <row r="277" spans="1:8" ht="18" x14ac:dyDescent="0.3">
      <c r="A277" s="118">
        <v>45991</v>
      </c>
      <c r="B277" s="119" t="s">
        <v>25</v>
      </c>
      <c r="C277" s="120" t="s">
        <v>787</v>
      </c>
      <c r="D277" s="119" t="s">
        <v>786</v>
      </c>
      <c r="E277" s="121">
        <v>1.8159722222222221</v>
      </c>
      <c r="F277" s="119" t="s">
        <v>30</v>
      </c>
      <c r="G277" s="122">
        <v>8</v>
      </c>
      <c r="H277" s="123">
        <v>409</v>
      </c>
    </row>
    <row r="278" spans="1:8" ht="18" x14ac:dyDescent="0.3">
      <c r="A278" s="118">
        <v>45991</v>
      </c>
      <c r="B278" s="119" t="s">
        <v>25</v>
      </c>
      <c r="C278" s="120" t="s">
        <v>787</v>
      </c>
      <c r="D278" s="119" t="s">
        <v>786</v>
      </c>
      <c r="E278" s="121">
        <v>1.8159722222222221</v>
      </c>
      <c r="F278" s="119" t="s">
        <v>33</v>
      </c>
      <c r="G278" s="122">
        <v>8</v>
      </c>
      <c r="H278" s="123">
        <v>899</v>
      </c>
    </row>
    <row r="279" spans="1:8" ht="18" x14ac:dyDescent="0.3">
      <c r="A279" s="136">
        <v>45991</v>
      </c>
      <c r="B279" s="113" t="s">
        <v>55</v>
      </c>
      <c r="C279" s="114" t="s">
        <v>797</v>
      </c>
      <c r="D279" s="113" t="s">
        <v>786</v>
      </c>
      <c r="E279" s="115">
        <v>1.427083333333333</v>
      </c>
      <c r="F279" s="113" t="s">
        <v>60</v>
      </c>
      <c r="G279" s="116">
        <v>9</v>
      </c>
      <c r="H279" s="137">
        <v>259</v>
      </c>
    </row>
    <row r="280" spans="1:8" ht="18" x14ac:dyDescent="0.3">
      <c r="A280" s="118">
        <v>45991</v>
      </c>
      <c r="B280" s="119" t="s">
        <v>55</v>
      </c>
      <c r="C280" s="120" t="s">
        <v>797</v>
      </c>
      <c r="D280" s="119" t="s">
        <v>786</v>
      </c>
      <c r="E280" s="121">
        <v>1.427083333333333</v>
      </c>
      <c r="F280" s="119" t="s">
        <v>62</v>
      </c>
      <c r="G280" s="122">
        <v>9</v>
      </c>
      <c r="H280" s="123">
        <v>359</v>
      </c>
    </row>
    <row r="281" spans="1:8" ht="18" x14ac:dyDescent="0.3">
      <c r="A281" s="118">
        <v>45991</v>
      </c>
      <c r="B281" s="119" t="s">
        <v>55</v>
      </c>
      <c r="C281" s="120" t="s">
        <v>797</v>
      </c>
      <c r="D281" s="119" t="s">
        <v>786</v>
      </c>
      <c r="E281" s="121">
        <v>1.427083333333333</v>
      </c>
      <c r="F281" s="119" t="s">
        <v>64</v>
      </c>
      <c r="G281" s="122">
        <v>9</v>
      </c>
      <c r="H281" s="123">
        <v>449</v>
      </c>
    </row>
    <row r="282" spans="1:8" ht="18" x14ac:dyDescent="0.3">
      <c r="A282" s="138">
        <v>45991</v>
      </c>
      <c r="B282" s="139" t="s">
        <v>55</v>
      </c>
      <c r="C282" s="140" t="s">
        <v>802</v>
      </c>
      <c r="D282" s="139" t="s">
        <v>786</v>
      </c>
      <c r="E282" s="141">
        <v>1.375</v>
      </c>
      <c r="F282" s="139" t="s">
        <v>60</v>
      </c>
      <c r="G282" s="142">
        <v>8</v>
      </c>
      <c r="H282" s="143">
        <v>259</v>
      </c>
    </row>
    <row r="283" spans="1:8" ht="18" x14ac:dyDescent="0.3">
      <c r="A283" s="118">
        <v>45991</v>
      </c>
      <c r="B283" s="119" t="s">
        <v>55</v>
      </c>
      <c r="C283" s="120" t="s">
        <v>802</v>
      </c>
      <c r="D283" s="119" t="s">
        <v>786</v>
      </c>
      <c r="E283" s="121">
        <v>1.375</v>
      </c>
      <c r="F283" s="119" t="s">
        <v>62</v>
      </c>
      <c r="G283" s="122">
        <v>8</v>
      </c>
      <c r="H283" s="123">
        <v>359</v>
      </c>
    </row>
    <row r="284" spans="1:8" ht="18" x14ac:dyDescent="0.3">
      <c r="A284" s="118">
        <v>45991</v>
      </c>
      <c r="B284" s="119" t="s">
        <v>55</v>
      </c>
      <c r="C284" s="120" t="s">
        <v>802</v>
      </c>
      <c r="D284" s="119" t="s">
        <v>786</v>
      </c>
      <c r="E284" s="121">
        <v>1.375</v>
      </c>
      <c r="F284" s="119" t="s">
        <v>64</v>
      </c>
      <c r="G284" s="122">
        <v>8</v>
      </c>
      <c r="H284" s="123">
        <v>449</v>
      </c>
    </row>
    <row r="285" spans="1:8" ht="18" x14ac:dyDescent="0.3">
      <c r="A285" s="138">
        <v>45991</v>
      </c>
      <c r="B285" s="139" t="s">
        <v>55</v>
      </c>
      <c r="C285" s="140" t="s">
        <v>799</v>
      </c>
      <c r="D285" s="139" t="s">
        <v>786</v>
      </c>
      <c r="E285" s="141">
        <v>1.305555555555556</v>
      </c>
      <c r="F285" s="139" t="s">
        <v>60</v>
      </c>
      <c r="G285" s="142">
        <v>6</v>
      </c>
      <c r="H285" s="143">
        <v>289</v>
      </c>
    </row>
    <row r="286" spans="1:8" ht="18" x14ac:dyDescent="0.3">
      <c r="A286" s="118">
        <v>45991</v>
      </c>
      <c r="B286" s="119" t="s">
        <v>55</v>
      </c>
      <c r="C286" s="120" t="s">
        <v>799</v>
      </c>
      <c r="D286" s="119" t="s">
        <v>786</v>
      </c>
      <c r="E286" s="121">
        <v>1.305555555555556</v>
      </c>
      <c r="F286" s="119" t="s">
        <v>62</v>
      </c>
      <c r="G286" s="122">
        <v>6</v>
      </c>
      <c r="H286" s="123">
        <v>389</v>
      </c>
    </row>
    <row r="287" spans="1:8" ht="18" x14ac:dyDescent="0.3">
      <c r="A287" s="118">
        <v>45991</v>
      </c>
      <c r="B287" s="119" t="s">
        <v>55</v>
      </c>
      <c r="C287" s="120" t="s">
        <v>799</v>
      </c>
      <c r="D287" s="119" t="s">
        <v>786</v>
      </c>
      <c r="E287" s="121">
        <v>1.305555555555556</v>
      </c>
      <c r="F287" s="119" t="s">
        <v>64</v>
      </c>
      <c r="G287" s="122">
        <v>6</v>
      </c>
      <c r="H287" s="123">
        <v>479</v>
      </c>
    </row>
    <row r="288" spans="1:8" ht="18" x14ac:dyDescent="0.3">
      <c r="A288" s="138">
        <v>45991</v>
      </c>
      <c r="B288" s="139" t="s">
        <v>55</v>
      </c>
      <c r="C288" s="140" t="s">
        <v>803</v>
      </c>
      <c r="D288" s="139" t="s">
        <v>786</v>
      </c>
      <c r="E288" s="141">
        <v>1.8263888888888891</v>
      </c>
      <c r="F288" s="139" t="s">
        <v>60</v>
      </c>
      <c r="G288" s="142">
        <v>9</v>
      </c>
      <c r="H288" s="143">
        <v>289</v>
      </c>
    </row>
    <row r="289" spans="1:8" ht="18" x14ac:dyDescent="0.3">
      <c r="A289" s="118">
        <v>45991</v>
      </c>
      <c r="B289" s="119" t="s">
        <v>55</v>
      </c>
      <c r="C289" s="120" t="s">
        <v>803</v>
      </c>
      <c r="D289" s="119" t="s">
        <v>786</v>
      </c>
      <c r="E289" s="121">
        <v>1.8263888888888891</v>
      </c>
      <c r="F289" s="119" t="s">
        <v>62</v>
      </c>
      <c r="G289" s="122">
        <v>9</v>
      </c>
      <c r="H289" s="123">
        <v>389</v>
      </c>
    </row>
    <row r="290" spans="1:8" ht="18" x14ac:dyDescent="0.3">
      <c r="A290" s="118">
        <v>45991</v>
      </c>
      <c r="B290" s="119" t="s">
        <v>55</v>
      </c>
      <c r="C290" s="120" t="s">
        <v>803</v>
      </c>
      <c r="D290" s="119" t="s">
        <v>786</v>
      </c>
      <c r="E290" s="121">
        <v>1.8263888888888891</v>
      </c>
      <c r="F290" s="119" t="s">
        <v>64</v>
      </c>
      <c r="G290" s="122">
        <v>9</v>
      </c>
      <c r="H290" s="123">
        <v>479</v>
      </c>
    </row>
    <row r="291" spans="1:8" ht="18" x14ac:dyDescent="0.3">
      <c r="A291" s="138">
        <v>45991</v>
      </c>
      <c r="B291" s="139" t="s">
        <v>55</v>
      </c>
      <c r="C291" s="140" t="s">
        <v>800</v>
      </c>
      <c r="D291" s="139" t="s">
        <v>786</v>
      </c>
      <c r="E291" s="141">
        <v>1.5</v>
      </c>
      <c r="F291" s="139" t="s">
        <v>60</v>
      </c>
      <c r="G291" s="142">
        <v>9</v>
      </c>
      <c r="H291" s="143">
        <v>289</v>
      </c>
    </row>
    <row r="292" spans="1:8" ht="18" x14ac:dyDescent="0.3">
      <c r="A292" s="118">
        <v>45991</v>
      </c>
      <c r="B292" s="119" t="s">
        <v>55</v>
      </c>
      <c r="C292" s="120" t="s">
        <v>800</v>
      </c>
      <c r="D292" s="119" t="s">
        <v>786</v>
      </c>
      <c r="E292" s="121">
        <v>1.5</v>
      </c>
      <c r="F292" s="119" t="s">
        <v>62</v>
      </c>
      <c r="G292" s="122">
        <v>9</v>
      </c>
      <c r="H292" s="123">
        <v>389</v>
      </c>
    </row>
    <row r="293" spans="1:8" ht="18" x14ac:dyDescent="0.3">
      <c r="A293" s="118">
        <v>45991</v>
      </c>
      <c r="B293" s="119" t="s">
        <v>55</v>
      </c>
      <c r="C293" s="120" t="s">
        <v>800</v>
      </c>
      <c r="D293" s="119" t="s">
        <v>786</v>
      </c>
      <c r="E293" s="121">
        <v>1.5</v>
      </c>
      <c r="F293" s="119" t="s">
        <v>64</v>
      </c>
      <c r="G293" s="122">
        <v>9</v>
      </c>
      <c r="H293" s="123">
        <v>479</v>
      </c>
    </row>
    <row r="294" spans="1:8" ht="18" x14ac:dyDescent="0.3">
      <c r="A294" s="138">
        <v>45991</v>
      </c>
      <c r="B294" s="139" t="s">
        <v>55</v>
      </c>
      <c r="C294" s="140" t="s">
        <v>801</v>
      </c>
      <c r="D294" s="139" t="s">
        <v>786</v>
      </c>
      <c r="E294" s="141">
        <v>1.6875</v>
      </c>
      <c r="F294" s="139" t="s">
        <v>60</v>
      </c>
      <c r="G294" s="142">
        <v>9</v>
      </c>
      <c r="H294" s="143">
        <v>289</v>
      </c>
    </row>
    <row r="295" spans="1:8" ht="18" x14ac:dyDescent="0.3">
      <c r="A295" s="118">
        <v>45991</v>
      </c>
      <c r="B295" s="119" t="s">
        <v>55</v>
      </c>
      <c r="C295" s="120" t="s">
        <v>801</v>
      </c>
      <c r="D295" s="119" t="s">
        <v>786</v>
      </c>
      <c r="E295" s="121">
        <v>1.6875</v>
      </c>
      <c r="F295" s="119" t="s">
        <v>62</v>
      </c>
      <c r="G295" s="122">
        <v>9</v>
      </c>
      <c r="H295" s="123">
        <v>389</v>
      </c>
    </row>
    <row r="296" spans="1:8" ht="18" x14ac:dyDescent="0.3">
      <c r="A296" s="118">
        <v>45991</v>
      </c>
      <c r="B296" s="119" t="s">
        <v>55</v>
      </c>
      <c r="C296" s="120" t="s">
        <v>801</v>
      </c>
      <c r="D296" s="119" t="s">
        <v>786</v>
      </c>
      <c r="E296" s="121">
        <v>1.6875</v>
      </c>
      <c r="F296" s="119" t="s">
        <v>64</v>
      </c>
      <c r="G296" s="122">
        <v>9</v>
      </c>
      <c r="H296" s="123">
        <v>479</v>
      </c>
    </row>
    <row r="297" spans="1:8" ht="18" x14ac:dyDescent="0.3">
      <c r="A297" s="138">
        <v>45991</v>
      </c>
      <c r="B297" s="139" t="s">
        <v>55</v>
      </c>
      <c r="C297" s="140" t="s">
        <v>804</v>
      </c>
      <c r="D297" s="139" t="s">
        <v>786</v>
      </c>
      <c r="E297" s="141">
        <v>1.5659722222222221</v>
      </c>
      <c r="F297" s="139" t="s">
        <v>60</v>
      </c>
      <c r="G297" s="142">
        <v>8</v>
      </c>
      <c r="H297" s="143">
        <v>289</v>
      </c>
    </row>
    <row r="298" spans="1:8" ht="18" x14ac:dyDescent="0.3">
      <c r="A298" s="118">
        <v>45991</v>
      </c>
      <c r="B298" s="119" t="s">
        <v>55</v>
      </c>
      <c r="C298" s="120" t="s">
        <v>804</v>
      </c>
      <c r="D298" s="119" t="s">
        <v>786</v>
      </c>
      <c r="E298" s="121">
        <v>1.5659722222222221</v>
      </c>
      <c r="F298" s="119" t="s">
        <v>62</v>
      </c>
      <c r="G298" s="122">
        <v>8</v>
      </c>
      <c r="H298" s="123">
        <v>389</v>
      </c>
    </row>
    <row r="299" spans="1:8" ht="18" x14ac:dyDescent="0.3">
      <c r="A299" s="118">
        <v>45991</v>
      </c>
      <c r="B299" s="119" t="s">
        <v>55</v>
      </c>
      <c r="C299" s="120" t="s">
        <v>804</v>
      </c>
      <c r="D299" s="119" t="s">
        <v>786</v>
      </c>
      <c r="E299" s="121">
        <v>1.5659722222222221</v>
      </c>
      <c r="F299" s="119" t="s">
        <v>64</v>
      </c>
      <c r="G299" s="122">
        <v>8</v>
      </c>
      <c r="H299" s="123">
        <v>479</v>
      </c>
    </row>
    <row r="300" spans="1:8" ht="18" x14ac:dyDescent="0.3">
      <c r="A300" s="136">
        <v>45991</v>
      </c>
      <c r="B300" s="113" t="s">
        <v>304</v>
      </c>
      <c r="C300" s="114" t="s">
        <v>884</v>
      </c>
      <c r="D300" s="113" t="s">
        <v>786</v>
      </c>
      <c r="E300" s="115">
        <v>1.586805555555556</v>
      </c>
      <c r="F300" s="113" t="s">
        <v>37</v>
      </c>
      <c r="G300" s="116">
        <v>9</v>
      </c>
      <c r="H300" s="137">
        <v>350</v>
      </c>
    </row>
    <row r="301" spans="1:8" ht="18" x14ac:dyDescent="0.3">
      <c r="A301" s="136">
        <v>45991</v>
      </c>
      <c r="B301" s="113" t="s">
        <v>66</v>
      </c>
      <c r="C301" s="114" t="s">
        <v>815</v>
      </c>
      <c r="D301" s="113" t="s">
        <v>786</v>
      </c>
      <c r="E301" s="115">
        <v>1.916666666666667</v>
      </c>
      <c r="F301" s="113" t="s">
        <v>94</v>
      </c>
      <c r="G301" s="116">
        <v>9</v>
      </c>
      <c r="H301" s="137">
        <v>354</v>
      </c>
    </row>
    <row r="302" spans="1:8" ht="18" x14ac:dyDescent="0.3">
      <c r="A302" s="138">
        <v>45991</v>
      </c>
      <c r="B302" s="139" t="s">
        <v>66</v>
      </c>
      <c r="C302" s="140" t="s">
        <v>812</v>
      </c>
      <c r="D302" s="139" t="s">
        <v>786</v>
      </c>
      <c r="E302" s="141">
        <v>1.1701388888888891</v>
      </c>
      <c r="F302" s="139" t="s">
        <v>85</v>
      </c>
      <c r="G302" s="142">
        <v>9</v>
      </c>
      <c r="H302" s="143">
        <v>437</v>
      </c>
    </row>
    <row r="303" spans="1:8" ht="18" x14ac:dyDescent="0.3">
      <c r="A303" s="138">
        <v>45991</v>
      </c>
      <c r="B303" s="139" t="s">
        <v>66</v>
      </c>
      <c r="C303" s="140" t="s">
        <v>814</v>
      </c>
      <c r="D303" s="139" t="s">
        <v>786</v>
      </c>
      <c r="E303" s="141">
        <v>1.520833333333333</v>
      </c>
      <c r="F303" s="139" t="s">
        <v>85</v>
      </c>
      <c r="G303" s="142">
        <v>9</v>
      </c>
      <c r="H303" s="143">
        <v>437</v>
      </c>
    </row>
    <row r="304" spans="1:8" ht="18" x14ac:dyDescent="0.3">
      <c r="A304" s="124">
        <v>45991</v>
      </c>
      <c r="B304" s="125" t="s">
        <v>35</v>
      </c>
      <c r="C304" s="126" t="s">
        <v>841</v>
      </c>
      <c r="D304" s="125" t="s">
        <v>786</v>
      </c>
      <c r="E304" s="127">
        <v>1.625</v>
      </c>
      <c r="F304" s="125" t="s">
        <v>37</v>
      </c>
      <c r="G304" s="128">
        <v>9</v>
      </c>
      <c r="H304" s="129">
        <v>355</v>
      </c>
    </row>
    <row r="305" spans="1:8" ht="18" x14ac:dyDescent="0.3">
      <c r="A305" s="136">
        <v>45991</v>
      </c>
      <c r="B305" s="113" t="s">
        <v>333</v>
      </c>
      <c r="C305" s="114" t="s">
        <v>856</v>
      </c>
      <c r="D305" s="113" t="s">
        <v>786</v>
      </c>
      <c r="E305" s="115">
        <v>1.3576388888888891</v>
      </c>
      <c r="F305" s="113" t="s">
        <v>37</v>
      </c>
      <c r="G305" s="116">
        <v>9</v>
      </c>
      <c r="H305" s="137">
        <v>357</v>
      </c>
    </row>
    <row r="306" spans="1:8" ht="18" x14ac:dyDescent="0.3">
      <c r="A306" s="138">
        <v>45991</v>
      </c>
      <c r="B306" s="139" t="s">
        <v>333</v>
      </c>
      <c r="C306" s="140" t="s">
        <v>886</v>
      </c>
      <c r="D306" s="139" t="s">
        <v>786</v>
      </c>
      <c r="E306" s="141">
        <v>1.3159722222222221</v>
      </c>
      <c r="F306" s="139" t="s">
        <v>37</v>
      </c>
      <c r="G306" s="142">
        <v>9</v>
      </c>
      <c r="H306" s="143">
        <v>357</v>
      </c>
    </row>
    <row r="307" spans="1:8" ht="18" x14ac:dyDescent="0.3">
      <c r="A307" s="136">
        <v>45991</v>
      </c>
      <c r="B307" s="113" t="s">
        <v>78</v>
      </c>
      <c r="C307" s="114" t="s">
        <v>817</v>
      </c>
      <c r="D307" s="113" t="s">
        <v>786</v>
      </c>
      <c r="E307" s="115">
        <v>1.2986111111111109</v>
      </c>
      <c r="F307" s="113" t="s">
        <v>87</v>
      </c>
      <c r="G307" s="116">
        <v>9</v>
      </c>
      <c r="H307" s="137">
        <v>495</v>
      </c>
    </row>
    <row r="308" spans="1:8" ht="18" x14ac:dyDescent="0.3">
      <c r="A308" s="118">
        <v>45991</v>
      </c>
      <c r="B308" s="119" t="s">
        <v>78</v>
      </c>
      <c r="C308" s="120" t="s">
        <v>817</v>
      </c>
      <c r="D308" s="119" t="s">
        <v>786</v>
      </c>
      <c r="E308" s="121">
        <v>1.2986111111111109</v>
      </c>
      <c r="F308" s="119" t="s">
        <v>82</v>
      </c>
      <c r="G308" s="122">
        <v>9</v>
      </c>
      <c r="H308" s="123">
        <v>545</v>
      </c>
    </row>
    <row r="309" spans="1:8" ht="18" x14ac:dyDescent="0.3">
      <c r="A309" s="138">
        <v>45991</v>
      </c>
      <c r="B309" s="139" t="s">
        <v>78</v>
      </c>
      <c r="C309" s="140" t="s">
        <v>820</v>
      </c>
      <c r="D309" s="139" t="s">
        <v>786</v>
      </c>
      <c r="E309" s="141">
        <v>1.552083333333333</v>
      </c>
      <c r="F309" s="139" t="s">
        <v>87</v>
      </c>
      <c r="G309" s="142">
        <v>7</v>
      </c>
      <c r="H309" s="143">
        <v>495</v>
      </c>
    </row>
    <row r="310" spans="1:8" ht="18" x14ac:dyDescent="0.3">
      <c r="A310" s="118">
        <v>45991</v>
      </c>
      <c r="B310" s="119" t="s">
        <v>78</v>
      </c>
      <c r="C310" s="120" t="s">
        <v>820</v>
      </c>
      <c r="D310" s="119" t="s">
        <v>786</v>
      </c>
      <c r="E310" s="121">
        <v>1.552083333333333</v>
      </c>
      <c r="F310" s="119" t="s">
        <v>82</v>
      </c>
      <c r="G310" s="122">
        <v>7</v>
      </c>
      <c r="H310" s="123">
        <v>545</v>
      </c>
    </row>
    <row r="311" spans="1:8" ht="18" x14ac:dyDescent="0.3">
      <c r="A311" s="138">
        <v>45991</v>
      </c>
      <c r="B311" s="139" t="s">
        <v>78</v>
      </c>
      <c r="C311" s="140" t="s">
        <v>821</v>
      </c>
      <c r="D311" s="139" t="s">
        <v>786</v>
      </c>
      <c r="E311" s="141">
        <v>1.4826388888888891</v>
      </c>
      <c r="F311" s="139" t="s">
        <v>87</v>
      </c>
      <c r="G311" s="142">
        <v>9</v>
      </c>
      <c r="H311" s="143">
        <v>495</v>
      </c>
    </row>
    <row r="312" spans="1:8" ht="18" x14ac:dyDescent="0.3">
      <c r="A312" s="118">
        <v>45991</v>
      </c>
      <c r="B312" s="119" t="s">
        <v>78</v>
      </c>
      <c r="C312" s="120" t="s">
        <v>821</v>
      </c>
      <c r="D312" s="119" t="s">
        <v>786</v>
      </c>
      <c r="E312" s="121">
        <v>1.4826388888888891</v>
      </c>
      <c r="F312" s="119" t="s">
        <v>82</v>
      </c>
      <c r="G312" s="122">
        <v>9</v>
      </c>
      <c r="H312" s="123">
        <v>545</v>
      </c>
    </row>
    <row r="313" spans="1:8" ht="18" x14ac:dyDescent="0.3">
      <c r="A313" s="138">
        <v>45991</v>
      </c>
      <c r="B313" s="139" t="s">
        <v>78</v>
      </c>
      <c r="C313" s="140" t="s">
        <v>822</v>
      </c>
      <c r="D313" s="139" t="s">
        <v>786</v>
      </c>
      <c r="E313" s="141">
        <v>1.6840277777777779</v>
      </c>
      <c r="F313" s="139" t="s">
        <v>87</v>
      </c>
      <c r="G313" s="142">
        <v>9</v>
      </c>
      <c r="H313" s="143">
        <v>661</v>
      </c>
    </row>
    <row r="314" spans="1:8" ht="18" x14ac:dyDescent="0.3">
      <c r="A314" s="118">
        <v>45991</v>
      </c>
      <c r="B314" s="119" t="s">
        <v>78</v>
      </c>
      <c r="C314" s="120" t="s">
        <v>822</v>
      </c>
      <c r="D314" s="119" t="s">
        <v>786</v>
      </c>
      <c r="E314" s="121">
        <v>1.6840277777777779</v>
      </c>
      <c r="F314" s="119" t="s">
        <v>82</v>
      </c>
      <c r="G314" s="122">
        <v>9</v>
      </c>
      <c r="H314" s="123">
        <v>711</v>
      </c>
    </row>
    <row r="315" spans="1:8" ht="18" x14ac:dyDescent="0.3">
      <c r="A315" s="138">
        <v>45991</v>
      </c>
      <c r="B315" s="139" t="s">
        <v>78</v>
      </c>
      <c r="C315" s="140" t="s">
        <v>825</v>
      </c>
      <c r="D315" s="139" t="s">
        <v>786</v>
      </c>
      <c r="E315" s="141">
        <v>1.836805555555556</v>
      </c>
      <c r="F315" s="139" t="s">
        <v>87</v>
      </c>
      <c r="G315" s="142">
        <v>9</v>
      </c>
      <c r="H315" s="143">
        <v>774</v>
      </c>
    </row>
    <row r="316" spans="1:8" ht="18" x14ac:dyDescent="0.3">
      <c r="A316" s="118">
        <v>45991</v>
      </c>
      <c r="B316" s="119" t="s">
        <v>78</v>
      </c>
      <c r="C316" s="120" t="s">
        <v>825</v>
      </c>
      <c r="D316" s="119" t="s">
        <v>786</v>
      </c>
      <c r="E316" s="121">
        <v>1.836805555555556</v>
      </c>
      <c r="F316" s="119" t="s">
        <v>82</v>
      </c>
      <c r="G316" s="122">
        <v>9</v>
      </c>
      <c r="H316" s="123">
        <v>824</v>
      </c>
    </row>
    <row r="317" spans="1:8" ht="18" x14ac:dyDescent="0.3">
      <c r="A317" s="138">
        <v>45991</v>
      </c>
      <c r="B317" s="139" t="s">
        <v>78</v>
      </c>
      <c r="C317" s="140" t="s">
        <v>828</v>
      </c>
      <c r="D317" s="139" t="s">
        <v>786</v>
      </c>
      <c r="E317" s="141">
        <v>1.760416666666667</v>
      </c>
      <c r="F317" s="139" t="s">
        <v>82</v>
      </c>
      <c r="G317" s="142">
        <v>4</v>
      </c>
      <c r="H317" s="139" t="s">
        <v>848</v>
      </c>
    </row>
    <row r="318" spans="1:8" ht="18" x14ac:dyDescent="0.3">
      <c r="A318" s="138">
        <v>45991</v>
      </c>
      <c r="B318" s="139" t="s">
        <v>78</v>
      </c>
      <c r="C318" s="140" t="s">
        <v>830</v>
      </c>
      <c r="D318" s="139" t="s">
        <v>786</v>
      </c>
      <c r="E318" s="141">
        <v>1.5</v>
      </c>
      <c r="F318" s="139" t="s">
        <v>82</v>
      </c>
      <c r="G318" s="142">
        <v>4</v>
      </c>
      <c r="H318" s="139" t="s">
        <v>848</v>
      </c>
    </row>
    <row r="319" spans="1:8" ht="18" x14ac:dyDescent="0.3">
      <c r="A319" s="149">
        <v>45991</v>
      </c>
      <c r="B319" s="150" t="s">
        <v>78</v>
      </c>
      <c r="C319" s="151" t="s">
        <v>826</v>
      </c>
      <c r="D319" s="150" t="s">
        <v>786</v>
      </c>
      <c r="E319" s="152">
        <v>1.8159722222222221</v>
      </c>
      <c r="F319" s="150" t="s">
        <v>82</v>
      </c>
      <c r="G319" s="153">
        <v>4</v>
      </c>
      <c r="H319" s="150" t="s">
        <v>848</v>
      </c>
    </row>
  </sheetData>
  <dataValidations count="8">
    <dataValidation type="custom" allowBlank="1" showInputMessage="1" promptTitle="LOAD FACTOR ANALYSIS" prompt="SM-470_x000d__x000a_LF 80.4%_x000d__x000a_SOLD 135_x000d__x000a_LST-SOLD 23NOV_x000d__x000a_WEEKLY 63_x000d__x000a_TO-DAY NIL_x000d__x000a_Y-DAY 16_x000d__x000a_LOWEST AVAIL U6_x000d__x000a_CAPACITY 168_x000d__x000a_CLASSES S1 &amp; U4 &amp; O52 &amp; +1 more" sqref="A36 B36 C36 D36 E36 F36 G36 H36" xr:uid="{00000000-0002-0000-2100-000000000000}">
      <formula1>TRUE</formula1>
    </dataValidation>
    <dataValidation type="custom" allowBlank="1" showInputMessage="1" promptTitle="LOAD FACTOR ANALYSIS" prompt="SM-470_x000d__x000a_LF 58.9%_x000d__x000a_SOLD 99_x000d__x000a_LST-SOLD 23NOV_x000d__x000a_WEEKLY 68_x000d__x000a_TO-DAY NIL_x000d__x000a_Y-DAY 6_x000d__x000a_LOWEST AVAIL O9_x000d__x000a_CAPACITY 168_x000d__x000a_CLASSES Q2 &amp; K1 &amp; S1 &amp; +3 more" sqref="A91 B91 C91 D91 E91 F91 G91 H91" xr:uid="{00000000-0002-0000-2100-000001000000}">
      <formula1>TRUE</formula1>
    </dataValidation>
    <dataValidation type="custom" allowBlank="1" showInputMessage="1" promptTitle="LOAD FACTOR ANALYSIS" prompt="SM-462_x000d__x000a_LF 69.6%_x000d__x000a_SOLD 117_x000d__x000a_LST-SOLD 23NOV_x000d__x000a_WEEKLY 65_x000d__x000a_TO-DAY NIL_x000d__x000a_Y-DAY 16_x000d__x000a_LOWEST AVAIL U9_x000d__x000a_CAPACITY 168_x000d__x000a_CLASSES U3 &amp; O56 &amp; I58" sqref="A92 B92 C92 D92 E92 F92 G92 H92" xr:uid="{00000000-0002-0000-2100-000002000000}">
      <formula1>TRUE</formula1>
    </dataValidation>
    <dataValidation type="custom" allowBlank="1" showInputMessage="1" promptTitle="LOAD FACTOR ANALYSIS" prompt="SM-462_x000d__x000a_LF 61.9%_x000d__x000a_SOLD 104_x000d__x000a_LST-SOLD 23NOV_x000d__x000a_WEEKLY 24_x000d__x000a_TO-DAY NIL_x000d__x000a_Y-DAY 5_x000d__x000a_LOWEST AVAIL U5_x000d__x000a_CAPACITY 168_x000d__x000a_CLASSES K2 &amp; S2 &amp; W3 &amp; +4 more" sqref="A144 B144 C144 D144 E144 F144 G144 H144" xr:uid="{00000000-0002-0000-2100-000003000000}">
      <formula1>TRUE</formula1>
    </dataValidation>
    <dataValidation type="custom" allowBlank="1" showInputMessage="1" promptTitle="LOAD FACTOR ANALYSIS" prompt="SM-462_x000d__x000a_LF 55.4%_x000d__x000a_SOLD 93_x000d__x000a_LST-SOLD 23NOV_x000d__x000a_WEEKLY 32_x000d__x000a_TO-DAY NIL_x000d__x000a_Y-DAY 6_x000d__x000a_LOWEST AVAIL O9_x000d__x000a_CAPACITY 168_x000d__x000a_CLASSES K1 &amp; S1 &amp; U3 &amp; +2 more" sqref="A195 B195 C195 D195 E195 F195 G195 H195" xr:uid="{00000000-0002-0000-2100-000004000000}">
      <formula1>TRUE</formula1>
    </dataValidation>
    <dataValidation type="custom" allowBlank="1" showInputMessage="1" promptTitle="LOAD FACTOR ANALYSIS" prompt="SM-470_x000d__x000a_LF 45.2%_x000d__x000a_SOLD 76_x000d__x000a_LST-SOLD 23NOV_x000d__x000a_WEEKLY 46_x000d__x000a_TO-DAY NIL_x000d__x000a_Y-DAY 4_x000d__x000a_LOWEST AVAIL O8_x000d__x000a_CAPACITY 168_x000d__x000a_CLASSES W4 &amp; O2 &amp; I70" sqref="A196 B196 C196 D196 E196 F196 G196 H196" xr:uid="{00000000-0002-0000-2100-000005000000}">
      <formula1>TRUE</formula1>
    </dataValidation>
    <dataValidation type="custom" allowBlank="1" showInputMessage="1" promptTitle="LOAD FACTOR ANALYSIS" prompt="SM-462_x000d__x000a_LF 54.2%_x000d__x000a_SOLD 91_x000d__x000a_LST-SOLD 23NOV_x000d__x000a_WEEKLY 32_x000d__x000a_TO-DAY NIL_x000d__x000a_Y-DAY 4_x000d__x000a_LOWEST AVAIL O9_x000d__x000a_CAPACITY 168_x000d__x000a_CLASSES K1 &amp; S1 &amp; W1 &amp; +3 more" sqref="A250 B250 C250 D250 E250 F250 G250 H250" xr:uid="{00000000-0002-0000-2100-000006000000}">
      <formula1>TRUE</formula1>
    </dataValidation>
    <dataValidation type="custom" allowBlank="1" showInputMessage="1" promptTitle="LOAD FACTOR ANALYSIS" prompt="SM-462_x000d__x000a_LF 48.8%_x000d__x000a_SOLD 82_x000d__x000a_LST-SOLD 23NOV_x000d__x000a_WEEKLY 19_x000d__x000a_TO-DAY NIL_x000d__x000a_Y-DAY 8_x000d__x000a_LOWEST AVAIL O9_x000d__x000a_CAPACITY 168_x000d__x000a_CLASSES K1 &amp; S1 &amp; W1 &amp; +3 more" sqref="A304 B304 C304 D304 E304 F304 G304 H304" xr:uid="{00000000-0002-0000-2100-000007000000}">
      <formula1>TRUE</formula1>
    </dataValidation>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5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2" bestFit="1" customWidth="1"/>
  </cols>
  <sheetData>
    <row r="1" spans="1:92" ht="28.8" customHeight="1" x14ac:dyDescent="0.3">
      <c r="A1" s="305" t="s">
        <v>0</v>
      </c>
      <c r="B1" s="281"/>
      <c r="C1" s="281"/>
      <c r="D1" s="305" t="s">
        <v>898</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45985.3603680878</v>
      </c>
      <c r="H2" s="292"/>
      <c r="I2" s="292"/>
      <c r="J2" s="292"/>
      <c r="K2" s="303">
        <v>45985.360368088513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69" t="s">
        <v>35</v>
      </c>
      <c r="B6" s="169" t="s">
        <v>899</v>
      </c>
      <c r="C6" s="170">
        <v>0.61458333333333337</v>
      </c>
      <c r="D6" s="169" t="s">
        <v>37</v>
      </c>
      <c r="E6" s="169" t="s">
        <v>38</v>
      </c>
      <c r="F6" s="169" t="s">
        <v>900</v>
      </c>
      <c r="G6" s="284"/>
      <c r="H6" s="28" t="s">
        <v>901</v>
      </c>
      <c r="I6" s="199">
        <v>0.58930000000000005</v>
      </c>
      <c r="J6" s="30">
        <v>99</v>
      </c>
      <c r="K6" s="31">
        <v>45984</v>
      </c>
      <c r="L6" s="30">
        <v>42</v>
      </c>
      <c r="M6" s="30">
        <v>0</v>
      </c>
      <c r="N6" s="30">
        <v>11</v>
      </c>
      <c r="O6" s="32" t="s">
        <v>322</v>
      </c>
      <c r="P6" s="33">
        <v>0.61458333333333337</v>
      </c>
      <c r="Q6" s="30">
        <v>168</v>
      </c>
      <c r="R6" s="34" t="s">
        <v>902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44" t="s">
        <v>66</v>
      </c>
      <c r="B7" s="44" t="s">
        <v>903</v>
      </c>
      <c r="C7" s="45">
        <v>0.61458333333333337</v>
      </c>
      <c r="D7" s="44" t="s">
        <v>85</v>
      </c>
      <c r="E7" s="44" t="s">
        <v>80</v>
      </c>
      <c r="F7" s="44" t="s">
        <v>863</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306" t="s">
        <v>904</v>
      </c>
      <c r="B8" s="307"/>
      <c r="C8" s="307"/>
      <c r="D8" s="307"/>
      <c r="E8" s="307"/>
      <c r="F8" s="307"/>
      <c r="G8" s="285"/>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46" t="s">
        <v>25</v>
      </c>
      <c r="B9" s="46" t="s">
        <v>787</v>
      </c>
      <c r="C9" s="47" t="s">
        <v>905</v>
      </c>
      <c r="D9" s="46" t="s">
        <v>27</v>
      </c>
      <c r="E9" s="46" t="s">
        <v>248</v>
      </c>
      <c r="F9" s="46" t="s">
        <v>788</v>
      </c>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46" t="s">
        <v>25</v>
      </c>
      <c r="B10" s="46" t="s">
        <v>789</v>
      </c>
      <c r="C10" s="47" t="s">
        <v>906</v>
      </c>
      <c r="D10" s="46" t="s">
        <v>27</v>
      </c>
      <c r="E10" s="46" t="s">
        <v>254</v>
      </c>
      <c r="F10" s="46" t="s">
        <v>790</v>
      </c>
      <c r="G10" s="285"/>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46" t="s">
        <v>304</v>
      </c>
      <c r="B11" s="46" t="s">
        <v>795</v>
      </c>
      <c r="C11" s="47" t="s">
        <v>234</v>
      </c>
      <c r="D11" s="46" t="s">
        <v>37</v>
      </c>
      <c r="E11" s="46" t="s">
        <v>235</v>
      </c>
      <c r="F11" s="46" t="s">
        <v>796</v>
      </c>
      <c r="G11" s="285"/>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6" t="s">
        <v>25</v>
      </c>
      <c r="B12" s="46" t="s">
        <v>792</v>
      </c>
      <c r="C12" s="47" t="s">
        <v>907</v>
      </c>
      <c r="D12" s="46" t="s">
        <v>27</v>
      </c>
      <c r="E12" s="46" t="s">
        <v>640</v>
      </c>
      <c r="F12" s="46" t="s">
        <v>793</v>
      </c>
      <c r="G12" s="285"/>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46" t="s">
        <v>25</v>
      </c>
      <c r="B13" s="46" t="s">
        <v>794</v>
      </c>
      <c r="C13" s="47" t="s">
        <v>908</v>
      </c>
      <c r="D13" s="46" t="s">
        <v>27</v>
      </c>
      <c r="E13" s="46" t="s">
        <v>640</v>
      </c>
      <c r="F13" s="46" t="s">
        <v>793</v>
      </c>
      <c r="G13" s="285"/>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46" t="s">
        <v>55</v>
      </c>
      <c r="B14" s="46" t="s">
        <v>797</v>
      </c>
      <c r="C14" s="47" t="s">
        <v>909</v>
      </c>
      <c r="D14" s="46" t="s">
        <v>60</v>
      </c>
      <c r="E14" s="46" t="s">
        <v>246</v>
      </c>
      <c r="F14" s="46" t="s">
        <v>793</v>
      </c>
      <c r="G14" s="285"/>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46" t="s">
        <v>35</v>
      </c>
      <c r="B15" s="46" t="s">
        <v>805</v>
      </c>
      <c r="C15" s="47" t="s">
        <v>910</v>
      </c>
      <c r="D15" s="46" t="s">
        <v>37</v>
      </c>
      <c r="E15" s="46" t="s">
        <v>241</v>
      </c>
      <c r="F15" s="46" t="s">
        <v>806</v>
      </c>
      <c r="G15" s="285"/>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6" t="s">
        <v>55</v>
      </c>
      <c r="B16" s="46" t="s">
        <v>799</v>
      </c>
      <c r="C16" s="47" t="s">
        <v>911</v>
      </c>
      <c r="D16" s="46" t="s">
        <v>60</v>
      </c>
      <c r="E16" s="46" t="s">
        <v>646</v>
      </c>
      <c r="F16" s="46" t="s">
        <v>446</v>
      </c>
      <c r="G16" s="285"/>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6" t="s">
        <v>55</v>
      </c>
      <c r="B17" s="46" t="s">
        <v>800</v>
      </c>
      <c r="C17" s="47" t="s">
        <v>908</v>
      </c>
      <c r="D17" s="46" t="s">
        <v>60</v>
      </c>
      <c r="E17" s="46" t="s">
        <v>241</v>
      </c>
      <c r="F17" s="46" t="s">
        <v>446</v>
      </c>
      <c r="G17" s="285"/>
      <c r="H17" s="171"/>
      <c r="I17" s="171"/>
      <c r="J17" s="171"/>
      <c r="K17" s="171"/>
      <c r="L17" s="171"/>
      <c r="M17" s="171"/>
      <c r="N17" s="171"/>
      <c r="O17" s="172"/>
      <c r="P17" s="171"/>
      <c r="Q17" s="173"/>
      <c r="R17" s="17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61" t="s">
        <v>55</v>
      </c>
      <c r="B18" s="61" t="s">
        <v>801</v>
      </c>
      <c r="C18" s="62" t="s">
        <v>912</v>
      </c>
      <c r="D18" s="61" t="s">
        <v>60</v>
      </c>
      <c r="E18" s="61" t="s">
        <v>248</v>
      </c>
      <c r="F18" s="61" t="s">
        <v>446</v>
      </c>
      <c r="G18" s="286"/>
      <c r="H18" s="174"/>
      <c r="I18" s="174"/>
      <c r="J18" s="174"/>
      <c r="K18" s="174"/>
      <c r="L18" s="174"/>
      <c r="M18" s="174"/>
      <c r="N18" s="174"/>
      <c r="O18" s="175"/>
      <c r="P18" s="174"/>
      <c r="Q18" s="176"/>
      <c r="R18" s="17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95"/>
      <c r="B19" s="296"/>
      <c r="C19" s="296"/>
      <c r="D19" s="296"/>
      <c r="E19" s="296"/>
      <c r="F19" s="296"/>
      <c r="G19" s="289"/>
      <c r="H19" s="297"/>
      <c r="I19" s="297"/>
      <c r="J19" s="297"/>
      <c r="K19" s="297"/>
      <c r="L19" s="297"/>
      <c r="M19" s="297"/>
      <c r="N19" s="297"/>
      <c r="O19" s="298"/>
      <c r="P19" s="297"/>
      <c r="Q19" s="289"/>
      <c r="R19" s="29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82" t="s">
        <v>5</v>
      </c>
      <c r="B20" s="283"/>
      <c r="C20" s="283"/>
      <c r="D20" s="283"/>
      <c r="E20" s="283"/>
      <c r="F20" s="283"/>
      <c r="G20" s="5">
        <v>45987</v>
      </c>
      <c r="H20" s="278" t="s">
        <v>6</v>
      </c>
      <c r="I20" s="279"/>
      <c r="J20" s="279"/>
      <c r="K20" s="279"/>
      <c r="L20" s="279"/>
      <c r="M20" s="279"/>
      <c r="N20" s="279"/>
      <c r="O20" s="279"/>
      <c r="P20" s="279"/>
      <c r="Q20" s="279"/>
      <c r="R20" s="27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55" t="s">
        <v>7</v>
      </c>
      <c r="B21" s="55" t="s">
        <v>8</v>
      </c>
      <c r="C21" s="56" t="s">
        <v>9</v>
      </c>
      <c r="D21" s="55" t="s">
        <v>10</v>
      </c>
      <c r="E21" s="55" t="s">
        <v>11</v>
      </c>
      <c r="F21" s="55" t="s">
        <v>12</v>
      </c>
      <c r="G21" s="57" t="s">
        <v>13</v>
      </c>
      <c r="H21" s="55" t="s">
        <v>14</v>
      </c>
      <c r="I21" s="58" t="s">
        <v>15</v>
      </c>
      <c r="J21" s="59" t="s">
        <v>16</v>
      </c>
      <c r="K21" s="60" t="s">
        <v>17</v>
      </c>
      <c r="L21" s="59" t="s">
        <v>18</v>
      </c>
      <c r="M21" s="59" t="s">
        <v>19</v>
      </c>
      <c r="N21" s="59" t="s">
        <v>20</v>
      </c>
      <c r="O21" s="55" t="s">
        <v>21</v>
      </c>
      <c r="P21" s="56" t="s">
        <v>22</v>
      </c>
      <c r="Q21" s="59" t="s">
        <v>23</v>
      </c>
      <c r="R21" s="55"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7" t="s">
        <v>35</v>
      </c>
      <c r="B22" s="17" t="s">
        <v>913</v>
      </c>
      <c r="C22" s="18">
        <v>0.59027777777777779</v>
      </c>
      <c r="D22" s="17" t="s">
        <v>37</v>
      </c>
      <c r="E22" s="17" t="s">
        <v>38</v>
      </c>
      <c r="F22" s="17" t="s">
        <v>900</v>
      </c>
      <c r="G22" s="284"/>
      <c r="H22" s="19" t="s">
        <v>914</v>
      </c>
      <c r="I22" s="20">
        <v>0.5655</v>
      </c>
      <c r="J22" s="21">
        <v>95</v>
      </c>
      <c r="K22" s="22">
        <v>45984</v>
      </c>
      <c r="L22" s="21">
        <v>33</v>
      </c>
      <c r="M22" s="21">
        <v>0</v>
      </c>
      <c r="N22" s="21">
        <v>3</v>
      </c>
      <c r="O22" s="23" t="s">
        <v>322</v>
      </c>
      <c r="P22" s="24">
        <v>0.59027777777777779</v>
      </c>
      <c r="Q22" s="21">
        <v>168</v>
      </c>
      <c r="R22" s="25" t="s">
        <v>915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44" t="s">
        <v>66</v>
      </c>
      <c r="B23" s="44" t="s">
        <v>916</v>
      </c>
      <c r="C23" s="45">
        <v>0.59027777777777779</v>
      </c>
      <c r="D23" s="44" t="s">
        <v>85</v>
      </c>
      <c r="E23" s="44" t="s">
        <v>80</v>
      </c>
      <c r="F23" s="44" t="s">
        <v>863</v>
      </c>
      <c r="G23" s="285"/>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8" x14ac:dyDescent="0.3">
      <c r="A24" s="306" t="s">
        <v>904</v>
      </c>
      <c r="B24" s="307"/>
      <c r="C24" s="307"/>
      <c r="D24" s="307"/>
      <c r="E24" s="307"/>
      <c r="F24" s="307"/>
      <c r="G24" s="285"/>
      <c r="H24" s="171"/>
      <c r="I24" s="171"/>
      <c r="J24" s="171"/>
      <c r="K24" s="171"/>
      <c r="L24" s="171"/>
      <c r="M24" s="171"/>
      <c r="N24" s="171"/>
      <c r="O24" s="172"/>
      <c r="P24" s="171"/>
      <c r="Q24" s="173"/>
      <c r="R24" s="17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6" t="s">
        <v>25</v>
      </c>
      <c r="B25" s="46" t="s">
        <v>794</v>
      </c>
      <c r="C25" s="47" t="s">
        <v>908</v>
      </c>
      <c r="D25" s="46" t="s">
        <v>27</v>
      </c>
      <c r="E25" s="46" t="s">
        <v>246</v>
      </c>
      <c r="F25" s="46" t="s">
        <v>831</v>
      </c>
      <c r="G25" s="285"/>
      <c r="H25" s="171"/>
      <c r="I25" s="171"/>
      <c r="J25" s="171"/>
      <c r="K25" s="171"/>
      <c r="L25" s="171"/>
      <c r="M25" s="171"/>
      <c r="N25" s="171"/>
      <c r="O25" s="172"/>
      <c r="P25" s="171"/>
      <c r="Q25" s="173"/>
      <c r="R25" s="17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46" t="s">
        <v>25</v>
      </c>
      <c r="B26" s="46" t="s">
        <v>792</v>
      </c>
      <c r="C26" s="47" t="s">
        <v>907</v>
      </c>
      <c r="D26" s="46" t="s">
        <v>27</v>
      </c>
      <c r="E26" s="46" t="s">
        <v>624</v>
      </c>
      <c r="F26" s="46" t="s">
        <v>832</v>
      </c>
      <c r="G26" s="285"/>
      <c r="H26" s="171"/>
      <c r="I26" s="171"/>
      <c r="J26" s="171"/>
      <c r="K26" s="171"/>
      <c r="L26" s="171"/>
      <c r="M26" s="171"/>
      <c r="N26" s="171"/>
      <c r="O26" s="172"/>
      <c r="P26" s="171"/>
      <c r="Q26" s="173"/>
      <c r="R26" s="17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46" t="s">
        <v>25</v>
      </c>
      <c r="B27" s="46" t="s">
        <v>789</v>
      </c>
      <c r="C27" s="47" t="s">
        <v>906</v>
      </c>
      <c r="D27" s="46" t="s">
        <v>27</v>
      </c>
      <c r="E27" s="46" t="s">
        <v>233</v>
      </c>
      <c r="F27" s="46" t="s">
        <v>788</v>
      </c>
      <c r="G27" s="285"/>
      <c r="H27" s="171"/>
      <c r="I27" s="171"/>
      <c r="J27" s="171"/>
      <c r="K27" s="171"/>
      <c r="L27" s="171"/>
      <c r="M27" s="171"/>
      <c r="N27" s="171"/>
      <c r="O27" s="172"/>
      <c r="P27" s="171"/>
      <c r="Q27" s="173"/>
      <c r="R27" s="17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46" t="s">
        <v>25</v>
      </c>
      <c r="B28" s="46" t="s">
        <v>787</v>
      </c>
      <c r="C28" s="47" t="s">
        <v>905</v>
      </c>
      <c r="D28" s="46" t="s">
        <v>27</v>
      </c>
      <c r="E28" s="46" t="s">
        <v>917</v>
      </c>
      <c r="F28" s="46" t="s">
        <v>788</v>
      </c>
      <c r="G28" s="285"/>
      <c r="H28" s="171"/>
      <c r="I28" s="171"/>
      <c r="J28" s="171"/>
      <c r="K28" s="171"/>
      <c r="L28" s="171"/>
      <c r="M28" s="171"/>
      <c r="N28" s="171"/>
      <c r="O28" s="172"/>
      <c r="P28" s="171"/>
      <c r="Q28" s="173"/>
      <c r="R28" s="17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6" t="s">
        <v>378</v>
      </c>
      <c r="B29" s="46" t="s">
        <v>836</v>
      </c>
      <c r="C29" s="47" t="s">
        <v>664</v>
      </c>
      <c r="D29" s="46" t="s">
        <v>380</v>
      </c>
      <c r="E29" s="46" t="s">
        <v>646</v>
      </c>
      <c r="F29" s="46" t="s">
        <v>837</v>
      </c>
      <c r="G29" s="285"/>
      <c r="H29" s="171"/>
      <c r="I29" s="171"/>
      <c r="J29" s="171"/>
      <c r="K29" s="171"/>
      <c r="L29" s="171"/>
      <c r="M29" s="171"/>
      <c r="N29" s="171"/>
      <c r="O29" s="172"/>
      <c r="P29" s="171"/>
      <c r="Q29" s="173"/>
      <c r="R29" s="17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46" t="s">
        <v>55</v>
      </c>
      <c r="B30" s="46" t="s">
        <v>799</v>
      </c>
      <c r="C30" s="47" t="s">
        <v>911</v>
      </c>
      <c r="D30" s="46" t="s">
        <v>60</v>
      </c>
      <c r="E30" s="46" t="s">
        <v>646</v>
      </c>
      <c r="F30" s="46" t="s">
        <v>732</v>
      </c>
      <c r="G30" s="285"/>
      <c r="H30" s="171"/>
      <c r="I30" s="171"/>
      <c r="J30" s="171"/>
      <c r="K30" s="171"/>
      <c r="L30" s="171"/>
      <c r="M30" s="171"/>
      <c r="N30" s="171"/>
      <c r="O30" s="172"/>
      <c r="P30" s="171"/>
      <c r="Q30" s="173"/>
      <c r="R30" s="17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46" t="s">
        <v>55</v>
      </c>
      <c r="B31" s="46" t="s">
        <v>797</v>
      </c>
      <c r="C31" s="47" t="s">
        <v>909</v>
      </c>
      <c r="D31" s="46" t="s">
        <v>60</v>
      </c>
      <c r="E31" s="46" t="s">
        <v>254</v>
      </c>
      <c r="F31" s="46" t="s">
        <v>732</v>
      </c>
      <c r="G31" s="285"/>
      <c r="H31" s="171"/>
      <c r="I31" s="171"/>
      <c r="J31" s="171"/>
      <c r="K31" s="171"/>
      <c r="L31" s="171"/>
      <c r="M31" s="171"/>
      <c r="N31" s="171"/>
      <c r="O31" s="172"/>
      <c r="P31" s="171"/>
      <c r="Q31" s="173"/>
      <c r="R31" s="17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46" t="s">
        <v>55</v>
      </c>
      <c r="B32" s="46" t="s">
        <v>802</v>
      </c>
      <c r="C32" s="47" t="s">
        <v>918</v>
      </c>
      <c r="D32" s="46" t="s">
        <v>60</v>
      </c>
      <c r="E32" s="46" t="s">
        <v>646</v>
      </c>
      <c r="F32" s="46" t="s">
        <v>732</v>
      </c>
      <c r="G32" s="285"/>
      <c r="H32" s="171"/>
      <c r="I32" s="171"/>
      <c r="J32" s="171"/>
      <c r="K32" s="171"/>
      <c r="L32" s="171"/>
      <c r="M32" s="171"/>
      <c r="N32" s="171"/>
      <c r="O32" s="172"/>
      <c r="P32" s="171"/>
      <c r="Q32" s="173"/>
      <c r="R32" s="17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46" t="s">
        <v>304</v>
      </c>
      <c r="B33" s="46" t="s">
        <v>795</v>
      </c>
      <c r="C33" s="47" t="s">
        <v>234</v>
      </c>
      <c r="D33" s="46" t="s">
        <v>37</v>
      </c>
      <c r="E33" s="46" t="s">
        <v>235</v>
      </c>
      <c r="F33" s="46" t="s">
        <v>796</v>
      </c>
      <c r="G33" s="285"/>
      <c r="H33" s="171"/>
      <c r="I33" s="171"/>
      <c r="J33" s="171"/>
      <c r="K33" s="171"/>
      <c r="L33" s="171"/>
      <c r="M33" s="171"/>
      <c r="N33" s="171"/>
      <c r="O33" s="172"/>
      <c r="P33" s="171"/>
      <c r="Q33" s="173"/>
      <c r="R33" s="17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61" t="s">
        <v>35</v>
      </c>
      <c r="B34" s="61" t="s">
        <v>805</v>
      </c>
      <c r="C34" s="62" t="s">
        <v>919</v>
      </c>
      <c r="D34" s="61" t="s">
        <v>37</v>
      </c>
      <c r="E34" s="61" t="s">
        <v>235</v>
      </c>
      <c r="F34" s="61" t="s">
        <v>839</v>
      </c>
      <c r="G34" s="286"/>
      <c r="H34" s="174"/>
      <c r="I34" s="174"/>
      <c r="J34" s="174"/>
      <c r="K34" s="174"/>
      <c r="L34" s="174"/>
      <c r="M34" s="174"/>
      <c r="N34" s="174"/>
      <c r="O34" s="175"/>
      <c r="P34" s="174"/>
      <c r="Q34" s="176"/>
      <c r="R34" s="17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88"/>
      <c r="B35" s="289"/>
      <c r="C35" s="289"/>
      <c r="D35" s="289"/>
      <c r="E35" s="289"/>
      <c r="F35" s="289"/>
      <c r="G35" s="289"/>
      <c r="H35" s="289"/>
      <c r="I35" s="289"/>
      <c r="J35" s="289"/>
      <c r="K35" s="289"/>
      <c r="L35" s="289"/>
      <c r="M35" s="289"/>
      <c r="N35" s="289"/>
      <c r="O35" s="289"/>
      <c r="P35" s="289"/>
      <c r="Q35" s="289"/>
      <c r="R35" s="29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82" t="s">
        <v>5</v>
      </c>
      <c r="B36" s="283"/>
      <c r="C36" s="283"/>
      <c r="D36" s="283"/>
      <c r="E36" s="283"/>
      <c r="F36" s="283"/>
      <c r="G36" s="5">
        <v>45991</v>
      </c>
      <c r="H36" s="278" t="s">
        <v>6</v>
      </c>
      <c r="I36" s="279"/>
      <c r="J36" s="279"/>
      <c r="K36" s="279"/>
      <c r="L36" s="279"/>
      <c r="M36" s="279"/>
      <c r="N36" s="279"/>
      <c r="O36" s="279"/>
      <c r="P36" s="279"/>
      <c r="Q36" s="279"/>
      <c r="R36" s="27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55" t="s">
        <v>7</v>
      </c>
      <c r="B37" s="55" t="s">
        <v>8</v>
      </c>
      <c r="C37" s="56" t="s">
        <v>9</v>
      </c>
      <c r="D37" s="55" t="s">
        <v>10</v>
      </c>
      <c r="E37" s="55" t="s">
        <v>11</v>
      </c>
      <c r="F37" s="55" t="s">
        <v>12</v>
      </c>
      <c r="G37" s="57" t="s">
        <v>13</v>
      </c>
      <c r="H37" s="55" t="s">
        <v>14</v>
      </c>
      <c r="I37" s="58" t="s">
        <v>15</v>
      </c>
      <c r="J37" s="59" t="s">
        <v>16</v>
      </c>
      <c r="K37" s="60" t="s">
        <v>17</v>
      </c>
      <c r="L37" s="59" t="s">
        <v>18</v>
      </c>
      <c r="M37" s="59" t="s">
        <v>19</v>
      </c>
      <c r="N37" s="59" t="s">
        <v>20</v>
      </c>
      <c r="O37" s="55" t="s">
        <v>21</v>
      </c>
      <c r="P37" s="56" t="s">
        <v>22</v>
      </c>
      <c r="Q37" s="59" t="s">
        <v>23</v>
      </c>
      <c r="R37" s="55"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82" t="s">
        <v>35</v>
      </c>
      <c r="B38" s="82" t="s">
        <v>899</v>
      </c>
      <c r="C38" s="83">
        <v>0.61111111111111105</v>
      </c>
      <c r="D38" s="82" t="s">
        <v>37</v>
      </c>
      <c r="E38" s="82" t="s">
        <v>38</v>
      </c>
      <c r="F38" s="82" t="s">
        <v>900</v>
      </c>
      <c r="G38" s="284"/>
      <c r="H38" s="84" t="s">
        <v>901</v>
      </c>
      <c r="I38" s="215">
        <v>0.52980000000000005</v>
      </c>
      <c r="J38" s="86">
        <v>89</v>
      </c>
      <c r="K38" s="87">
        <v>45984</v>
      </c>
      <c r="L38" s="86">
        <v>17</v>
      </c>
      <c r="M38" s="86">
        <v>0</v>
      </c>
      <c r="N38" s="86">
        <v>2</v>
      </c>
      <c r="O38" s="88" t="s">
        <v>322</v>
      </c>
      <c r="P38" s="89">
        <v>0.61111111111111105</v>
      </c>
      <c r="Q38" s="86">
        <v>168</v>
      </c>
      <c r="R38" s="90" t="s">
        <v>920</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44" t="s">
        <v>66</v>
      </c>
      <c r="B39" s="44" t="s">
        <v>903</v>
      </c>
      <c r="C39" s="45">
        <v>0.61111111111111105</v>
      </c>
      <c r="D39" s="44" t="s">
        <v>85</v>
      </c>
      <c r="E39" s="44" t="s">
        <v>80</v>
      </c>
      <c r="F39" s="44" t="s">
        <v>863</v>
      </c>
      <c r="G39" s="285"/>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8" x14ac:dyDescent="0.3">
      <c r="A40" s="306" t="s">
        <v>904</v>
      </c>
      <c r="B40" s="307"/>
      <c r="C40" s="307"/>
      <c r="D40" s="307"/>
      <c r="E40" s="307"/>
      <c r="F40" s="307"/>
      <c r="G40" s="285"/>
      <c r="H40" s="171"/>
      <c r="I40" s="171"/>
      <c r="J40" s="171"/>
      <c r="K40" s="171"/>
      <c r="L40" s="171"/>
      <c r="M40" s="171"/>
      <c r="N40" s="171"/>
      <c r="O40" s="172"/>
      <c r="P40" s="171"/>
      <c r="Q40" s="173"/>
      <c r="R40" s="17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46" t="s">
        <v>25</v>
      </c>
      <c r="B41" s="46" t="s">
        <v>792</v>
      </c>
      <c r="C41" s="47" t="s">
        <v>907</v>
      </c>
      <c r="D41" s="46" t="s">
        <v>27</v>
      </c>
      <c r="E41" s="46" t="s">
        <v>624</v>
      </c>
      <c r="F41" s="46" t="s">
        <v>831</v>
      </c>
      <c r="G41" s="285"/>
      <c r="H41" s="171"/>
      <c r="I41" s="171"/>
      <c r="J41" s="171"/>
      <c r="K41" s="171"/>
      <c r="L41" s="171"/>
      <c r="M41" s="171"/>
      <c r="N41" s="171"/>
      <c r="O41" s="172"/>
      <c r="P41" s="171"/>
      <c r="Q41" s="173"/>
      <c r="R41" s="17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46" t="s">
        <v>25</v>
      </c>
      <c r="B42" s="46" t="s">
        <v>794</v>
      </c>
      <c r="C42" s="47" t="s">
        <v>908</v>
      </c>
      <c r="D42" s="46" t="s">
        <v>27</v>
      </c>
      <c r="E42" s="46" t="s">
        <v>246</v>
      </c>
      <c r="F42" s="46" t="s">
        <v>831</v>
      </c>
      <c r="G42" s="285"/>
      <c r="H42" s="171"/>
      <c r="I42" s="171"/>
      <c r="J42" s="171"/>
      <c r="K42" s="171"/>
      <c r="L42" s="171"/>
      <c r="M42" s="171"/>
      <c r="N42" s="171"/>
      <c r="O42" s="172"/>
      <c r="P42" s="171"/>
      <c r="Q42" s="173"/>
      <c r="R42" s="17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46" t="s">
        <v>25</v>
      </c>
      <c r="B43" s="46" t="s">
        <v>789</v>
      </c>
      <c r="C43" s="47" t="s">
        <v>906</v>
      </c>
      <c r="D43" s="46" t="s">
        <v>27</v>
      </c>
      <c r="E43" s="46" t="s">
        <v>921</v>
      </c>
      <c r="F43" s="46" t="s">
        <v>831</v>
      </c>
      <c r="G43" s="285"/>
      <c r="H43" s="171"/>
      <c r="I43" s="171"/>
      <c r="J43" s="171"/>
      <c r="K43" s="171"/>
      <c r="L43" s="171"/>
      <c r="M43" s="171"/>
      <c r="N43" s="171"/>
      <c r="O43" s="172"/>
      <c r="P43" s="171"/>
      <c r="Q43" s="173"/>
      <c r="R43" s="17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46" t="s">
        <v>25</v>
      </c>
      <c r="B44" s="46" t="s">
        <v>787</v>
      </c>
      <c r="C44" s="47" t="s">
        <v>905</v>
      </c>
      <c r="D44" s="46" t="s">
        <v>27</v>
      </c>
      <c r="E44" s="46" t="s">
        <v>237</v>
      </c>
      <c r="F44" s="46" t="s">
        <v>831</v>
      </c>
      <c r="G44" s="285"/>
      <c r="H44" s="171"/>
      <c r="I44" s="171"/>
      <c r="J44" s="171"/>
      <c r="K44" s="171"/>
      <c r="L44" s="171"/>
      <c r="M44" s="171"/>
      <c r="N44" s="171"/>
      <c r="O44" s="172"/>
      <c r="P44" s="171"/>
      <c r="Q44" s="173"/>
      <c r="R44" s="17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46" t="s">
        <v>55</v>
      </c>
      <c r="B45" s="46" t="s">
        <v>797</v>
      </c>
      <c r="C45" s="47" t="s">
        <v>909</v>
      </c>
      <c r="D45" s="46" t="s">
        <v>60</v>
      </c>
      <c r="E45" s="46" t="s">
        <v>646</v>
      </c>
      <c r="F45" s="46" t="s">
        <v>831</v>
      </c>
      <c r="G45" s="285"/>
      <c r="H45" s="171"/>
      <c r="I45" s="171"/>
      <c r="J45" s="171"/>
      <c r="K45" s="171"/>
      <c r="L45" s="171"/>
      <c r="M45" s="171"/>
      <c r="N45" s="171"/>
      <c r="O45" s="172"/>
      <c r="P45" s="171"/>
      <c r="Q45" s="173"/>
      <c r="R45" s="17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46" t="s">
        <v>55</v>
      </c>
      <c r="B46" s="46" t="s">
        <v>802</v>
      </c>
      <c r="C46" s="47" t="s">
        <v>918</v>
      </c>
      <c r="D46" s="46" t="s">
        <v>60</v>
      </c>
      <c r="E46" s="46" t="s">
        <v>237</v>
      </c>
      <c r="F46" s="46" t="s">
        <v>831</v>
      </c>
      <c r="G46" s="285"/>
      <c r="H46" s="171"/>
      <c r="I46" s="171"/>
      <c r="J46" s="171"/>
      <c r="K46" s="171"/>
      <c r="L46" s="171"/>
      <c r="M46" s="171"/>
      <c r="N46" s="171"/>
      <c r="O46" s="172"/>
      <c r="P46" s="171"/>
      <c r="Q46" s="173"/>
      <c r="R46" s="17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46" t="s">
        <v>55</v>
      </c>
      <c r="B47" s="46" t="s">
        <v>799</v>
      </c>
      <c r="C47" s="47" t="s">
        <v>911</v>
      </c>
      <c r="D47" s="46" t="s">
        <v>60</v>
      </c>
      <c r="E47" s="46" t="s">
        <v>241</v>
      </c>
      <c r="F47" s="46" t="s">
        <v>852</v>
      </c>
      <c r="G47" s="285"/>
      <c r="H47" s="171"/>
      <c r="I47" s="171"/>
      <c r="J47" s="171"/>
      <c r="K47" s="171"/>
      <c r="L47" s="171"/>
      <c r="M47" s="171"/>
      <c r="N47" s="171"/>
      <c r="O47" s="172"/>
      <c r="P47" s="171"/>
      <c r="Q47" s="173"/>
      <c r="R47" s="17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46" t="s">
        <v>55</v>
      </c>
      <c r="B48" s="46" t="s">
        <v>803</v>
      </c>
      <c r="C48" s="47" t="s">
        <v>922</v>
      </c>
      <c r="D48" s="46" t="s">
        <v>60</v>
      </c>
      <c r="E48" s="46" t="s">
        <v>646</v>
      </c>
      <c r="F48" s="46" t="s">
        <v>852</v>
      </c>
      <c r="G48" s="285"/>
      <c r="H48" s="171"/>
      <c r="I48" s="171"/>
      <c r="J48" s="171"/>
      <c r="K48" s="171"/>
      <c r="L48" s="171"/>
      <c r="M48" s="171"/>
      <c r="N48" s="171"/>
      <c r="O48" s="172"/>
      <c r="P48" s="171"/>
      <c r="Q48" s="173"/>
      <c r="R48" s="17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46" t="s">
        <v>55</v>
      </c>
      <c r="B49" s="46" t="s">
        <v>800</v>
      </c>
      <c r="C49" s="47" t="s">
        <v>908</v>
      </c>
      <c r="D49" s="46" t="s">
        <v>60</v>
      </c>
      <c r="E49" s="46" t="s">
        <v>646</v>
      </c>
      <c r="F49" s="46" t="s">
        <v>852</v>
      </c>
      <c r="G49" s="285"/>
      <c r="H49" s="171"/>
      <c r="I49" s="171"/>
      <c r="J49" s="171"/>
      <c r="K49" s="171"/>
      <c r="L49" s="171"/>
      <c r="M49" s="171"/>
      <c r="N49" s="171"/>
      <c r="O49" s="172"/>
      <c r="P49" s="171"/>
      <c r="Q49" s="173"/>
      <c r="R49" s="17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61" t="s">
        <v>55</v>
      </c>
      <c r="B50" s="61" t="s">
        <v>801</v>
      </c>
      <c r="C50" s="62" t="s">
        <v>912</v>
      </c>
      <c r="D50" s="61" t="s">
        <v>60</v>
      </c>
      <c r="E50" s="61" t="s">
        <v>646</v>
      </c>
      <c r="F50" s="61" t="s">
        <v>852</v>
      </c>
      <c r="G50" s="286"/>
      <c r="H50" s="174"/>
      <c r="I50" s="174"/>
      <c r="J50" s="174"/>
      <c r="K50" s="174"/>
      <c r="L50" s="174"/>
      <c r="M50" s="174"/>
      <c r="N50" s="174"/>
      <c r="O50" s="175"/>
      <c r="P50" s="174"/>
      <c r="Q50" s="176"/>
      <c r="R50" s="17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88"/>
      <c r="B51" s="289"/>
      <c r="C51" s="289"/>
      <c r="D51" s="289"/>
      <c r="E51" s="289"/>
      <c r="F51" s="289"/>
      <c r="G51" s="289"/>
      <c r="H51" s="289"/>
      <c r="I51" s="289"/>
      <c r="J51" s="289"/>
      <c r="K51" s="289"/>
      <c r="L51" s="289"/>
      <c r="M51" s="289"/>
      <c r="N51" s="289"/>
      <c r="O51" s="289"/>
      <c r="P51" s="289"/>
      <c r="Q51" s="289"/>
      <c r="R51" s="29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sheetData>
  <mergeCells count="24">
    <mergeCell ref="A51:R51"/>
    <mergeCell ref="A40:F40"/>
    <mergeCell ref="D1:F1"/>
    <mergeCell ref="A24:F24"/>
    <mergeCell ref="G22:G34"/>
    <mergeCell ref="A1:C1"/>
    <mergeCell ref="A36:F36"/>
    <mergeCell ref="G1:H1"/>
    <mergeCell ref="O1:Q1"/>
    <mergeCell ref="H20:R20"/>
    <mergeCell ref="G38:G50"/>
    <mergeCell ref="H4:R4"/>
    <mergeCell ref="A2:F2"/>
    <mergeCell ref="A3:R3"/>
    <mergeCell ref="A8:F8"/>
    <mergeCell ref="G6:G18"/>
    <mergeCell ref="G2:J2"/>
    <mergeCell ref="A4:F4"/>
    <mergeCell ref="A20:F20"/>
    <mergeCell ref="H36:R36"/>
    <mergeCell ref="J1:M1"/>
    <mergeCell ref="A35:R35"/>
    <mergeCell ref="A19:R19"/>
    <mergeCell ref="K2:R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901</v>
      </c>
      <c r="D2" s="95">
        <v>0.61458333333333337</v>
      </c>
      <c r="E2" s="94" t="s">
        <v>898</v>
      </c>
      <c r="F2" s="94" t="s">
        <v>174</v>
      </c>
      <c r="G2" s="96">
        <v>0.58930000000000005</v>
      </c>
      <c r="H2" s="97">
        <v>168</v>
      </c>
      <c r="I2" s="97">
        <v>99</v>
      </c>
      <c r="J2" s="97">
        <v>0</v>
      </c>
      <c r="K2" s="93">
        <v>45984</v>
      </c>
      <c r="L2" s="97">
        <v>0</v>
      </c>
      <c r="M2" s="97">
        <v>11</v>
      </c>
      <c r="N2" s="97">
        <v>42</v>
      </c>
      <c r="O2" s="94" t="s">
        <v>322</v>
      </c>
      <c r="P2" s="98"/>
      <c r="Q2" s="98"/>
      <c r="R2" s="98"/>
      <c r="S2" s="98"/>
      <c r="T2" s="98"/>
      <c r="U2" s="98"/>
      <c r="V2" s="98"/>
      <c r="W2" s="98"/>
      <c r="X2" s="98"/>
      <c r="Y2" s="97" t="s">
        <v>545</v>
      </c>
      <c r="Z2" s="97" t="s">
        <v>510</v>
      </c>
      <c r="AA2" s="97" t="s">
        <v>707</v>
      </c>
      <c r="AB2" s="97" t="s">
        <v>571</v>
      </c>
      <c r="AC2" s="97" t="s">
        <v>923</v>
      </c>
      <c r="AD2" s="97" t="s">
        <v>924</v>
      </c>
      <c r="AE2" s="97" t="s">
        <v>744</v>
      </c>
      <c r="AF2" s="98"/>
      <c r="AG2" s="98"/>
      <c r="AH2" s="98"/>
      <c r="AI2" s="98"/>
    </row>
    <row r="3" spans="1:35" ht="18" x14ac:dyDescent="0.3">
      <c r="A3" s="99" t="s">
        <v>273</v>
      </c>
      <c r="B3" s="100">
        <v>45987</v>
      </c>
      <c r="C3" s="101" t="s">
        <v>914</v>
      </c>
      <c r="D3" s="102">
        <v>0.59027777777777779</v>
      </c>
      <c r="E3" s="101" t="s">
        <v>898</v>
      </c>
      <c r="F3" s="101" t="s">
        <v>174</v>
      </c>
      <c r="G3" s="103">
        <v>0.5655</v>
      </c>
      <c r="H3" s="104">
        <v>168</v>
      </c>
      <c r="I3" s="104">
        <v>95</v>
      </c>
      <c r="J3" s="104">
        <v>0</v>
      </c>
      <c r="K3" s="100">
        <v>45984</v>
      </c>
      <c r="L3" s="104">
        <v>0</v>
      </c>
      <c r="M3" s="104">
        <v>3</v>
      </c>
      <c r="N3" s="104">
        <v>33</v>
      </c>
      <c r="O3" s="101" t="s">
        <v>322</v>
      </c>
      <c r="P3" s="105"/>
      <c r="Q3" s="105"/>
      <c r="R3" s="105"/>
      <c r="S3" s="105"/>
      <c r="T3" s="105"/>
      <c r="U3" s="105"/>
      <c r="V3" s="105"/>
      <c r="W3" s="105"/>
      <c r="X3" s="105"/>
      <c r="Y3" s="104" t="s">
        <v>506</v>
      </c>
      <c r="Z3" s="104" t="s">
        <v>214</v>
      </c>
      <c r="AA3" s="104" t="s">
        <v>693</v>
      </c>
      <c r="AB3" s="105"/>
      <c r="AC3" s="104" t="s">
        <v>515</v>
      </c>
      <c r="AD3" s="104" t="s">
        <v>925</v>
      </c>
      <c r="AE3" s="104" t="s">
        <v>926</v>
      </c>
      <c r="AF3" s="105"/>
      <c r="AG3" s="105"/>
      <c r="AH3" s="105"/>
      <c r="AI3" s="105"/>
    </row>
    <row r="4" spans="1:35" ht="18" x14ac:dyDescent="0.3">
      <c r="A4" s="92" t="s">
        <v>211</v>
      </c>
      <c r="B4" s="93">
        <v>45991</v>
      </c>
      <c r="C4" s="94" t="s">
        <v>901</v>
      </c>
      <c r="D4" s="95">
        <v>0.61111111111111105</v>
      </c>
      <c r="E4" s="94" t="s">
        <v>898</v>
      </c>
      <c r="F4" s="94" t="s">
        <v>174</v>
      </c>
      <c r="G4" s="96">
        <v>0.52980000000000005</v>
      </c>
      <c r="H4" s="97">
        <v>168</v>
      </c>
      <c r="I4" s="97">
        <v>89</v>
      </c>
      <c r="J4" s="97">
        <v>0</v>
      </c>
      <c r="K4" s="93">
        <v>45984</v>
      </c>
      <c r="L4" s="97">
        <v>0</v>
      </c>
      <c r="M4" s="97">
        <v>2</v>
      </c>
      <c r="N4" s="97">
        <v>17</v>
      </c>
      <c r="O4" s="94" t="s">
        <v>322</v>
      </c>
      <c r="P4" s="98"/>
      <c r="Q4" s="98"/>
      <c r="R4" s="98"/>
      <c r="S4" s="98"/>
      <c r="T4" s="98"/>
      <c r="U4" s="98"/>
      <c r="V4" s="98"/>
      <c r="W4" s="98"/>
      <c r="X4" s="98"/>
      <c r="Y4" s="97" t="s">
        <v>506</v>
      </c>
      <c r="Z4" s="97" t="s">
        <v>556</v>
      </c>
      <c r="AA4" s="98"/>
      <c r="AB4" s="97" t="s">
        <v>285</v>
      </c>
      <c r="AC4" s="97" t="s">
        <v>927</v>
      </c>
      <c r="AD4" s="97" t="s">
        <v>928</v>
      </c>
      <c r="AE4" s="97" t="s">
        <v>312</v>
      </c>
      <c r="AF4" s="98"/>
      <c r="AG4" s="98"/>
      <c r="AH4" s="98"/>
      <c r="AI4" s="98"/>
    </row>
    <row r="5" spans="1:35" ht="18" x14ac:dyDescent="0.3">
      <c r="A5" s="106" t="s">
        <v>219</v>
      </c>
      <c r="B5" s="107"/>
      <c r="C5" s="108">
        <f>COUNTA(C2:C4)</f>
        <v>3</v>
      </c>
      <c r="D5" s="107"/>
      <c r="E5" s="107"/>
      <c r="F5" s="107"/>
      <c r="G5" s="109">
        <f>AVERAGE(G2:G4)</f>
        <v>0.56153333333333333</v>
      </c>
      <c r="H5" s="110">
        <f>SUM(H2:H4)</f>
        <v>504</v>
      </c>
      <c r="I5" s="110">
        <f>SUM(I2:I4)</f>
        <v>283</v>
      </c>
      <c r="J5" s="110">
        <f>SUM(J2:J4)</f>
        <v>0</v>
      </c>
      <c r="K5" s="107"/>
      <c r="L5" s="110">
        <f>SUM(L2:L4)</f>
        <v>0</v>
      </c>
      <c r="M5" s="110">
        <f>SUM(M2:M4)</f>
        <v>16</v>
      </c>
      <c r="N5" s="110">
        <f>SUM(N2:N4)</f>
        <v>92</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73"/>
  <sheetViews>
    <sheetView workbookViewId="0"/>
  </sheetViews>
  <sheetFormatPr defaultRowHeight="14.4" x14ac:dyDescent="0.3"/>
  <cols>
    <col min="1" max="1" width="13" bestFit="1" customWidth="1"/>
    <col min="2" max="2" width="19.44140625" bestFit="1" customWidth="1"/>
    <col min="3" max="3" width="16.109375" bestFit="1" customWidth="1"/>
    <col min="4" max="4" width="11.44140625" bestFit="1" customWidth="1"/>
    <col min="5" max="5" width="32.88671875" bestFit="1" customWidth="1"/>
    <col min="6" max="6" width="34.886718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87">
        <v>45986</v>
      </c>
      <c r="B2" s="125" t="s">
        <v>35</v>
      </c>
      <c r="C2" s="126" t="s">
        <v>899</v>
      </c>
      <c r="D2" s="125" t="s">
        <v>898</v>
      </c>
      <c r="E2" s="127">
        <v>1.614583333333333</v>
      </c>
      <c r="F2" s="125" t="s">
        <v>37</v>
      </c>
      <c r="G2" s="128">
        <v>9</v>
      </c>
      <c r="H2" s="200">
        <v>596</v>
      </c>
    </row>
    <row r="3" spans="1:8" ht="18" x14ac:dyDescent="0.3">
      <c r="A3" s="136">
        <v>45986</v>
      </c>
      <c r="B3" s="113" t="s">
        <v>66</v>
      </c>
      <c r="C3" s="114" t="s">
        <v>903</v>
      </c>
      <c r="D3" s="113" t="s">
        <v>898</v>
      </c>
      <c r="E3" s="115">
        <v>1.614583333333333</v>
      </c>
      <c r="F3" s="113" t="s">
        <v>85</v>
      </c>
      <c r="G3" s="116">
        <v>4</v>
      </c>
      <c r="H3" s="137">
        <v>778</v>
      </c>
    </row>
    <row r="4" spans="1:8" ht="15.6" x14ac:dyDescent="0.3">
      <c r="A4" s="189"/>
      <c r="B4" s="189"/>
      <c r="C4" s="189"/>
      <c r="D4" s="189"/>
      <c r="E4" s="190" t="s">
        <v>929</v>
      </c>
      <c r="F4" s="189"/>
      <c r="G4" s="189"/>
      <c r="H4" s="3"/>
    </row>
    <row r="5" spans="1:8" ht="18" x14ac:dyDescent="0.3">
      <c r="A5" s="136">
        <v>45986</v>
      </c>
      <c r="B5" s="113" t="s">
        <v>25</v>
      </c>
      <c r="C5" s="114" t="s">
        <v>787</v>
      </c>
      <c r="D5" s="113" t="s">
        <v>786</v>
      </c>
      <c r="E5" s="115">
        <v>1.8159722222222221</v>
      </c>
      <c r="F5" s="113" t="s">
        <v>27</v>
      </c>
      <c r="G5" s="116">
        <v>1</v>
      </c>
      <c r="H5" s="137">
        <v>309</v>
      </c>
    </row>
    <row r="6" spans="1:8" ht="18" x14ac:dyDescent="0.3">
      <c r="A6" s="138">
        <v>45986</v>
      </c>
      <c r="B6" s="139" t="s">
        <v>25</v>
      </c>
      <c r="C6" s="140" t="s">
        <v>789</v>
      </c>
      <c r="D6" s="139" t="s">
        <v>786</v>
      </c>
      <c r="E6" s="141">
        <v>1.760416666666667</v>
      </c>
      <c r="F6" s="139" t="s">
        <v>27</v>
      </c>
      <c r="G6" s="142">
        <v>4</v>
      </c>
      <c r="H6" s="143">
        <v>339</v>
      </c>
    </row>
    <row r="7" spans="1:8" ht="18" x14ac:dyDescent="0.3">
      <c r="A7" s="138">
        <v>45986</v>
      </c>
      <c r="B7" s="139" t="s">
        <v>25</v>
      </c>
      <c r="C7" s="140" t="s">
        <v>792</v>
      </c>
      <c r="D7" s="139" t="s">
        <v>786</v>
      </c>
      <c r="E7" s="141">
        <v>1.447916666666667</v>
      </c>
      <c r="F7" s="139" t="s">
        <v>27</v>
      </c>
      <c r="G7" s="142">
        <v>10</v>
      </c>
      <c r="H7" s="143">
        <v>369</v>
      </c>
    </row>
    <row r="8" spans="1:8" ht="18" x14ac:dyDescent="0.3">
      <c r="A8" s="138">
        <v>45986</v>
      </c>
      <c r="B8" s="139" t="s">
        <v>25</v>
      </c>
      <c r="C8" s="140" t="s">
        <v>794</v>
      </c>
      <c r="D8" s="139" t="s">
        <v>786</v>
      </c>
      <c r="E8" s="141">
        <v>1.5</v>
      </c>
      <c r="F8" s="139" t="s">
        <v>27</v>
      </c>
      <c r="G8" s="142">
        <v>10</v>
      </c>
      <c r="H8" s="143">
        <v>369</v>
      </c>
    </row>
    <row r="9" spans="1:8" ht="18" x14ac:dyDescent="0.3">
      <c r="A9" s="136">
        <v>45986</v>
      </c>
      <c r="B9" s="113" t="s">
        <v>304</v>
      </c>
      <c r="C9" s="114" t="s">
        <v>795</v>
      </c>
      <c r="D9" s="113" t="s">
        <v>786</v>
      </c>
      <c r="E9" s="115">
        <v>1.2777777777777779</v>
      </c>
      <c r="F9" s="113" t="s">
        <v>37</v>
      </c>
      <c r="G9" s="116">
        <v>9</v>
      </c>
      <c r="H9" s="137">
        <v>350</v>
      </c>
    </row>
    <row r="10" spans="1:8" ht="18" x14ac:dyDescent="0.3">
      <c r="A10" s="136">
        <v>45986</v>
      </c>
      <c r="B10" s="113" t="s">
        <v>55</v>
      </c>
      <c r="C10" s="114" t="s">
        <v>797</v>
      </c>
      <c r="D10" s="113" t="s">
        <v>786</v>
      </c>
      <c r="E10" s="115">
        <v>1.427083333333333</v>
      </c>
      <c r="F10" s="113" t="s">
        <v>60</v>
      </c>
      <c r="G10" s="116">
        <v>2</v>
      </c>
      <c r="H10" s="137">
        <v>369</v>
      </c>
    </row>
    <row r="11" spans="1:8" ht="18" x14ac:dyDescent="0.3">
      <c r="A11" s="138">
        <v>45986</v>
      </c>
      <c r="B11" s="139" t="s">
        <v>55</v>
      </c>
      <c r="C11" s="140" t="s">
        <v>799</v>
      </c>
      <c r="D11" s="139" t="s">
        <v>786</v>
      </c>
      <c r="E11" s="141">
        <v>1.305555555555556</v>
      </c>
      <c r="F11" s="139" t="s">
        <v>60</v>
      </c>
      <c r="G11" s="142">
        <v>9</v>
      </c>
      <c r="H11" s="143">
        <v>409</v>
      </c>
    </row>
    <row r="12" spans="1:8" ht="18" x14ac:dyDescent="0.3">
      <c r="A12" s="138">
        <v>45986</v>
      </c>
      <c r="B12" s="139" t="s">
        <v>55</v>
      </c>
      <c r="C12" s="140" t="s">
        <v>800</v>
      </c>
      <c r="D12" s="139" t="s">
        <v>786</v>
      </c>
      <c r="E12" s="141">
        <v>1.5</v>
      </c>
      <c r="F12" s="139" t="s">
        <v>60</v>
      </c>
      <c r="G12" s="142">
        <v>6</v>
      </c>
      <c r="H12" s="143">
        <v>409</v>
      </c>
    </row>
    <row r="13" spans="1:8" ht="18" x14ac:dyDescent="0.3">
      <c r="A13" s="138">
        <v>45986</v>
      </c>
      <c r="B13" s="139" t="s">
        <v>55</v>
      </c>
      <c r="C13" s="140" t="s">
        <v>801</v>
      </c>
      <c r="D13" s="139" t="s">
        <v>786</v>
      </c>
      <c r="E13" s="141">
        <v>1.6875</v>
      </c>
      <c r="F13" s="139" t="s">
        <v>60</v>
      </c>
      <c r="G13" s="142">
        <v>1</v>
      </c>
      <c r="H13" s="143">
        <v>409</v>
      </c>
    </row>
    <row r="14" spans="1:8" ht="18" x14ac:dyDescent="0.3">
      <c r="A14" s="154">
        <v>45986</v>
      </c>
      <c r="B14" s="155" t="s">
        <v>35</v>
      </c>
      <c r="C14" s="156" t="s">
        <v>805</v>
      </c>
      <c r="D14" s="155" t="s">
        <v>786</v>
      </c>
      <c r="E14" s="157">
        <v>1.913194444444444</v>
      </c>
      <c r="F14" s="155" t="s">
        <v>37</v>
      </c>
      <c r="G14" s="158">
        <v>6</v>
      </c>
      <c r="H14" s="242">
        <v>397</v>
      </c>
    </row>
    <row r="15" spans="1:8" ht="18" x14ac:dyDescent="0.3">
      <c r="A15" s="187">
        <v>45987</v>
      </c>
      <c r="B15" s="125" t="s">
        <v>35</v>
      </c>
      <c r="C15" s="126" t="s">
        <v>913</v>
      </c>
      <c r="D15" s="125" t="s">
        <v>898</v>
      </c>
      <c r="E15" s="127">
        <v>1.5902777777777779</v>
      </c>
      <c r="F15" s="125" t="s">
        <v>37</v>
      </c>
      <c r="G15" s="128">
        <v>9</v>
      </c>
      <c r="H15" s="200">
        <v>596</v>
      </c>
    </row>
    <row r="16" spans="1:8" ht="18" x14ac:dyDescent="0.3">
      <c r="A16" s="136">
        <v>45987</v>
      </c>
      <c r="B16" s="113" t="s">
        <v>66</v>
      </c>
      <c r="C16" s="114" t="s">
        <v>916</v>
      </c>
      <c r="D16" s="113" t="s">
        <v>898</v>
      </c>
      <c r="E16" s="115">
        <v>1.5902777777777779</v>
      </c>
      <c r="F16" s="113" t="s">
        <v>85</v>
      </c>
      <c r="G16" s="116">
        <v>4</v>
      </c>
      <c r="H16" s="137">
        <v>778</v>
      </c>
    </row>
    <row r="17" spans="1:8" ht="15.6" x14ac:dyDescent="0.3">
      <c r="A17" s="189"/>
      <c r="B17" s="189"/>
      <c r="C17" s="189"/>
      <c r="D17" s="189"/>
      <c r="E17" s="190" t="s">
        <v>929</v>
      </c>
      <c r="F17" s="189"/>
      <c r="G17" s="189"/>
      <c r="H17" s="3"/>
    </row>
    <row r="18" spans="1:8" ht="18" x14ac:dyDescent="0.3">
      <c r="A18" s="136">
        <v>45987</v>
      </c>
      <c r="B18" s="113" t="s">
        <v>25</v>
      </c>
      <c r="C18" s="114" t="s">
        <v>794</v>
      </c>
      <c r="D18" s="113" t="s">
        <v>786</v>
      </c>
      <c r="E18" s="115">
        <v>1.5</v>
      </c>
      <c r="F18" s="113" t="s">
        <v>27</v>
      </c>
      <c r="G18" s="116">
        <v>2</v>
      </c>
      <c r="H18" s="137">
        <v>259</v>
      </c>
    </row>
    <row r="19" spans="1:8" ht="18" x14ac:dyDescent="0.3">
      <c r="A19" s="138">
        <v>45987</v>
      </c>
      <c r="B19" s="139" t="s">
        <v>25</v>
      </c>
      <c r="C19" s="140" t="s">
        <v>792</v>
      </c>
      <c r="D19" s="139" t="s">
        <v>786</v>
      </c>
      <c r="E19" s="141">
        <v>1.447916666666667</v>
      </c>
      <c r="F19" s="139" t="s">
        <v>27</v>
      </c>
      <c r="G19" s="142">
        <v>20</v>
      </c>
      <c r="H19" s="143">
        <v>279</v>
      </c>
    </row>
    <row r="20" spans="1:8" ht="18" x14ac:dyDescent="0.3">
      <c r="A20" s="138">
        <v>45987</v>
      </c>
      <c r="B20" s="139" t="s">
        <v>25</v>
      </c>
      <c r="C20" s="140" t="s">
        <v>789</v>
      </c>
      <c r="D20" s="139" t="s">
        <v>786</v>
      </c>
      <c r="E20" s="141">
        <v>1.760416666666667</v>
      </c>
      <c r="F20" s="139" t="s">
        <v>27</v>
      </c>
      <c r="G20" s="142">
        <v>7</v>
      </c>
      <c r="H20" s="143">
        <v>309</v>
      </c>
    </row>
    <row r="21" spans="1:8" ht="18" x14ac:dyDescent="0.3">
      <c r="A21" s="138">
        <v>45987</v>
      </c>
      <c r="B21" s="139" t="s">
        <v>25</v>
      </c>
      <c r="C21" s="140" t="s">
        <v>787</v>
      </c>
      <c r="D21" s="139" t="s">
        <v>786</v>
      </c>
      <c r="E21" s="141">
        <v>1.8159722222222221</v>
      </c>
      <c r="F21" s="139" t="s">
        <v>27</v>
      </c>
      <c r="G21" s="142">
        <v>19</v>
      </c>
      <c r="H21" s="143">
        <v>309</v>
      </c>
    </row>
    <row r="22" spans="1:8" ht="18" x14ac:dyDescent="0.3">
      <c r="A22" s="136">
        <v>45987</v>
      </c>
      <c r="B22" s="113" t="s">
        <v>378</v>
      </c>
      <c r="C22" s="114" t="s">
        <v>836</v>
      </c>
      <c r="D22" s="113" t="s">
        <v>786</v>
      </c>
      <c r="E22" s="115">
        <v>1.2361111111111109</v>
      </c>
      <c r="F22" s="113" t="s">
        <v>380</v>
      </c>
      <c r="G22" s="116">
        <v>9</v>
      </c>
      <c r="H22" s="137">
        <v>316</v>
      </c>
    </row>
    <row r="23" spans="1:8" ht="18" x14ac:dyDescent="0.3">
      <c r="A23" s="136">
        <v>45987</v>
      </c>
      <c r="B23" s="113" t="s">
        <v>55</v>
      </c>
      <c r="C23" s="114" t="s">
        <v>799</v>
      </c>
      <c r="D23" s="113" t="s">
        <v>786</v>
      </c>
      <c r="E23" s="115">
        <v>1.305555555555556</v>
      </c>
      <c r="F23" s="113" t="s">
        <v>60</v>
      </c>
      <c r="G23" s="116">
        <v>9</v>
      </c>
      <c r="H23" s="137">
        <v>329</v>
      </c>
    </row>
    <row r="24" spans="1:8" ht="18" x14ac:dyDescent="0.3">
      <c r="A24" s="138">
        <v>45987</v>
      </c>
      <c r="B24" s="139" t="s">
        <v>55</v>
      </c>
      <c r="C24" s="140" t="s">
        <v>797</v>
      </c>
      <c r="D24" s="139" t="s">
        <v>786</v>
      </c>
      <c r="E24" s="141">
        <v>1.427083333333333</v>
      </c>
      <c r="F24" s="139" t="s">
        <v>60</v>
      </c>
      <c r="G24" s="142">
        <v>4</v>
      </c>
      <c r="H24" s="143">
        <v>329</v>
      </c>
    </row>
    <row r="25" spans="1:8" ht="18" x14ac:dyDescent="0.3">
      <c r="A25" s="138">
        <v>45987</v>
      </c>
      <c r="B25" s="139" t="s">
        <v>55</v>
      </c>
      <c r="C25" s="140" t="s">
        <v>802</v>
      </c>
      <c r="D25" s="139" t="s">
        <v>786</v>
      </c>
      <c r="E25" s="141">
        <v>1.375</v>
      </c>
      <c r="F25" s="139" t="s">
        <v>60</v>
      </c>
      <c r="G25" s="142">
        <v>9</v>
      </c>
      <c r="H25" s="143">
        <v>329</v>
      </c>
    </row>
    <row r="26" spans="1:8" ht="18" x14ac:dyDescent="0.3">
      <c r="A26" s="136">
        <v>45987</v>
      </c>
      <c r="B26" s="113" t="s">
        <v>304</v>
      </c>
      <c r="C26" s="114" t="s">
        <v>795</v>
      </c>
      <c r="D26" s="113" t="s">
        <v>786</v>
      </c>
      <c r="E26" s="115">
        <v>1.2777777777777779</v>
      </c>
      <c r="F26" s="113" t="s">
        <v>37</v>
      </c>
      <c r="G26" s="116">
        <v>9</v>
      </c>
      <c r="H26" s="137">
        <v>350</v>
      </c>
    </row>
    <row r="27" spans="1:8" ht="18" x14ac:dyDescent="0.3">
      <c r="A27" s="154">
        <v>45987</v>
      </c>
      <c r="B27" s="155" t="s">
        <v>35</v>
      </c>
      <c r="C27" s="156" t="s">
        <v>805</v>
      </c>
      <c r="D27" s="155" t="s">
        <v>786</v>
      </c>
      <c r="E27" s="157">
        <v>1.9236111111111109</v>
      </c>
      <c r="F27" s="155" t="s">
        <v>37</v>
      </c>
      <c r="G27" s="158">
        <v>9</v>
      </c>
      <c r="H27" s="242">
        <v>355</v>
      </c>
    </row>
    <row r="28" spans="1:8" ht="15.6" x14ac:dyDescent="0.3">
      <c r="A28" s="189"/>
      <c r="B28" s="189"/>
      <c r="C28" s="189"/>
      <c r="D28" s="189"/>
      <c r="E28" s="190" t="s">
        <v>929</v>
      </c>
      <c r="F28" s="189"/>
      <c r="G28" s="189"/>
      <c r="H28" s="3"/>
    </row>
    <row r="29" spans="1:8" ht="18" x14ac:dyDescent="0.3">
      <c r="A29" s="112">
        <v>45988</v>
      </c>
      <c r="B29" s="113" t="s">
        <v>25</v>
      </c>
      <c r="C29" s="114" t="s">
        <v>792</v>
      </c>
      <c r="D29" s="113" t="s">
        <v>786</v>
      </c>
      <c r="E29" s="115">
        <v>1.447916666666667</v>
      </c>
      <c r="F29" s="113" t="s">
        <v>27</v>
      </c>
      <c r="G29" s="116">
        <v>15</v>
      </c>
      <c r="H29" s="117">
        <v>279</v>
      </c>
    </row>
    <row r="30" spans="1:8" ht="18" x14ac:dyDescent="0.3">
      <c r="A30" s="138">
        <v>45988</v>
      </c>
      <c r="B30" s="139" t="s">
        <v>25</v>
      </c>
      <c r="C30" s="140" t="s">
        <v>794</v>
      </c>
      <c r="D30" s="139" t="s">
        <v>786</v>
      </c>
      <c r="E30" s="141">
        <v>1.5</v>
      </c>
      <c r="F30" s="139" t="s">
        <v>27</v>
      </c>
      <c r="G30" s="142">
        <v>14</v>
      </c>
      <c r="H30" s="143">
        <v>279</v>
      </c>
    </row>
    <row r="31" spans="1:8" ht="18" x14ac:dyDescent="0.3">
      <c r="A31" s="136">
        <v>45988</v>
      </c>
      <c r="B31" s="113" t="s">
        <v>55</v>
      </c>
      <c r="C31" s="114" t="s">
        <v>799</v>
      </c>
      <c r="D31" s="113" t="s">
        <v>786</v>
      </c>
      <c r="E31" s="115">
        <v>1.305555555555556</v>
      </c>
      <c r="F31" s="113" t="s">
        <v>60</v>
      </c>
      <c r="G31" s="116">
        <v>7</v>
      </c>
      <c r="H31" s="137">
        <v>289</v>
      </c>
    </row>
    <row r="32" spans="1:8" ht="18" x14ac:dyDescent="0.3">
      <c r="A32" s="118">
        <v>45988</v>
      </c>
      <c r="B32" s="119" t="s">
        <v>55</v>
      </c>
      <c r="C32" s="120" t="s">
        <v>799</v>
      </c>
      <c r="D32" s="119" t="s">
        <v>786</v>
      </c>
      <c r="E32" s="121">
        <v>1.305555555555556</v>
      </c>
      <c r="F32" s="119" t="s">
        <v>62</v>
      </c>
      <c r="G32" s="122">
        <v>7</v>
      </c>
      <c r="H32" s="123">
        <v>389</v>
      </c>
    </row>
    <row r="33" spans="1:8" ht="18" x14ac:dyDescent="0.3">
      <c r="A33" s="138">
        <v>45988</v>
      </c>
      <c r="B33" s="139" t="s">
        <v>55</v>
      </c>
      <c r="C33" s="140" t="s">
        <v>797</v>
      </c>
      <c r="D33" s="139" t="s">
        <v>786</v>
      </c>
      <c r="E33" s="141">
        <v>1.427083333333333</v>
      </c>
      <c r="F33" s="139" t="s">
        <v>60</v>
      </c>
      <c r="G33" s="142">
        <v>4</v>
      </c>
      <c r="H33" s="143">
        <v>289</v>
      </c>
    </row>
    <row r="34" spans="1:8" ht="18" x14ac:dyDescent="0.3">
      <c r="A34" s="138">
        <v>45988</v>
      </c>
      <c r="B34" s="139" t="s">
        <v>55</v>
      </c>
      <c r="C34" s="140" t="s">
        <v>802</v>
      </c>
      <c r="D34" s="139" t="s">
        <v>786</v>
      </c>
      <c r="E34" s="141">
        <v>1.375</v>
      </c>
      <c r="F34" s="139" t="s">
        <v>60</v>
      </c>
      <c r="G34" s="142">
        <v>9</v>
      </c>
      <c r="H34" s="143">
        <v>289</v>
      </c>
    </row>
    <row r="35" spans="1:8" ht="18" x14ac:dyDescent="0.3">
      <c r="A35" s="138">
        <v>45988</v>
      </c>
      <c r="B35" s="139" t="s">
        <v>55</v>
      </c>
      <c r="C35" s="140" t="s">
        <v>800</v>
      </c>
      <c r="D35" s="139" t="s">
        <v>786</v>
      </c>
      <c r="E35" s="141">
        <v>1.5</v>
      </c>
      <c r="F35" s="139" t="s">
        <v>60</v>
      </c>
      <c r="G35" s="142">
        <v>9</v>
      </c>
      <c r="H35" s="143">
        <v>329</v>
      </c>
    </row>
    <row r="36" spans="1:8" ht="18" x14ac:dyDescent="0.3">
      <c r="A36" s="138">
        <v>45988</v>
      </c>
      <c r="B36" s="139" t="s">
        <v>55</v>
      </c>
      <c r="C36" s="140" t="s">
        <v>804</v>
      </c>
      <c r="D36" s="139" t="s">
        <v>786</v>
      </c>
      <c r="E36" s="141">
        <v>1.5659722222222221</v>
      </c>
      <c r="F36" s="139" t="s">
        <v>60</v>
      </c>
      <c r="G36" s="142">
        <v>9</v>
      </c>
      <c r="H36" s="143">
        <v>369</v>
      </c>
    </row>
    <row r="37" spans="1:8" ht="18" x14ac:dyDescent="0.3">
      <c r="A37" s="136">
        <v>45988</v>
      </c>
      <c r="B37" s="113" t="s">
        <v>304</v>
      </c>
      <c r="C37" s="114" t="s">
        <v>855</v>
      </c>
      <c r="D37" s="113" t="s">
        <v>786</v>
      </c>
      <c r="E37" s="115">
        <v>1.8784722222222221</v>
      </c>
      <c r="F37" s="113" t="s">
        <v>37</v>
      </c>
      <c r="G37" s="116">
        <v>6</v>
      </c>
      <c r="H37" s="137">
        <v>350</v>
      </c>
    </row>
    <row r="38" spans="1:8" ht="18" x14ac:dyDescent="0.3">
      <c r="A38" s="194">
        <v>45988</v>
      </c>
      <c r="B38" s="195" t="s">
        <v>333</v>
      </c>
      <c r="C38" s="196" t="s">
        <v>856</v>
      </c>
      <c r="D38" s="195" t="s">
        <v>786</v>
      </c>
      <c r="E38" s="197">
        <v>1.354166666666667</v>
      </c>
      <c r="F38" s="195" t="s">
        <v>37</v>
      </c>
      <c r="G38" s="198">
        <v>9</v>
      </c>
      <c r="H38" s="223">
        <v>357</v>
      </c>
    </row>
    <row r="39" spans="1:8" ht="15.6" x14ac:dyDescent="0.3">
      <c r="A39" s="189"/>
      <c r="B39" s="189"/>
      <c r="C39" s="189"/>
      <c r="D39" s="189"/>
      <c r="E39" s="190" t="s">
        <v>929</v>
      </c>
      <c r="F39" s="189"/>
      <c r="G39" s="189"/>
      <c r="H39" s="3"/>
    </row>
    <row r="40" spans="1:8" ht="18" x14ac:dyDescent="0.3">
      <c r="A40" s="112">
        <v>45989</v>
      </c>
      <c r="B40" s="113" t="s">
        <v>25</v>
      </c>
      <c r="C40" s="114" t="s">
        <v>789</v>
      </c>
      <c r="D40" s="113" t="s">
        <v>786</v>
      </c>
      <c r="E40" s="115">
        <v>1.760416666666667</v>
      </c>
      <c r="F40" s="113" t="s">
        <v>27</v>
      </c>
      <c r="G40" s="116">
        <v>7</v>
      </c>
      <c r="H40" s="117">
        <v>279</v>
      </c>
    </row>
    <row r="41" spans="1:8" ht="18" x14ac:dyDescent="0.3">
      <c r="A41" s="138">
        <v>45989</v>
      </c>
      <c r="B41" s="139" t="s">
        <v>25</v>
      </c>
      <c r="C41" s="140" t="s">
        <v>787</v>
      </c>
      <c r="D41" s="139" t="s">
        <v>786</v>
      </c>
      <c r="E41" s="141">
        <v>1.8159722222222221</v>
      </c>
      <c r="F41" s="139" t="s">
        <v>27</v>
      </c>
      <c r="G41" s="142">
        <v>10</v>
      </c>
      <c r="H41" s="143">
        <v>279</v>
      </c>
    </row>
    <row r="42" spans="1:8" ht="18" x14ac:dyDescent="0.3">
      <c r="A42" s="138">
        <v>45989</v>
      </c>
      <c r="B42" s="139" t="s">
        <v>25</v>
      </c>
      <c r="C42" s="140" t="s">
        <v>792</v>
      </c>
      <c r="D42" s="139" t="s">
        <v>786</v>
      </c>
      <c r="E42" s="141">
        <v>1.447916666666667</v>
      </c>
      <c r="F42" s="139" t="s">
        <v>27</v>
      </c>
      <c r="G42" s="142">
        <v>11</v>
      </c>
      <c r="H42" s="143">
        <v>309</v>
      </c>
    </row>
    <row r="43" spans="1:8" ht="18" x14ac:dyDescent="0.3">
      <c r="A43" s="138">
        <v>45989</v>
      </c>
      <c r="B43" s="139" t="s">
        <v>25</v>
      </c>
      <c r="C43" s="140" t="s">
        <v>794</v>
      </c>
      <c r="D43" s="139" t="s">
        <v>786</v>
      </c>
      <c r="E43" s="141">
        <v>1.5</v>
      </c>
      <c r="F43" s="139" t="s">
        <v>27</v>
      </c>
      <c r="G43" s="142">
        <v>4</v>
      </c>
      <c r="H43" s="143">
        <v>309</v>
      </c>
    </row>
    <row r="44" spans="1:8" ht="18" x14ac:dyDescent="0.3">
      <c r="A44" s="136">
        <v>45989</v>
      </c>
      <c r="B44" s="113" t="s">
        <v>55</v>
      </c>
      <c r="C44" s="114" t="s">
        <v>803</v>
      </c>
      <c r="D44" s="113" t="s">
        <v>786</v>
      </c>
      <c r="E44" s="115">
        <v>1.8263888888888891</v>
      </c>
      <c r="F44" s="113" t="s">
        <v>60</v>
      </c>
      <c r="G44" s="116">
        <v>5</v>
      </c>
      <c r="H44" s="137">
        <v>289</v>
      </c>
    </row>
    <row r="45" spans="1:8" ht="18" x14ac:dyDescent="0.3">
      <c r="A45" s="138">
        <v>45989</v>
      </c>
      <c r="B45" s="139" t="s">
        <v>55</v>
      </c>
      <c r="C45" s="140" t="s">
        <v>801</v>
      </c>
      <c r="D45" s="139" t="s">
        <v>786</v>
      </c>
      <c r="E45" s="141">
        <v>1.6875</v>
      </c>
      <c r="F45" s="139" t="s">
        <v>60</v>
      </c>
      <c r="G45" s="142">
        <v>8</v>
      </c>
      <c r="H45" s="143">
        <v>329</v>
      </c>
    </row>
    <row r="46" spans="1:8" ht="18" x14ac:dyDescent="0.3">
      <c r="A46" s="138">
        <v>45989</v>
      </c>
      <c r="B46" s="139" t="s">
        <v>55</v>
      </c>
      <c r="C46" s="140" t="s">
        <v>804</v>
      </c>
      <c r="D46" s="139" t="s">
        <v>786</v>
      </c>
      <c r="E46" s="141">
        <v>1.5659722222222221</v>
      </c>
      <c r="F46" s="139" t="s">
        <v>60</v>
      </c>
      <c r="G46" s="142">
        <v>6</v>
      </c>
      <c r="H46" s="143">
        <v>329</v>
      </c>
    </row>
    <row r="47" spans="1:8" ht="18" x14ac:dyDescent="0.3">
      <c r="A47" s="136">
        <v>45989</v>
      </c>
      <c r="B47" s="113" t="s">
        <v>304</v>
      </c>
      <c r="C47" s="114" t="s">
        <v>795</v>
      </c>
      <c r="D47" s="113" t="s">
        <v>786</v>
      </c>
      <c r="E47" s="115">
        <v>1.2777777777777779</v>
      </c>
      <c r="F47" s="113" t="s">
        <v>37</v>
      </c>
      <c r="G47" s="116">
        <v>2</v>
      </c>
      <c r="H47" s="137">
        <v>290</v>
      </c>
    </row>
    <row r="48" spans="1:8" ht="18" x14ac:dyDescent="0.3">
      <c r="A48" s="124">
        <v>45989</v>
      </c>
      <c r="B48" s="125" t="s">
        <v>35</v>
      </c>
      <c r="C48" s="126" t="s">
        <v>841</v>
      </c>
      <c r="D48" s="125" t="s">
        <v>786</v>
      </c>
      <c r="E48" s="127">
        <v>1.604166666666667</v>
      </c>
      <c r="F48" s="125" t="s">
        <v>37</v>
      </c>
      <c r="G48" s="128">
        <v>9</v>
      </c>
      <c r="H48" s="129">
        <v>355</v>
      </c>
    </row>
    <row r="49" spans="1:8" ht="18" x14ac:dyDescent="0.3">
      <c r="A49" s="224">
        <v>45989</v>
      </c>
      <c r="B49" s="225" t="s">
        <v>35</v>
      </c>
      <c r="C49" s="226" t="s">
        <v>805</v>
      </c>
      <c r="D49" s="225" t="s">
        <v>786</v>
      </c>
      <c r="E49" s="227">
        <v>1.9236111111111109</v>
      </c>
      <c r="F49" s="225" t="s">
        <v>37</v>
      </c>
      <c r="G49" s="228">
        <v>8</v>
      </c>
      <c r="H49" s="229">
        <v>355</v>
      </c>
    </row>
    <row r="50" spans="1:8" ht="15.6" x14ac:dyDescent="0.3">
      <c r="A50" s="189"/>
      <c r="B50" s="189"/>
      <c r="C50" s="189"/>
      <c r="D50" s="189"/>
      <c r="E50" s="190" t="s">
        <v>929</v>
      </c>
      <c r="F50" s="189"/>
      <c r="G50" s="189"/>
      <c r="H50" s="3"/>
    </row>
    <row r="51" spans="1:8" ht="18" x14ac:dyDescent="0.3">
      <c r="A51" s="112">
        <v>45990</v>
      </c>
      <c r="B51" s="113" t="s">
        <v>25</v>
      </c>
      <c r="C51" s="114" t="s">
        <v>794</v>
      </c>
      <c r="D51" s="113" t="s">
        <v>786</v>
      </c>
      <c r="E51" s="115">
        <v>1.5</v>
      </c>
      <c r="F51" s="113" t="s">
        <v>27</v>
      </c>
      <c r="G51" s="116">
        <v>10</v>
      </c>
      <c r="H51" s="117">
        <v>259</v>
      </c>
    </row>
    <row r="52" spans="1:8" ht="18" x14ac:dyDescent="0.3">
      <c r="A52" s="138">
        <v>45990</v>
      </c>
      <c r="B52" s="139" t="s">
        <v>25</v>
      </c>
      <c r="C52" s="140" t="s">
        <v>789</v>
      </c>
      <c r="D52" s="139" t="s">
        <v>786</v>
      </c>
      <c r="E52" s="141">
        <v>1.760416666666667</v>
      </c>
      <c r="F52" s="139" t="s">
        <v>27</v>
      </c>
      <c r="G52" s="142">
        <v>17</v>
      </c>
      <c r="H52" s="143">
        <v>259</v>
      </c>
    </row>
    <row r="53" spans="1:8" ht="18" x14ac:dyDescent="0.3">
      <c r="A53" s="138">
        <v>45990</v>
      </c>
      <c r="B53" s="139" t="s">
        <v>25</v>
      </c>
      <c r="C53" s="140" t="s">
        <v>787</v>
      </c>
      <c r="D53" s="139" t="s">
        <v>786</v>
      </c>
      <c r="E53" s="141">
        <v>1.8159722222222221</v>
      </c>
      <c r="F53" s="139" t="s">
        <v>27</v>
      </c>
      <c r="G53" s="142">
        <v>9</v>
      </c>
      <c r="H53" s="143">
        <v>259</v>
      </c>
    </row>
    <row r="54" spans="1:8" ht="18" x14ac:dyDescent="0.3">
      <c r="A54" s="138">
        <v>45990</v>
      </c>
      <c r="B54" s="139" t="s">
        <v>25</v>
      </c>
      <c r="C54" s="140" t="s">
        <v>792</v>
      </c>
      <c r="D54" s="139" t="s">
        <v>786</v>
      </c>
      <c r="E54" s="141">
        <v>1.447916666666667</v>
      </c>
      <c r="F54" s="139" t="s">
        <v>27</v>
      </c>
      <c r="G54" s="142">
        <v>25</v>
      </c>
      <c r="H54" s="143">
        <v>279</v>
      </c>
    </row>
    <row r="55" spans="1:8" ht="18" x14ac:dyDescent="0.3">
      <c r="A55" s="136">
        <v>45990</v>
      </c>
      <c r="B55" s="113" t="s">
        <v>55</v>
      </c>
      <c r="C55" s="114" t="s">
        <v>799</v>
      </c>
      <c r="D55" s="113" t="s">
        <v>786</v>
      </c>
      <c r="E55" s="115">
        <v>1.305555555555556</v>
      </c>
      <c r="F55" s="113" t="s">
        <v>60</v>
      </c>
      <c r="G55" s="116">
        <v>6</v>
      </c>
      <c r="H55" s="137">
        <v>289</v>
      </c>
    </row>
    <row r="56" spans="1:8" ht="18" x14ac:dyDescent="0.3">
      <c r="A56" s="138">
        <v>45990</v>
      </c>
      <c r="B56" s="139" t="s">
        <v>55</v>
      </c>
      <c r="C56" s="140" t="s">
        <v>803</v>
      </c>
      <c r="D56" s="139" t="s">
        <v>786</v>
      </c>
      <c r="E56" s="141">
        <v>1.8263888888888891</v>
      </c>
      <c r="F56" s="139" t="s">
        <v>60</v>
      </c>
      <c r="G56" s="142">
        <v>9</v>
      </c>
      <c r="H56" s="143">
        <v>289</v>
      </c>
    </row>
    <row r="57" spans="1:8" ht="18" x14ac:dyDescent="0.3">
      <c r="A57" s="138">
        <v>45990</v>
      </c>
      <c r="B57" s="139" t="s">
        <v>55</v>
      </c>
      <c r="C57" s="140" t="s">
        <v>800</v>
      </c>
      <c r="D57" s="139" t="s">
        <v>786</v>
      </c>
      <c r="E57" s="141">
        <v>1.5</v>
      </c>
      <c r="F57" s="139" t="s">
        <v>60</v>
      </c>
      <c r="G57" s="142">
        <v>4</v>
      </c>
      <c r="H57" s="143">
        <v>289</v>
      </c>
    </row>
    <row r="58" spans="1:8" ht="18" x14ac:dyDescent="0.3">
      <c r="A58" s="138">
        <v>45990</v>
      </c>
      <c r="B58" s="139" t="s">
        <v>55</v>
      </c>
      <c r="C58" s="140" t="s">
        <v>797</v>
      </c>
      <c r="D58" s="139" t="s">
        <v>786</v>
      </c>
      <c r="E58" s="141">
        <v>1.427083333333333</v>
      </c>
      <c r="F58" s="139" t="s">
        <v>60</v>
      </c>
      <c r="G58" s="142">
        <v>7</v>
      </c>
      <c r="H58" s="143">
        <v>289</v>
      </c>
    </row>
    <row r="59" spans="1:8" ht="18" x14ac:dyDescent="0.3">
      <c r="A59" s="138">
        <v>45990</v>
      </c>
      <c r="B59" s="139" t="s">
        <v>55</v>
      </c>
      <c r="C59" s="140" t="s">
        <v>801</v>
      </c>
      <c r="D59" s="139" t="s">
        <v>786</v>
      </c>
      <c r="E59" s="141">
        <v>1.6875</v>
      </c>
      <c r="F59" s="139" t="s">
        <v>60</v>
      </c>
      <c r="G59" s="142">
        <v>6</v>
      </c>
      <c r="H59" s="143">
        <v>289</v>
      </c>
    </row>
    <row r="60" spans="1:8" ht="18" x14ac:dyDescent="0.3">
      <c r="A60" s="149">
        <v>45990</v>
      </c>
      <c r="B60" s="150" t="s">
        <v>55</v>
      </c>
      <c r="C60" s="151" t="s">
        <v>802</v>
      </c>
      <c r="D60" s="150" t="s">
        <v>786</v>
      </c>
      <c r="E60" s="152">
        <v>1.375</v>
      </c>
      <c r="F60" s="150" t="s">
        <v>60</v>
      </c>
      <c r="G60" s="153">
        <v>9</v>
      </c>
      <c r="H60" s="191">
        <v>289</v>
      </c>
    </row>
    <row r="61" spans="1:8" ht="18" x14ac:dyDescent="0.3">
      <c r="A61" s="187">
        <v>45991</v>
      </c>
      <c r="B61" s="125" t="s">
        <v>35</v>
      </c>
      <c r="C61" s="126" t="s">
        <v>899</v>
      </c>
      <c r="D61" s="125" t="s">
        <v>898</v>
      </c>
      <c r="E61" s="127">
        <v>1.6111111111111109</v>
      </c>
      <c r="F61" s="125" t="s">
        <v>37</v>
      </c>
      <c r="G61" s="128">
        <v>9</v>
      </c>
      <c r="H61" s="200">
        <v>596</v>
      </c>
    </row>
    <row r="62" spans="1:8" ht="18" x14ac:dyDescent="0.3">
      <c r="A62" s="136">
        <v>45991</v>
      </c>
      <c r="B62" s="113" t="s">
        <v>66</v>
      </c>
      <c r="C62" s="114" t="s">
        <v>903</v>
      </c>
      <c r="D62" s="113" t="s">
        <v>898</v>
      </c>
      <c r="E62" s="115">
        <v>1.6111111111111109</v>
      </c>
      <c r="F62" s="113" t="s">
        <v>85</v>
      </c>
      <c r="G62" s="116">
        <v>4</v>
      </c>
      <c r="H62" s="137">
        <v>778</v>
      </c>
    </row>
    <row r="63" spans="1:8" ht="15.6" x14ac:dyDescent="0.3">
      <c r="A63" s="189"/>
      <c r="B63" s="189"/>
      <c r="C63" s="189"/>
      <c r="D63" s="189"/>
      <c r="E63" s="190" t="s">
        <v>929</v>
      </c>
      <c r="F63" s="189"/>
      <c r="G63" s="189"/>
      <c r="H63" s="3"/>
    </row>
    <row r="64" spans="1:8" ht="18" x14ac:dyDescent="0.3">
      <c r="A64" s="136">
        <v>45991</v>
      </c>
      <c r="B64" s="113" t="s">
        <v>25</v>
      </c>
      <c r="C64" s="114" t="s">
        <v>792</v>
      </c>
      <c r="D64" s="113" t="s">
        <v>786</v>
      </c>
      <c r="E64" s="115">
        <v>1.447916666666667</v>
      </c>
      <c r="F64" s="113" t="s">
        <v>27</v>
      </c>
      <c r="G64" s="116">
        <v>20</v>
      </c>
      <c r="H64" s="137">
        <v>259</v>
      </c>
    </row>
    <row r="65" spans="1:8" ht="18" x14ac:dyDescent="0.3">
      <c r="A65" s="138">
        <v>45991</v>
      </c>
      <c r="B65" s="139" t="s">
        <v>25</v>
      </c>
      <c r="C65" s="140" t="s">
        <v>794</v>
      </c>
      <c r="D65" s="139" t="s">
        <v>786</v>
      </c>
      <c r="E65" s="141">
        <v>1.5</v>
      </c>
      <c r="F65" s="139" t="s">
        <v>27</v>
      </c>
      <c r="G65" s="142">
        <v>2</v>
      </c>
      <c r="H65" s="143">
        <v>259</v>
      </c>
    </row>
    <row r="66" spans="1:8" ht="18" x14ac:dyDescent="0.3">
      <c r="A66" s="138">
        <v>45991</v>
      </c>
      <c r="B66" s="139" t="s">
        <v>25</v>
      </c>
      <c r="C66" s="140" t="s">
        <v>789</v>
      </c>
      <c r="D66" s="139" t="s">
        <v>786</v>
      </c>
      <c r="E66" s="141">
        <v>1.760416666666667</v>
      </c>
      <c r="F66" s="139" t="s">
        <v>27</v>
      </c>
      <c r="G66" s="142">
        <v>23</v>
      </c>
      <c r="H66" s="143">
        <v>259</v>
      </c>
    </row>
    <row r="67" spans="1:8" ht="18" x14ac:dyDescent="0.3">
      <c r="A67" s="138">
        <v>45991</v>
      </c>
      <c r="B67" s="139" t="s">
        <v>25</v>
      </c>
      <c r="C67" s="140" t="s">
        <v>787</v>
      </c>
      <c r="D67" s="139" t="s">
        <v>786</v>
      </c>
      <c r="E67" s="141">
        <v>1.8159722222222221</v>
      </c>
      <c r="F67" s="139" t="s">
        <v>27</v>
      </c>
      <c r="G67" s="142">
        <v>8</v>
      </c>
      <c r="H67" s="143">
        <v>259</v>
      </c>
    </row>
    <row r="68" spans="1:8" ht="18" x14ac:dyDescent="0.3">
      <c r="A68" s="136">
        <v>45991</v>
      </c>
      <c r="B68" s="113" t="s">
        <v>55</v>
      </c>
      <c r="C68" s="114" t="s">
        <v>797</v>
      </c>
      <c r="D68" s="113" t="s">
        <v>786</v>
      </c>
      <c r="E68" s="115">
        <v>1.427083333333333</v>
      </c>
      <c r="F68" s="113" t="s">
        <v>60</v>
      </c>
      <c r="G68" s="116">
        <v>9</v>
      </c>
      <c r="H68" s="137">
        <v>259</v>
      </c>
    </row>
    <row r="69" spans="1:8" ht="18" x14ac:dyDescent="0.3">
      <c r="A69" s="138">
        <v>45991</v>
      </c>
      <c r="B69" s="139" t="s">
        <v>55</v>
      </c>
      <c r="C69" s="140" t="s">
        <v>802</v>
      </c>
      <c r="D69" s="139" t="s">
        <v>786</v>
      </c>
      <c r="E69" s="141">
        <v>1.375</v>
      </c>
      <c r="F69" s="139" t="s">
        <v>60</v>
      </c>
      <c r="G69" s="142">
        <v>8</v>
      </c>
      <c r="H69" s="143">
        <v>259</v>
      </c>
    </row>
    <row r="70" spans="1:8" ht="18" x14ac:dyDescent="0.3">
      <c r="A70" s="138">
        <v>45991</v>
      </c>
      <c r="B70" s="139" t="s">
        <v>55</v>
      </c>
      <c r="C70" s="140" t="s">
        <v>799</v>
      </c>
      <c r="D70" s="139" t="s">
        <v>786</v>
      </c>
      <c r="E70" s="141">
        <v>1.305555555555556</v>
      </c>
      <c r="F70" s="139" t="s">
        <v>60</v>
      </c>
      <c r="G70" s="142">
        <v>6</v>
      </c>
      <c r="H70" s="143">
        <v>289</v>
      </c>
    </row>
    <row r="71" spans="1:8" ht="18" x14ac:dyDescent="0.3">
      <c r="A71" s="138">
        <v>45991</v>
      </c>
      <c r="B71" s="139" t="s">
        <v>55</v>
      </c>
      <c r="C71" s="140" t="s">
        <v>803</v>
      </c>
      <c r="D71" s="139" t="s">
        <v>786</v>
      </c>
      <c r="E71" s="141">
        <v>1.8263888888888891</v>
      </c>
      <c r="F71" s="139" t="s">
        <v>60</v>
      </c>
      <c r="G71" s="142">
        <v>9</v>
      </c>
      <c r="H71" s="143">
        <v>289</v>
      </c>
    </row>
    <row r="72" spans="1:8" ht="18" x14ac:dyDescent="0.3">
      <c r="A72" s="138">
        <v>45991</v>
      </c>
      <c r="B72" s="139" t="s">
        <v>55</v>
      </c>
      <c r="C72" s="140" t="s">
        <v>800</v>
      </c>
      <c r="D72" s="139" t="s">
        <v>786</v>
      </c>
      <c r="E72" s="141">
        <v>1.5</v>
      </c>
      <c r="F72" s="139" t="s">
        <v>60</v>
      </c>
      <c r="G72" s="142">
        <v>9</v>
      </c>
      <c r="H72" s="143">
        <v>289</v>
      </c>
    </row>
    <row r="73" spans="1:8" ht="18" x14ac:dyDescent="0.3">
      <c r="A73" s="149">
        <v>45991</v>
      </c>
      <c r="B73" s="150" t="s">
        <v>55</v>
      </c>
      <c r="C73" s="151" t="s">
        <v>801</v>
      </c>
      <c r="D73" s="150" t="s">
        <v>786</v>
      </c>
      <c r="E73" s="152">
        <v>1.6875</v>
      </c>
      <c r="F73" s="150" t="s">
        <v>60</v>
      </c>
      <c r="G73" s="153">
        <v>9</v>
      </c>
      <c r="H73" s="191">
        <v>289</v>
      </c>
    </row>
  </sheetData>
  <dataValidations count="5">
    <dataValidation type="custom" allowBlank="1" showInputMessage="1" promptTitle="LOAD FACTOR ANALYSIS" prompt="SM-464_x000d__x000a_LF 58.9%_x000d__x000a_SOLD 99_x000d__x000a_LST-SOLD 23NOV_x000d__x000a_WEEKLY 42_x000d__x000a_TO-DAY NIL_x000d__x000a_Y-DAY 11_x000d__x000a_LOWEST AVAIL U9_x000d__x000a_CAPACITY 168_x000d__x000a_CLASSES S3 &amp; W2 &amp; T2 &amp; +4 more" sqref="A2 B2 C2 D2 E2 F2 G2 H2" xr:uid="{00000000-0002-0000-2400-000000000000}">
      <formula1>TRUE</formula1>
    </dataValidation>
    <dataValidation type="custom" allowBlank="1" showInputMessage="1" promptTitle="LOAD FACTOR ANALYSIS" prompt="SM-470_x000d__x000a_LF -_x000d__x000a_SOLD -_x000d__x000a_LST-SOLD -_x000d__x000a_WEEKLY -_x000d__x000a_TO-DAY -_x000d__x000a_Y-DAY -_x000d__x000a_LOWEST AVAIL -_x000d__x000a_CAPACITY -_x000d__x000a_CLASSES -" sqref="A14 A27 A49 B14 B27 B49 C14 C27 C49 D14 D27 D49 E14 E27 E49 F14 F27 F49 G14 G27 G49 H14 H27 H49" xr:uid="{00000000-0002-0000-2400-000001000000}">
      <formula1>TRUE</formula1>
    </dataValidation>
    <dataValidation type="custom" allowBlank="1" showInputMessage="1" promptTitle="LOAD FACTOR ANALYSIS" prompt="SM-466_x000d__x000a_LF 56.5%_x000d__x000a_SOLD 95_x000d__x000a_LST-SOLD 23NOV_x000d__x000a_WEEKLY 33_x000d__x000a_TO-DAY NIL_x000d__x000a_Y-DAY 3_x000d__x000a_LOWEST AVAIL U9_x000d__x000a_CAPACITY 168_x000d__x000a_CLASSES S5 &amp; W4 &amp; T1 &amp; +3 more" sqref="A15 B15 C15 D15 E15 F15 G15 H15" xr:uid="{00000000-0002-0000-2400-000002000000}">
      <formula1>TRUE</formula1>
    </dataValidation>
    <dataValidation type="custom" allowBlank="1" showInputMessage="1" promptTitle="LOAD FACTOR ANALYSIS" prompt="SM-462_x000d__x000a_LF -_x000d__x000a_SOLD -_x000d__x000a_LST-SOLD -_x000d__x000a_WEEKLY -_x000d__x000a_TO-DAY -_x000d__x000a_Y-DAY -_x000d__x000a_LOWEST AVAIL -_x000d__x000a_CAPACITY -_x000d__x000a_CLASSES -" sqref="A48 B48 C48 D48 E48 F48 G48 H48" xr:uid="{00000000-0002-0000-2400-000003000000}">
      <formula1>TRUE</formula1>
    </dataValidation>
    <dataValidation type="custom" allowBlank="1" showInputMessage="1" promptTitle="LOAD FACTOR ANALYSIS" prompt="SM-464_x000d__x000a_LF 53.0%_x000d__x000a_SOLD 89_x000d__x000a_LST-SOLD 23NOV_x000d__x000a_WEEKLY 17_x000d__x000a_TO-DAY NIL_x000d__x000a_Y-DAY 2_x000d__x000a_LOWEST AVAIL U9_x000d__x000a_CAPACITY 168_x000d__x000a_CLASSES S5 &amp; W3 &amp; X9 &amp; +3 more" sqref="A61 B61 C61 D61 E61 F61 G61 H61" xr:uid="{00000000-0002-0000-2400-000004000000}">
      <formula1>TRUE</formula1>
    </dataValidation>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11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9.33203125" bestFit="1" customWidth="1"/>
  </cols>
  <sheetData>
    <row r="1" spans="1:92" ht="28.8" customHeight="1" x14ac:dyDescent="0.3">
      <c r="A1" s="305" t="s">
        <v>0</v>
      </c>
      <c r="B1" s="281"/>
      <c r="C1" s="281"/>
      <c r="D1" s="305" t="s">
        <v>930</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45985.360370708309</v>
      </c>
      <c r="H2" s="292"/>
      <c r="I2" s="292"/>
      <c r="J2" s="292"/>
      <c r="K2" s="303">
        <v>45985.360370708862</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931</v>
      </c>
      <c r="C6" s="9">
        <v>0.30555555555555552</v>
      </c>
      <c r="D6" s="8" t="s">
        <v>27</v>
      </c>
      <c r="E6" s="8" t="s">
        <v>108</v>
      </c>
      <c r="F6" s="8" t="s">
        <v>793</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931</v>
      </c>
      <c r="C7" s="16">
        <v>0.30555555555555552</v>
      </c>
      <c r="D7" s="15" t="s">
        <v>30</v>
      </c>
      <c r="E7" s="15" t="s">
        <v>109</v>
      </c>
      <c r="F7" s="15" t="s">
        <v>629</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931</v>
      </c>
      <c r="C8" s="16">
        <v>0.30555555555555552</v>
      </c>
      <c r="D8" s="15" t="s">
        <v>33</v>
      </c>
      <c r="E8" s="15" t="s">
        <v>109</v>
      </c>
      <c r="F8" s="15" t="s">
        <v>791</v>
      </c>
      <c r="G8" s="285"/>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44" t="s">
        <v>55</v>
      </c>
      <c r="B9" s="44" t="s">
        <v>932</v>
      </c>
      <c r="C9" s="45">
        <v>0.19791666666666671</v>
      </c>
      <c r="D9" s="44" t="s">
        <v>60</v>
      </c>
      <c r="E9" s="44" t="s">
        <v>135</v>
      </c>
      <c r="F9" s="44" t="s">
        <v>933</v>
      </c>
      <c r="G9" s="285"/>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55</v>
      </c>
      <c r="B10" s="15" t="s">
        <v>932</v>
      </c>
      <c r="C10" s="16">
        <v>0.19791666666666671</v>
      </c>
      <c r="D10" s="15" t="s">
        <v>62</v>
      </c>
      <c r="E10" s="15" t="s">
        <v>136</v>
      </c>
      <c r="F10" s="15" t="s">
        <v>853</v>
      </c>
      <c r="G10" s="285"/>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55</v>
      </c>
      <c r="B11" s="15" t="s">
        <v>932</v>
      </c>
      <c r="C11" s="16">
        <v>0.19791666666666671</v>
      </c>
      <c r="D11" s="15" t="s">
        <v>64</v>
      </c>
      <c r="E11" s="15" t="s">
        <v>136</v>
      </c>
      <c r="F11" s="15" t="s">
        <v>342</v>
      </c>
      <c r="G11" s="285"/>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6" t="s">
        <v>55</v>
      </c>
      <c r="B12" s="46" t="s">
        <v>934</v>
      </c>
      <c r="C12" s="47">
        <v>0.83333333333333337</v>
      </c>
      <c r="D12" s="46" t="s">
        <v>60</v>
      </c>
      <c r="E12" s="46" t="s">
        <v>143</v>
      </c>
      <c r="F12" s="46" t="s">
        <v>838</v>
      </c>
      <c r="G12" s="285"/>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55</v>
      </c>
      <c r="B13" s="15" t="s">
        <v>934</v>
      </c>
      <c r="C13" s="16">
        <v>0.83333333333333337</v>
      </c>
      <c r="D13" s="15" t="s">
        <v>62</v>
      </c>
      <c r="E13" s="15" t="s">
        <v>136</v>
      </c>
      <c r="F13" s="15" t="s">
        <v>426</v>
      </c>
      <c r="G13" s="285"/>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55</v>
      </c>
      <c r="B14" s="15" t="s">
        <v>934</v>
      </c>
      <c r="C14" s="16">
        <v>0.83333333333333337</v>
      </c>
      <c r="D14" s="15" t="s">
        <v>64</v>
      </c>
      <c r="E14" s="15" t="s">
        <v>136</v>
      </c>
      <c r="F14" s="15" t="s">
        <v>361</v>
      </c>
      <c r="G14" s="285"/>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82" t="s">
        <v>35</v>
      </c>
      <c r="B15" s="82" t="s">
        <v>935</v>
      </c>
      <c r="C15" s="83">
        <v>0.27083333333333331</v>
      </c>
      <c r="D15" s="82" t="s">
        <v>37</v>
      </c>
      <c r="E15" s="82" t="s">
        <v>58</v>
      </c>
      <c r="F15" s="82" t="s">
        <v>936</v>
      </c>
      <c r="G15" s="285"/>
      <c r="H15" s="84" t="s">
        <v>937</v>
      </c>
      <c r="I15" s="215">
        <v>0.42259999999999998</v>
      </c>
      <c r="J15" s="86">
        <v>71</v>
      </c>
      <c r="K15" s="87">
        <v>45984</v>
      </c>
      <c r="L15" s="86">
        <v>31</v>
      </c>
      <c r="M15" s="86">
        <v>0</v>
      </c>
      <c r="N15" s="86">
        <v>3</v>
      </c>
      <c r="O15" s="88" t="s">
        <v>574</v>
      </c>
      <c r="P15" s="89">
        <v>0.27083333333333331</v>
      </c>
      <c r="Q15" s="86">
        <v>168</v>
      </c>
      <c r="R15" s="90" t="s">
        <v>938</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4" t="s">
        <v>333</v>
      </c>
      <c r="B16" s="44" t="s">
        <v>939</v>
      </c>
      <c r="C16" s="45">
        <v>0.95833333333333337</v>
      </c>
      <c r="D16" s="44" t="s">
        <v>37</v>
      </c>
      <c r="E16" s="44" t="s">
        <v>38</v>
      </c>
      <c r="F16" s="44" t="s">
        <v>838</v>
      </c>
      <c r="G16" s="285"/>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4" t="s">
        <v>66</v>
      </c>
      <c r="B17" s="44" t="s">
        <v>940</v>
      </c>
      <c r="C17" s="45">
        <v>0.1701388888888889</v>
      </c>
      <c r="D17" s="44" t="s">
        <v>68</v>
      </c>
      <c r="E17" s="44" t="s">
        <v>38</v>
      </c>
      <c r="F17" s="44" t="s">
        <v>941</v>
      </c>
      <c r="G17" s="285"/>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46" t="s">
        <v>66</v>
      </c>
      <c r="B18" s="46" t="s">
        <v>942</v>
      </c>
      <c r="C18" s="47">
        <v>0.86458333333333337</v>
      </c>
      <c r="D18" s="46" t="s">
        <v>68</v>
      </c>
      <c r="E18" s="46" t="s">
        <v>76</v>
      </c>
      <c r="F18" s="46" t="s">
        <v>123</v>
      </c>
      <c r="G18" s="285"/>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46" t="s">
        <v>66</v>
      </c>
      <c r="B19" s="46" t="s">
        <v>943</v>
      </c>
      <c r="C19" s="47">
        <v>0.52777777777777779</v>
      </c>
      <c r="D19" s="46" t="s">
        <v>68</v>
      </c>
      <c r="E19" s="46" t="s">
        <v>76</v>
      </c>
      <c r="F19" s="46" t="s">
        <v>944</v>
      </c>
      <c r="G19" s="285"/>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243" t="s">
        <v>78</v>
      </c>
      <c r="B20" s="243" t="s">
        <v>945</v>
      </c>
      <c r="C20" s="244">
        <v>0.30555555555555552</v>
      </c>
      <c r="D20" s="243" t="s">
        <v>82</v>
      </c>
      <c r="E20" s="243" t="s">
        <v>80</v>
      </c>
      <c r="F20" s="243" t="s">
        <v>946</v>
      </c>
      <c r="G20" s="286"/>
      <c r="H20" s="50"/>
      <c r="I20" s="51"/>
      <c r="J20" s="51"/>
      <c r="K20" s="51"/>
      <c r="L20" s="51"/>
      <c r="M20" s="51"/>
      <c r="N20" s="51"/>
      <c r="O20" s="52"/>
      <c r="P20" s="51"/>
      <c r="Q20" s="53"/>
      <c r="R20" s="5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88"/>
      <c r="B21" s="289"/>
      <c r="C21" s="289"/>
      <c r="D21" s="289"/>
      <c r="E21" s="289"/>
      <c r="F21" s="289"/>
      <c r="G21" s="289"/>
      <c r="H21" s="289"/>
      <c r="I21" s="289"/>
      <c r="J21" s="289"/>
      <c r="K21" s="289"/>
      <c r="L21" s="289"/>
      <c r="M21" s="289"/>
      <c r="N21" s="289"/>
      <c r="O21" s="289"/>
      <c r="P21" s="289"/>
      <c r="Q21" s="289"/>
      <c r="R21" s="29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82" t="s">
        <v>5</v>
      </c>
      <c r="B22" s="283"/>
      <c r="C22" s="283"/>
      <c r="D22" s="283"/>
      <c r="E22" s="283"/>
      <c r="F22" s="283"/>
      <c r="G22" s="5">
        <v>45987</v>
      </c>
      <c r="H22" s="278" t="s">
        <v>6</v>
      </c>
      <c r="I22" s="279"/>
      <c r="J22" s="279"/>
      <c r="K22" s="279"/>
      <c r="L22" s="279"/>
      <c r="M22" s="279"/>
      <c r="N22" s="279"/>
      <c r="O22" s="279"/>
      <c r="P22" s="279"/>
      <c r="Q22" s="279"/>
      <c r="R22" s="27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55" t="s">
        <v>7</v>
      </c>
      <c r="B23" s="55" t="s">
        <v>8</v>
      </c>
      <c r="C23" s="56" t="s">
        <v>9</v>
      </c>
      <c r="D23" s="55" t="s">
        <v>10</v>
      </c>
      <c r="E23" s="55" t="s">
        <v>11</v>
      </c>
      <c r="F23" s="55" t="s">
        <v>12</v>
      </c>
      <c r="G23" s="57" t="s">
        <v>13</v>
      </c>
      <c r="H23" s="55" t="s">
        <v>14</v>
      </c>
      <c r="I23" s="58" t="s">
        <v>15</v>
      </c>
      <c r="J23" s="59" t="s">
        <v>16</v>
      </c>
      <c r="K23" s="60" t="s">
        <v>17</v>
      </c>
      <c r="L23" s="59" t="s">
        <v>18</v>
      </c>
      <c r="M23" s="59" t="s">
        <v>19</v>
      </c>
      <c r="N23" s="59" t="s">
        <v>20</v>
      </c>
      <c r="O23" s="55" t="s">
        <v>21</v>
      </c>
      <c r="P23" s="56" t="s">
        <v>22</v>
      </c>
      <c r="Q23" s="59" t="s">
        <v>23</v>
      </c>
      <c r="R23" s="55"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8" t="s">
        <v>25</v>
      </c>
      <c r="B24" s="8" t="s">
        <v>931</v>
      </c>
      <c r="C24" s="9">
        <v>0.30555555555555552</v>
      </c>
      <c r="D24" s="8" t="s">
        <v>27</v>
      </c>
      <c r="E24" s="8" t="s">
        <v>849</v>
      </c>
      <c r="F24" s="8" t="s">
        <v>793</v>
      </c>
      <c r="G24" s="284"/>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931</v>
      </c>
      <c r="C25" s="16">
        <v>0.30555555555555552</v>
      </c>
      <c r="D25" s="15" t="s">
        <v>30</v>
      </c>
      <c r="E25" s="15" t="s">
        <v>850</v>
      </c>
      <c r="F25" s="15" t="s">
        <v>629</v>
      </c>
      <c r="G25" s="285"/>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931</v>
      </c>
      <c r="C26" s="16">
        <v>0.30555555555555552</v>
      </c>
      <c r="D26" s="15" t="s">
        <v>33</v>
      </c>
      <c r="E26" s="15" t="s">
        <v>850</v>
      </c>
      <c r="F26" s="15" t="s">
        <v>128</v>
      </c>
      <c r="G26" s="285"/>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44" t="s">
        <v>304</v>
      </c>
      <c r="B27" s="44" t="s">
        <v>947</v>
      </c>
      <c r="C27" s="45">
        <v>9.0277777777777776E-2</v>
      </c>
      <c r="D27" s="44" t="s">
        <v>37</v>
      </c>
      <c r="E27" s="44" t="s">
        <v>38</v>
      </c>
      <c r="F27" s="44" t="s">
        <v>948</v>
      </c>
      <c r="G27" s="285"/>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44" t="s">
        <v>333</v>
      </c>
      <c r="B28" s="44" t="s">
        <v>949</v>
      </c>
      <c r="C28" s="45">
        <v>0.89583333333333337</v>
      </c>
      <c r="D28" s="44" t="s">
        <v>37</v>
      </c>
      <c r="E28" s="44" t="s">
        <v>38</v>
      </c>
      <c r="F28" s="44" t="s">
        <v>838</v>
      </c>
      <c r="G28" s="285"/>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44" t="s">
        <v>55</v>
      </c>
      <c r="B29" s="44" t="s">
        <v>934</v>
      </c>
      <c r="C29" s="45">
        <v>0.83333333333333337</v>
      </c>
      <c r="D29" s="44" t="s">
        <v>60</v>
      </c>
      <c r="E29" s="44" t="s">
        <v>80</v>
      </c>
      <c r="F29" s="44" t="s">
        <v>838</v>
      </c>
      <c r="G29" s="285"/>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55</v>
      </c>
      <c r="B30" s="15" t="s">
        <v>934</v>
      </c>
      <c r="C30" s="16">
        <v>0.83333333333333337</v>
      </c>
      <c r="D30" s="15" t="s">
        <v>62</v>
      </c>
      <c r="E30" s="15" t="s">
        <v>83</v>
      </c>
      <c r="F30" s="15" t="s">
        <v>426</v>
      </c>
      <c r="G30" s="285"/>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55</v>
      </c>
      <c r="B31" s="15" t="s">
        <v>934</v>
      </c>
      <c r="C31" s="16">
        <v>0.83333333333333337</v>
      </c>
      <c r="D31" s="15" t="s">
        <v>64</v>
      </c>
      <c r="E31" s="15" t="s">
        <v>83</v>
      </c>
      <c r="F31" s="15" t="s">
        <v>361</v>
      </c>
      <c r="G31" s="285"/>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44" t="s">
        <v>66</v>
      </c>
      <c r="B32" s="44" t="s">
        <v>940</v>
      </c>
      <c r="C32" s="45">
        <v>0.1701388888888889</v>
      </c>
      <c r="D32" s="44" t="s">
        <v>85</v>
      </c>
      <c r="E32" s="44" t="s">
        <v>38</v>
      </c>
      <c r="F32" s="44" t="s">
        <v>816</v>
      </c>
      <c r="G32" s="285"/>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46" t="s">
        <v>66</v>
      </c>
      <c r="B33" s="46" t="s">
        <v>942</v>
      </c>
      <c r="C33" s="47">
        <v>0.86458333333333337</v>
      </c>
      <c r="D33" s="46" t="s">
        <v>68</v>
      </c>
      <c r="E33" s="46" t="s">
        <v>76</v>
      </c>
      <c r="F33" s="46" t="s">
        <v>123</v>
      </c>
      <c r="G33" s="285"/>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46" t="s">
        <v>66</v>
      </c>
      <c r="B34" s="46" t="s">
        <v>943</v>
      </c>
      <c r="C34" s="47">
        <v>0.52777777777777779</v>
      </c>
      <c r="D34" s="46" t="s">
        <v>68</v>
      </c>
      <c r="E34" s="46" t="s">
        <v>76</v>
      </c>
      <c r="F34" s="46" t="s">
        <v>69</v>
      </c>
      <c r="G34" s="285"/>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243" t="s">
        <v>78</v>
      </c>
      <c r="B35" s="243" t="s">
        <v>945</v>
      </c>
      <c r="C35" s="244">
        <v>0.30555555555555552</v>
      </c>
      <c r="D35" s="243" t="s">
        <v>82</v>
      </c>
      <c r="E35" s="243" t="s">
        <v>80</v>
      </c>
      <c r="F35" s="243" t="s">
        <v>950</v>
      </c>
      <c r="G35" s="286"/>
      <c r="H35" s="50"/>
      <c r="I35" s="51"/>
      <c r="J35" s="51"/>
      <c r="K35" s="51"/>
      <c r="L35" s="51"/>
      <c r="M35" s="51"/>
      <c r="N35" s="51"/>
      <c r="O35" s="52"/>
      <c r="P35" s="51"/>
      <c r="Q35" s="53"/>
      <c r="R35" s="5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95"/>
      <c r="B36" s="296"/>
      <c r="C36" s="296"/>
      <c r="D36" s="296"/>
      <c r="E36" s="296"/>
      <c r="F36" s="296"/>
      <c r="G36" s="289"/>
      <c r="H36" s="297"/>
      <c r="I36" s="297"/>
      <c r="J36" s="297"/>
      <c r="K36" s="297"/>
      <c r="L36" s="297"/>
      <c r="M36" s="297"/>
      <c r="N36" s="297"/>
      <c r="O36" s="298"/>
      <c r="P36" s="297"/>
      <c r="Q36" s="289"/>
      <c r="R36" s="29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82" t="s">
        <v>5</v>
      </c>
      <c r="B37" s="283"/>
      <c r="C37" s="283"/>
      <c r="D37" s="283"/>
      <c r="E37" s="283"/>
      <c r="F37" s="283"/>
      <c r="G37" s="5">
        <v>45988</v>
      </c>
      <c r="H37" s="278" t="s">
        <v>6</v>
      </c>
      <c r="I37" s="279"/>
      <c r="J37" s="279"/>
      <c r="K37" s="279"/>
      <c r="L37" s="279"/>
      <c r="M37" s="279"/>
      <c r="N37" s="279"/>
      <c r="O37" s="279"/>
      <c r="P37" s="279"/>
      <c r="Q37" s="279"/>
      <c r="R37" s="27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55" t="s">
        <v>7</v>
      </c>
      <c r="B38" s="55" t="s">
        <v>8</v>
      </c>
      <c r="C38" s="56" t="s">
        <v>9</v>
      </c>
      <c r="D38" s="55" t="s">
        <v>10</v>
      </c>
      <c r="E38" s="55" t="s">
        <v>11</v>
      </c>
      <c r="F38" s="55" t="s">
        <v>12</v>
      </c>
      <c r="G38" s="57" t="s">
        <v>13</v>
      </c>
      <c r="H38" s="55" t="s">
        <v>14</v>
      </c>
      <c r="I38" s="58" t="s">
        <v>15</v>
      </c>
      <c r="J38" s="59" t="s">
        <v>16</v>
      </c>
      <c r="K38" s="60" t="s">
        <v>17</v>
      </c>
      <c r="L38" s="59" t="s">
        <v>18</v>
      </c>
      <c r="M38" s="59" t="s">
        <v>19</v>
      </c>
      <c r="N38" s="59" t="s">
        <v>20</v>
      </c>
      <c r="O38" s="55" t="s">
        <v>21</v>
      </c>
      <c r="P38" s="56" t="s">
        <v>22</v>
      </c>
      <c r="Q38" s="59" t="s">
        <v>23</v>
      </c>
      <c r="R38" s="55"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8" t="s">
        <v>25</v>
      </c>
      <c r="B39" s="8" t="s">
        <v>931</v>
      </c>
      <c r="C39" s="9">
        <v>0.30555555555555552</v>
      </c>
      <c r="D39" s="8" t="s">
        <v>27</v>
      </c>
      <c r="E39" s="8" t="s">
        <v>95</v>
      </c>
      <c r="F39" s="8" t="s">
        <v>788</v>
      </c>
      <c r="G39" s="284"/>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931</v>
      </c>
      <c r="C40" s="16">
        <v>0.30555555555555552</v>
      </c>
      <c r="D40" s="15" t="s">
        <v>30</v>
      </c>
      <c r="E40" s="15" t="s">
        <v>97</v>
      </c>
      <c r="F40" s="15" t="s">
        <v>345</v>
      </c>
      <c r="G40" s="285"/>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25</v>
      </c>
      <c r="B41" s="15" t="s">
        <v>931</v>
      </c>
      <c r="C41" s="16">
        <v>0.30555555555555552</v>
      </c>
      <c r="D41" s="15" t="s">
        <v>33</v>
      </c>
      <c r="E41" s="15" t="s">
        <v>97</v>
      </c>
      <c r="F41" s="15" t="s">
        <v>791</v>
      </c>
      <c r="G41" s="28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44" t="s">
        <v>55</v>
      </c>
      <c r="B42" s="44" t="s">
        <v>932</v>
      </c>
      <c r="C42" s="45">
        <v>0.19791666666666671</v>
      </c>
      <c r="D42" s="44" t="s">
        <v>60</v>
      </c>
      <c r="E42" s="44" t="s">
        <v>381</v>
      </c>
      <c r="F42" s="44" t="s">
        <v>951</v>
      </c>
      <c r="G42" s="285"/>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55</v>
      </c>
      <c r="B43" s="15" t="s">
        <v>932</v>
      </c>
      <c r="C43" s="16">
        <v>0.19791666666666671</v>
      </c>
      <c r="D43" s="15" t="s">
        <v>62</v>
      </c>
      <c r="E43" s="15" t="s">
        <v>360</v>
      </c>
      <c r="F43" s="15" t="s">
        <v>350</v>
      </c>
      <c r="G43" s="285"/>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5" t="s">
        <v>55</v>
      </c>
      <c r="B44" s="15" t="s">
        <v>932</v>
      </c>
      <c r="C44" s="16">
        <v>0.19791666666666671</v>
      </c>
      <c r="D44" s="15" t="s">
        <v>64</v>
      </c>
      <c r="E44" s="15" t="s">
        <v>360</v>
      </c>
      <c r="F44" s="15" t="s">
        <v>426</v>
      </c>
      <c r="G44" s="285"/>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46" t="s">
        <v>55</v>
      </c>
      <c r="B45" s="46" t="s">
        <v>934</v>
      </c>
      <c r="C45" s="47">
        <v>0.83333333333333337</v>
      </c>
      <c r="D45" s="46" t="s">
        <v>60</v>
      </c>
      <c r="E45" s="46" t="s">
        <v>91</v>
      </c>
      <c r="F45" s="46" t="s">
        <v>838</v>
      </c>
      <c r="G45" s="285"/>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5" t="s">
        <v>55</v>
      </c>
      <c r="B46" s="15" t="s">
        <v>934</v>
      </c>
      <c r="C46" s="16">
        <v>0.83333333333333337</v>
      </c>
      <c r="D46" s="15" t="s">
        <v>62</v>
      </c>
      <c r="E46" s="15" t="s">
        <v>92</v>
      </c>
      <c r="F46" s="15" t="s">
        <v>426</v>
      </c>
      <c r="G46" s="285"/>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5" t="s">
        <v>55</v>
      </c>
      <c r="B47" s="15" t="s">
        <v>934</v>
      </c>
      <c r="C47" s="16">
        <v>0.83333333333333337</v>
      </c>
      <c r="D47" s="15" t="s">
        <v>64</v>
      </c>
      <c r="E47" s="15" t="s">
        <v>92</v>
      </c>
      <c r="F47" s="15" t="s">
        <v>361</v>
      </c>
      <c r="G47" s="285"/>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44" t="s">
        <v>304</v>
      </c>
      <c r="B48" s="44" t="s">
        <v>952</v>
      </c>
      <c r="C48" s="45">
        <v>0.28472222222222221</v>
      </c>
      <c r="D48" s="44" t="s">
        <v>37</v>
      </c>
      <c r="E48" s="44" t="s">
        <v>38</v>
      </c>
      <c r="F48" s="44" t="s">
        <v>948</v>
      </c>
      <c r="G48" s="285"/>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46" t="s">
        <v>304</v>
      </c>
      <c r="B49" s="46" t="s">
        <v>947</v>
      </c>
      <c r="C49" s="47">
        <v>0.88888888888888884</v>
      </c>
      <c r="D49" s="46" t="s">
        <v>37</v>
      </c>
      <c r="E49" s="46" t="s">
        <v>76</v>
      </c>
      <c r="F49" s="46" t="s">
        <v>948</v>
      </c>
      <c r="G49" s="285"/>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44" t="s">
        <v>66</v>
      </c>
      <c r="B50" s="44" t="s">
        <v>940</v>
      </c>
      <c r="C50" s="45">
        <v>0.1701388888888889</v>
      </c>
      <c r="D50" s="44" t="s">
        <v>94</v>
      </c>
      <c r="E50" s="44" t="s">
        <v>38</v>
      </c>
      <c r="F50" s="44" t="s">
        <v>953</v>
      </c>
      <c r="G50" s="285"/>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46" t="s">
        <v>66</v>
      </c>
      <c r="B51" s="46" t="s">
        <v>943</v>
      </c>
      <c r="C51" s="47">
        <v>0.52777777777777779</v>
      </c>
      <c r="D51" s="46" t="s">
        <v>68</v>
      </c>
      <c r="E51" s="46" t="s">
        <v>76</v>
      </c>
      <c r="F51" s="46" t="s">
        <v>954</v>
      </c>
      <c r="G51" s="285"/>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46" t="s">
        <v>66</v>
      </c>
      <c r="B52" s="46" t="s">
        <v>942</v>
      </c>
      <c r="C52" s="47">
        <v>0.88194444444444453</v>
      </c>
      <c r="D52" s="46" t="s">
        <v>68</v>
      </c>
      <c r="E52" s="46" t="s">
        <v>76</v>
      </c>
      <c r="F52" s="46" t="s">
        <v>954</v>
      </c>
      <c r="G52" s="285"/>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44" t="s">
        <v>333</v>
      </c>
      <c r="B53" s="44" t="s">
        <v>939</v>
      </c>
      <c r="C53" s="45">
        <v>0.95833333333333337</v>
      </c>
      <c r="D53" s="44" t="s">
        <v>37</v>
      </c>
      <c r="E53" s="44" t="s">
        <v>38</v>
      </c>
      <c r="F53" s="44" t="s">
        <v>838</v>
      </c>
      <c r="G53" s="285"/>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46" t="s">
        <v>333</v>
      </c>
      <c r="B54" s="46" t="s">
        <v>955</v>
      </c>
      <c r="C54" s="47">
        <v>0.5625</v>
      </c>
      <c r="D54" s="46" t="s">
        <v>37</v>
      </c>
      <c r="E54" s="46" t="s">
        <v>76</v>
      </c>
      <c r="F54" s="46" t="s">
        <v>838</v>
      </c>
      <c r="G54" s="285"/>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35</v>
      </c>
      <c r="B55" s="17" t="s">
        <v>935</v>
      </c>
      <c r="C55" s="18">
        <v>0.92361111111111116</v>
      </c>
      <c r="D55" s="17" t="s">
        <v>37</v>
      </c>
      <c r="E55" s="17" t="s">
        <v>38</v>
      </c>
      <c r="F55" s="17" t="s">
        <v>647</v>
      </c>
      <c r="G55" s="285"/>
      <c r="H55" s="19" t="s">
        <v>937</v>
      </c>
      <c r="I55" s="217">
        <v>0.27379999999999999</v>
      </c>
      <c r="J55" s="21">
        <v>46</v>
      </c>
      <c r="K55" s="22">
        <v>45984</v>
      </c>
      <c r="L55" s="21">
        <v>18</v>
      </c>
      <c r="M55" s="21">
        <v>0</v>
      </c>
      <c r="N55" s="21">
        <v>5</v>
      </c>
      <c r="O55" s="23" t="s">
        <v>432</v>
      </c>
      <c r="P55" s="24">
        <v>0.92361111111111116</v>
      </c>
      <c r="Q55" s="21">
        <v>168</v>
      </c>
      <c r="R55" s="25" t="s">
        <v>956</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243" t="s">
        <v>78</v>
      </c>
      <c r="B56" s="243" t="s">
        <v>945</v>
      </c>
      <c r="C56" s="244">
        <v>0.30555555555555552</v>
      </c>
      <c r="D56" s="243" t="s">
        <v>82</v>
      </c>
      <c r="E56" s="243" t="s">
        <v>80</v>
      </c>
      <c r="F56" s="243" t="s">
        <v>957</v>
      </c>
      <c r="G56" s="286"/>
      <c r="H56" s="50"/>
      <c r="I56" s="51"/>
      <c r="J56" s="51"/>
      <c r="K56" s="51"/>
      <c r="L56" s="51"/>
      <c r="M56" s="51"/>
      <c r="N56" s="51"/>
      <c r="O56" s="52"/>
      <c r="P56" s="51"/>
      <c r="Q56" s="53"/>
      <c r="R56" s="5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88"/>
      <c r="B57" s="289"/>
      <c r="C57" s="289"/>
      <c r="D57" s="289"/>
      <c r="E57" s="289"/>
      <c r="F57" s="289"/>
      <c r="G57" s="289"/>
      <c r="H57" s="289"/>
      <c r="I57" s="289"/>
      <c r="J57" s="289"/>
      <c r="K57" s="289"/>
      <c r="L57" s="289"/>
      <c r="M57" s="289"/>
      <c r="N57" s="289"/>
      <c r="O57" s="289"/>
      <c r="P57" s="289"/>
      <c r="Q57" s="289"/>
      <c r="R57" s="29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82" t="s">
        <v>5</v>
      </c>
      <c r="B58" s="283"/>
      <c r="C58" s="283"/>
      <c r="D58" s="283"/>
      <c r="E58" s="283"/>
      <c r="F58" s="283"/>
      <c r="G58" s="5">
        <v>45989</v>
      </c>
      <c r="H58" s="278" t="s">
        <v>6</v>
      </c>
      <c r="I58" s="279"/>
      <c r="J58" s="279"/>
      <c r="K58" s="279"/>
      <c r="L58" s="279"/>
      <c r="M58" s="279"/>
      <c r="N58" s="279"/>
      <c r="O58" s="279"/>
      <c r="P58" s="279"/>
      <c r="Q58" s="279"/>
      <c r="R58" s="27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55" t="s">
        <v>7</v>
      </c>
      <c r="B59" s="55" t="s">
        <v>8</v>
      </c>
      <c r="C59" s="56" t="s">
        <v>9</v>
      </c>
      <c r="D59" s="55" t="s">
        <v>10</v>
      </c>
      <c r="E59" s="55" t="s">
        <v>11</v>
      </c>
      <c r="F59" s="55" t="s">
        <v>12</v>
      </c>
      <c r="G59" s="57" t="s">
        <v>13</v>
      </c>
      <c r="H59" s="55" t="s">
        <v>14</v>
      </c>
      <c r="I59" s="58" t="s">
        <v>15</v>
      </c>
      <c r="J59" s="59" t="s">
        <v>16</v>
      </c>
      <c r="K59" s="60" t="s">
        <v>17</v>
      </c>
      <c r="L59" s="59" t="s">
        <v>18</v>
      </c>
      <c r="M59" s="59" t="s">
        <v>19</v>
      </c>
      <c r="N59" s="59" t="s">
        <v>20</v>
      </c>
      <c r="O59" s="55" t="s">
        <v>21</v>
      </c>
      <c r="P59" s="56" t="s">
        <v>22</v>
      </c>
      <c r="Q59" s="59" t="s">
        <v>23</v>
      </c>
      <c r="R59" s="55"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8" t="s">
        <v>25</v>
      </c>
      <c r="B60" s="8" t="s">
        <v>931</v>
      </c>
      <c r="C60" s="9">
        <v>0.30555555555555552</v>
      </c>
      <c r="D60" s="8" t="s">
        <v>27</v>
      </c>
      <c r="E60" s="8" t="s">
        <v>135</v>
      </c>
      <c r="F60" s="8" t="s">
        <v>788</v>
      </c>
      <c r="G60" s="284"/>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5" t="s">
        <v>25</v>
      </c>
      <c r="B61" s="15" t="s">
        <v>931</v>
      </c>
      <c r="C61" s="16">
        <v>0.30555555555555552</v>
      </c>
      <c r="D61" s="15" t="s">
        <v>30</v>
      </c>
      <c r="E61" s="15" t="s">
        <v>136</v>
      </c>
      <c r="F61" s="15" t="s">
        <v>345</v>
      </c>
      <c r="G61" s="285"/>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25</v>
      </c>
      <c r="B62" s="15" t="s">
        <v>931</v>
      </c>
      <c r="C62" s="16">
        <v>0.30555555555555552</v>
      </c>
      <c r="D62" s="15" t="s">
        <v>33</v>
      </c>
      <c r="E62" s="15" t="s">
        <v>136</v>
      </c>
      <c r="F62" s="15" t="s">
        <v>791</v>
      </c>
      <c r="G62" s="285"/>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44" t="s">
        <v>304</v>
      </c>
      <c r="B63" s="44" t="s">
        <v>958</v>
      </c>
      <c r="C63" s="45">
        <v>0.1736111111111111</v>
      </c>
      <c r="D63" s="44" t="s">
        <v>37</v>
      </c>
      <c r="E63" s="44" t="s">
        <v>38</v>
      </c>
      <c r="F63" s="44" t="s">
        <v>948</v>
      </c>
      <c r="G63" s="285"/>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44" t="s">
        <v>55</v>
      </c>
      <c r="B64" s="44" t="s">
        <v>934</v>
      </c>
      <c r="C64" s="45">
        <v>0.83333333333333337</v>
      </c>
      <c r="D64" s="44" t="s">
        <v>60</v>
      </c>
      <c r="E64" s="44" t="s">
        <v>381</v>
      </c>
      <c r="F64" s="44" t="s">
        <v>933</v>
      </c>
      <c r="G64" s="285"/>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55</v>
      </c>
      <c r="B65" s="15" t="s">
        <v>934</v>
      </c>
      <c r="C65" s="16">
        <v>0.83333333333333337</v>
      </c>
      <c r="D65" s="15" t="s">
        <v>62</v>
      </c>
      <c r="E65" s="15" t="s">
        <v>360</v>
      </c>
      <c r="F65" s="15" t="s">
        <v>853</v>
      </c>
      <c r="G65" s="285"/>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55</v>
      </c>
      <c r="B66" s="15" t="s">
        <v>934</v>
      </c>
      <c r="C66" s="16">
        <v>0.83333333333333337</v>
      </c>
      <c r="D66" s="15" t="s">
        <v>64</v>
      </c>
      <c r="E66" s="15" t="s">
        <v>360</v>
      </c>
      <c r="F66" s="15" t="s">
        <v>342</v>
      </c>
      <c r="G66" s="285"/>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44" t="s">
        <v>66</v>
      </c>
      <c r="B67" s="44" t="s">
        <v>940</v>
      </c>
      <c r="C67" s="45">
        <v>0.1701388888888889</v>
      </c>
      <c r="D67" s="44" t="s">
        <v>94</v>
      </c>
      <c r="E67" s="44" t="s">
        <v>38</v>
      </c>
      <c r="F67" s="44" t="s">
        <v>959</v>
      </c>
      <c r="G67" s="285"/>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46" t="s">
        <v>66</v>
      </c>
      <c r="B68" s="46" t="s">
        <v>942</v>
      </c>
      <c r="C68" s="47">
        <v>0.86458333333333337</v>
      </c>
      <c r="D68" s="46" t="s">
        <v>94</v>
      </c>
      <c r="E68" s="46" t="s">
        <v>76</v>
      </c>
      <c r="F68" s="46" t="s">
        <v>959</v>
      </c>
      <c r="G68" s="285"/>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46" t="s">
        <v>66</v>
      </c>
      <c r="B69" s="46" t="s">
        <v>943</v>
      </c>
      <c r="C69" s="47">
        <v>0.51388888888888895</v>
      </c>
      <c r="D69" s="46" t="s">
        <v>68</v>
      </c>
      <c r="E69" s="46" t="s">
        <v>76</v>
      </c>
      <c r="F69" s="46" t="s">
        <v>960</v>
      </c>
      <c r="G69" s="285"/>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44" t="s">
        <v>333</v>
      </c>
      <c r="B70" s="44" t="s">
        <v>949</v>
      </c>
      <c r="C70" s="45">
        <v>0.95833333333333337</v>
      </c>
      <c r="D70" s="44" t="s">
        <v>37</v>
      </c>
      <c r="E70" s="44" t="s">
        <v>38</v>
      </c>
      <c r="F70" s="44" t="s">
        <v>838</v>
      </c>
      <c r="G70" s="285"/>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82" t="s">
        <v>35</v>
      </c>
      <c r="B71" s="82" t="s">
        <v>935</v>
      </c>
      <c r="C71" s="83">
        <v>0.57986111111111105</v>
      </c>
      <c r="D71" s="82" t="s">
        <v>37</v>
      </c>
      <c r="E71" s="82" t="s">
        <v>38</v>
      </c>
      <c r="F71" s="82" t="s">
        <v>647</v>
      </c>
      <c r="G71" s="285"/>
      <c r="H71" s="84" t="s">
        <v>937</v>
      </c>
      <c r="I71" s="215">
        <v>0.33329999999999999</v>
      </c>
      <c r="J71" s="86">
        <v>56</v>
      </c>
      <c r="K71" s="87">
        <v>45984</v>
      </c>
      <c r="L71" s="86">
        <v>20</v>
      </c>
      <c r="M71" s="86">
        <v>0</v>
      </c>
      <c r="N71" s="86">
        <v>5</v>
      </c>
      <c r="O71" s="88" t="s">
        <v>432</v>
      </c>
      <c r="P71" s="89">
        <v>0.57986111111111105</v>
      </c>
      <c r="Q71" s="86">
        <v>168</v>
      </c>
      <c r="R71" s="90" t="s">
        <v>961</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243" t="s">
        <v>78</v>
      </c>
      <c r="B72" s="243" t="s">
        <v>945</v>
      </c>
      <c r="C72" s="244">
        <v>0.30555555555555552</v>
      </c>
      <c r="D72" s="243" t="s">
        <v>82</v>
      </c>
      <c r="E72" s="243" t="s">
        <v>80</v>
      </c>
      <c r="F72" s="243" t="s">
        <v>957</v>
      </c>
      <c r="G72" s="286"/>
      <c r="H72" s="50"/>
      <c r="I72" s="51"/>
      <c r="J72" s="51"/>
      <c r="K72" s="51"/>
      <c r="L72" s="51"/>
      <c r="M72" s="51"/>
      <c r="N72" s="51"/>
      <c r="O72" s="52"/>
      <c r="P72" s="51"/>
      <c r="Q72" s="53"/>
      <c r="R72" s="5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95"/>
      <c r="B73" s="296"/>
      <c r="C73" s="296"/>
      <c r="D73" s="296"/>
      <c r="E73" s="296"/>
      <c r="F73" s="296"/>
      <c r="G73" s="289"/>
      <c r="H73" s="297"/>
      <c r="I73" s="297"/>
      <c r="J73" s="297"/>
      <c r="K73" s="297"/>
      <c r="L73" s="297"/>
      <c r="M73" s="297"/>
      <c r="N73" s="297"/>
      <c r="O73" s="298"/>
      <c r="P73" s="297"/>
      <c r="Q73" s="289"/>
      <c r="R73" s="29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82" t="s">
        <v>5</v>
      </c>
      <c r="B74" s="283"/>
      <c r="C74" s="283"/>
      <c r="D74" s="283"/>
      <c r="E74" s="283"/>
      <c r="F74" s="283"/>
      <c r="G74" s="5">
        <v>45990</v>
      </c>
      <c r="H74" s="278" t="s">
        <v>6</v>
      </c>
      <c r="I74" s="279"/>
      <c r="J74" s="279"/>
      <c r="K74" s="279"/>
      <c r="L74" s="279"/>
      <c r="M74" s="279"/>
      <c r="N74" s="279"/>
      <c r="O74" s="279"/>
      <c r="P74" s="279"/>
      <c r="Q74" s="279"/>
      <c r="R74" s="27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55" t="s">
        <v>7</v>
      </c>
      <c r="B75" s="55" t="s">
        <v>8</v>
      </c>
      <c r="C75" s="56" t="s">
        <v>9</v>
      </c>
      <c r="D75" s="55" t="s">
        <v>10</v>
      </c>
      <c r="E75" s="55" t="s">
        <v>11</v>
      </c>
      <c r="F75" s="55" t="s">
        <v>12</v>
      </c>
      <c r="G75" s="57" t="s">
        <v>13</v>
      </c>
      <c r="H75" s="55" t="s">
        <v>14</v>
      </c>
      <c r="I75" s="58" t="s">
        <v>15</v>
      </c>
      <c r="J75" s="59" t="s">
        <v>16</v>
      </c>
      <c r="K75" s="60" t="s">
        <v>17</v>
      </c>
      <c r="L75" s="59" t="s">
        <v>18</v>
      </c>
      <c r="M75" s="59" t="s">
        <v>19</v>
      </c>
      <c r="N75" s="59" t="s">
        <v>20</v>
      </c>
      <c r="O75" s="55" t="s">
        <v>21</v>
      </c>
      <c r="P75" s="56" t="s">
        <v>22</v>
      </c>
      <c r="Q75" s="59" t="s">
        <v>23</v>
      </c>
      <c r="R75" s="55"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8" t="s">
        <v>25</v>
      </c>
      <c r="B76" s="8" t="s">
        <v>931</v>
      </c>
      <c r="C76" s="9">
        <v>0.30555555555555552</v>
      </c>
      <c r="D76" s="8" t="s">
        <v>27</v>
      </c>
      <c r="E76" s="8" t="s">
        <v>962</v>
      </c>
      <c r="F76" s="8" t="s">
        <v>788</v>
      </c>
      <c r="G76" s="284"/>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25</v>
      </c>
      <c r="B77" s="15" t="s">
        <v>931</v>
      </c>
      <c r="C77" s="16">
        <v>0.30555555555555552</v>
      </c>
      <c r="D77" s="15" t="s">
        <v>30</v>
      </c>
      <c r="E77" s="15" t="s">
        <v>406</v>
      </c>
      <c r="F77" s="15" t="s">
        <v>345</v>
      </c>
      <c r="G77" s="285"/>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931</v>
      </c>
      <c r="C78" s="16">
        <v>0.30555555555555552</v>
      </c>
      <c r="D78" s="15" t="s">
        <v>33</v>
      </c>
      <c r="E78" s="15" t="s">
        <v>406</v>
      </c>
      <c r="F78" s="15" t="s">
        <v>791</v>
      </c>
      <c r="G78" s="285"/>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44" t="s">
        <v>55</v>
      </c>
      <c r="B79" s="44" t="s">
        <v>932</v>
      </c>
      <c r="C79" s="45">
        <v>0.19791666666666671</v>
      </c>
      <c r="D79" s="44" t="s">
        <v>60</v>
      </c>
      <c r="E79" s="44" t="s">
        <v>381</v>
      </c>
      <c r="F79" s="44" t="s">
        <v>951</v>
      </c>
      <c r="G79" s="285"/>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55</v>
      </c>
      <c r="B80" s="15" t="s">
        <v>932</v>
      </c>
      <c r="C80" s="16">
        <v>0.19791666666666671</v>
      </c>
      <c r="D80" s="15" t="s">
        <v>62</v>
      </c>
      <c r="E80" s="15" t="s">
        <v>360</v>
      </c>
      <c r="F80" s="15" t="s">
        <v>350</v>
      </c>
      <c r="G80" s="285"/>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55</v>
      </c>
      <c r="B81" s="15" t="s">
        <v>932</v>
      </c>
      <c r="C81" s="16">
        <v>0.19791666666666671</v>
      </c>
      <c r="D81" s="15" t="s">
        <v>64</v>
      </c>
      <c r="E81" s="15" t="s">
        <v>360</v>
      </c>
      <c r="F81" s="15" t="s">
        <v>426</v>
      </c>
      <c r="G81" s="285"/>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46" t="s">
        <v>55</v>
      </c>
      <c r="B82" s="46" t="s">
        <v>934</v>
      </c>
      <c r="C82" s="47">
        <v>0.83333333333333337</v>
      </c>
      <c r="D82" s="46" t="s">
        <v>60</v>
      </c>
      <c r="E82" s="46" t="s">
        <v>102</v>
      </c>
      <c r="F82" s="46" t="s">
        <v>951</v>
      </c>
      <c r="G82" s="285"/>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55</v>
      </c>
      <c r="B83" s="15" t="s">
        <v>934</v>
      </c>
      <c r="C83" s="16">
        <v>0.83333333333333337</v>
      </c>
      <c r="D83" s="15" t="s">
        <v>62</v>
      </c>
      <c r="E83" s="15" t="s">
        <v>83</v>
      </c>
      <c r="F83" s="15" t="s">
        <v>350</v>
      </c>
      <c r="G83" s="285"/>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55</v>
      </c>
      <c r="B84" s="15" t="s">
        <v>934</v>
      </c>
      <c r="C84" s="16">
        <v>0.83333333333333337</v>
      </c>
      <c r="D84" s="15" t="s">
        <v>64</v>
      </c>
      <c r="E84" s="15" t="s">
        <v>83</v>
      </c>
      <c r="F84" s="15" t="s">
        <v>426</v>
      </c>
      <c r="G84" s="285"/>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44" t="s">
        <v>378</v>
      </c>
      <c r="B85" s="44" t="s">
        <v>963</v>
      </c>
      <c r="C85" s="45">
        <v>0.93402777777777779</v>
      </c>
      <c r="D85" s="44" t="s">
        <v>380</v>
      </c>
      <c r="E85" s="44" t="s">
        <v>381</v>
      </c>
      <c r="F85" s="44" t="s">
        <v>875</v>
      </c>
      <c r="G85" s="285"/>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378</v>
      </c>
      <c r="B86" s="15" t="s">
        <v>963</v>
      </c>
      <c r="C86" s="16">
        <v>0.93402777777777779</v>
      </c>
      <c r="D86" s="15" t="s">
        <v>33</v>
      </c>
      <c r="E86" s="15" t="s">
        <v>360</v>
      </c>
      <c r="F86" s="15" t="s">
        <v>964</v>
      </c>
      <c r="G86" s="285"/>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44" t="s">
        <v>304</v>
      </c>
      <c r="B87" s="44" t="s">
        <v>947</v>
      </c>
      <c r="C87" s="45">
        <v>0.1736111111111111</v>
      </c>
      <c r="D87" s="44" t="s">
        <v>37</v>
      </c>
      <c r="E87" s="44" t="s">
        <v>38</v>
      </c>
      <c r="F87" s="44" t="s">
        <v>948</v>
      </c>
      <c r="G87" s="285"/>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44" t="s">
        <v>66</v>
      </c>
      <c r="B88" s="44" t="s">
        <v>940</v>
      </c>
      <c r="C88" s="45">
        <v>0.1701388888888889</v>
      </c>
      <c r="D88" s="44" t="s">
        <v>94</v>
      </c>
      <c r="E88" s="44" t="s">
        <v>38</v>
      </c>
      <c r="F88" s="44" t="s">
        <v>959</v>
      </c>
      <c r="G88" s="285"/>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46" t="s">
        <v>66</v>
      </c>
      <c r="B89" s="46" t="s">
        <v>942</v>
      </c>
      <c r="C89" s="47">
        <v>0.86458333333333337</v>
      </c>
      <c r="D89" s="46" t="s">
        <v>94</v>
      </c>
      <c r="E89" s="46" t="s">
        <v>76</v>
      </c>
      <c r="F89" s="46" t="s">
        <v>959</v>
      </c>
      <c r="G89" s="285"/>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46" t="s">
        <v>66</v>
      </c>
      <c r="B90" s="46" t="s">
        <v>943</v>
      </c>
      <c r="C90" s="47">
        <v>0.52777777777777779</v>
      </c>
      <c r="D90" s="46" t="s">
        <v>68</v>
      </c>
      <c r="E90" s="46" t="s">
        <v>76</v>
      </c>
      <c r="F90" s="46" t="s">
        <v>123</v>
      </c>
      <c r="G90" s="285"/>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44" t="s">
        <v>333</v>
      </c>
      <c r="B91" s="44" t="s">
        <v>939</v>
      </c>
      <c r="C91" s="45">
        <v>0.89583333333333337</v>
      </c>
      <c r="D91" s="44" t="s">
        <v>37</v>
      </c>
      <c r="E91" s="44" t="s">
        <v>38</v>
      </c>
      <c r="F91" s="44" t="s">
        <v>838</v>
      </c>
      <c r="G91" s="285"/>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82" t="s">
        <v>35</v>
      </c>
      <c r="B92" s="82" t="s">
        <v>935</v>
      </c>
      <c r="C92" s="83">
        <v>0.92361111111111116</v>
      </c>
      <c r="D92" s="82" t="s">
        <v>37</v>
      </c>
      <c r="E92" s="82" t="s">
        <v>38</v>
      </c>
      <c r="F92" s="82" t="s">
        <v>647</v>
      </c>
      <c r="G92" s="285"/>
      <c r="H92" s="84" t="s">
        <v>937</v>
      </c>
      <c r="I92" s="215">
        <v>0.1845</v>
      </c>
      <c r="J92" s="86">
        <v>31</v>
      </c>
      <c r="K92" s="87">
        <v>45984</v>
      </c>
      <c r="L92" s="86">
        <v>2</v>
      </c>
      <c r="M92" s="86">
        <v>0</v>
      </c>
      <c r="N92" s="86">
        <v>1</v>
      </c>
      <c r="O92" s="88" t="s">
        <v>432</v>
      </c>
      <c r="P92" s="89">
        <v>0.92361111111111116</v>
      </c>
      <c r="Q92" s="86">
        <v>168</v>
      </c>
      <c r="R92" s="90" t="s">
        <v>965</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243" t="s">
        <v>78</v>
      </c>
      <c r="B93" s="243" t="s">
        <v>945</v>
      </c>
      <c r="C93" s="244">
        <v>0.30555555555555552</v>
      </c>
      <c r="D93" s="243" t="s">
        <v>82</v>
      </c>
      <c r="E93" s="243" t="s">
        <v>80</v>
      </c>
      <c r="F93" s="243" t="s">
        <v>966</v>
      </c>
      <c r="G93" s="286"/>
      <c r="H93" s="50"/>
      <c r="I93" s="51"/>
      <c r="J93" s="51"/>
      <c r="K93" s="51"/>
      <c r="L93" s="51"/>
      <c r="M93" s="51"/>
      <c r="N93" s="51"/>
      <c r="O93" s="52"/>
      <c r="P93" s="51"/>
      <c r="Q93" s="53"/>
      <c r="R93" s="5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95"/>
      <c r="B94" s="296"/>
      <c r="C94" s="296"/>
      <c r="D94" s="296"/>
      <c r="E94" s="296"/>
      <c r="F94" s="296"/>
      <c r="G94" s="289"/>
      <c r="H94" s="297"/>
      <c r="I94" s="297"/>
      <c r="J94" s="297"/>
      <c r="K94" s="297"/>
      <c r="L94" s="297"/>
      <c r="M94" s="297"/>
      <c r="N94" s="297"/>
      <c r="O94" s="298"/>
      <c r="P94" s="297"/>
      <c r="Q94" s="289"/>
      <c r="R94" s="29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05" customHeight="1" x14ac:dyDescent="0.3">
      <c r="A95" s="282" t="s">
        <v>5</v>
      </c>
      <c r="B95" s="283"/>
      <c r="C95" s="283"/>
      <c r="D95" s="283"/>
      <c r="E95" s="283"/>
      <c r="F95" s="283"/>
      <c r="G95" s="5">
        <v>45991</v>
      </c>
      <c r="H95" s="278" t="s">
        <v>6</v>
      </c>
      <c r="I95" s="279"/>
      <c r="J95" s="279"/>
      <c r="K95" s="279"/>
      <c r="L95" s="279"/>
      <c r="M95" s="279"/>
      <c r="N95" s="279"/>
      <c r="O95" s="279"/>
      <c r="P95" s="279"/>
      <c r="Q95" s="279"/>
      <c r="R95" s="27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x14ac:dyDescent="0.3">
      <c r="A96" s="55" t="s">
        <v>7</v>
      </c>
      <c r="B96" s="55" t="s">
        <v>8</v>
      </c>
      <c r="C96" s="56" t="s">
        <v>9</v>
      </c>
      <c r="D96" s="55" t="s">
        <v>10</v>
      </c>
      <c r="E96" s="55" t="s">
        <v>11</v>
      </c>
      <c r="F96" s="55" t="s">
        <v>12</v>
      </c>
      <c r="G96" s="57" t="s">
        <v>13</v>
      </c>
      <c r="H96" s="55" t="s">
        <v>14</v>
      </c>
      <c r="I96" s="58" t="s">
        <v>15</v>
      </c>
      <c r="J96" s="59" t="s">
        <v>16</v>
      </c>
      <c r="K96" s="60" t="s">
        <v>17</v>
      </c>
      <c r="L96" s="59" t="s">
        <v>18</v>
      </c>
      <c r="M96" s="59" t="s">
        <v>19</v>
      </c>
      <c r="N96" s="59" t="s">
        <v>20</v>
      </c>
      <c r="O96" s="55" t="s">
        <v>21</v>
      </c>
      <c r="P96" s="56" t="s">
        <v>22</v>
      </c>
      <c r="Q96" s="59" t="s">
        <v>23</v>
      </c>
      <c r="R96" s="55"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8" t="s">
        <v>25</v>
      </c>
      <c r="B97" s="8" t="s">
        <v>931</v>
      </c>
      <c r="C97" s="9">
        <v>0.30555555555555552</v>
      </c>
      <c r="D97" s="8" t="s">
        <v>27</v>
      </c>
      <c r="E97" s="8" t="s">
        <v>122</v>
      </c>
      <c r="F97" s="8" t="s">
        <v>790</v>
      </c>
      <c r="G97" s="284"/>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5" t="s">
        <v>25</v>
      </c>
      <c r="B98" s="15" t="s">
        <v>931</v>
      </c>
      <c r="C98" s="16">
        <v>0.30555555555555552</v>
      </c>
      <c r="D98" s="15" t="s">
        <v>30</v>
      </c>
      <c r="E98" s="15" t="s">
        <v>92</v>
      </c>
      <c r="F98" s="15" t="s">
        <v>353</v>
      </c>
      <c r="G98" s="285"/>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25</v>
      </c>
      <c r="B99" s="15" t="s">
        <v>931</v>
      </c>
      <c r="C99" s="16">
        <v>0.30555555555555552</v>
      </c>
      <c r="D99" s="15" t="s">
        <v>33</v>
      </c>
      <c r="E99" s="15" t="s">
        <v>92</v>
      </c>
      <c r="F99" s="15" t="s">
        <v>791</v>
      </c>
      <c r="G99" s="285"/>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44" t="s">
        <v>304</v>
      </c>
      <c r="B100" s="44" t="s">
        <v>958</v>
      </c>
      <c r="C100" s="45">
        <v>0.21527777777777779</v>
      </c>
      <c r="D100" s="44" t="s">
        <v>37</v>
      </c>
      <c r="E100" s="44" t="s">
        <v>58</v>
      </c>
      <c r="F100" s="44" t="s">
        <v>948</v>
      </c>
      <c r="G100" s="285"/>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44" t="s">
        <v>55</v>
      </c>
      <c r="B101" s="44" t="s">
        <v>934</v>
      </c>
      <c r="C101" s="45">
        <v>0.83333333333333337</v>
      </c>
      <c r="D101" s="44" t="s">
        <v>60</v>
      </c>
      <c r="E101" s="44" t="s">
        <v>381</v>
      </c>
      <c r="F101" s="44" t="s">
        <v>933</v>
      </c>
      <c r="G101" s="285"/>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55</v>
      </c>
      <c r="B102" s="15" t="s">
        <v>934</v>
      </c>
      <c r="C102" s="16">
        <v>0.83333333333333337</v>
      </c>
      <c r="D102" s="15" t="s">
        <v>62</v>
      </c>
      <c r="E102" s="15" t="s">
        <v>360</v>
      </c>
      <c r="F102" s="15" t="s">
        <v>853</v>
      </c>
      <c r="G102" s="285"/>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55</v>
      </c>
      <c r="B103" s="15" t="s">
        <v>934</v>
      </c>
      <c r="C103" s="16">
        <v>0.83333333333333337</v>
      </c>
      <c r="D103" s="15" t="s">
        <v>64</v>
      </c>
      <c r="E103" s="15" t="s">
        <v>360</v>
      </c>
      <c r="F103" s="15" t="s">
        <v>342</v>
      </c>
      <c r="G103" s="285"/>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44" t="s">
        <v>66</v>
      </c>
      <c r="B104" s="44" t="s">
        <v>940</v>
      </c>
      <c r="C104" s="45">
        <v>0.1701388888888889</v>
      </c>
      <c r="D104" s="44" t="s">
        <v>94</v>
      </c>
      <c r="E104" s="44" t="s">
        <v>38</v>
      </c>
      <c r="F104" s="44" t="s">
        <v>959</v>
      </c>
      <c r="G104" s="285"/>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46" t="s">
        <v>66</v>
      </c>
      <c r="B105" s="46" t="s">
        <v>942</v>
      </c>
      <c r="C105" s="47">
        <v>0.86458333333333337</v>
      </c>
      <c r="D105" s="46" t="s">
        <v>94</v>
      </c>
      <c r="E105" s="46" t="s">
        <v>76</v>
      </c>
      <c r="F105" s="46" t="s">
        <v>959</v>
      </c>
      <c r="G105" s="285"/>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46" t="s">
        <v>66</v>
      </c>
      <c r="B106" s="46" t="s">
        <v>943</v>
      </c>
      <c r="C106" s="47">
        <v>0.50347222222222221</v>
      </c>
      <c r="D106" s="46" t="s">
        <v>85</v>
      </c>
      <c r="E106" s="46" t="s">
        <v>76</v>
      </c>
      <c r="F106" s="46" t="s">
        <v>813</v>
      </c>
      <c r="G106" s="285"/>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44" t="s">
        <v>333</v>
      </c>
      <c r="B107" s="44" t="s">
        <v>967</v>
      </c>
      <c r="C107" s="45">
        <v>0.68402777777777779</v>
      </c>
      <c r="D107" s="44" t="s">
        <v>37</v>
      </c>
      <c r="E107" s="44" t="s">
        <v>38</v>
      </c>
      <c r="F107" s="44" t="s">
        <v>838</v>
      </c>
      <c r="G107" s="285"/>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46" t="s">
        <v>333</v>
      </c>
      <c r="B108" s="46" t="s">
        <v>968</v>
      </c>
      <c r="C108" s="47">
        <v>0.16319444444444439</v>
      </c>
      <c r="D108" s="46" t="s">
        <v>37</v>
      </c>
      <c r="E108" s="46" t="s">
        <v>76</v>
      </c>
      <c r="F108" s="46" t="s">
        <v>838</v>
      </c>
      <c r="G108" s="285"/>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46" t="s">
        <v>333</v>
      </c>
      <c r="B109" s="46" t="s">
        <v>955</v>
      </c>
      <c r="C109" s="47">
        <v>0.95833333333333337</v>
      </c>
      <c r="D109" s="46" t="s">
        <v>37</v>
      </c>
      <c r="E109" s="46" t="s">
        <v>76</v>
      </c>
      <c r="F109" s="46" t="s">
        <v>838</v>
      </c>
      <c r="G109" s="285"/>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243" t="s">
        <v>78</v>
      </c>
      <c r="B110" s="243" t="s">
        <v>945</v>
      </c>
      <c r="C110" s="244">
        <v>0.30555555555555552</v>
      </c>
      <c r="D110" s="243" t="s">
        <v>82</v>
      </c>
      <c r="E110" s="243" t="s">
        <v>80</v>
      </c>
      <c r="F110" s="243" t="s">
        <v>946</v>
      </c>
      <c r="G110" s="286"/>
      <c r="H110" s="50"/>
      <c r="I110" s="51"/>
      <c r="J110" s="51"/>
      <c r="K110" s="51"/>
      <c r="L110" s="51"/>
      <c r="M110" s="51"/>
      <c r="N110" s="51"/>
      <c r="O110" s="52"/>
      <c r="P110" s="51"/>
      <c r="Q110" s="53"/>
      <c r="R110" s="5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288"/>
      <c r="B111" s="289"/>
      <c r="C111" s="289"/>
      <c r="D111" s="289"/>
      <c r="E111" s="289"/>
      <c r="F111" s="289"/>
      <c r="G111" s="289"/>
      <c r="H111" s="289"/>
      <c r="I111" s="289"/>
      <c r="J111" s="289"/>
      <c r="K111" s="289"/>
      <c r="L111" s="289"/>
      <c r="M111" s="289"/>
      <c r="N111" s="289"/>
      <c r="O111" s="289"/>
      <c r="P111" s="289"/>
      <c r="Q111" s="289"/>
      <c r="R111" s="29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sheetData>
  <mergeCells count="33">
    <mergeCell ref="A111:R111"/>
    <mergeCell ref="H37:R37"/>
    <mergeCell ref="D1:F1"/>
    <mergeCell ref="H22:R22"/>
    <mergeCell ref="G97:G110"/>
    <mergeCell ref="G60:G72"/>
    <mergeCell ref="G39:G56"/>
    <mergeCell ref="A1:C1"/>
    <mergeCell ref="A73:R73"/>
    <mergeCell ref="G1:H1"/>
    <mergeCell ref="A36:R36"/>
    <mergeCell ref="H95:R95"/>
    <mergeCell ref="A94:R94"/>
    <mergeCell ref="G24:G35"/>
    <mergeCell ref="A95:F95"/>
    <mergeCell ref="A2:F2"/>
    <mergeCell ref="A3:R3"/>
    <mergeCell ref="A21:R21"/>
    <mergeCell ref="A57:R57"/>
    <mergeCell ref="H74:R74"/>
    <mergeCell ref="A22:F22"/>
    <mergeCell ref="G2:J2"/>
    <mergeCell ref="G76:G93"/>
    <mergeCell ref="A4:F4"/>
    <mergeCell ref="G6:G20"/>
    <mergeCell ref="A58:F58"/>
    <mergeCell ref="K2:R2"/>
    <mergeCell ref="O1:Q1"/>
    <mergeCell ref="A37:F37"/>
    <mergeCell ref="A74:F74"/>
    <mergeCell ref="H4:R4"/>
    <mergeCell ref="H58:R58"/>
    <mergeCell ref="J1:M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6"/>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2.332031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937</v>
      </c>
      <c r="D2" s="95">
        <v>0.27083333333333331</v>
      </c>
      <c r="E2" s="94" t="s">
        <v>930</v>
      </c>
      <c r="F2" s="94" t="s">
        <v>174</v>
      </c>
      <c r="G2" s="96">
        <v>0.42259999999999998</v>
      </c>
      <c r="H2" s="97">
        <v>168</v>
      </c>
      <c r="I2" s="97">
        <v>71</v>
      </c>
      <c r="J2" s="97">
        <v>0</v>
      </c>
      <c r="K2" s="93">
        <v>45984</v>
      </c>
      <c r="L2" s="97">
        <v>0</v>
      </c>
      <c r="M2" s="97">
        <v>3</v>
      </c>
      <c r="N2" s="97">
        <v>31</v>
      </c>
      <c r="O2" s="94" t="s">
        <v>574</v>
      </c>
      <c r="P2" s="98"/>
      <c r="Q2" s="98"/>
      <c r="R2" s="98"/>
      <c r="S2" s="98"/>
      <c r="T2" s="98"/>
      <c r="U2" s="98"/>
      <c r="V2" s="98"/>
      <c r="W2" s="98"/>
      <c r="X2" s="98"/>
      <c r="Y2" s="97" t="s">
        <v>299</v>
      </c>
      <c r="Z2" s="97" t="s">
        <v>214</v>
      </c>
      <c r="AA2" s="98"/>
      <c r="AB2" s="97" t="s">
        <v>491</v>
      </c>
      <c r="AC2" s="97" t="s">
        <v>522</v>
      </c>
      <c r="AD2" s="97" t="s">
        <v>194</v>
      </c>
      <c r="AE2" s="97" t="s">
        <v>969</v>
      </c>
      <c r="AF2" s="98"/>
      <c r="AG2" s="98"/>
      <c r="AH2" s="98"/>
      <c r="AI2" s="98"/>
    </row>
    <row r="3" spans="1:35" ht="18" x14ac:dyDescent="0.3">
      <c r="A3" s="99" t="s">
        <v>197</v>
      </c>
      <c r="B3" s="100">
        <v>45988</v>
      </c>
      <c r="C3" s="101" t="s">
        <v>937</v>
      </c>
      <c r="D3" s="102">
        <v>0.92361111111111116</v>
      </c>
      <c r="E3" s="101" t="s">
        <v>930</v>
      </c>
      <c r="F3" s="101" t="s">
        <v>174</v>
      </c>
      <c r="G3" s="103">
        <v>0.27379999999999999</v>
      </c>
      <c r="H3" s="104">
        <v>168</v>
      </c>
      <c r="I3" s="104">
        <v>46</v>
      </c>
      <c r="J3" s="104">
        <v>0</v>
      </c>
      <c r="K3" s="100">
        <v>45984</v>
      </c>
      <c r="L3" s="104">
        <v>0</v>
      </c>
      <c r="M3" s="104">
        <v>5</v>
      </c>
      <c r="N3" s="104">
        <v>18</v>
      </c>
      <c r="O3" s="101" t="s">
        <v>432</v>
      </c>
      <c r="P3" s="105"/>
      <c r="Q3" s="105"/>
      <c r="R3" s="105"/>
      <c r="S3" s="105"/>
      <c r="T3" s="105"/>
      <c r="U3" s="105"/>
      <c r="V3" s="105"/>
      <c r="W3" s="104" t="s">
        <v>175</v>
      </c>
      <c r="X3" s="105"/>
      <c r="Y3" s="104" t="s">
        <v>274</v>
      </c>
      <c r="Z3" s="104" t="s">
        <v>214</v>
      </c>
      <c r="AA3" s="105"/>
      <c r="AB3" s="104" t="s">
        <v>491</v>
      </c>
      <c r="AC3" s="104" t="s">
        <v>217</v>
      </c>
      <c r="AD3" s="104" t="s">
        <v>463</v>
      </c>
      <c r="AE3" s="104" t="s">
        <v>970</v>
      </c>
      <c r="AF3" s="105"/>
      <c r="AG3" s="105"/>
      <c r="AH3" s="105"/>
      <c r="AI3" s="105"/>
    </row>
    <row r="4" spans="1:35" ht="18" x14ac:dyDescent="0.3">
      <c r="A4" s="92" t="s">
        <v>543</v>
      </c>
      <c r="B4" s="93">
        <v>45989</v>
      </c>
      <c r="C4" s="94" t="s">
        <v>937</v>
      </c>
      <c r="D4" s="95">
        <v>0.57986111111111105</v>
      </c>
      <c r="E4" s="94" t="s">
        <v>930</v>
      </c>
      <c r="F4" s="94" t="s">
        <v>174</v>
      </c>
      <c r="G4" s="96">
        <v>0.33329999999999999</v>
      </c>
      <c r="H4" s="97">
        <v>168</v>
      </c>
      <c r="I4" s="97">
        <v>56</v>
      </c>
      <c r="J4" s="97">
        <v>0</v>
      </c>
      <c r="K4" s="93">
        <v>45984</v>
      </c>
      <c r="L4" s="97">
        <v>0</v>
      </c>
      <c r="M4" s="97">
        <v>5</v>
      </c>
      <c r="N4" s="97">
        <v>20</v>
      </c>
      <c r="O4" s="94" t="s">
        <v>432</v>
      </c>
      <c r="P4" s="98"/>
      <c r="Q4" s="98"/>
      <c r="R4" s="98"/>
      <c r="S4" s="98"/>
      <c r="T4" s="98"/>
      <c r="U4" s="98"/>
      <c r="V4" s="98"/>
      <c r="W4" s="98"/>
      <c r="X4" s="97" t="s">
        <v>212</v>
      </c>
      <c r="Y4" s="97" t="s">
        <v>971</v>
      </c>
      <c r="Z4" s="97" t="s">
        <v>525</v>
      </c>
      <c r="AA4" s="98"/>
      <c r="AB4" s="98"/>
      <c r="AC4" s="98"/>
      <c r="AD4" s="97" t="s">
        <v>317</v>
      </c>
      <c r="AE4" s="97" t="s">
        <v>748</v>
      </c>
      <c r="AF4" s="98"/>
      <c r="AG4" s="98"/>
      <c r="AH4" s="98"/>
      <c r="AI4" s="98"/>
    </row>
    <row r="5" spans="1:35" ht="18" x14ac:dyDescent="0.3">
      <c r="A5" s="99" t="s">
        <v>205</v>
      </c>
      <c r="B5" s="100">
        <v>45990</v>
      </c>
      <c r="C5" s="101" t="s">
        <v>937</v>
      </c>
      <c r="D5" s="102">
        <v>0.92361111111111116</v>
      </c>
      <c r="E5" s="101" t="s">
        <v>930</v>
      </c>
      <c r="F5" s="101" t="s">
        <v>174</v>
      </c>
      <c r="G5" s="103">
        <v>0.1845</v>
      </c>
      <c r="H5" s="104">
        <v>168</v>
      </c>
      <c r="I5" s="104">
        <v>31</v>
      </c>
      <c r="J5" s="104">
        <v>0</v>
      </c>
      <c r="K5" s="100">
        <v>45984</v>
      </c>
      <c r="L5" s="104">
        <v>0</v>
      </c>
      <c r="M5" s="104">
        <v>1</v>
      </c>
      <c r="N5" s="104">
        <v>2</v>
      </c>
      <c r="O5" s="101" t="s">
        <v>432</v>
      </c>
      <c r="P5" s="105"/>
      <c r="Q5" s="105"/>
      <c r="R5" s="105"/>
      <c r="S5" s="105"/>
      <c r="T5" s="105"/>
      <c r="U5" s="105"/>
      <c r="V5" s="105"/>
      <c r="W5" s="104" t="s">
        <v>199</v>
      </c>
      <c r="X5" s="104" t="s">
        <v>549</v>
      </c>
      <c r="Y5" s="104" t="s">
        <v>754</v>
      </c>
      <c r="Z5" s="104" t="s">
        <v>699</v>
      </c>
      <c r="AA5" s="105"/>
      <c r="AB5" s="105"/>
      <c r="AC5" s="104" t="s">
        <v>531</v>
      </c>
      <c r="AD5" s="105"/>
      <c r="AE5" s="104" t="s">
        <v>972</v>
      </c>
      <c r="AF5" s="105"/>
      <c r="AG5" s="105"/>
      <c r="AH5" s="105"/>
      <c r="AI5" s="105"/>
    </row>
    <row r="6" spans="1:35" ht="18" x14ac:dyDescent="0.3">
      <c r="A6" s="106" t="s">
        <v>219</v>
      </c>
      <c r="B6" s="107"/>
      <c r="C6" s="108">
        <f>COUNTA(C2:C5)</f>
        <v>4</v>
      </c>
      <c r="D6" s="107"/>
      <c r="E6" s="107"/>
      <c r="F6" s="107"/>
      <c r="G6" s="109">
        <f>AVERAGE(G2:G5)</f>
        <v>0.30354999999999999</v>
      </c>
      <c r="H6" s="110">
        <f>SUM(H2:H5)</f>
        <v>672</v>
      </c>
      <c r="I6" s="110">
        <f>SUM(I2:I5)</f>
        <v>204</v>
      </c>
      <c r="J6" s="110">
        <f>SUM(J2:J5)</f>
        <v>0</v>
      </c>
      <c r="K6" s="107"/>
      <c r="L6" s="110">
        <f>SUM(L2:L5)</f>
        <v>0</v>
      </c>
      <c r="M6" s="110">
        <f>SUM(M2:M5)</f>
        <v>14</v>
      </c>
      <c r="N6" s="110">
        <f>SUM(N2:N5)</f>
        <v>71</v>
      </c>
      <c r="O6" s="107"/>
      <c r="P6" s="110">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0">
        <f t="shared" si="0"/>
        <v>0</v>
      </c>
      <c r="R6" s="110">
        <f t="shared" si="0"/>
        <v>0</v>
      </c>
      <c r="S6" s="110">
        <f t="shared" si="0"/>
        <v>0</v>
      </c>
      <c r="T6" s="110">
        <f t="shared" si="0"/>
        <v>0</v>
      </c>
      <c r="U6" s="110">
        <f t="shared" si="0"/>
        <v>0</v>
      </c>
      <c r="V6" s="110">
        <f t="shared" si="0"/>
        <v>0</v>
      </c>
      <c r="W6" s="110">
        <f t="shared" si="0"/>
        <v>0</v>
      </c>
      <c r="X6" s="110">
        <f t="shared" si="0"/>
        <v>0</v>
      </c>
      <c r="Y6" s="110">
        <f t="shared" si="0"/>
        <v>0</v>
      </c>
      <c r="Z6" s="110">
        <f t="shared" si="0"/>
        <v>0</v>
      </c>
      <c r="AA6" s="110">
        <f t="shared" si="0"/>
        <v>0</v>
      </c>
      <c r="AB6" s="110">
        <f t="shared" si="0"/>
        <v>0</v>
      </c>
      <c r="AC6" s="110">
        <f t="shared" si="0"/>
        <v>0</v>
      </c>
      <c r="AD6" s="110">
        <f t="shared" si="0"/>
        <v>0</v>
      </c>
      <c r="AE6" s="110">
        <f t="shared" si="0"/>
        <v>0</v>
      </c>
      <c r="AF6" s="110">
        <f t="shared" si="0"/>
        <v>0</v>
      </c>
      <c r="AG6" s="110">
        <f t="shared" si="0"/>
        <v>0</v>
      </c>
      <c r="AH6" s="110">
        <f t="shared" si="0"/>
        <v>0</v>
      </c>
      <c r="AI6" s="110">
        <f t="shared" si="0"/>
        <v>0</v>
      </c>
    </row>
  </sheetData>
  <autoFilter ref="A1:AI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1"/>
  <sheetViews>
    <sheetView workbookViewId="0"/>
  </sheetViews>
  <sheetFormatPr defaultRowHeight="14.4" x14ac:dyDescent="0.3"/>
  <cols>
    <col min="1" max="1" width="13" bestFit="1" customWidth="1"/>
    <col min="2" max="2" width="19.44140625" bestFit="1" customWidth="1"/>
    <col min="3" max="3" width="16.109375" bestFit="1" customWidth="1"/>
    <col min="4" max="4" width="12.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25</v>
      </c>
      <c r="C2" s="114" t="s">
        <v>931</v>
      </c>
      <c r="D2" s="113" t="s">
        <v>930</v>
      </c>
      <c r="E2" s="115">
        <v>1.305555555555556</v>
      </c>
      <c r="F2" s="113" t="s">
        <v>27</v>
      </c>
      <c r="G2" s="116">
        <v>1</v>
      </c>
      <c r="H2" s="117">
        <v>369</v>
      </c>
    </row>
    <row r="3" spans="1:8" ht="18" x14ac:dyDescent="0.3">
      <c r="A3" s="118">
        <v>45986</v>
      </c>
      <c r="B3" s="119" t="s">
        <v>25</v>
      </c>
      <c r="C3" s="120" t="s">
        <v>931</v>
      </c>
      <c r="D3" s="119" t="s">
        <v>930</v>
      </c>
      <c r="E3" s="121">
        <v>1.305555555555556</v>
      </c>
      <c r="F3" s="119" t="s">
        <v>30</v>
      </c>
      <c r="G3" s="122">
        <v>1</v>
      </c>
      <c r="H3" s="123">
        <v>519</v>
      </c>
    </row>
    <row r="4" spans="1:8" ht="18" x14ac:dyDescent="0.3">
      <c r="A4" s="118">
        <v>45986</v>
      </c>
      <c r="B4" s="119" t="s">
        <v>25</v>
      </c>
      <c r="C4" s="120" t="s">
        <v>931</v>
      </c>
      <c r="D4" s="119" t="s">
        <v>930</v>
      </c>
      <c r="E4" s="121">
        <v>1.305555555555556</v>
      </c>
      <c r="F4" s="119" t="s">
        <v>33</v>
      </c>
      <c r="G4" s="122">
        <v>1</v>
      </c>
      <c r="H4" s="123">
        <v>899</v>
      </c>
    </row>
    <row r="5" spans="1:8" ht="18" x14ac:dyDescent="0.3">
      <c r="A5" s="136">
        <v>45986</v>
      </c>
      <c r="B5" s="113" t="s">
        <v>55</v>
      </c>
      <c r="C5" s="114" t="s">
        <v>932</v>
      </c>
      <c r="D5" s="113" t="s">
        <v>930</v>
      </c>
      <c r="E5" s="115">
        <v>1.197916666666667</v>
      </c>
      <c r="F5" s="113" t="s">
        <v>60</v>
      </c>
      <c r="G5" s="116">
        <v>3</v>
      </c>
      <c r="H5" s="137">
        <v>379</v>
      </c>
    </row>
    <row r="6" spans="1:8" ht="18" x14ac:dyDescent="0.3">
      <c r="A6" s="118">
        <v>45986</v>
      </c>
      <c r="B6" s="119" t="s">
        <v>55</v>
      </c>
      <c r="C6" s="120" t="s">
        <v>932</v>
      </c>
      <c r="D6" s="119" t="s">
        <v>930</v>
      </c>
      <c r="E6" s="121">
        <v>1.197916666666667</v>
      </c>
      <c r="F6" s="119" t="s">
        <v>62</v>
      </c>
      <c r="G6" s="122">
        <v>3</v>
      </c>
      <c r="H6" s="123">
        <v>479</v>
      </c>
    </row>
    <row r="7" spans="1:8" ht="18" x14ac:dyDescent="0.3">
      <c r="A7" s="118">
        <v>45986</v>
      </c>
      <c r="B7" s="119" t="s">
        <v>55</v>
      </c>
      <c r="C7" s="120" t="s">
        <v>932</v>
      </c>
      <c r="D7" s="119" t="s">
        <v>930</v>
      </c>
      <c r="E7" s="121">
        <v>1.197916666666667</v>
      </c>
      <c r="F7" s="119" t="s">
        <v>64</v>
      </c>
      <c r="G7" s="122">
        <v>3</v>
      </c>
      <c r="H7" s="123">
        <v>569</v>
      </c>
    </row>
    <row r="8" spans="1:8" ht="18" x14ac:dyDescent="0.3">
      <c r="A8" s="138">
        <v>45986</v>
      </c>
      <c r="B8" s="139" t="s">
        <v>55</v>
      </c>
      <c r="C8" s="140" t="s">
        <v>934</v>
      </c>
      <c r="D8" s="139" t="s">
        <v>930</v>
      </c>
      <c r="E8" s="141">
        <v>1.833333333333333</v>
      </c>
      <c r="F8" s="139" t="s">
        <v>60</v>
      </c>
      <c r="G8" s="142">
        <v>3</v>
      </c>
      <c r="H8" s="143">
        <v>439</v>
      </c>
    </row>
    <row r="9" spans="1:8" ht="18" x14ac:dyDescent="0.3">
      <c r="A9" s="118">
        <v>45986</v>
      </c>
      <c r="B9" s="119" t="s">
        <v>55</v>
      </c>
      <c r="C9" s="120" t="s">
        <v>934</v>
      </c>
      <c r="D9" s="119" t="s">
        <v>930</v>
      </c>
      <c r="E9" s="121">
        <v>1.833333333333333</v>
      </c>
      <c r="F9" s="119" t="s">
        <v>62</v>
      </c>
      <c r="G9" s="122">
        <v>3</v>
      </c>
      <c r="H9" s="123">
        <v>539</v>
      </c>
    </row>
    <row r="10" spans="1:8" ht="18" x14ac:dyDescent="0.3">
      <c r="A10" s="118">
        <v>45986</v>
      </c>
      <c r="B10" s="119" t="s">
        <v>55</v>
      </c>
      <c r="C10" s="120" t="s">
        <v>934</v>
      </c>
      <c r="D10" s="119" t="s">
        <v>930</v>
      </c>
      <c r="E10" s="121">
        <v>1.833333333333333</v>
      </c>
      <c r="F10" s="119" t="s">
        <v>64</v>
      </c>
      <c r="G10" s="122">
        <v>3</v>
      </c>
      <c r="H10" s="123">
        <v>629</v>
      </c>
    </row>
    <row r="11" spans="1:8" ht="18" x14ac:dyDescent="0.3">
      <c r="A11" s="124">
        <v>45986</v>
      </c>
      <c r="B11" s="125" t="s">
        <v>35</v>
      </c>
      <c r="C11" s="126" t="s">
        <v>935</v>
      </c>
      <c r="D11" s="125" t="s">
        <v>930</v>
      </c>
      <c r="E11" s="127">
        <v>1.270833333333333</v>
      </c>
      <c r="F11" s="125" t="s">
        <v>37</v>
      </c>
      <c r="G11" s="128">
        <v>8</v>
      </c>
      <c r="H11" s="129">
        <v>425</v>
      </c>
    </row>
    <row r="12" spans="1:8" ht="18" x14ac:dyDescent="0.3">
      <c r="A12" s="136">
        <v>45986</v>
      </c>
      <c r="B12" s="113" t="s">
        <v>333</v>
      </c>
      <c r="C12" s="114" t="s">
        <v>939</v>
      </c>
      <c r="D12" s="113" t="s">
        <v>930</v>
      </c>
      <c r="E12" s="115">
        <v>1.958333333333333</v>
      </c>
      <c r="F12" s="113" t="s">
        <v>37</v>
      </c>
      <c r="G12" s="116">
        <v>9</v>
      </c>
      <c r="H12" s="137">
        <v>439</v>
      </c>
    </row>
    <row r="13" spans="1:8" ht="18" x14ac:dyDescent="0.3">
      <c r="A13" s="136">
        <v>45986</v>
      </c>
      <c r="B13" s="113" t="s">
        <v>66</v>
      </c>
      <c r="C13" s="114" t="s">
        <v>940</v>
      </c>
      <c r="D13" s="113" t="s">
        <v>930</v>
      </c>
      <c r="E13" s="115">
        <v>1.1701388888888891</v>
      </c>
      <c r="F13" s="113" t="s">
        <v>68</v>
      </c>
      <c r="G13" s="116">
        <v>9</v>
      </c>
      <c r="H13" s="137">
        <v>547</v>
      </c>
    </row>
    <row r="14" spans="1:8" ht="18" x14ac:dyDescent="0.3">
      <c r="A14" s="138">
        <v>45986</v>
      </c>
      <c r="B14" s="139" t="s">
        <v>66</v>
      </c>
      <c r="C14" s="140" t="s">
        <v>942</v>
      </c>
      <c r="D14" s="139" t="s">
        <v>930</v>
      </c>
      <c r="E14" s="141">
        <v>1.864583333333333</v>
      </c>
      <c r="F14" s="139" t="s">
        <v>68</v>
      </c>
      <c r="G14" s="142">
        <v>9</v>
      </c>
      <c r="H14" s="143">
        <v>682</v>
      </c>
    </row>
    <row r="15" spans="1:8" ht="18" x14ac:dyDescent="0.3">
      <c r="A15" s="138">
        <v>45986</v>
      </c>
      <c r="B15" s="139" t="s">
        <v>66</v>
      </c>
      <c r="C15" s="140" t="s">
        <v>943</v>
      </c>
      <c r="D15" s="139" t="s">
        <v>930</v>
      </c>
      <c r="E15" s="141">
        <v>1.5277777777777779</v>
      </c>
      <c r="F15" s="139" t="s">
        <v>68</v>
      </c>
      <c r="G15" s="142">
        <v>9</v>
      </c>
      <c r="H15" s="143">
        <v>862</v>
      </c>
    </row>
    <row r="16" spans="1:8" ht="18" x14ac:dyDescent="0.3">
      <c r="A16" s="194">
        <v>45986</v>
      </c>
      <c r="B16" s="195" t="s">
        <v>78</v>
      </c>
      <c r="C16" s="196" t="s">
        <v>945</v>
      </c>
      <c r="D16" s="195" t="s">
        <v>930</v>
      </c>
      <c r="E16" s="197">
        <v>1.305555555555556</v>
      </c>
      <c r="F16" s="195" t="s">
        <v>82</v>
      </c>
      <c r="G16" s="198">
        <v>4</v>
      </c>
      <c r="H16" s="195" t="s">
        <v>946</v>
      </c>
    </row>
    <row r="17" spans="1:8" ht="18" x14ac:dyDescent="0.3">
      <c r="A17" s="112">
        <v>45987</v>
      </c>
      <c r="B17" s="113" t="s">
        <v>25</v>
      </c>
      <c r="C17" s="114" t="s">
        <v>931</v>
      </c>
      <c r="D17" s="113" t="s">
        <v>930</v>
      </c>
      <c r="E17" s="115">
        <v>1.305555555555556</v>
      </c>
      <c r="F17" s="113" t="s">
        <v>27</v>
      </c>
      <c r="G17" s="116">
        <v>15</v>
      </c>
      <c r="H17" s="117">
        <v>369</v>
      </c>
    </row>
    <row r="18" spans="1:8" ht="18" x14ac:dyDescent="0.3">
      <c r="A18" s="118">
        <v>45987</v>
      </c>
      <c r="B18" s="119" t="s">
        <v>25</v>
      </c>
      <c r="C18" s="120" t="s">
        <v>931</v>
      </c>
      <c r="D18" s="119" t="s">
        <v>930</v>
      </c>
      <c r="E18" s="121">
        <v>1.305555555555556</v>
      </c>
      <c r="F18" s="119" t="s">
        <v>30</v>
      </c>
      <c r="G18" s="122">
        <v>15</v>
      </c>
      <c r="H18" s="123">
        <v>519</v>
      </c>
    </row>
    <row r="19" spans="1:8" ht="18" x14ac:dyDescent="0.3">
      <c r="A19" s="118">
        <v>45987</v>
      </c>
      <c r="B19" s="119" t="s">
        <v>25</v>
      </c>
      <c r="C19" s="120" t="s">
        <v>931</v>
      </c>
      <c r="D19" s="119" t="s">
        <v>930</v>
      </c>
      <c r="E19" s="121">
        <v>1.305555555555556</v>
      </c>
      <c r="F19" s="119" t="s">
        <v>33</v>
      </c>
      <c r="G19" s="122">
        <v>15</v>
      </c>
      <c r="H19" s="119" t="s">
        <v>128</v>
      </c>
    </row>
    <row r="20" spans="1:8" ht="18" x14ac:dyDescent="0.3">
      <c r="A20" s="136">
        <v>45987</v>
      </c>
      <c r="B20" s="113" t="s">
        <v>304</v>
      </c>
      <c r="C20" s="114" t="s">
        <v>947</v>
      </c>
      <c r="D20" s="113" t="s">
        <v>930</v>
      </c>
      <c r="E20" s="115">
        <v>1.0902777777777779</v>
      </c>
      <c r="F20" s="113" t="s">
        <v>37</v>
      </c>
      <c r="G20" s="116">
        <v>9</v>
      </c>
      <c r="H20" s="137">
        <v>371</v>
      </c>
    </row>
    <row r="21" spans="1:8" ht="18" x14ac:dyDescent="0.3">
      <c r="A21" s="136">
        <v>45987</v>
      </c>
      <c r="B21" s="113" t="s">
        <v>333</v>
      </c>
      <c r="C21" s="114" t="s">
        <v>949</v>
      </c>
      <c r="D21" s="113" t="s">
        <v>930</v>
      </c>
      <c r="E21" s="115">
        <v>1.895833333333333</v>
      </c>
      <c r="F21" s="113" t="s">
        <v>37</v>
      </c>
      <c r="G21" s="116">
        <v>9</v>
      </c>
      <c r="H21" s="137">
        <v>439</v>
      </c>
    </row>
    <row r="22" spans="1:8" ht="18" x14ac:dyDescent="0.3">
      <c r="A22" s="136">
        <v>45987</v>
      </c>
      <c r="B22" s="113" t="s">
        <v>55</v>
      </c>
      <c r="C22" s="114" t="s">
        <v>934</v>
      </c>
      <c r="D22" s="113" t="s">
        <v>930</v>
      </c>
      <c r="E22" s="115">
        <v>1.833333333333333</v>
      </c>
      <c r="F22" s="113" t="s">
        <v>60</v>
      </c>
      <c r="G22" s="116">
        <v>4</v>
      </c>
      <c r="H22" s="137">
        <v>439</v>
      </c>
    </row>
    <row r="23" spans="1:8" ht="18" x14ac:dyDescent="0.3">
      <c r="A23" s="118">
        <v>45987</v>
      </c>
      <c r="B23" s="119" t="s">
        <v>55</v>
      </c>
      <c r="C23" s="120" t="s">
        <v>934</v>
      </c>
      <c r="D23" s="119" t="s">
        <v>930</v>
      </c>
      <c r="E23" s="121">
        <v>1.833333333333333</v>
      </c>
      <c r="F23" s="119" t="s">
        <v>62</v>
      </c>
      <c r="G23" s="122">
        <v>4</v>
      </c>
      <c r="H23" s="123">
        <v>539</v>
      </c>
    </row>
    <row r="24" spans="1:8" ht="18" x14ac:dyDescent="0.3">
      <c r="A24" s="118">
        <v>45987</v>
      </c>
      <c r="B24" s="119" t="s">
        <v>55</v>
      </c>
      <c r="C24" s="120" t="s">
        <v>934</v>
      </c>
      <c r="D24" s="119" t="s">
        <v>930</v>
      </c>
      <c r="E24" s="121">
        <v>1.833333333333333</v>
      </c>
      <c r="F24" s="119" t="s">
        <v>64</v>
      </c>
      <c r="G24" s="122">
        <v>4</v>
      </c>
      <c r="H24" s="123">
        <v>629</v>
      </c>
    </row>
    <row r="25" spans="1:8" ht="18" x14ac:dyDescent="0.3">
      <c r="A25" s="136">
        <v>45987</v>
      </c>
      <c r="B25" s="113" t="s">
        <v>66</v>
      </c>
      <c r="C25" s="114" t="s">
        <v>940</v>
      </c>
      <c r="D25" s="113" t="s">
        <v>930</v>
      </c>
      <c r="E25" s="115">
        <v>1.1701388888888891</v>
      </c>
      <c r="F25" s="113" t="s">
        <v>85</v>
      </c>
      <c r="G25" s="116">
        <v>9</v>
      </c>
      <c r="H25" s="137">
        <v>441</v>
      </c>
    </row>
    <row r="26" spans="1:8" ht="18" x14ac:dyDescent="0.3">
      <c r="A26" s="138">
        <v>45987</v>
      </c>
      <c r="B26" s="139" t="s">
        <v>66</v>
      </c>
      <c r="C26" s="140" t="s">
        <v>942</v>
      </c>
      <c r="D26" s="139" t="s">
        <v>930</v>
      </c>
      <c r="E26" s="141">
        <v>1.864583333333333</v>
      </c>
      <c r="F26" s="139" t="s">
        <v>68</v>
      </c>
      <c r="G26" s="142">
        <v>9</v>
      </c>
      <c r="H26" s="143">
        <v>682</v>
      </c>
    </row>
    <row r="27" spans="1:8" ht="18" x14ac:dyDescent="0.3">
      <c r="A27" s="138">
        <v>45987</v>
      </c>
      <c r="B27" s="139" t="s">
        <v>66</v>
      </c>
      <c r="C27" s="140" t="s">
        <v>943</v>
      </c>
      <c r="D27" s="139" t="s">
        <v>930</v>
      </c>
      <c r="E27" s="141">
        <v>1.5277777777777779</v>
      </c>
      <c r="F27" s="139" t="s">
        <v>68</v>
      </c>
      <c r="G27" s="142">
        <v>9</v>
      </c>
      <c r="H27" s="143">
        <v>866</v>
      </c>
    </row>
    <row r="28" spans="1:8" ht="18" x14ac:dyDescent="0.3">
      <c r="A28" s="194">
        <v>45987</v>
      </c>
      <c r="B28" s="195" t="s">
        <v>78</v>
      </c>
      <c r="C28" s="196" t="s">
        <v>945</v>
      </c>
      <c r="D28" s="195" t="s">
        <v>930</v>
      </c>
      <c r="E28" s="197">
        <v>1.305555555555556</v>
      </c>
      <c r="F28" s="195" t="s">
        <v>82</v>
      </c>
      <c r="G28" s="198">
        <v>4</v>
      </c>
      <c r="H28" s="195" t="s">
        <v>950</v>
      </c>
    </row>
    <row r="29" spans="1:8" ht="18" x14ac:dyDescent="0.3">
      <c r="A29" s="112">
        <v>45988</v>
      </c>
      <c r="B29" s="113" t="s">
        <v>25</v>
      </c>
      <c r="C29" s="114" t="s">
        <v>931</v>
      </c>
      <c r="D29" s="113" t="s">
        <v>930</v>
      </c>
      <c r="E29" s="115">
        <v>1.305555555555556</v>
      </c>
      <c r="F29" s="113" t="s">
        <v>27</v>
      </c>
      <c r="G29" s="116">
        <v>2</v>
      </c>
      <c r="H29" s="117">
        <v>309</v>
      </c>
    </row>
    <row r="30" spans="1:8" ht="18" x14ac:dyDescent="0.3">
      <c r="A30" s="118">
        <v>45988</v>
      </c>
      <c r="B30" s="119" t="s">
        <v>25</v>
      </c>
      <c r="C30" s="120" t="s">
        <v>931</v>
      </c>
      <c r="D30" s="119" t="s">
        <v>930</v>
      </c>
      <c r="E30" s="121">
        <v>1.305555555555556</v>
      </c>
      <c r="F30" s="119" t="s">
        <v>30</v>
      </c>
      <c r="G30" s="122">
        <v>2</v>
      </c>
      <c r="H30" s="123">
        <v>459</v>
      </c>
    </row>
    <row r="31" spans="1:8" ht="18" x14ac:dyDescent="0.3">
      <c r="A31" s="118">
        <v>45988</v>
      </c>
      <c r="B31" s="119" t="s">
        <v>25</v>
      </c>
      <c r="C31" s="120" t="s">
        <v>931</v>
      </c>
      <c r="D31" s="119" t="s">
        <v>930</v>
      </c>
      <c r="E31" s="121">
        <v>1.305555555555556</v>
      </c>
      <c r="F31" s="119" t="s">
        <v>33</v>
      </c>
      <c r="G31" s="122">
        <v>2</v>
      </c>
      <c r="H31" s="123">
        <v>899</v>
      </c>
    </row>
    <row r="32" spans="1:8" ht="18" x14ac:dyDescent="0.3">
      <c r="A32" s="136">
        <v>45988</v>
      </c>
      <c r="B32" s="113" t="s">
        <v>55</v>
      </c>
      <c r="C32" s="114" t="s">
        <v>932</v>
      </c>
      <c r="D32" s="113" t="s">
        <v>930</v>
      </c>
      <c r="E32" s="115">
        <v>1.197916666666667</v>
      </c>
      <c r="F32" s="113" t="s">
        <v>60</v>
      </c>
      <c r="G32" s="116">
        <v>9</v>
      </c>
      <c r="H32" s="137">
        <v>349</v>
      </c>
    </row>
    <row r="33" spans="1:8" ht="18" x14ac:dyDescent="0.3">
      <c r="A33" s="118">
        <v>45988</v>
      </c>
      <c r="B33" s="119" t="s">
        <v>55</v>
      </c>
      <c r="C33" s="120" t="s">
        <v>932</v>
      </c>
      <c r="D33" s="119" t="s">
        <v>930</v>
      </c>
      <c r="E33" s="121">
        <v>1.197916666666667</v>
      </c>
      <c r="F33" s="119" t="s">
        <v>62</v>
      </c>
      <c r="G33" s="122">
        <v>9</v>
      </c>
      <c r="H33" s="123">
        <v>449</v>
      </c>
    </row>
    <row r="34" spans="1:8" ht="18" x14ac:dyDescent="0.3">
      <c r="A34" s="118">
        <v>45988</v>
      </c>
      <c r="B34" s="119" t="s">
        <v>55</v>
      </c>
      <c r="C34" s="120" t="s">
        <v>932</v>
      </c>
      <c r="D34" s="119" t="s">
        <v>930</v>
      </c>
      <c r="E34" s="121">
        <v>1.197916666666667</v>
      </c>
      <c r="F34" s="119" t="s">
        <v>64</v>
      </c>
      <c r="G34" s="122">
        <v>9</v>
      </c>
      <c r="H34" s="123">
        <v>539</v>
      </c>
    </row>
    <row r="35" spans="1:8" ht="18" x14ac:dyDescent="0.3">
      <c r="A35" s="138">
        <v>45988</v>
      </c>
      <c r="B35" s="139" t="s">
        <v>55</v>
      </c>
      <c r="C35" s="140" t="s">
        <v>934</v>
      </c>
      <c r="D35" s="139" t="s">
        <v>930</v>
      </c>
      <c r="E35" s="141">
        <v>1.833333333333333</v>
      </c>
      <c r="F35" s="139" t="s">
        <v>60</v>
      </c>
      <c r="G35" s="142">
        <v>5</v>
      </c>
      <c r="H35" s="143">
        <v>439</v>
      </c>
    </row>
    <row r="36" spans="1:8" ht="18" x14ac:dyDescent="0.3">
      <c r="A36" s="118">
        <v>45988</v>
      </c>
      <c r="B36" s="119" t="s">
        <v>55</v>
      </c>
      <c r="C36" s="120" t="s">
        <v>934</v>
      </c>
      <c r="D36" s="119" t="s">
        <v>930</v>
      </c>
      <c r="E36" s="121">
        <v>1.833333333333333</v>
      </c>
      <c r="F36" s="119" t="s">
        <v>62</v>
      </c>
      <c r="G36" s="122">
        <v>5</v>
      </c>
      <c r="H36" s="123">
        <v>539</v>
      </c>
    </row>
    <row r="37" spans="1:8" ht="18" x14ac:dyDescent="0.3">
      <c r="A37" s="118">
        <v>45988</v>
      </c>
      <c r="B37" s="119" t="s">
        <v>55</v>
      </c>
      <c r="C37" s="120" t="s">
        <v>934</v>
      </c>
      <c r="D37" s="119" t="s">
        <v>930</v>
      </c>
      <c r="E37" s="121">
        <v>1.833333333333333</v>
      </c>
      <c r="F37" s="119" t="s">
        <v>64</v>
      </c>
      <c r="G37" s="122">
        <v>5</v>
      </c>
      <c r="H37" s="123">
        <v>629</v>
      </c>
    </row>
    <row r="38" spans="1:8" ht="18" x14ac:dyDescent="0.3">
      <c r="A38" s="136">
        <v>45988</v>
      </c>
      <c r="B38" s="113" t="s">
        <v>304</v>
      </c>
      <c r="C38" s="114" t="s">
        <v>952</v>
      </c>
      <c r="D38" s="113" t="s">
        <v>930</v>
      </c>
      <c r="E38" s="115">
        <v>1.2847222222222221</v>
      </c>
      <c r="F38" s="113" t="s">
        <v>37</v>
      </c>
      <c r="G38" s="116">
        <v>9</v>
      </c>
      <c r="H38" s="137">
        <v>371</v>
      </c>
    </row>
    <row r="39" spans="1:8" ht="18" x14ac:dyDescent="0.3">
      <c r="A39" s="138">
        <v>45988</v>
      </c>
      <c r="B39" s="139" t="s">
        <v>304</v>
      </c>
      <c r="C39" s="140" t="s">
        <v>947</v>
      </c>
      <c r="D39" s="139" t="s">
        <v>930</v>
      </c>
      <c r="E39" s="141">
        <v>1.8888888888888891</v>
      </c>
      <c r="F39" s="139" t="s">
        <v>37</v>
      </c>
      <c r="G39" s="142">
        <v>9</v>
      </c>
      <c r="H39" s="143">
        <v>371</v>
      </c>
    </row>
    <row r="40" spans="1:8" ht="18" x14ac:dyDescent="0.3">
      <c r="A40" s="136">
        <v>45988</v>
      </c>
      <c r="B40" s="113" t="s">
        <v>66</v>
      </c>
      <c r="C40" s="114" t="s">
        <v>940</v>
      </c>
      <c r="D40" s="113" t="s">
        <v>930</v>
      </c>
      <c r="E40" s="115">
        <v>1.1701388888888891</v>
      </c>
      <c r="F40" s="113" t="s">
        <v>94</v>
      </c>
      <c r="G40" s="116">
        <v>9</v>
      </c>
      <c r="H40" s="137">
        <v>415</v>
      </c>
    </row>
    <row r="41" spans="1:8" ht="18" x14ac:dyDescent="0.3">
      <c r="A41" s="138">
        <v>45988</v>
      </c>
      <c r="B41" s="139" t="s">
        <v>66</v>
      </c>
      <c r="C41" s="140" t="s">
        <v>943</v>
      </c>
      <c r="D41" s="139" t="s">
        <v>930</v>
      </c>
      <c r="E41" s="141">
        <v>1.5277777777777779</v>
      </c>
      <c r="F41" s="139" t="s">
        <v>68</v>
      </c>
      <c r="G41" s="142">
        <v>9</v>
      </c>
      <c r="H41" s="143">
        <v>583</v>
      </c>
    </row>
    <row r="42" spans="1:8" ht="18" x14ac:dyDescent="0.3">
      <c r="A42" s="138">
        <v>45988</v>
      </c>
      <c r="B42" s="139" t="s">
        <v>66</v>
      </c>
      <c r="C42" s="140" t="s">
        <v>942</v>
      </c>
      <c r="D42" s="139" t="s">
        <v>930</v>
      </c>
      <c r="E42" s="141">
        <v>1.881944444444444</v>
      </c>
      <c r="F42" s="139" t="s">
        <v>68</v>
      </c>
      <c r="G42" s="142">
        <v>9</v>
      </c>
      <c r="H42" s="143">
        <v>583</v>
      </c>
    </row>
    <row r="43" spans="1:8" ht="18" x14ac:dyDescent="0.3">
      <c r="A43" s="136">
        <v>45988</v>
      </c>
      <c r="B43" s="113" t="s">
        <v>333</v>
      </c>
      <c r="C43" s="114" t="s">
        <v>939</v>
      </c>
      <c r="D43" s="113" t="s">
        <v>930</v>
      </c>
      <c r="E43" s="115">
        <v>1.958333333333333</v>
      </c>
      <c r="F43" s="113" t="s">
        <v>37</v>
      </c>
      <c r="G43" s="116">
        <v>9</v>
      </c>
      <c r="H43" s="137">
        <v>439</v>
      </c>
    </row>
    <row r="44" spans="1:8" ht="18" x14ac:dyDescent="0.3">
      <c r="A44" s="138">
        <v>45988</v>
      </c>
      <c r="B44" s="139" t="s">
        <v>333</v>
      </c>
      <c r="C44" s="140" t="s">
        <v>955</v>
      </c>
      <c r="D44" s="139" t="s">
        <v>930</v>
      </c>
      <c r="E44" s="141">
        <v>1.5625</v>
      </c>
      <c r="F44" s="139" t="s">
        <v>37</v>
      </c>
      <c r="G44" s="142">
        <v>9</v>
      </c>
      <c r="H44" s="143">
        <v>439</v>
      </c>
    </row>
    <row r="45" spans="1:8" ht="18" x14ac:dyDescent="0.3">
      <c r="A45" s="124">
        <v>45988</v>
      </c>
      <c r="B45" s="125" t="s">
        <v>35</v>
      </c>
      <c r="C45" s="126" t="s">
        <v>935</v>
      </c>
      <c r="D45" s="125" t="s">
        <v>930</v>
      </c>
      <c r="E45" s="127">
        <v>1.9236111111111109</v>
      </c>
      <c r="F45" s="125" t="s">
        <v>37</v>
      </c>
      <c r="G45" s="128">
        <v>9</v>
      </c>
      <c r="H45" s="129">
        <v>446</v>
      </c>
    </row>
    <row r="46" spans="1:8" ht="18" x14ac:dyDescent="0.3">
      <c r="A46" s="194">
        <v>45988</v>
      </c>
      <c r="B46" s="195" t="s">
        <v>78</v>
      </c>
      <c r="C46" s="196" t="s">
        <v>945</v>
      </c>
      <c r="D46" s="195" t="s">
        <v>930</v>
      </c>
      <c r="E46" s="197">
        <v>1.305555555555556</v>
      </c>
      <c r="F46" s="195" t="s">
        <v>82</v>
      </c>
      <c r="G46" s="198">
        <v>4</v>
      </c>
      <c r="H46" s="195" t="s">
        <v>957</v>
      </c>
    </row>
    <row r="47" spans="1:8" ht="18" x14ac:dyDescent="0.3">
      <c r="A47" s="112">
        <v>45989</v>
      </c>
      <c r="B47" s="113" t="s">
        <v>25</v>
      </c>
      <c r="C47" s="114" t="s">
        <v>931</v>
      </c>
      <c r="D47" s="113" t="s">
        <v>930</v>
      </c>
      <c r="E47" s="115">
        <v>1.305555555555556</v>
      </c>
      <c r="F47" s="113" t="s">
        <v>27</v>
      </c>
      <c r="G47" s="116">
        <v>3</v>
      </c>
      <c r="H47" s="117">
        <v>309</v>
      </c>
    </row>
    <row r="48" spans="1:8" ht="18" x14ac:dyDescent="0.3">
      <c r="A48" s="118">
        <v>45989</v>
      </c>
      <c r="B48" s="119" t="s">
        <v>25</v>
      </c>
      <c r="C48" s="120" t="s">
        <v>931</v>
      </c>
      <c r="D48" s="119" t="s">
        <v>930</v>
      </c>
      <c r="E48" s="121">
        <v>1.305555555555556</v>
      </c>
      <c r="F48" s="119" t="s">
        <v>30</v>
      </c>
      <c r="G48" s="122">
        <v>3</v>
      </c>
      <c r="H48" s="123">
        <v>459</v>
      </c>
    </row>
    <row r="49" spans="1:8" ht="18" x14ac:dyDescent="0.3">
      <c r="A49" s="118">
        <v>45989</v>
      </c>
      <c r="B49" s="119" t="s">
        <v>25</v>
      </c>
      <c r="C49" s="120" t="s">
        <v>931</v>
      </c>
      <c r="D49" s="119" t="s">
        <v>930</v>
      </c>
      <c r="E49" s="121">
        <v>1.305555555555556</v>
      </c>
      <c r="F49" s="119" t="s">
        <v>33</v>
      </c>
      <c r="G49" s="122">
        <v>3</v>
      </c>
      <c r="H49" s="123">
        <v>899</v>
      </c>
    </row>
    <row r="50" spans="1:8" ht="18" x14ac:dyDescent="0.3">
      <c r="A50" s="136">
        <v>45989</v>
      </c>
      <c r="B50" s="113" t="s">
        <v>304</v>
      </c>
      <c r="C50" s="114" t="s">
        <v>958</v>
      </c>
      <c r="D50" s="113" t="s">
        <v>930</v>
      </c>
      <c r="E50" s="115">
        <v>1.1736111111111109</v>
      </c>
      <c r="F50" s="113" t="s">
        <v>37</v>
      </c>
      <c r="G50" s="116">
        <v>9</v>
      </c>
      <c r="H50" s="137">
        <v>371</v>
      </c>
    </row>
    <row r="51" spans="1:8" ht="18" x14ac:dyDescent="0.3">
      <c r="A51" s="136">
        <v>45989</v>
      </c>
      <c r="B51" s="113" t="s">
        <v>55</v>
      </c>
      <c r="C51" s="114" t="s">
        <v>934</v>
      </c>
      <c r="D51" s="113" t="s">
        <v>930</v>
      </c>
      <c r="E51" s="115">
        <v>1.833333333333333</v>
      </c>
      <c r="F51" s="113" t="s">
        <v>60</v>
      </c>
      <c r="G51" s="116">
        <v>9</v>
      </c>
      <c r="H51" s="137">
        <v>379</v>
      </c>
    </row>
    <row r="52" spans="1:8" ht="18" x14ac:dyDescent="0.3">
      <c r="A52" s="118">
        <v>45989</v>
      </c>
      <c r="B52" s="119" t="s">
        <v>55</v>
      </c>
      <c r="C52" s="120" t="s">
        <v>934</v>
      </c>
      <c r="D52" s="119" t="s">
        <v>930</v>
      </c>
      <c r="E52" s="121">
        <v>1.833333333333333</v>
      </c>
      <c r="F52" s="119" t="s">
        <v>62</v>
      </c>
      <c r="G52" s="122">
        <v>9</v>
      </c>
      <c r="H52" s="123">
        <v>479</v>
      </c>
    </row>
    <row r="53" spans="1:8" ht="18" x14ac:dyDescent="0.3">
      <c r="A53" s="118">
        <v>45989</v>
      </c>
      <c r="B53" s="119" t="s">
        <v>55</v>
      </c>
      <c r="C53" s="120" t="s">
        <v>934</v>
      </c>
      <c r="D53" s="119" t="s">
        <v>930</v>
      </c>
      <c r="E53" s="121">
        <v>1.833333333333333</v>
      </c>
      <c r="F53" s="119" t="s">
        <v>64</v>
      </c>
      <c r="G53" s="122">
        <v>9</v>
      </c>
      <c r="H53" s="123">
        <v>569</v>
      </c>
    </row>
    <row r="54" spans="1:8" ht="18" x14ac:dyDescent="0.3">
      <c r="A54" s="136">
        <v>45989</v>
      </c>
      <c r="B54" s="113" t="s">
        <v>66</v>
      </c>
      <c r="C54" s="114" t="s">
        <v>940</v>
      </c>
      <c r="D54" s="113" t="s">
        <v>930</v>
      </c>
      <c r="E54" s="115">
        <v>1.1701388888888891</v>
      </c>
      <c r="F54" s="113" t="s">
        <v>94</v>
      </c>
      <c r="G54" s="116">
        <v>9</v>
      </c>
      <c r="H54" s="137">
        <v>411</v>
      </c>
    </row>
    <row r="55" spans="1:8" ht="18" x14ac:dyDescent="0.3">
      <c r="A55" s="138">
        <v>45989</v>
      </c>
      <c r="B55" s="139" t="s">
        <v>66</v>
      </c>
      <c r="C55" s="140" t="s">
        <v>942</v>
      </c>
      <c r="D55" s="139" t="s">
        <v>930</v>
      </c>
      <c r="E55" s="141">
        <v>1.864583333333333</v>
      </c>
      <c r="F55" s="139" t="s">
        <v>94</v>
      </c>
      <c r="G55" s="142">
        <v>9</v>
      </c>
      <c r="H55" s="143">
        <v>411</v>
      </c>
    </row>
    <row r="56" spans="1:8" ht="18" x14ac:dyDescent="0.3">
      <c r="A56" s="138">
        <v>45989</v>
      </c>
      <c r="B56" s="139" t="s">
        <v>66</v>
      </c>
      <c r="C56" s="140" t="s">
        <v>943</v>
      </c>
      <c r="D56" s="139" t="s">
        <v>930</v>
      </c>
      <c r="E56" s="141">
        <v>1.5138888888888891</v>
      </c>
      <c r="F56" s="139" t="s">
        <v>68</v>
      </c>
      <c r="G56" s="142">
        <v>9</v>
      </c>
      <c r="H56" s="143">
        <v>686</v>
      </c>
    </row>
    <row r="57" spans="1:8" ht="18" x14ac:dyDescent="0.3">
      <c r="A57" s="136">
        <v>45989</v>
      </c>
      <c r="B57" s="113" t="s">
        <v>333</v>
      </c>
      <c r="C57" s="114" t="s">
        <v>949</v>
      </c>
      <c r="D57" s="113" t="s">
        <v>930</v>
      </c>
      <c r="E57" s="115">
        <v>1.958333333333333</v>
      </c>
      <c r="F57" s="113" t="s">
        <v>37</v>
      </c>
      <c r="G57" s="116">
        <v>9</v>
      </c>
      <c r="H57" s="137">
        <v>439</v>
      </c>
    </row>
    <row r="58" spans="1:8" ht="18" x14ac:dyDescent="0.3">
      <c r="A58" s="124">
        <v>45989</v>
      </c>
      <c r="B58" s="125" t="s">
        <v>35</v>
      </c>
      <c r="C58" s="126" t="s">
        <v>935</v>
      </c>
      <c r="D58" s="125" t="s">
        <v>930</v>
      </c>
      <c r="E58" s="127">
        <v>1.5798611111111109</v>
      </c>
      <c r="F58" s="125" t="s">
        <v>37</v>
      </c>
      <c r="G58" s="128">
        <v>9</v>
      </c>
      <c r="H58" s="129">
        <v>446</v>
      </c>
    </row>
    <row r="59" spans="1:8" ht="18" x14ac:dyDescent="0.3">
      <c r="A59" s="194">
        <v>45989</v>
      </c>
      <c r="B59" s="195" t="s">
        <v>78</v>
      </c>
      <c r="C59" s="196" t="s">
        <v>945</v>
      </c>
      <c r="D59" s="195" t="s">
        <v>930</v>
      </c>
      <c r="E59" s="197">
        <v>1.305555555555556</v>
      </c>
      <c r="F59" s="195" t="s">
        <v>82</v>
      </c>
      <c r="G59" s="198">
        <v>4</v>
      </c>
      <c r="H59" s="195" t="s">
        <v>957</v>
      </c>
    </row>
    <row r="60" spans="1:8" ht="18" x14ac:dyDescent="0.3">
      <c r="A60" s="112">
        <v>45990</v>
      </c>
      <c r="B60" s="113" t="s">
        <v>25</v>
      </c>
      <c r="C60" s="114" t="s">
        <v>931</v>
      </c>
      <c r="D60" s="113" t="s">
        <v>930</v>
      </c>
      <c r="E60" s="115">
        <v>1.305555555555556</v>
      </c>
      <c r="F60" s="113" t="s">
        <v>27</v>
      </c>
      <c r="G60" s="116">
        <v>12</v>
      </c>
      <c r="H60" s="117">
        <v>309</v>
      </c>
    </row>
    <row r="61" spans="1:8" ht="18" x14ac:dyDescent="0.3">
      <c r="A61" s="118">
        <v>45990</v>
      </c>
      <c r="B61" s="119" t="s">
        <v>25</v>
      </c>
      <c r="C61" s="120" t="s">
        <v>931</v>
      </c>
      <c r="D61" s="119" t="s">
        <v>930</v>
      </c>
      <c r="E61" s="121">
        <v>1.305555555555556</v>
      </c>
      <c r="F61" s="119" t="s">
        <v>30</v>
      </c>
      <c r="G61" s="122">
        <v>12</v>
      </c>
      <c r="H61" s="123">
        <v>459</v>
      </c>
    </row>
    <row r="62" spans="1:8" ht="18" x14ac:dyDescent="0.3">
      <c r="A62" s="118">
        <v>45990</v>
      </c>
      <c r="B62" s="119" t="s">
        <v>25</v>
      </c>
      <c r="C62" s="120" t="s">
        <v>931</v>
      </c>
      <c r="D62" s="119" t="s">
        <v>930</v>
      </c>
      <c r="E62" s="121">
        <v>1.305555555555556</v>
      </c>
      <c r="F62" s="119" t="s">
        <v>33</v>
      </c>
      <c r="G62" s="122">
        <v>12</v>
      </c>
      <c r="H62" s="123">
        <v>899</v>
      </c>
    </row>
    <row r="63" spans="1:8" ht="18" x14ac:dyDescent="0.3">
      <c r="A63" s="136">
        <v>45990</v>
      </c>
      <c r="B63" s="113" t="s">
        <v>55</v>
      </c>
      <c r="C63" s="114" t="s">
        <v>932</v>
      </c>
      <c r="D63" s="113" t="s">
        <v>930</v>
      </c>
      <c r="E63" s="115">
        <v>1.197916666666667</v>
      </c>
      <c r="F63" s="113" t="s">
        <v>60</v>
      </c>
      <c r="G63" s="116">
        <v>9</v>
      </c>
      <c r="H63" s="137">
        <v>349</v>
      </c>
    </row>
    <row r="64" spans="1:8" ht="18" x14ac:dyDescent="0.3">
      <c r="A64" s="118">
        <v>45990</v>
      </c>
      <c r="B64" s="119" t="s">
        <v>55</v>
      </c>
      <c r="C64" s="120" t="s">
        <v>932</v>
      </c>
      <c r="D64" s="119" t="s">
        <v>930</v>
      </c>
      <c r="E64" s="121">
        <v>1.197916666666667</v>
      </c>
      <c r="F64" s="119" t="s">
        <v>62</v>
      </c>
      <c r="G64" s="122">
        <v>9</v>
      </c>
      <c r="H64" s="123">
        <v>449</v>
      </c>
    </row>
    <row r="65" spans="1:8" ht="18" x14ac:dyDescent="0.3">
      <c r="A65" s="118">
        <v>45990</v>
      </c>
      <c r="B65" s="119" t="s">
        <v>55</v>
      </c>
      <c r="C65" s="120" t="s">
        <v>932</v>
      </c>
      <c r="D65" s="119" t="s">
        <v>930</v>
      </c>
      <c r="E65" s="121">
        <v>1.197916666666667</v>
      </c>
      <c r="F65" s="119" t="s">
        <v>64</v>
      </c>
      <c r="G65" s="122">
        <v>9</v>
      </c>
      <c r="H65" s="123">
        <v>539</v>
      </c>
    </row>
    <row r="66" spans="1:8" ht="18" x14ac:dyDescent="0.3">
      <c r="A66" s="138">
        <v>45990</v>
      </c>
      <c r="B66" s="139" t="s">
        <v>55</v>
      </c>
      <c r="C66" s="140" t="s">
        <v>934</v>
      </c>
      <c r="D66" s="139" t="s">
        <v>930</v>
      </c>
      <c r="E66" s="141">
        <v>1.833333333333333</v>
      </c>
      <c r="F66" s="139" t="s">
        <v>60</v>
      </c>
      <c r="G66" s="142">
        <v>4</v>
      </c>
      <c r="H66" s="143">
        <v>349</v>
      </c>
    </row>
    <row r="67" spans="1:8" ht="18" x14ac:dyDescent="0.3">
      <c r="A67" s="118">
        <v>45990</v>
      </c>
      <c r="B67" s="119" t="s">
        <v>55</v>
      </c>
      <c r="C67" s="120" t="s">
        <v>934</v>
      </c>
      <c r="D67" s="119" t="s">
        <v>930</v>
      </c>
      <c r="E67" s="121">
        <v>1.833333333333333</v>
      </c>
      <c r="F67" s="119" t="s">
        <v>62</v>
      </c>
      <c r="G67" s="122">
        <v>4</v>
      </c>
      <c r="H67" s="123">
        <v>449</v>
      </c>
    </row>
    <row r="68" spans="1:8" ht="18" x14ac:dyDescent="0.3">
      <c r="A68" s="118">
        <v>45990</v>
      </c>
      <c r="B68" s="119" t="s">
        <v>55</v>
      </c>
      <c r="C68" s="120" t="s">
        <v>934</v>
      </c>
      <c r="D68" s="119" t="s">
        <v>930</v>
      </c>
      <c r="E68" s="121">
        <v>1.833333333333333</v>
      </c>
      <c r="F68" s="119" t="s">
        <v>64</v>
      </c>
      <c r="G68" s="122">
        <v>4</v>
      </c>
      <c r="H68" s="123">
        <v>539</v>
      </c>
    </row>
    <row r="69" spans="1:8" ht="18" x14ac:dyDescent="0.3">
      <c r="A69" s="136">
        <v>45990</v>
      </c>
      <c r="B69" s="113" t="s">
        <v>378</v>
      </c>
      <c r="C69" s="114" t="s">
        <v>963</v>
      </c>
      <c r="D69" s="113" t="s">
        <v>930</v>
      </c>
      <c r="E69" s="115">
        <v>1.9340277777777779</v>
      </c>
      <c r="F69" s="113" t="s">
        <v>380</v>
      </c>
      <c r="G69" s="116">
        <v>9</v>
      </c>
      <c r="H69" s="137">
        <v>354</v>
      </c>
    </row>
    <row r="70" spans="1:8" ht="18" x14ac:dyDescent="0.3">
      <c r="A70" s="118">
        <v>45990</v>
      </c>
      <c r="B70" s="119" t="s">
        <v>378</v>
      </c>
      <c r="C70" s="120" t="s">
        <v>963</v>
      </c>
      <c r="D70" s="119" t="s">
        <v>930</v>
      </c>
      <c r="E70" s="121">
        <v>1.9340277777777779</v>
      </c>
      <c r="F70" s="119" t="s">
        <v>33</v>
      </c>
      <c r="G70" s="122">
        <v>9</v>
      </c>
      <c r="H70" s="123">
        <v>477</v>
      </c>
    </row>
    <row r="71" spans="1:8" ht="18" x14ac:dyDescent="0.3">
      <c r="A71" s="136">
        <v>45990</v>
      </c>
      <c r="B71" s="113" t="s">
        <v>304</v>
      </c>
      <c r="C71" s="114" t="s">
        <v>947</v>
      </c>
      <c r="D71" s="113" t="s">
        <v>930</v>
      </c>
      <c r="E71" s="115">
        <v>1.1736111111111109</v>
      </c>
      <c r="F71" s="113" t="s">
        <v>37</v>
      </c>
      <c r="G71" s="116">
        <v>9</v>
      </c>
      <c r="H71" s="137">
        <v>371</v>
      </c>
    </row>
    <row r="72" spans="1:8" ht="18" x14ac:dyDescent="0.3">
      <c r="A72" s="136">
        <v>45990</v>
      </c>
      <c r="B72" s="113" t="s">
        <v>66</v>
      </c>
      <c r="C72" s="114" t="s">
        <v>940</v>
      </c>
      <c r="D72" s="113" t="s">
        <v>930</v>
      </c>
      <c r="E72" s="115">
        <v>1.1701388888888891</v>
      </c>
      <c r="F72" s="113" t="s">
        <v>94</v>
      </c>
      <c r="G72" s="116">
        <v>9</v>
      </c>
      <c r="H72" s="137">
        <v>411</v>
      </c>
    </row>
    <row r="73" spans="1:8" ht="18" x14ac:dyDescent="0.3">
      <c r="A73" s="138">
        <v>45990</v>
      </c>
      <c r="B73" s="139" t="s">
        <v>66</v>
      </c>
      <c r="C73" s="140" t="s">
        <v>942</v>
      </c>
      <c r="D73" s="139" t="s">
        <v>930</v>
      </c>
      <c r="E73" s="141">
        <v>1.864583333333333</v>
      </c>
      <c r="F73" s="139" t="s">
        <v>94</v>
      </c>
      <c r="G73" s="142">
        <v>9</v>
      </c>
      <c r="H73" s="143">
        <v>411</v>
      </c>
    </row>
    <row r="74" spans="1:8" ht="18" x14ac:dyDescent="0.3">
      <c r="A74" s="138">
        <v>45990</v>
      </c>
      <c r="B74" s="139" t="s">
        <v>66</v>
      </c>
      <c r="C74" s="140" t="s">
        <v>943</v>
      </c>
      <c r="D74" s="139" t="s">
        <v>930</v>
      </c>
      <c r="E74" s="141">
        <v>1.5277777777777779</v>
      </c>
      <c r="F74" s="139" t="s">
        <v>68</v>
      </c>
      <c r="G74" s="142">
        <v>9</v>
      </c>
      <c r="H74" s="143">
        <v>682</v>
      </c>
    </row>
    <row r="75" spans="1:8" ht="18" x14ac:dyDescent="0.3">
      <c r="A75" s="136">
        <v>45990</v>
      </c>
      <c r="B75" s="113" t="s">
        <v>333</v>
      </c>
      <c r="C75" s="114" t="s">
        <v>939</v>
      </c>
      <c r="D75" s="113" t="s">
        <v>930</v>
      </c>
      <c r="E75" s="115">
        <v>1.895833333333333</v>
      </c>
      <c r="F75" s="113" t="s">
        <v>37</v>
      </c>
      <c r="G75" s="116">
        <v>9</v>
      </c>
      <c r="H75" s="137">
        <v>439</v>
      </c>
    </row>
    <row r="76" spans="1:8" ht="18" x14ac:dyDescent="0.3">
      <c r="A76" s="124">
        <v>45990</v>
      </c>
      <c r="B76" s="125" t="s">
        <v>35</v>
      </c>
      <c r="C76" s="126" t="s">
        <v>935</v>
      </c>
      <c r="D76" s="125" t="s">
        <v>930</v>
      </c>
      <c r="E76" s="127">
        <v>1.9236111111111109</v>
      </c>
      <c r="F76" s="125" t="s">
        <v>37</v>
      </c>
      <c r="G76" s="128">
        <v>9</v>
      </c>
      <c r="H76" s="129">
        <v>446</v>
      </c>
    </row>
    <row r="77" spans="1:8" ht="18" x14ac:dyDescent="0.3">
      <c r="A77" s="194">
        <v>45990</v>
      </c>
      <c r="B77" s="195" t="s">
        <v>78</v>
      </c>
      <c r="C77" s="196" t="s">
        <v>945</v>
      </c>
      <c r="D77" s="195" t="s">
        <v>930</v>
      </c>
      <c r="E77" s="197">
        <v>1.305555555555556</v>
      </c>
      <c r="F77" s="195" t="s">
        <v>82</v>
      </c>
      <c r="G77" s="198">
        <v>4</v>
      </c>
      <c r="H77" s="195" t="s">
        <v>966</v>
      </c>
    </row>
    <row r="78" spans="1:8" ht="18" x14ac:dyDescent="0.3">
      <c r="A78" s="112">
        <v>45991</v>
      </c>
      <c r="B78" s="113" t="s">
        <v>25</v>
      </c>
      <c r="C78" s="114" t="s">
        <v>931</v>
      </c>
      <c r="D78" s="113" t="s">
        <v>930</v>
      </c>
      <c r="E78" s="115">
        <v>1.305555555555556</v>
      </c>
      <c r="F78" s="113" t="s">
        <v>27</v>
      </c>
      <c r="G78" s="116">
        <v>5</v>
      </c>
      <c r="H78" s="117">
        <v>339</v>
      </c>
    </row>
    <row r="79" spans="1:8" ht="18" x14ac:dyDescent="0.3">
      <c r="A79" s="118">
        <v>45991</v>
      </c>
      <c r="B79" s="119" t="s">
        <v>25</v>
      </c>
      <c r="C79" s="120" t="s">
        <v>931</v>
      </c>
      <c r="D79" s="119" t="s">
        <v>930</v>
      </c>
      <c r="E79" s="121">
        <v>1.305555555555556</v>
      </c>
      <c r="F79" s="119" t="s">
        <v>30</v>
      </c>
      <c r="G79" s="122">
        <v>5</v>
      </c>
      <c r="H79" s="123">
        <v>489</v>
      </c>
    </row>
    <row r="80" spans="1:8" ht="18" x14ac:dyDescent="0.3">
      <c r="A80" s="118">
        <v>45991</v>
      </c>
      <c r="B80" s="119" t="s">
        <v>25</v>
      </c>
      <c r="C80" s="120" t="s">
        <v>931</v>
      </c>
      <c r="D80" s="119" t="s">
        <v>930</v>
      </c>
      <c r="E80" s="121">
        <v>1.305555555555556</v>
      </c>
      <c r="F80" s="119" t="s">
        <v>33</v>
      </c>
      <c r="G80" s="122">
        <v>5</v>
      </c>
      <c r="H80" s="123">
        <v>899</v>
      </c>
    </row>
    <row r="81" spans="1:8" ht="18" x14ac:dyDescent="0.3">
      <c r="A81" s="136">
        <v>45991</v>
      </c>
      <c r="B81" s="113" t="s">
        <v>304</v>
      </c>
      <c r="C81" s="114" t="s">
        <v>958</v>
      </c>
      <c r="D81" s="113" t="s">
        <v>930</v>
      </c>
      <c r="E81" s="115">
        <v>1.2152777777777779</v>
      </c>
      <c r="F81" s="113" t="s">
        <v>37</v>
      </c>
      <c r="G81" s="116">
        <v>8</v>
      </c>
      <c r="H81" s="137">
        <v>371</v>
      </c>
    </row>
    <row r="82" spans="1:8" ht="18" x14ac:dyDescent="0.3">
      <c r="A82" s="136">
        <v>45991</v>
      </c>
      <c r="B82" s="113" t="s">
        <v>55</v>
      </c>
      <c r="C82" s="114" t="s">
        <v>934</v>
      </c>
      <c r="D82" s="113" t="s">
        <v>930</v>
      </c>
      <c r="E82" s="115">
        <v>1.833333333333333</v>
      </c>
      <c r="F82" s="113" t="s">
        <v>60</v>
      </c>
      <c r="G82" s="116">
        <v>9</v>
      </c>
      <c r="H82" s="137">
        <v>379</v>
      </c>
    </row>
    <row r="83" spans="1:8" ht="18" x14ac:dyDescent="0.3">
      <c r="A83" s="118">
        <v>45991</v>
      </c>
      <c r="B83" s="119" t="s">
        <v>55</v>
      </c>
      <c r="C83" s="120" t="s">
        <v>934</v>
      </c>
      <c r="D83" s="119" t="s">
        <v>930</v>
      </c>
      <c r="E83" s="121">
        <v>1.833333333333333</v>
      </c>
      <c r="F83" s="119" t="s">
        <v>62</v>
      </c>
      <c r="G83" s="122">
        <v>9</v>
      </c>
      <c r="H83" s="123">
        <v>479</v>
      </c>
    </row>
    <row r="84" spans="1:8" ht="18" x14ac:dyDescent="0.3">
      <c r="A84" s="118">
        <v>45991</v>
      </c>
      <c r="B84" s="119" t="s">
        <v>55</v>
      </c>
      <c r="C84" s="120" t="s">
        <v>934</v>
      </c>
      <c r="D84" s="119" t="s">
        <v>930</v>
      </c>
      <c r="E84" s="121">
        <v>1.833333333333333</v>
      </c>
      <c r="F84" s="119" t="s">
        <v>64</v>
      </c>
      <c r="G84" s="122">
        <v>9</v>
      </c>
      <c r="H84" s="123">
        <v>569</v>
      </c>
    </row>
    <row r="85" spans="1:8" ht="18" x14ac:dyDescent="0.3">
      <c r="A85" s="136">
        <v>45991</v>
      </c>
      <c r="B85" s="113" t="s">
        <v>66</v>
      </c>
      <c r="C85" s="114" t="s">
        <v>940</v>
      </c>
      <c r="D85" s="113" t="s">
        <v>930</v>
      </c>
      <c r="E85" s="115">
        <v>1.1701388888888891</v>
      </c>
      <c r="F85" s="113" t="s">
        <v>94</v>
      </c>
      <c r="G85" s="116">
        <v>9</v>
      </c>
      <c r="H85" s="137">
        <v>411</v>
      </c>
    </row>
    <row r="86" spans="1:8" ht="18" x14ac:dyDescent="0.3">
      <c r="A86" s="138">
        <v>45991</v>
      </c>
      <c r="B86" s="139" t="s">
        <v>66</v>
      </c>
      <c r="C86" s="140" t="s">
        <v>942</v>
      </c>
      <c r="D86" s="139" t="s">
        <v>930</v>
      </c>
      <c r="E86" s="141">
        <v>1.864583333333333</v>
      </c>
      <c r="F86" s="139" t="s">
        <v>94</v>
      </c>
      <c r="G86" s="142">
        <v>9</v>
      </c>
      <c r="H86" s="143">
        <v>411</v>
      </c>
    </row>
    <row r="87" spans="1:8" ht="18" x14ac:dyDescent="0.3">
      <c r="A87" s="138">
        <v>45991</v>
      </c>
      <c r="B87" s="139" t="s">
        <v>66</v>
      </c>
      <c r="C87" s="140" t="s">
        <v>943</v>
      </c>
      <c r="D87" s="139" t="s">
        <v>930</v>
      </c>
      <c r="E87" s="141">
        <v>1.5034722222222221</v>
      </c>
      <c r="F87" s="139" t="s">
        <v>85</v>
      </c>
      <c r="G87" s="142">
        <v>9</v>
      </c>
      <c r="H87" s="143">
        <v>437</v>
      </c>
    </row>
    <row r="88" spans="1:8" ht="18" x14ac:dyDescent="0.3">
      <c r="A88" s="136">
        <v>45991</v>
      </c>
      <c r="B88" s="113" t="s">
        <v>333</v>
      </c>
      <c r="C88" s="114" t="s">
        <v>967</v>
      </c>
      <c r="D88" s="113" t="s">
        <v>930</v>
      </c>
      <c r="E88" s="115">
        <v>1.6840277777777779</v>
      </c>
      <c r="F88" s="113" t="s">
        <v>37</v>
      </c>
      <c r="G88" s="116">
        <v>9</v>
      </c>
      <c r="H88" s="137">
        <v>439</v>
      </c>
    </row>
    <row r="89" spans="1:8" ht="18" x14ac:dyDescent="0.3">
      <c r="A89" s="138">
        <v>45991</v>
      </c>
      <c r="B89" s="139" t="s">
        <v>333</v>
      </c>
      <c r="C89" s="140" t="s">
        <v>968</v>
      </c>
      <c r="D89" s="139" t="s">
        <v>930</v>
      </c>
      <c r="E89" s="141">
        <v>1.163194444444444</v>
      </c>
      <c r="F89" s="139" t="s">
        <v>37</v>
      </c>
      <c r="G89" s="142">
        <v>9</v>
      </c>
      <c r="H89" s="143">
        <v>439</v>
      </c>
    </row>
    <row r="90" spans="1:8" ht="18" x14ac:dyDescent="0.3">
      <c r="A90" s="138">
        <v>45991</v>
      </c>
      <c r="B90" s="139" t="s">
        <v>333</v>
      </c>
      <c r="C90" s="140" t="s">
        <v>955</v>
      </c>
      <c r="D90" s="139" t="s">
        <v>930</v>
      </c>
      <c r="E90" s="141">
        <v>1.958333333333333</v>
      </c>
      <c r="F90" s="139" t="s">
        <v>37</v>
      </c>
      <c r="G90" s="142">
        <v>9</v>
      </c>
      <c r="H90" s="143">
        <v>439</v>
      </c>
    </row>
    <row r="91" spans="1:8" ht="18" x14ac:dyDescent="0.3">
      <c r="A91" s="194">
        <v>45991</v>
      </c>
      <c r="B91" s="195" t="s">
        <v>78</v>
      </c>
      <c r="C91" s="196" t="s">
        <v>945</v>
      </c>
      <c r="D91" s="195" t="s">
        <v>930</v>
      </c>
      <c r="E91" s="197">
        <v>1.305555555555556</v>
      </c>
      <c r="F91" s="195" t="s">
        <v>82</v>
      </c>
      <c r="G91" s="198">
        <v>4</v>
      </c>
      <c r="H91" s="195" t="s">
        <v>946</v>
      </c>
    </row>
  </sheetData>
  <dataValidations count="4">
    <dataValidation type="custom" allowBlank="1" showInputMessage="1" promptTitle="LOAD FACTOR ANALYSIS" prompt="SM-434_x000d__x000a_LF 42.3%_x000d__x000a_SOLD 71_x000d__x000a_LST-SOLD 23NOV_x000d__x000a_WEEKLY 31_x000d__x000a_TO-DAY NIL_x000d__x000a_Y-DAY 3_x000d__x000a_LOWEST AVAIL I8_x000d__x000a_CAPACITY 168_x000d__x000a_CLASSES S8 &amp; W4 &amp; X1 &amp; +3 more" sqref="A11 B11 C11 D11 E11 F11 G11 H11" xr:uid="{00000000-0002-0000-2700-000000000000}">
      <formula1>TRUE</formula1>
    </dataValidation>
    <dataValidation type="custom" allowBlank="1" showInputMessage="1" promptTitle="LOAD FACTOR ANALYSIS" prompt="SM-434_x000d__x000a_LF 27.4%_x000d__x000a_SOLD 46_x000d__x000a_LST-SOLD 23NOV_x000d__x000a_WEEKLY 18_x000d__x000a_TO-DAY NIL_x000d__x000a_Y-DAY 5_x000d__x000a_LOWEST AVAIL I9_x000d__x000a_CAPACITY 168_x000d__x000a_CLASSES L1 &amp; S2 &amp; W4 &amp; +4 more" sqref="A45 B45 C45 D45 E45 F45 G45 H45" xr:uid="{00000000-0002-0000-2700-000001000000}">
      <formula1>TRUE</formula1>
    </dataValidation>
    <dataValidation type="custom" allowBlank="1" showInputMessage="1" promptTitle="LOAD FACTOR ANALYSIS" prompt="SM-434_x000d__x000a_LF 33.3%_x000d__x000a_SOLD 56_x000d__x000a_LST-SOLD 23NOV_x000d__x000a_WEEKLY 20_x000d__x000a_TO-DAY NIL_x000d__x000a_Y-DAY 5_x000d__x000a_LOWEST AVAIL I9_x000d__x000a_CAPACITY 168_x000d__x000a_CLASSES G3 &amp; S10 &amp; W1 &amp; +2 more" sqref="A58 B58 C58 D58 E58 F58 G58 H58" xr:uid="{00000000-0002-0000-2700-000002000000}">
      <formula1>TRUE</formula1>
    </dataValidation>
    <dataValidation type="custom" allowBlank="1" showInputMessage="1" promptTitle="LOAD FACTOR ANALYSIS" prompt="SM-434_x000d__x000a_LF 18.4%_x000d__x000a_SOLD 31_x000d__x000a_LST-SOLD 23NOV_x000d__x000a_WEEKLY 2_x000d__x000a_TO-DAY NIL_x000d__x000a_Y-DAY 1_x000d__x000a_LOWEST AVAIL I9_x000d__x000a_CAPACITY 168_x000d__x000a_CLASSES L2 &amp; G1 &amp; S7 &amp; +3 more" sqref="A76 B76 C76 D76 E76 F76 G76 H76" xr:uid="{00000000-0002-0000-2700-000003000000}">
      <formula1>TRUE</formula1>
    </dataValidation>
  </dataValidation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8"/>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33" bestFit="1" customWidth="1"/>
    <col min="5" max="5" width="20.664062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42" bestFit="1" customWidth="1"/>
  </cols>
  <sheetData>
    <row r="1" spans="1:92" ht="28.8" customHeight="1" x14ac:dyDescent="0.3">
      <c r="A1" s="305" t="s">
        <v>0</v>
      </c>
      <c r="B1" s="281"/>
      <c r="C1" s="281"/>
      <c r="D1" s="305" t="s">
        <v>973</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45985.360375424789</v>
      </c>
      <c r="H2" s="292"/>
      <c r="I2" s="292"/>
      <c r="J2" s="292"/>
      <c r="K2" s="303">
        <v>45985.360375425138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45989</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2" t="s">
        <v>35</v>
      </c>
      <c r="B6" s="82" t="s">
        <v>974</v>
      </c>
      <c r="C6" s="83">
        <v>0.29166666666666669</v>
      </c>
      <c r="D6" s="82" t="s">
        <v>37</v>
      </c>
      <c r="E6" s="82" t="s">
        <v>108</v>
      </c>
      <c r="F6" s="82" t="s">
        <v>975</v>
      </c>
      <c r="G6" s="284"/>
      <c r="H6" s="84" t="s">
        <v>976</v>
      </c>
      <c r="I6" s="215">
        <v>0.45829999999999999</v>
      </c>
      <c r="J6" s="86">
        <v>77</v>
      </c>
      <c r="K6" s="87">
        <v>45984</v>
      </c>
      <c r="L6" s="86">
        <v>29</v>
      </c>
      <c r="M6" s="86">
        <v>0</v>
      </c>
      <c r="N6" s="86">
        <v>3</v>
      </c>
      <c r="O6" s="88" t="s">
        <v>531</v>
      </c>
      <c r="P6" s="89">
        <v>0.29166666666666669</v>
      </c>
      <c r="Q6" s="86">
        <v>168</v>
      </c>
      <c r="R6" s="90" t="s">
        <v>977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6" t="s">
        <v>978</v>
      </c>
      <c r="B7" s="307"/>
      <c r="C7" s="307"/>
      <c r="D7" s="307"/>
      <c r="E7" s="307"/>
      <c r="F7" s="307"/>
      <c r="G7" s="285"/>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46" t="s">
        <v>25</v>
      </c>
      <c r="B8" s="46" t="s">
        <v>931</v>
      </c>
      <c r="C8" s="47" t="s">
        <v>911</v>
      </c>
      <c r="D8" s="46" t="s">
        <v>27</v>
      </c>
      <c r="E8" s="46" t="s">
        <v>264</v>
      </c>
      <c r="F8" s="46" t="s">
        <v>788</v>
      </c>
      <c r="G8" s="285"/>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46" t="s">
        <v>304</v>
      </c>
      <c r="B9" s="46" t="s">
        <v>958</v>
      </c>
      <c r="C9" s="47" t="s">
        <v>979</v>
      </c>
      <c r="D9" s="46" t="s">
        <v>37</v>
      </c>
      <c r="E9" s="46" t="s">
        <v>235</v>
      </c>
      <c r="F9" s="46" t="s">
        <v>948</v>
      </c>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46" t="s">
        <v>55</v>
      </c>
      <c r="B10" s="46" t="s">
        <v>934</v>
      </c>
      <c r="C10" s="47" t="s">
        <v>980</v>
      </c>
      <c r="D10" s="46" t="s">
        <v>60</v>
      </c>
      <c r="E10" s="46" t="s">
        <v>646</v>
      </c>
      <c r="F10" s="46" t="s">
        <v>933</v>
      </c>
      <c r="G10" s="285"/>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46" t="s">
        <v>66</v>
      </c>
      <c r="B11" s="46" t="s">
        <v>940</v>
      </c>
      <c r="C11" s="47" t="s">
        <v>981</v>
      </c>
      <c r="D11" s="46" t="s">
        <v>94</v>
      </c>
      <c r="E11" s="46" t="s">
        <v>235</v>
      </c>
      <c r="F11" s="46" t="s">
        <v>959</v>
      </c>
      <c r="G11" s="285"/>
      <c r="H11" s="171"/>
      <c r="I11" s="171"/>
      <c r="J11" s="171"/>
      <c r="K11" s="171"/>
      <c r="L11" s="171"/>
      <c r="M11" s="171"/>
      <c r="N11" s="171"/>
      <c r="O11" s="172"/>
      <c r="P11" s="171"/>
      <c r="Q11" s="173"/>
      <c r="R11" s="17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6" t="s">
        <v>66</v>
      </c>
      <c r="B12" s="46" t="s">
        <v>942</v>
      </c>
      <c r="C12" s="47" t="s">
        <v>982</v>
      </c>
      <c r="D12" s="46" t="s">
        <v>94</v>
      </c>
      <c r="E12" s="46" t="s">
        <v>235</v>
      </c>
      <c r="F12" s="46" t="s">
        <v>959</v>
      </c>
      <c r="G12" s="285"/>
      <c r="H12" s="171"/>
      <c r="I12" s="171"/>
      <c r="J12" s="171"/>
      <c r="K12" s="171"/>
      <c r="L12" s="171"/>
      <c r="M12" s="171"/>
      <c r="N12" s="171"/>
      <c r="O12" s="172"/>
      <c r="P12" s="171"/>
      <c r="Q12" s="173"/>
      <c r="R12" s="17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46" t="s">
        <v>333</v>
      </c>
      <c r="B13" s="46" t="s">
        <v>949</v>
      </c>
      <c r="C13" s="47" t="s">
        <v>983</v>
      </c>
      <c r="D13" s="46" t="s">
        <v>37</v>
      </c>
      <c r="E13" s="46" t="s">
        <v>235</v>
      </c>
      <c r="F13" s="46" t="s">
        <v>838</v>
      </c>
      <c r="G13" s="285"/>
      <c r="H13" s="171"/>
      <c r="I13" s="171"/>
      <c r="J13" s="171"/>
      <c r="K13" s="171"/>
      <c r="L13" s="171"/>
      <c r="M13" s="171"/>
      <c r="N13" s="171"/>
      <c r="O13" s="172"/>
      <c r="P13" s="171"/>
      <c r="Q13" s="173"/>
      <c r="R13" s="17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46" t="s">
        <v>35</v>
      </c>
      <c r="B14" s="46" t="s">
        <v>935</v>
      </c>
      <c r="C14" s="47" t="s">
        <v>984</v>
      </c>
      <c r="D14" s="46" t="s">
        <v>37</v>
      </c>
      <c r="E14" s="46" t="s">
        <v>235</v>
      </c>
      <c r="F14" s="46" t="s">
        <v>647</v>
      </c>
      <c r="G14" s="285"/>
      <c r="H14" s="171"/>
      <c r="I14" s="171"/>
      <c r="J14" s="171"/>
      <c r="K14" s="171"/>
      <c r="L14" s="171"/>
      <c r="M14" s="171"/>
      <c r="N14" s="171"/>
      <c r="O14" s="172"/>
      <c r="P14" s="171"/>
      <c r="Q14" s="173"/>
      <c r="R14" s="17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46" t="s">
        <v>25</v>
      </c>
      <c r="B15" s="46" t="s">
        <v>931</v>
      </c>
      <c r="C15" s="47" t="s">
        <v>911</v>
      </c>
      <c r="D15" s="46" t="s">
        <v>30</v>
      </c>
      <c r="E15" s="46" t="s">
        <v>264</v>
      </c>
      <c r="F15" s="46" t="s">
        <v>345</v>
      </c>
      <c r="G15" s="285"/>
      <c r="H15" s="171"/>
      <c r="I15" s="171"/>
      <c r="J15" s="171"/>
      <c r="K15" s="171"/>
      <c r="L15" s="171"/>
      <c r="M15" s="171"/>
      <c r="N15" s="171"/>
      <c r="O15" s="172"/>
      <c r="P15" s="171"/>
      <c r="Q15" s="173"/>
      <c r="R15" s="17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6" t="s">
        <v>55</v>
      </c>
      <c r="B16" s="46" t="s">
        <v>934</v>
      </c>
      <c r="C16" s="47" t="s">
        <v>980</v>
      </c>
      <c r="D16" s="46" t="s">
        <v>62</v>
      </c>
      <c r="E16" s="46" t="s">
        <v>646</v>
      </c>
      <c r="F16" s="46" t="s">
        <v>853</v>
      </c>
      <c r="G16" s="285"/>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61" t="s">
        <v>55</v>
      </c>
      <c r="B17" s="61" t="s">
        <v>934</v>
      </c>
      <c r="C17" s="62" t="s">
        <v>980</v>
      </c>
      <c r="D17" s="61" t="s">
        <v>64</v>
      </c>
      <c r="E17" s="61" t="s">
        <v>646</v>
      </c>
      <c r="F17" s="61" t="s">
        <v>342</v>
      </c>
      <c r="G17" s="286"/>
      <c r="H17" s="174"/>
      <c r="I17" s="174"/>
      <c r="J17" s="174"/>
      <c r="K17" s="174"/>
      <c r="L17" s="174"/>
      <c r="M17" s="174"/>
      <c r="N17" s="174"/>
      <c r="O17" s="175"/>
      <c r="P17" s="174"/>
      <c r="Q17" s="176"/>
      <c r="R17" s="17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88"/>
      <c r="B18" s="289"/>
      <c r="C18" s="289"/>
      <c r="D18" s="289"/>
      <c r="E18" s="289"/>
      <c r="F18" s="289"/>
      <c r="G18" s="289"/>
      <c r="H18" s="289"/>
      <c r="I18" s="289"/>
      <c r="J18" s="289"/>
      <c r="K18" s="289"/>
      <c r="L18" s="289"/>
      <c r="M18" s="289"/>
      <c r="N18" s="289"/>
      <c r="O18" s="289"/>
      <c r="P18" s="289"/>
      <c r="Q18" s="289"/>
      <c r="R18" s="2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sheetData>
  <mergeCells count="14">
    <mergeCell ref="A18:R18"/>
    <mergeCell ref="A2:F2"/>
    <mergeCell ref="A3:R3"/>
    <mergeCell ref="O1:Q1"/>
    <mergeCell ref="H4:R4"/>
    <mergeCell ref="G6:G17"/>
    <mergeCell ref="A1:C1"/>
    <mergeCell ref="G1:H1"/>
    <mergeCell ref="K2:R2"/>
    <mergeCell ref="G2:J2"/>
    <mergeCell ref="A4:F4"/>
    <mergeCell ref="D1:F1"/>
    <mergeCell ref="J1:M1"/>
    <mergeCell ref="A7:F7"/>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2.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543</v>
      </c>
      <c r="B2" s="93">
        <v>45989</v>
      </c>
      <c r="C2" s="94" t="s">
        <v>976</v>
      </c>
      <c r="D2" s="95">
        <v>0.29166666666666669</v>
      </c>
      <c r="E2" s="94" t="s">
        <v>973</v>
      </c>
      <c r="F2" s="94" t="s">
        <v>174</v>
      </c>
      <c r="G2" s="96">
        <v>0.45829999999999999</v>
      </c>
      <c r="H2" s="97">
        <v>168</v>
      </c>
      <c r="I2" s="97">
        <v>77</v>
      </c>
      <c r="J2" s="97">
        <v>0</v>
      </c>
      <c r="K2" s="93">
        <v>45984</v>
      </c>
      <c r="L2" s="97">
        <v>0</v>
      </c>
      <c r="M2" s="97">
        <v>3</v>
      </c>
      <c r="N2" s="97">
        <v>29</v>
      </c>
      <c r="O2" s="94" t="s">
        <v>531</v>
      </c>
      <c r="P2" s="98"/>
      <c r="Q2" s="98"/>
      <c r="R2" s="98"/>
      <c r="S2" s="98"/>
      <c r="T2" s="98"/>
      <c r="U2" s="98"/>
      <c r="V2" s="98"/>
      <c r="W2" s="98"/>
      <c r="X2" s="98"/>
      <c r="Y2" s="97" t="s">
        <v>274</v>
      </c>
      <c r="Z2" s="97" t="s">
        <v>510</v>
      </c>
      <c r="AA2" s="97" t="s">
        <v>693</v>
      </c>
      <c r="AB2" s="97" t="s">
        <v>192</v>
      </c>
      <c r="AC2" s="97" t="s">
        <v>985</v>
      </c>
      <c r="AD2" s="97" t="s">
        <v>547</v>
      </c>
      <c r="AE2" s="97" t="s">
        <v>187</v>
      </c>
      <c r="AF2" s="98"/>
      <c r="AG2" s="98"/>
      <c r="AH2" s="98"/>
      <c r="AI2" s="98"/>
    </row>
    <row r="3" spans="1:35" ht="18" x14ac:dyDescent="0.3">
      <c r="A3" s="106" t="s">
        <v>219</v>
      </c>
      <c r="B3" s="107"/>
      <c r="C3" s="108">
        <f>COUNTA(C2:C2)</f>
        <v>1</v>
      </c>
      <c r="D3" s="107"/>
      <c r="E3" s="107"/>
      <c r="F3" s="107"/>
      <c r="G3" s="109">
        <f>AVERAGE(G2:G2)</f>
        <v>0.45829999999999999</v>
      </c>
      <c r="H3" s="110">
        <f>SUM(H2:H2)</f>
        <v>168</v>
      </c>
      <c r="I3" s="110">
        <f>SUM(I2:I2)</f>
        <v>77</v>
      </c>
      <c r="J3" s="110">
        <f>SUM(J2:J2)</f>
        <v>0</v>
      </c>
      <c r="K3" s="107"/>
      <c r="L3" s="110">
        <f>SUM(L2:L2)</f>
        <v>0</v>
      </c>
      <c r="M3" s="110">
        <f>SUM(M2:M2)</f>
        <v>3</v>
      </c>
      <c r="N3" s="110">
        <f>SUM(N2:N2)</f>
        <v>29</v>
      </c>
      <c r="O3" s="107"/>
      <c r="P3" s="110">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110">
        <f t="shared" si="0"/>
        <v>0</v>
      </c>
      <c r="R3" s="110">
        <f t="shared" si="0"/>
        <v>0</v>
      </c>
      <c r="S3" s="110">
        <f t="shared" si="0"/>
        <v>0</v>
      </c>
      <c r="T3" s="110">
        <f t="shared" si="0"/>
        <v>0</v>
      </c>
      <c r="U3" s="110">
        <f t="shared" si="0"/>
        <v>0</v>
      </c>
      <c r="V3" s="110">
        <f t="shared" si="0"/>
        <v>0</v>
      </c>
      <c r="W3" s="110">
        <f t="shared" si="0"/>
        <v>0</v>
      </c>
      <c r="X3" s="110">
        <f t="shared" si="0"/>
        <v>0</v>
      </c>
      <c r="Y3" s="110">
        <f t="shared" si="0"/>
        <v>2</v>
      </c>
      <c r="Z3" s="110">
        <f t="shared" si="0"/>
        <v>2</v>
      </c>
      <c r="AA3" s="110">
        <f t="shared" si="0"/>
        <v>1</v>
      </c>
      <c r="AB3" s="110">
        <f t="shared" si="0"/>
        <v>3</v>
      </c>
      <c r="AC3" s="110">
        <f t="shared" si="0"/>
        <v>41</v>
      </c>
      <c r="AD3" s="110">
        <f t="shared" si="0"/>
        <v>18</v>
      </c>
      <c r="AE3" s="110">
        <f t="shared" si="0"/>
        <v>10</v>
      </c>
      <c r="AF3" s="110">
        <f t="shared" si="0"/>
        <v>0</v>
      </c>
      <c r="AG3" s="110">
        <f t="shared" si="0"/>
        <v>0</v>
      </c>
      <c r="AH3" s="110">
        <f t="shared" si="0"/>
        <v>0</v>
      </c>
      <c r="AI3" s="110">
        <f t="shared" si="0"/>
        <v>0</v>
      </c>
    </row>
  </sheetData>
  <autoFilter ref="A1:AI2" xr:uid="{00000000-0009-0000-0000-000029000000}"/>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68"/>
  <sheetViews>
    <sheetView workbookViewId="0"/>
  </sheetViews>
  <sheetFormatPr defaultRowHeight="14.4" x14ac:dyDescent="0.3"/>
  <cols>
    <col min="1" max="1" width="13" bestFit="1" customWidth="1"/>
    <col min="2" max="2" width="19.44140625" bestFit="1" customWidth="1"/>
    <col min="3" max="3" width="16.109375" bestFit="1" customWidth="1"/>
    <col min="4" max="4" width="12.77734375" bestFit="1" customWidth="1"/>
    <col min="5" max="5" width="34.109375" bestFit="1" customWidth="1"/>
    <col min="6" max="6" width="36.4414062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5.6" x14ac:dyDescent="0.3">
      <c r="A2" s="189"/>
      <c r="B2" s="189"/>
      <c r="C2" s="189"/>
      <c r="D2" s="189"/>
      <c r="E2" s="190" t="s">
        <v>986</v>
      </c>
      <c r="F2" s="189"/>
      <c r="G2" s="189"/>
      <c r="H2" s="3"/>
    </row>
    <row r="3" spans="1:8" ht="18" x14ac:dyDescent="0.3">
      <c r="A3" s="112">
        <v>45986</v>
      </c>
      <c r="B3" s="113" t="s">
        <v>25</v>
      </c>
      <c r="C3" s="114" t="s">
        <v>931</v>
      </c>
      <c r="D3" s="113" t="s">
        <v>930</v>
      </c>
      <c r="E3" s="115">
        <v>1.305555555555556</v>
      </c>
      <c r="F3" s="113" t="s">
        <v>27</v>
      </c>
      <c r="G3" s="116">
        <v>1</v>
      </c>
      <c r="H3" s="117">
        <v>369</v>
      </c>
    </row>
    <row r="4" spans="1:8" ht="18" x14ac:dyDescent="0.3">
      <c r="A4" s="118">
        <v>45986</v>
      </c>
      <c r="B4" s="119" t="s">
        <v>25</v>
      </c>
      <c r="C4" s="120" t="s">
        <v>931</v>
      </c>
      <c r="D4" s="119" t="s">
        <v>930</v>
      </c>
      <c r="E4" s="121">
        <v>1.305555555555556</v>
      </c>
      <c r="F4" s="119" t="s">
        <v>30</v>
      </c>
      <c r="G4" s="122">
        <v>1</v>
      </c>
      <c r="H4" s="123">
        <v>519</v>
      </c>
    </row>
    <row r="5" spans="1:8" ht="18" x14ac:dyDescent="0.3">
      <c r="A5" s="136">
        <v>45986</v>
      </c>
      <c r="B5" s="113" t="s">
        <v>55</v>
      </c>
      <c r="C5" s="114" t="s">
        <v>932</v>
      </c>
      <c r="D5" s="113" t="s">
        <v>930</v>
      </c>
      <c r="E5" s="115">
        <v>1.197916666666667</v>
      </c>
      <c r="F5" s="113" t="s">
        <v>60</v>
      </c>
      <c r="G5" s="116">
        <v>3</v>
      </c>
      <c r="H5" s="137">
        <v>379</v>
      </c>
    </row>
    <row r="6" spans="1:8" ht="18" x14ac:dyDescent="0.3">
      <c r="A6" s="118">
        <v>45986</v>
      </c>
      <c r="B6" s="119" t="s">
        <v>55</v>
      </c>
      <c r="C6" s="120" t="s">
        <v>932</v>
      </c>
      <c r="D6" s="119" t="s">
        <v>930</v>
      </c>
      <c r="E6" s="121">
        <v>1.197916666666667</v>
      </c>
      <c r="F6" s="119" t="s">
        <v>62</v>
      </c>
      <c r="G6" s="122">
        <v>3</v>
      </c>
      <c r="H6" s="123">
        <v>479</v>
      </c>
    </row>
    <row r="7" spans="1:8" ht="18" x14ac:dyDescent="0.3">
      <c r="A7" s="118">
        <v>45986</v>
      </c>
      <c r="B7" s="119" t="s">
        <v>55</v>
      </c>
      <c r="C7" s="120" t="s">
        <v>932</v>
      </c>
      <c r="D7" s="119" t="s">
        <v>930</v>
      </c>
      <c r="E7" s="121">
        <v>1.197916666666667</v>
      </c>
      <c r="F7" s="119" t="s">
        <v>64</v>
      </c>
      <c r="G7" s="122">
        <v>3</v>
      </c>
      <c r="H7" s="123">
        <v>569</v>
      </c>
    </row>
    <row r="8" spans="1:8" ht="18" x14ac:dyDescent="0.3">
      <c r="A8" s="138">
        <v>45986</v>
      </c>
      <c r="B8" s="139" t="s">
        <v>55</v>
      </c>
      <c r="C8" s="140" t="s">
        <v>934</v>
      </c>
      <c r="D8" s="139" t="s">
        <v>930</v>
      </c>
      <c r="E8" s="141">
        <v>1.833333333333333</v>
      </c>
      <c r="F8" s="139" t="s">
        <v>60</v>
      </c>
      <c r="G8" s="142">
        <v>3</v>
      </c>
      <c r="H8" s="143">
        <v>439</v>
      </c>
    </row>
    <row r="9" spans="1:8" ht="18" x14ac:dyDescent="0.3">
      <c r="A9" s="118">
        <v>45986</v>
      </c>
      <c r="B9" s="119" t="s">
        <v>55</v>
      </c>
      <c r="C9" s="120" t="s">
        <v>934</v>
      </c>
      <c r="D9" s="119" t="s">
        <v>930</v>
      </c>
      <c r="E9" s="121">
        <v>1.833333333333333</v>
      </c>
      <c r="F9" s="119" t="s">
        <v>62</v>
      </c>
      <c r="G9" s="122">
        <v>3</v>
      </c>
      <c r="H9" s="123">
        <v>539</v>
      </c>
    </row>
    <row r="10" spans="1:8" ht="18" x14ac:dyDescent="0.3">
      <c r="A10" s="124">
        <v>45986</v>
      </c>
      <c r="B10" s="125" t="s">
        <v>35</v>
      </c>
      <c r="C10" s="126" t="s">
        <v>935</v>
      </c>
      <c r="D10" s="125" t="s">
        <v>930</v>
      </c>
      <c r="E10" s="127">
        <v>1.270833333333333</v>
      </c>
      <c r="F10" s="125" t="s">
        <v>37</v>
      </c>
      <c r="G10" s="128">
        <v>8</v>
      </c>
      <c r="H10" s="129">
        <v>425</v>
      </c>
    </row>
    <row r="11" spans="1:8" ht="18" x14ac:dyDescent="0.3">
      <c r="A11" s="136">
        <v>45986</v>
      </c>
      <c r="B11" s="113" t="s">
        <v>333</v>
      </c>
      <c r="C11" s="114" t="s">
        <v>939</v>
      </c>
      <c r="D11" s="113" t="s">
        <v>930</v>
      </c>
      <c r="E11" s="115">
        <v>1.958333333333333</v>
      </c>
      <c r="F11" s="113" t="s">
        <v>37</v>
      </c>
      <c r="G11" s="116">
        <v>9</v>
      </c>
      <c r="H11" s="137">
        <v>439</v>
      </c>
    </row>
    <row r="12" spans="1:8" ht="18" x14ac:dyDescent="0.3">
      <c r="A12" s="194">
        <v>45986</v>
      </c>
      <c r="B12" s="195" t="s">
        <v>66</v>
      </c>
      <c r="C12" s="196" t="s">
        <v>940</v>
      </c>
      <c r="D12" s="195" t="s">
        <v>930</v>
      </c>
      <c r="E12" s="197">
        <v>1.1701388888888891</v>
      </c>
      <c r="F12" s="195" t="s">
        <v>68</v>
      </c>
      <c r="G12" s="198">
        <v>9</v>
      </c>
      <c r="H12" s="223">
        <v>547</v>
      </c>
    </row>
    <row r="13" spans="1:8" ht="15.6" x14ac:dyDescent="0.3">
      <c r="A13" s="189"/>
      <c r="B13" s="189"/>
      <c r="C13" s="189"/>
      <c r="D13" s="189"/>
      <c r="E13" s="190" t="s">
        <v>986</v>
      </c>
      <c r="F13" s="189"/>
      <c r="G13" s="189"/>
      <c r="H13" s="3"/>
    </row>
    <row r="14" spans="1:8" ht="18" x14ac:dyDescent="0.3">
      <c r="A14" s="112">
        <v>45987</v>
      </c>
      <c r="B14" s="113" t="s">
        <v>25</v>
      </c>
      <c r="C14" s="114" t="s">
        <v>931</v>
      </c>
      <c r="D14" s="113" t="s">
        <v>930</v>
      </c>
      <c r="E14" s="115">
        <v>1.305555555555556</v>
      </c>
      <c r="F14" s="113" t="s">
        <v>27</v>
      </c>
      <c r="G14" s="116">
        <v>15</v>
      </c>
      <c r="H14" s="117">
        <v>369</v>
      </c>
    </row>
    <row r="15" spans="1:8" ht="18" x14ac:dyDescent="0.3">
      <c r="A15" s="118">
        <v>45987</v>
      </c>
      <c r="B15" s="119" t="s">
        <v>25</v>
      </c>
      <c r="C15" s="120" t="s">
        <v>931</v>
      </c>
      <c r="D15" s="119" t="s">
        <v>930</v>
      </c>
      <c r="E15" s="121">
        <v>1.305555555555556</v>
      </c>
      <c r="F15" s="119" t="s">
        <v>30</v>
      </c>
      <c r="G15" s="122">
        <v>15</v>
      </c>
      <c r="H15" s="123">
        <v>519</v>
      </c>
    </row>
    <row r="16" spans="1:8" ht="18" x14ac:dyDescent="0.3">
      <c r="A16" s="136">
        <v>45987</v>
      </c>
      <c r="B16" s="113" t="s">
        <v>304</v>
      </c>
      <c r="C16" s="114" t="s">
        <v>947</v>
      </c>
      <c r="D16" s="113" t="s">
        <v>930</v>
      </c>
      <c r="E16" s="115">
        <v>1.0902777777777779</v>
      </c>
      <c r="F16" s="113" t="s">
        <v>37</v>
      </c>
      <c r="G16" s="116">
        <v>9</v>
      </c>
      <c r="H16" s="137">
        <v>371</v>
      </c>
    </row>
    <row r="17" spans="1:8" ht="18" x14ac:dyDescent="0.3">
      <c r="A17" s="136">
        <v>45987</v>
      </c>
      <c r="B17" s="113" t="s">
        <v>333</v>
      </c>
      <c r="C17" s="114" t="s">
        <v>949</v>
      </c>
      <c r="D17" s="113" t="s">
        <v>930</v>
      </c>
      <c r="E17" s="115">
        <v>1.895833333333333</v>
      </c>
      <c r="F17" s="113" t="s">
        <v>37</v>
      </c>
      <c r="G17" s="116">
        <v>9</v>
      </c>
      <c r="H17" s="137">
        <v>439</v>
      </c>
    </row>
    <row r="18" spans="1:8" ht="18" x14ac:dyDescent="0.3">
      <c r="A18" s="136">
        <v>45987</v>
      </c>
      <c r="B18" s="113" t="s">
        <v>55</v>
      </c>
      <c r="C18" s="114" t="s">
        <v>934</v>
      </c>
      <c r="D18" s="113" t="s">
        <v>930</v>
      </c>
      <c r="E18" s="115">
        <v>1.833333333333333</v>
      </c>
      <c r="F18" s="113" t="s">
        <v>60</v>
      </c>
      <c r="G18" s="116">
        <v>4</v>
      </c>
      <c r="H18" s="137">
        <v>439</v>
      </c>
    </row>
    <row r="19" spans="1:8" ht="18" x14ac:dyDescent="0.3">
      <c r="A19" s="118">
        <v>45987</v>
      </c>
      <c r="B19" s="119" t="s">
        <v>55</v>
      </c>
      <c r="C19" s="120" t="s">
        <v>934</v>
      </c>
      <c r="D19" s="119" t="s">
        <v>930</v>
      </c>
      <c r="E19" s="121">
        <v>1.833333333333333</v>
      </c>
      <c r="F19" s="119" t="s">
        <v>62</v>
      </c>
      <c r="G19" s="122">
        <v>4</v>
      </c>
      <c r="H19" s="123">
        <v>539</v>
      </c>
    </row>
    <row r="20" spans="1:8" ht="18" x14ac:dyDescent="0.3">
      <c r="A20" s="118">
        <v>45987</v>
      </c>
      <c r="B20" s="119" t="s">
        <v>55</v>
      </c>
      <c r="C20" s="120" t="s">
        <v>934</v>
      </c>
      <c r="D20" s="119" t="s">
        <v>930</v>
      </c>
      <c r="E20" s="121">
        <v>1.833333333333333</v>
      </c>
      <c r="F20" s="119" t="s">
        <v>64</v>
      </c>
      <c r="G20" s="122">
        <v>4</v>
      </c>
      <c r="H20" s="123">
        <v>629</v>
      </c>
    </row>
    <row r="21" spans="1:8" ht="18" x14ac:dyDescent="0.3">
      <c r="A21" s="136">
        <v>45987</v>
      </c>
      <c r="B21" s="113" t="s">
        <v>66</v>
      </c>
      <c r="C21" s="114" t="s">
        <v>940</v>
      </c>
      <c r="D21" s="113" t="s">
        <v>930</v>
      </c>
      <c r="E21" s="115">
        <v>1.1701388888888891</v>
      </c>
      <c r="F21" s="113" t="s">
        <v>85</v>
      </c>
      <c r="G21" s="116">
        <v>9</v>
      </c>
      <c r="H21" s="137">
        <v>441</v>
      </c>
    </row>
    <row r="22" spans="1:8" ht="18" x14ac:dyDescent="0.3">
      <c r="A22" s="138">
        <v>45987</v>
      </c>
      <c r="B22" s="139" t="s">
        <v>66</v>
      </c>
      <c r="C22" s="140" t="s">
        <v>942</v>
      </c>
      <c r="D22" s="139" t="s">
        <v>930</v>
      </c>
      <c r="E22" s="141">
        <v>1.864583333333333</v>
      </c>
      <c r="F22" s="139" t="s">
        <v>68</v>
      </c>
      <c r="G22" s="142">
        <v>9</v>
      </c>
      <c r="H22" s="143">
        <v>682</v>
      </c>
    </row>
    <row r="23" spans="1:8" ht="18" x14ac:dyDescent="0.3">
      <c r="A23" s="149">
        <v>45987</v>
      </c>
      <c r="B23" s="150" t="s">
        <v>66</v>
      </c>
      <c r="C23" s="151" t="s">
        <v>943</v>
      </c>
      <c r="D23" s="150" t="s">
        <v>930</v>
      </c>
      <c r="E23" s="152">
        <v>1.5277777777777779</v>
      </c>
      <c r="F23" s="150" t="s">
        <v>68</v>
      </c>
      <c r="G23" s="153">
        <v>9</v>
      </c>
      <c r="H23" s="191">
        <v>866</v>
      </c>
    </row>
    <row r="24" spans="1:8" ht="15.6" x14ac:dyDescent="0.3">
      <c r="A24" s="189"/>
      <c r="B24" s="189"/>
      <c r="C24" s="189"/>
      <c r="D24" s="189"/>
      <c r="E24" s="190" t="s">
        <v>986</v>
      </c>
      <c r="F24" s="189"/>
      <c r="G24" s="189"/>
      <c r="H24" s="3"/>
    </row>
    <row r="25" spans="1:8" ht="18" x14ac:dyDescent="0.3">
      <c r="A25" s="112">
        <v>45988</v>
      </c>
      <c r="B25" s="113" t="s">
        <v>25</v>
      </c>
      <c r="C25" s="114" t="s">
        <v>931</v>
      </c>
      <c r="D25" s="113" t="s">
        <v>930</v>
      </c>
      <c r="E25" s="115">
        <v>1.305555555555556</v>
      </c>
      <c r="F25" s="113" t="s">
        <v>27</v>
      </c>
      <c r="G25" s="116">
        <v>2</v>
      </c>
      <c r="H25" s="117">
        <v>309</v>
      </c>
    </row>
    <row r="26" spans="1:8" ht="18" x14ac:dyDescent="0.3">
      <c r="A26" s="136">
        <v>45988</v>
      </c>
      <c r="B26" s="113" t="s">
        <v>55</v>
      </c>
      <c r="C26" s="114" t="s">
        <v>932</v>
      </c>
      <c r="D26" s="113" t="s">
        <v>930</v>
      </c>
      <c r="E26" s="115">
        <v>1.197916666666667</v>
      </c>
      <c r="F26" s="113" t="s">
        <v>60</v>
      </c>
      <c r="G26" s="116">
        <v>9</v>
      </c>
      <c r="H26" s="137">
        <v>349</v>
      </c>
    </row>
    <row r="27" spans="1:8" ht="18" x14ac:dyDescent="0.3">
      <c r="A27" s="118">
        <v>45988</v>
      </c>
      <c r="B27" s="119" t="s">
        <v>55</v>
      </c>
      <c r="C27" s="120" t="s">
        <v>932</v>
      </c>
      <c r="D27" s="119" t="s">
        <v>930</v>
      </c>
      <c r="E27" s="121">
        <v>1.197916666666667</v>
      </c>
      <c r="F27" s="119" t="s">
        <v>62</v>
      </c>
      <c r="G27" s="122">
        <v>9</v>
      </c>
      <c r="H27" s="123">
        <v>449</v>
      </c>
    </row>
    <row r="28" spans="1:8" ht="18" x14ac:dyDescent="0.3">
      <c r="A28" s="138">
        <v>45988</v>
      </c>
      <c r="B28" s="139" t="s">
        <v>55</v>
      </c>
      <c r="C28" s="140" t="s">
        <v>934</v>
      </c>
      <c r="D28" s="139" t="s">
        <v>930</v>
      </c>
      <c r="E28" s="141">
        <v>1.833333333333333</v>
      </c>
      <c r="F28" s="139" t="s">
        <v>60</v>
      </c>
      <c r="G28" s="142">
        <v>5</v>
      </c>
      <c r="H28" s="143">
        <v>439</v>
      </c>
    </row>
    <row r="29" spans="1:8" ht="18" x14ac:dyDescent="0.3">
      <c r="A29" s="136">
        <v>45988</v>
      </c>
      <c r="B29" s="113" t="s">
        <v>304</v>
      </c>
      <c r="C29" s="114" t="s">
        <v>952</v>
      </c>
      <c r="D29" s="113" t="s">
        <v>930</v>
      </c>
      <c r="E29" s="115">
        <v>1.2847222222222221</v>
      </c>
      <c r="F29" s="113" t="s">
        <v>37</v>
      </c>
      <c r="G29" s="116">
        <v>9</v>
      </c>
      <c r="H29" s="137">
        <v>371</v>
      </c>
    </row>
    <row r="30" spans="1:8" ht="18" x14ac:dyDescent="0.3">
      <c r="A30" s="138">
        <v>45988</v>
      </c>
      <c r="B30" s="139" t="s">
        <v>304</v>
      </c>
      <c r="C30" s="140" t="s">
        <v>947</v>
      </c>
      <c r="D30" s="139" t="s">
        <v>930</v>
      </c>
      <c r="E30" s="141">
        <v>1.8888888888888891</v>
      </c>
      <c r="F30" s="139" t="s">
        <v>37</v>
      </c>
      <c r="G30" s="142">
        <v>9</v>
      </c>
      <c r="H30" s="143">
        <v>371</v>
      </c>
    </row>
    <row r="31" spans="1:8" ht="18" x14ac:dyDescent="0.3">
      <c r="A31" s="136">
        <v>45988</v>
      </c>
      <c r="B31" s="113" t="s">
        <v>66</v>
      </c>
      <c r="C31" s="114" t="s">
        <v>940</v>
      </c>
      <c r="D31" s="113" t="s">
        <v>930</v>
      </c>
      <c r="E31" s="115">
        <v>1.1701388888888891</v>
      </c>
      <c r="F31" s="113" t="s">
        <v>94</v>
      </c>
      <c r="G31" s="116">
        <v>9</v>
      </c>
      <c r="H31" s="137">
        <v>415</v>
      </c>
    </row>
    <row r="32" spans="1:8" ht="18" x14ac:dyDescent="0.3">
      <c r="A32" s="136">
        <v>45988</v>
      </c>
      <c r="B32" s="113" t="s">
        <v>333</v>
      </c>
      <c r="C32" s="114" t="s">
        <v>939</v>
      </c>
      <c r="D32" s="113" t="s">
        <v>930</v>
      </c>
      <c r="E32" s="115">
        <v>1.958333333333333</v>
      </c>
      <c r="F32" s="113" t="s">
        <v>37</v>
      </c>
      <c r="G32" s="116">
        <v>9</v>
      </c>
      <c r="H32" s="137">
        <v>439</v>
      </c>
    </row>
    <row r="33" spans="1:8" ht="18" x14ac:dyDescent="0.3">
      <c r="A33" s="138">
        <v>45988</v>
      </c>
      <c r="B33" s="139" t="s">
        <v>333</v>
      </c>
      <c r="C33" s="140" t="s">
        <v>955</v>
      </c>
      <c r="D33" s="139" t="s">
        <v>930</v>
      </c>
      <c r="E33" s="141">
        <v>1.5625</v>
      </c>
      <c r="F33" s="139" t="s">
        <v>37</v>
      </c>
      <c r="G33" s="142">
        <v>9</v>
      </c>
      <c r="H33" s="143">
        <v>439</v>
      </c>
    </row>
    <row r="34" spans="1:8" ht="18" x14ac:dyDescent="0.3">
      <c r="A34" s="154">
        <v>45988</v>
      </c>
      <c r="B34" s="155" t="s">
        <v>35</v>
      </c>
      <c r="C34" s="156" t="s">
        <v>935</v>
      </c>
      <c r="D34" s="155" t="s">
        <v>930</v>
      </c>
      <c r="E34" s="157">
        <v>1.9236111111111109</v>
      </c>
      <c r="F34" s="155" t="s">
        <v>37</v>
      </c>
      <c r="G34" s="158">
        <v>9</v>
      </c>
      <c r="H34" s="242">
        <v>446</v>
      </c>
    </row>
    <row r="35" spans="1:8" ht="18" x14ac:dyDescent="0.3">
      <c r="A35" s="187">
        <v>45989</v>
      </c>
      <c r="B35" s="125" t="s">
        <v>35</v>
      </c>
      <c r="C35" s="126" t="s">
        <v>974</v>
      </c>
      <c r="D35" s="125" t="s">
        <v>973</v>
      </c>
      <c r="E35" s="127">
        <v>1.291666666666667</v>
      </c>
      <c r="F35" s="125" t="s">
        <v>37</v>
      </c>
      <c r="G35" s="128">
        <v>1</v>
      </c>
      <c r="H35" s="200">
        <v>506</v>
      </c>
    </row>
    <row r="36" spans="1:8" ht="15.6" x14ac:dyDescent="0.3">
      <c r="A36" s="189"/>
      <c r="B36" s="189"/>
      <c r="C36" s="189"/>
      <c r="D36" s="189"/>
      <c r="E36" s="190" t="s">
        <v>986</v>
      </c>
      <c r="F36" s="189"/>
      <c r="G36" s="189"/>
      <c r="H36" s="3"/>
    </row>
    <row r="37" spans="1:8" ht="18" x14ac:dyDescent="0.3">
      <c r="A37" s="136">
        <v>45989</v>
      </c>
      <c r="B37" s="113" t="s">
        <v>25</v>
      </c>
      <c r="C37" s="114" t="s">
        <v>931</v>
      </c>
      <c r="D37" s="113" t="s">
        <v>930</v>
      </c>
      <c r="E37" s="115">
        <v>1.305555555555556</v>
      </c>
      <c r="F37" s="113" t="s">
        <v>27</v>
      </c>
      <c r="G37" s="116">
        <v>3</v>
      </c>
      <c r="H37" s="137">
        <v>309</v>
      </c>
    </row>
    <row r="38" spans="1:8" ht="18" x14ac:dyDescent="0.3">
      <c r="A38" s="118">
        <v>45989</v>
      </c>
      <c r="B38" s="119" t="s">
        <v>25</v>
      </c>
      <c r="C38" s="120" t="s">
        <v>931</v>
      </c>
      <c r="D38" s="119" t="s">
        <v>930</v>
      </c>
      <c r="E38" s="121">
        <v>1.305555555555556</v>
      </c>
      <c r="F38" s="119" t="s">
        <v>30</v>
      </c>
      <c r="G38" s="122">
        <v>3</v>
      </c>
      <c r="H38" s="123">
        <v>459</v>
      </c>
    </row>
    <row r="39" spans="1:8" ht="18" x14ac:dyDescent="0.3">
      <c r="A39" s="136">
        <v>45989</v>
      </c>
      <c r="B39" s="113" t="s">
        <v>304</v>
      </c>
      <c r="C39" s="114" t="s">
        <v>958</v>
      </c>
      <c r="D39" s="113" t="s">
        <v>930</v>
      </c>
      <c r="E39" s="115">
        <v>1.1736111111111109</v>
      </c>
      <c r="F39" s="113" t="s">
        <v>37</v>
      </c>
      <c r="G39" s="116">
        <v>9</v>
      </c>
      <c r="H39" s="137">
        <v>371</v>
      </c>
    </row>
    <row r="40" spans="1:8" ht="18" x14ac:dyDescent="0.3">
      <c r="A40" s="136">
        <v>45989</v>
      </c>
      <c r="B40" s="113" t="s">
        <v>55</v>
      </c>
      <c r="C40" s="114" t="s">
        <v>934</v>
      </c>
      <c r="D40" s="113" t="s">
        <v>930</v>
      </c>
      <c r="E40" s="115">
        <v>1.833333333333333</v>
      </c>
      <c r="F40" s="113" t="s">
        <v>60</v>
      </c>
      <c r="G40" s="116">
        <v>9</v>
      </c>
      <c r="H40" s="137">
        <v>379</v>
      </c>
    </row>
    <row r="41" spans="1:8" ht="18" x14ac:dyDescent="0.3">
      <c r="A41" s="118">
        <v>45989</v>
      </c>
      <c r="B41" s="119" t="s">
        <v>55</v>
      </c>
      <c r="C41" s="120" t="s">
        <v>934</v>
      </c>
      <c r="D41" s="119" t="s">
        <v>930</v>
      </c>
      <c r="E41" s="121">
        <v>1.833333333333333</v>
      </c>
      <c r="F41" s="119" t="s">
        <v>62</v>
      </c>
      <c r="G41" s="122">
        <v>9</v>
      </c>
      <c r="H41" s="123">
        <v>479</v>
      </c>
    </row>
    <row r="42" spans="1:8" ht="18" x14ac:dyDescent="0.3">
      <c r="A42" s="118">
        <v>45989</v>
      </c>
      <c r="B42" s="119" t="s">
        <v>55</v>
      </c>
      <c r="C42" s="120" t="s">
        <v>934</v>
      </c>
      <c r="D42" s="119" t="s">
        <v>930</v>
      </c>
      <c r="E42" s="121">
        <v>1.833333333333333</v>
      </c>
      <c r="F42" s="119" t="s">
        <v>64</v>
      </c>
      <c r="G42" s="122">
        <v>9</v>
      </c>
      <c r="H42" s="123">
        <v>569</v>
      </c>
    </row>
    <row r="43" spans="1:8" ht="18" x14ac:dyDescent="0.3">
      <c r="A43" s="136">
        <v>45989</v>
      </c>
      <c r="B43" s="113" t="s">
        <v>66</v>
      </c>
      <c r="C43" s="114" t="s">
        <v>940</v>
      </c>
      <c r="D43" s="113" t="s">
        <v>930</v>
      </c>
      <c r="E43" s="115">
        <v>1.1701388888888891</v>
      </c>
      <c r="F43" s="113" t="s">
        <v>94</v>
      </c>
      <c r="G43" s="116">
        <v>9</v>
      </c>
      <c r="H43" s="137">
        <v>411</v>
      </c>
    </row>
    <row r="44" spans="1:8" ht="18" x14ac:dyDescent="0.3">
      <c r="A44" s="138">
        <v>45989</v>
      </c>
      <c r="B44" s="139" t="s">
        <v>66</v>
      </c>
      <c r="C44" s="140" t="s">
        <v>942</v>
      </c>
      <c r="D44" s="139" t="s">
        <v>930</v>
      </c>
      <c r="E44" s="141">
        <v>1.864583333333333</v>
      </c>
      <c r="F44" s="139" t="s">
        <v>94</v>
      </c>
      <c r="G44" s="142">
        <v>9</v>
      </c>
      <c r="H44" s="143">
        <v>411</v>
      </c>
    </row>
    <row r="45" spans="1:8" ht="18" x14ac:dyDescent="0.3">
      <c r="A45" s="136">
        <v>45989</v>
      </c>
      <c r="B45" s="113" t="s">
        <v>333</v>
      </c>
      <c r="C45" s="114" t="s">
        <v>949</v>
      </c>
      <c r="D45" s="113" t="s">
        <v>930</v>
      </c>
      <c r="E45" s="115">
        <v>1.958333333333333</v>
      </c>
      <c r="F45" s="113" t="s">
        <v>37</v>
      </c>
      <c r="G45" s="116">
        <v>9</v>
      </c>
      <c r="H45" s="137">
        <v>439</v>
      </c>
    </row>
    <row r="46" spans="1:8" ht="18" x14ac:dyDescent="0.3">
      <c r="A46" s="154">
        <v>45989</v>
      </c>
      <c r="B46" s="155" t="s">
        <v>35</v>
      </c>
      <c r="C46" s="156" t="s">
        <v>935</v>
      </c>
      <c r="D46" s="155" t="s">
        <v>930</v>
      </c>
      <c r="E46" s="157">
        <v>1.5798611111111109</v>
      </c>
      <c r="F46" s="155" t="s">
        <v>37</v>
      </c>
      <c r="G46" s="158">
        <v>9</v>
      </c>
      <c r="H46" s="242">
        <v>446</v>
      </c>
    </row>
    <row r="47" spans="1:8" ht="15.6" x14ac:dyDescent="0.3">
      <c r="A47" s="189"/>
      <c r="B47" s="189"/>
      <c r="C47" s="189"/>
      <c r="D47" s="189"/>
      <c r="E47" s="190" t="s">
        <v>986</v>
      </c>
      <c r="F47" s="189"/>
      <c r="G47" s="189"/>
      <c r="H47" s="3"/>
    </row>
    <row r="48" spans="1:8" ht="18" x14ac:dyDescent="0.3">
      <c r="A48" s="112">
        <v>45990</v>
      </c>
      <c r="B48" s="113" t="s">
        <v>25</v>
      </c>
      <c r="C48" s="114" t="s">
        <v>931</v>
      </c>
      <c r="D48" s="113" t="s">
        <v>930</v>
      </c>
      <c r="E48" s="115">
        <v>1.305555555555556</v>
      </c>
      <c r="F48" s="113" t="s">
        <v>27</v>
      </c>
      <c r="G48" s="116">
        <v>12</v>
      </c>
      <c r="H48" s="117">
        <v>309</v>
      </c>
    </row>
    <row r="49" spans="1:8" ht="18" x14ac:dyDescent="0.3">
      <c r="A49" s="136">
        <v>45990</v>
      </c>
      <c r="B49" s="113" t="s">
        <v>55</v>
      </c>
      <c r="C49" s="114" t="s">
        <v>932</v>
      </c>
      <c r="D49" s="113" t="s">
        <v>930</v>
      </c>
      <c r="E49" s="115">
        <v>1.197916666666667</v>
      </c>
      <c r="F49" s="113" t="s">
        <v>60</v>
      </c>
      <c r="G49" s="116">
        <v>9</v>
      </c>
      <c r="H49" s="137">
        <v>349</v>
      </c>
    </row>
    <row r="50" spans="1:8" ht="18" x14ac:dyDescent="0.3">
      <c r="A50" s="118">
        <v>45990</v>
      </c>
      <c r="B50" s="119" t="s">
        <v>55</v>
      </c>
      <c r="C50" s="120" t="s">
        <v>932</v>
      </c>
      <c r="D50" s="119" t="s">
        <v>930</v>
      </c>
      <c r="E50" s="121">
        <v>1.197916666666667</v>
      </c>
      <c r="F50" s="119" t="s">
        <v>62</v>
      </c>
      <c r="G50" s="122">
        <v>9</v>
      </c>
      <c r="H50" s="123">
        <v>449</v>
      </c>
    </row>
    <row r="51" spans="1:8" ht="18" x14ac:dyDescent="0.3">
      <c r="A51" s="138">
        <v>45990</v>
      </c>
      <c r="B51" s="139" t="s">
        <v>55</v>
      </c>
      <c r="C51" s="140" t="s">
        <v>934</v>
      </c>
      <c r="D51" s="139" t="s">
        <v>930</v>
      </c>
      <c r="E51" s="141">
        <v>1.833333333333333</v>
      </c>
      <c r="F51" s="139" t="s">
        <v>60</v>
      </c>
      <c r="G51" s="142">
        <v>4</v>
      </c>
      <c r="H51" s="143">
        <v>349</v>
      </c>
    </row>
    <row r="52" spans="1:8" ht="18" x14ac:dyDescent="0.3">
      <c r="A52" s="136">
        <v>45990</v>
      </c>
      <c r="B52" s="113" t="s">
        <v>378</v>
      </c>
      <c r="C52" s="114" t="s">
        <v>963</v>
      </c>
      <c r="D52" s="113" t="s">
        <v>930</v>
      </c>
      <c r="E52" s="115">
        <v>1.9340277777777779</v>
      </c>
      <c r="F52" s="113" t="s">
        <v>380</v>
      </c>
      <c r="G52" s="116">
        <v>9</v>
      </c>
      <c r="H52" s="137">
        <v>354</v>
      </c>
    </row>
    <row r="53" spans="1:8" ht="18" x14ac:dyDescent="0.3">
      <c r="A53" s="136">
        <v>45990</v>
      </c>
      <c r="B53" s="113" t="s">
        <v>304</v>
      </c>
      <c r="C53" s="114" t="s">
        <v>947</v>
      </c>
      <c r="D53" s="113" t="s">
        <v>930</v>
      </c>
      <c r="E53" s="115">
        <v>1.1736111111111109</v>
      </c>
      <c r="F53" s="113" t="s">
        <v>37</v>
      </c>
      <c r="G53" s="116">
        <v>9</v>
      </c>
      <c r="H53" s="137">
        <v>371</v>
      </c>
    </row>
    <row r="54" spans="1:8" ht="18" x14ac:dyDescent="0.3">
      <c r="A54" s="136">
        <v>45990</v>
      </c>
      <c r="B54" s="113" t="s">
        <v>66</v>
      </c>
      <c r="C54" s="114" t="s">
        <v>940</v>
      </c>
      <c r="D54" s="113" t="s">
        <v>930</v>
      </c>
      <c r="E54" s="115">
        <v>1.1701388888888891</v>
      </c>
      <c r="F54" s="113" t="s">
        <v>94</v>
      </c>
      <c r="G54" s="116">
        <v>9</v>
      </c>
      <c r="H54" s="137">
        <v>411</v>
      </c>
    </row>
    <row r="55" spans="1:8" ht="18" x14ac:dyDescent="0.3">
      <c r="A55" s="138">
        <v>45990</v>
      </c>
      <c r="B55" s="139" t="s">
        <v>66</v>
      </c>
      <c r="C55" s="140" t="s">
        <v>942</v>
      </c>
      <c r="D55" s="139" t="s">
        <v>930</v>
      </c>
      <c r="E55" s="141">
        <v>1.864583333333333</v>
      </c>
      <c r="F55" s="139" t="s">
        <v>94</v>
      </c>
      <c r="G55" s="142">
        <v>9</v>
      </c>
      <c r="H55" s="143">
        <v>411</v>
      </c>
    </row>
    <row r="56" spans="1:8" ht="18" x14ac:dyDescent="0.3">
      <c r="A56" s="136">
        <v>45990</v>
      </c>
      <c r="B56" s="113" t="s">
        <v>333</v>
      </c>
      <c r="C56" s="114" t="s">
        <v>939</v>
      </c>
      <c r="D56" s="113" t="s">
        <v>930</v>
      </c>
      <c r="E56" s="115">
        <v>1.895833333333333</v>
      </c>
      <c r="F56" s="113" t="s">
        <v>37</v>
      </c>
      <c r="G56" s="116">
        <v>9</v>
      </c>
      <c r="H56" s="137">
        <v>439</v>
      </c>
    </row>
    <row r="57" spans="1:8" ht="18" x14ac:dyDescent="0.3">
      <c r="A57" s="154">
        <v>45990</v>
      </c>
      <c r="B57" s="155" t="s">
        <v>35</v>
      </c>
      <c r="C57" s="156" t="s">
        <v>935</v>
      </c>
      <c r="D57" s="155" t="s">
        <v>930</v>
      </c>
      <c r="E57" s="157">
        <v>1.9236111111111109</v>
      </c>
      <c r="F57" s="155" t="s">
        <v>37</v>
      </c>
      <c r="G57" s="158">
        <v>9</v>
      </c>
      <c r="H57" s="242">
        <v>446</v>
      </c>
    </row>
    <row r="58" spans="1:8" ht="15.6" x14ac:dyDescent="0.3">
      <c r="A58" s="189"/>
      <c r="B58" s="189"/>
      <c r="C58" s="189"/>
      <c r="D58" s="189"/>
      <c r="E58" s="190" t="s">
        <v>986</v>
      </c>
      <c r="F58" s="189"/>
      <c r="G58" s="189"/>
      <c r="H58" s="3"/>
    </row>
    <row r="59" spans="1:8" ht="18" x14ac:dyDescent="0.3">
      <c r="A59" s="112">
        <v>45991</v>
      </c>
      <c r="B59" s="113" t="s">
        <v>25</v>
      </c>
      <c r="C59" s="114" t="s">
        <v>931</v>
      </c>
      <c r="D59" s="113" t="s">
        <v>930</v>
      </c>
      <c r="E59" s="115">
        <v>1.305555555555556</v>
      </c>
      <c r="F59" s="113" t="s">
        <v>27</v>
      </c>
      <c r="G59" s="116">
        <v>5</v>
      </c>
      <c r="H59" s="117">
        <v>339</v>
      </c>
    </row>
    <row r="60" spans="1:8" ht="18" x14ac:dyDescent="0.3">
      <c r="A60" s="136">
        <v>45991</v>
      </c>
      <c r="B60" s="113" t="s">
        <v>304</v>
      </c>
      <c r="C60" s="114" t="s">
        <v>958</v>
      </c>
      <c r="D60" s="113" t="s">
        <v>930</v>
      </c>
      <c r="E60" s="115">
        <v>1.2152777777777779</v>
      </c>
      <c r="F60" s="113" t="s">
        <v>37</v>
      </c>
      <c r="G60" s="116">
        <v>8</v>
      </c>
      <c r="H60" s="137">
        <v>371</v>
      </c>
    </row>
    <row r="61" spans="1:8" ht="18" x14ac:dyDescent="0.3">
      <c r="A61" s="136">
        <v>45991</v>
      </c>
      <c r="B61" s="113" t="s">
        <v>55</v>
      </c>
      <c r="C61" s="114" t="s">
        <v>934</v>
      </c>
      <c r="D61" s="113" t="s">
        <v>930</v>
      </c>
      <c r="E61" s="115">
        <v>1.833333333333333</v>
      </c>
      <c r="F61" s="113" t="s">
        <v>60</v>
      </c>
      <c r="G61" s="116">
        <v>9</v>
      </c>
      <c r="H61" s="137">
        <v>379</v>
      </c>
    </row>
    <row r="62" spans="1:8" ht="18" x14ac:dyDescent="0.3">
      <c r="A62" s="118">
        <v>45991</v>
      </c>
      <c r="B62" s="119" t="s">
        <v>55</v>
      </c>
      <c r="C62" s="120" t="s">
        <v>934</v>
      </c>
      <c r="D62" s="119" t="s">
        <v>930</v>
      </c>
      <c r="E62" s="121">
        <v>1.833333333333333</v>
      </c>
      <c r="F62" s="119" t="s">
        <v>62</v>
      </c>
      <c r="G62" s="122">
        <v>9</v>
      </c>
      <c r="H62" s="123">
        <v>479</v>
      </c>
    </row>
    <row r="63" spans="1:8" ht="18" x14ac:dyDescent="0.3">
      <c r="A63" s="136">
        <v>45991</v>
      </c>
      <c r="B63" s="113" t="s">
        <v>66</v>
      </c>
      <c r="C63" s="114" t="s">
        <v>940</v>
      </c>
      <c r="D63" s="113" t="s">
        <v>930</v>
      </c>
      <c r="E63" s="115">
        <v>1.1701388888888891</v>
      </c>
      <c r="F63" s="113" t="s">
        <v>94</v>
      </c>
      <c r="G63" s="116">
        <v>9</v>
      </c>
      <c r="H63" s="137">
        <v>411</v>
      </c>
    </row>
    <row r="64" spans="1:8" ht="18" x14ac:dyDescent="0.3">
      <c r="A64" s="138">
        <v>45991</v>
      </c>
      <c r="B64" s="139" t="s">
        <v>66</v>
      </c>
      <c r="C64" s="140" t="s">
        <v>942</v>
      </c>
      <c r="D64" s="139" t="s">
        <v>930</v>
      </c>
      <c r="E64" s="141">
        <v>1.864583333333333</v>
      </c>
      <c r="F64" s="139" t="s">
        <v>94</v>
      </c>
      <c r="G64" s="142">
        <v>9</v>
      </c>
      <c r="H64" s="143">
        <v>411</v>
      </c>
    </row>
    <row r="65" spans="1:8" ht="18" x14ac:dyDescent="0.3">
      <c r="A65" s="138">
        <v>45991</v>
      </c>
      <c r="B65" s="139" t="s">
        <v>66</v>
      </c>
      <c r="C65" s="140" t="s">
        <v>943</v>
      </c>
      <c r="D65" s="139" t="s">
        <v>930</v>
      </c>
      <c r="E65" s="141">
        <v>1.5034722222222221</v>
      </c>
      <c r="F65" s="139" t="s">
        <v>85</v>
      </c>
      <c r="G65" s="142">
        <v>9</v>
      </c>
      <c r="H65" s="143">
        <v>437</v>
      </c>
    </row>
    <row r="66" spans="1:8" ht="18" x14ac:dyDescent="0.3">
      <c r="A66" s="136">
        <v>45991</v>
      </c>
      <c r="B66" s="113" t="s">
        <v>333</v>
      </c>
      <c r="C66" s="114" t="s">
        <v>967</v>
      </c>
      <c r="D66" s="113" t="s">
        <v>930</v>
      </c>
      <c r="E66" s="115">
        <v>1.6840277777777779</v>
      </c>
      <c r="F66" s="113" t="s">
        <v>37</v>
      </c>
      <c r="G66" s="116">
        <v>9</v>
      </c>
      <c r="H66" s="137">
        <v>439</v>
      </c>
    </row>
    <row r="67" spans="1:8" ht="18" x14ac:dyDescent="0.3">
      <c r="A67" s="138">
        <v>45991</v>
      </c>
      <c r="B67" s="139" t="s">
        <v>333</v>
      </c>
      <c r="C67" s="140" t="s">
        <v>968</v>
      </c>
      <c r="D67" s="139" t="s">
        <v>930</v>
      </c>
      <c r="E67" s="141">
        <v>1.163194444444444</v>
      </c>
      <c r="F67" s="139" t="s">
        <v>37</v>
      </c>
      <c r="G67" s="142">
        <v>9</v>
      </c>
      <c r="H67" s="143">
        <v>439</v>
      </c>
    </row>
    <row r="68" spans="1:8" ht="18" x14ac:dyDescent="0.3">
      <c r="A68" s="149">
        <v>45991</v>
      </c>
      <c r="B68" s="150" t="s">
        <v>333</v>
      </c>
      <c r="C68" s="151" t="s">
        <v>955</v>
      </c>
      <c r="D68" s="150" t="s">
        <v>930</v>
      </c>
      <c r="E68" s="152">
        <v>1.958333333333333</v>
      </c>
      <c r="F68" s="150" t="s">
        <v>37</v>
      </c>
      <c r="G68" s="153">
        <v>9</v>
      </c>
      <c r="H68" s="191">
        <v>439</v>
      </c>
    </row>
  </sheetData>
  <dataValidations count="2">
    <dataValidation type="custom" allowBlank="1" showInputMessage="1" promptTitle="LOAD FACTOR ANALYSIS" prompt="SM-434_x000d__x000a_LF -_x000d__x000a_SOLD -_x000d__x000a_LST-SOLD -_x000d__x000a_WEEKLY -_x000d__x000a_TO-DAY -_x000d__x000a_Y-DAY -_x000d__x000a_LOWEST AVAIL -_x000d__x000a_CAPACITY -_x000d__x000a_CLASSES -" sqref="A10 A34 A46 A57 B10 B34 B46 B57 C10 C34 C46 C57 D10 D34 D46 D57 E10 E34 E46 E57 F10 F34 F46 F57 G10 G34 G46 G57 H10 H34 H46 H57" xr:uid="{00000000-0002-0000-2A00-000000000000}">
      <formula1>TRUE</formula1>
    </dataValidation>
    <dataValidation type="custom" allowBlank="1" showInputMessage="1" promptTitle="LOAD FACTOR ANALYSIS" prompt="SM-438_x000d__x000a_LF 45.8%_x000d__x000a_SOLD 77_x000d__x000a_LST-SOLD 23NOV_x000d__x000a_WEEKLY 29_x000d__x000a_TO-DAY NIL_x000d__x000a_Y-DAY 3_x000d__x000a_LOWEST AVAIL U1_x000d__x000a_CAPACITY 168_x000d__x000a_CLASSES S2 &amp; W2 &amp; T1 &amp; +4 more" sqref="A35 B35 C35 D35 E35 F35 G35 H35" xr:uid="{00000000-0002-0000-2A00-000001000000}">
      <formula1>TRUE</formula1>
    </dataValidation>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43"/>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3.44140625" bestFit="1" customWidth="1"/>
  </cols>
  <sheetData>
    <row r="1" spans="1:92" ht="28.8" customHeight="1" x14ac:dyDescent="0.3">
      <c r="A1" s="305" t="s">
        <v>0</v>
      </c>
      <c r="B1" s="281"/>
      <c r="C1" s="281"/>
      <c r="D1" s="305" t="s">
        <v>987</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45985.360376782381</v>
      </c>
      <c r="H2" s="292"/>
      <c r="I2" s="292"/>
      <c r="J2" s="292"/>
      <c r="K2" s="303">
        <v>45985.360376782803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304</v>
      </c>
      <c r="B6" s="8" t="s">
        <v>988</v>
      </c>
      <c r="C6" s="9">
        <v>0.93055555555555547</v>
      </c>
      <c r="D6" s="8" t="s">
        <v>37</v>
      </c>
      <c r="E6" s="8" t="s">
        <v>38</v>
      </c>
      <c r="F6" s="8" t="s">
        <v>839</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43" t="s">
        <v>66</v>
      </c>
      <c r="B7" s="243" t="s">
        <v>989</v>
      </c>
      <c r="C7" s="244">
        <v>0.12847222222222221</v>
      </c>
      <c r="D7" s="243" t="s">
        <v>68</v>
      </c>
      <c r="E7" s="243" t="s">
        <v>38</v>
      </c>
      <c r="F7" s="243" t="s">
        <v>990</v>
      </c>
      <c r="G7" s="286"/>
      <c r="H7" s="50"/>
      <c r="I7" s="51"/>
      <c r="J7" s="51"/>
      <c r="K7" s="51"/>
      <c r="L7" s="51"/>
      <c r="M7" s="51"/>
      <c r="N7" s="51"/>
      <c r="O7" s="52"/>
      <c r="P7" s="51"/>
      <c r="Q7" s="53"/>
      <c r="R7" s="5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88"/>
      <c r="B8" s="289"/>
      <c r="C8" s="289"/>
      <c r="D8" s="289"/>
      <c r="E8" s="289"/>
      <c r="F8" s="289"/>
      <c r="G8" s="289"/>
      <c r="H8" s="289"/>
      <c r="I8" s="289"/>
      <c r="J8" s="289"/>
      <c r="K8" s="289"/>
      <c r="L8" s="289"/>
      <c r="M8" s="289"/>
      <c r="N8" s="289"/>
      <c r="O8" s="289"/>
      <c r="P8" s="289"/>
      <c r="Q8" s="289"/>
      <c r="R8" s="2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82" t="s">
        <v>5</v>
      </c>
      <c r="B9" s="283"/>
      <c r="C9" s="283"/>
      <c r="D9" s="283"/>
      <c r="E9" s="283"/>
      <c r="F9" s="283"/>
      <c r="G9" s="5">
        <v>45987</v>
      </c>
      <c r="H9" s="278" t="s">
        <v>6</v>
      </c>
      <c r="I9" s="279"/>
      <c r="J9" s="279"/>
      <c r="K9" s="279"/>
      <c r="L9" s="279"/>
      <c r="M9" s="279"/>
      <c r="N9" s="279"/>
      <c r="O9" s="279"/>
      <c r="P9" s="279"/>
      <c r="Q9" s="279"/>
      <c r="R9" s="27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55" t="s">
        <v>7</v>
      </c>
      <c r="B10" s="55" t="s">
        <v>8</v>
      </c>
      <c r="C10" s="56" t="s">
        <v>9</v>
      </c>
      <c r="D10" s="55" t="s">
        <v>10</v>
      </c>
      <c r="E10" s="55" t="s">
        <v>11</v>
      </c>
      <c r="F10" s="55" t="s">
        <v>12</v>
      </c>
      <c r="G10" s="57" t="s">
        <v>13</v>
      </c>
      <c r="H10" s="55" t="s">
        <v>14</v>
      </c>
      <c r="I10" s="58" t="s">
        <v>15</v>
      </c>
      <c r="J10" s="59" t="s">
        <v>16</v>
      </c>
      <c r="K10" s="60" t="s">
        <v>17</v>
      </c>
      <c r="L10" s="59" t="s">
        <v>18</v>
      </c>
      <c r="M10" s="59" t="s">
        <v>19</v>
      </c>
      <c r="N10" s="59" t="s">
        <v>20</v>
      </c>
      <c r="O10" s="55" t="s">
        <v>21</v>
      </c>
      <c r="P10" s="56" t="s">
        <v>22</v>
      </c>
      <c r="Q10" s="59" t="s">
        <v>23</v>
      </c>
      <c r="R10" s="55"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378</v>
      </c>
      <c r="B11" s="8" t="s">
        <v>991</v>
      </c>
      <c r="C11" s="9">
        <v>0.63541666666666663</v>
      </c>
      <c r="D11" s="8" t="s">
        <v>380</v>
      </c>
      <c r="E11" s="8" t="s">
        <v>381</v>
      </c>
      <c r="F11" s="8" t="s">
        <v>951</v>
      </c>
      <c r="G11" s="284"/>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5" t="s">
        <v>378</v>
      </c>
      <c r="B12" s="15" t="s">
        <v>991</v>
      </c>
      <c r="C12" s="16">
        <v>0.63541666666666663</v>
      </c>
      <c r="D12" s="15" t="s">
        <v>33</v>
      </c>
      <c r="E12" s="15" t="s">
        <v>360</v>
      </c>
      <c r="F12" s="15" t="s">
        <v>992</v>
      </c>
      <c r="G12" s="285"/>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44" t="s">
        <v>333</v>
      </c>
      <c r="B13" s="44" t="s">
        <v>993</v>
      </c>
      <c r="C13" s="45">
        <v>0.90625</v>
      </c>
      <c r="D13" s="44" t="s">
        <v>37</v>
      </c>
      <c r="E13" s="44" t="s">
        <v>38</v>
      </c>
      <c r="F13" s="44" t="s">
        <v>839</v>
      </c>
      <c r="G13" s="285"/>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63" t="s">
        <v>35</v>
      </c>
      <c r="B14" s="63" t="s">
        <v>994</v>
      </c>
      <c r="C14" s="64">
        <v>0.86458333333333337</v>
      </c>
      <c r="D14" s="63" t="s">
        <v>37</v>
      </c>
      <c r="E14" s="63" t="s">
        <v>38</v>
      </c>
      <c r="F14" s="63" t="s">
        <v>995</v>
      </c>
      <c r="G14" s="286"/>
      <c r="H14" s="65" t="s">
        <v>996</v>
      </c>
      <c r="I14" s="245">
        <v>0.17860000000000001</v>
      </c>
      <c r="J14" s="67">
        <v>30</v>
      </c>
      <c r="K14" s="68">
        <v>45981</v>
      </c>
      <c r="L14" s="67">
        <v>8</v>
      </c>
      <c r="M14" s="67">
        <v>0</v>
      </c>
      <c r="N14" s="67">
        <v>0</v>
      </c>
      <c r="O14" s="69" t="s">
        <v>202</v>
      </c>
      <c r="P14" s="70">
        <v>0.86458333333333337</v>
      </c>
      <c r="Q14" s="67">
        <v>168</v>
      </c>
      <c r="R14" s="71" t="s">
        <v>997</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95"/>
      <c r="B15" s="296"/>
      <c r="C15" s="296"/>
      <c r="D15" s="296"/>
      <c r="E15" s="296"/>
      <c r="F15" s="296"/>
      <c r="G15" s="289"/>
      <c r="H15" s="297"/>
      <c r="I15" s="297"/>
      <c r="J15" s="297"/>
      <c r="K15" s="297"/>
      <c r="L15" s="297"/>
      <c r="M15" s="297"/>
      <c r="N15" s="297"/>
      <c r="O15" s="298"/>
      <c r="P15" s="297"/>
      <c r="Q15" s="289"/>
      <c r="R15" s="29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82" t="s">
        <v>5</v>
      </c>
      <c r="B16" s="283"/>
      <c r="C16" s="283"/>
      <c r="D16" s="283"/>
      <c r="E16" s="283"/>
      <c r="F16" s="283"/>
      <c r="G16" s="5">
        <v>45988</v>
      </c>
      <c r="H16" s="278" t="s">
        <v>6</v>
      </c>
      <c r="I16" s="279"/>
      <c r="J16" s="279"/>
      <c r="K16" s="279"/>
      <c r="L16" s="279"/>
      <c r="M16" s="279"/>
      <c r="N16" s="279"/>
      <c r="O16" s="279"/>
      <c r="P16" s="279"/>
      <c r="Q16" s="279"/>
      <c r="R16" s="27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55" t="s">
        <v>7</v>
      </c>
      <c r="B17" s="55" t="s">
        <v>8</v>
      </c>
      <c r="C17" s="56" t="s">
        <v>9</v>
      </c>
      <c r="D17" s="55" t="s">
        <v>10</v>
      </c>
      <c r="E17" s="55" t="s">
        <v>11</v>
      </c>
      <c r="F17" s="55" t="s">
        <v>12</v>
      </c>
      <c r="G17" s="57" t="s">
        <v>13</v>
      </c>
      <c r="H17" s="55" t="s">
        <v>14</v>
      </c>
      <c r="I17" s="58" t="s">
        <v>15</v>
      </c>
      <c r="J17" s="59" t="s">
        <v>16</v>
      </c>
      <c r="K17" s="60" t="s">
        <v>17</v>
      </c>
      <c r="L17" s="59" t="s">
        <v>18</v>
      </c>
      <c r="M17" s="59" t="s">
        <v>19</v>
      </c>
      <c r="N17" s="59" t="s">
        <v>20</v>
      </c>
      <c r="O17" s="55" t="s">
        <v>21</v>
      </c>
      <c r="P17" s="56" t="s">
        <v>22</v>
      </c>
      <c r="Q17" s="59" t="s">
        <v>23</v>
      </c>
      <c r="R17" s="55"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8" t="s">
        <v>304</v>
      </c>
      <c r="B18" s="8" t="s">
        <v>988</v>
      </c>
      <c r="C18" s="9">
        <v>0.95486111111111116</v>
      </c>
      <c r="D18" s="8" t="s">
        <v>37</v>
      </c>
      <c r="E18" s="8" t="s">
        <v>108</v>
      </c>
      <c r="F18" s="8" t="s">
        <v>998</v>
      </c>
      <c r="G18" s="284"/>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44" t="s">
        <v>66</v>
      </c>
      <c r="B19" s="44" t="s">
        <v>989</v>
      </c>
      <c r="C19" s="45">
        <v>0.12847222222222221</v>
      </c>
      <c r="D19" s="44" t="s">
        <v>94</v>
      </c>
      <c r="E19" s="44" t="s">
        <v>28</v>
      </c>
      <c r="F19" s="44" t="s">
        <v>999</v>
      </c>
      <c r="G19" s="285"/>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44" t="s">
        <v>333</v>
      </c>
      <c r="B20" s="44" t="s">
        <v>1000</v>
      </c>
      <c r="C20" s="45">
        <v>0.90625</v>
      </c>
      <c r="D20" s="44" t="s">
        <v>37</v>
      </c>
      <c r="E20" s="44" t="s">
        <v>122</v>
      </c>
      <c r="F20" s="44" t="s">
        <v>839</v>
      </c>
      <c r="G20" s="285"/>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46" t="s">
        <v>35</v>
      </c>
      <c r="B21" s="246" t="s">
        <v>994</v>
      </c>
      <c r="C21" s="247">
        <v>0.86458333333333337</v>
      </c>
      <c r="D21" s="246" t="s">
        <v>37</v>
      </c>
      <c r="E21" s="246" t="s">
        <v>122</v>
      </c>
      <c r="F21" s="246" t="s">
        <v>307</v>
      </c>
      <c r="G21" s="286"/>
      <c r="H21" s="248" t="s">
        <v>996</v>
      </c>
      <c r="I21" s="249">
        <v>0.35120000000000001</v>
      </c>
      <c r="J21" s="250">
        <v>59</v>
      </c>
      <c r="K21" s="251">
        <v>45984</v>
      </c>
      <c r="L21" s="250">
        <v>19</v>
      </c>
      <c r="M21" s="250">
        <v>0</v>
      </c>
      <c r="N21" s="250">
        <v>7</v>
      </c>
      <c r="O21" s="252" t="s">
        <v>440</v>
      </c>
      <c r="P21" s="253">
        <v>0.86458333333333337</v>
      </c>
      <c r="Q21" s="250">
        <v>168</v>
      </c>
      <c r="R21" s="254" t="s">
        <v>1001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8"/>
      <c r="B22" s="289"/>
      <c r="C22" s="289"/>
      <c r="D22" s="289"/>
      <c r="E22" s="289"/>
      <c r="F22" s="289"/>
      <c r="G22" s="289"/>
      <c r="H22" s="289"/>
      <c r="I22" s="289"/>
      <c r="J22" s="289"/>
      <c r="K22" s="289"/>
      <c r="L22" s="289"/>
      <c r="M22" s="289"/>
      <c r="N22" s="289"/>
      <c r="O22" s="289"/>
      <c r="P22" s="289"/>
      <c r="Q22" s="289"/>
      <c r="R22" s="29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82" t="s">
        <v>5</v>
      </c>
      <c r="B23" s="283"/>
      <c r="C23" s="283"/>
      <c r="D23" s="283"/>
      <c r="E23" s="283"/>
      <c r="F23" s="283"/>
      <c r="G23" s="5">
        <v>45989</v>
      </c>
      <c r="H23" s="278" t="s">
        <v>6</v>
      </c>
      <c r="I23" s="279"/>
      <c r="J23" s="279"/>
      <c r="K23" s="279"/>
      <c r="L23" s="279"/>
      <c r="M23" s="279"/>
      <c r="N23" s="279"/>
      <c r="O23" s="279"/>
      <c r="P23" s="279"/>
      <c r="Q23" s="279"/>
      <c r="R23" s="27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55" t="s">
        <v>7</v>
      </c>
      <c r="B24" s="55" t="s">
        <v>8</v>
      </c>
      <c r="C24" s="56" t="s">
        <v>9</v>
      </c>
      <c r="D24" s="55" t="s">
        <v>10</v>
      </c>
      <c r="E24" s="55" t="s">
        <v>11</v>
      </c>
      <c r="F24" s="55" t="s">
        <v>12</v>
      </c>
      <c r="G24" s="57" t="s">
        <v>13</v>
      </c>
      <c r="H24" s="55" t="s">
        <v>14</v>
      </c>
      <c r="I24" s="58" t="s">
        <v>15</v>
      </c>
      <c r="J24" s="59" t="s">
        <v>16</v>
      </c>
      <c r="K24" s="60" t="s">
        <v>17</v>
      </c>
      <c r="L24" s="59" t="s">
        <v>18</v>
      </c>
      <c r="M24" s="59" t="s">
        <v>19</v>
      </c>
      <c r="N24" s="59" t="s">
        <v>20</v>
      </c>
      <c r="O24" s="55" t="s">
        <v>21</v>
      </c>
      <c r="P24" s="56" t="s">
        <v>22</v>
      </c>
      <c r="Q24" s="59" t="s">
        <v>23</v>
      </c>
      <c r="R24" s="55"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8" t="s">
        <v>66</v>
      </c>
      <c r="B25" s="8" t="s">
        <v>989</v>
      </c>
      <c r="C25" s="9">
        <v>0.12847222222222221</v>
      </c>
      <c r="D25" s="8" t="s">
        <v>94</v>
      </c>
      <c r="E25" s="8" t="s">
        <v>38</v>
      </c>
      <c r="F25" s="8" t="s">
        <v>999</v>
      </c>
      <c r="G25" s="284"/>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44" t="s">
        <v>333</v>
      </c>
      <c r="B26" s="44" t="s">
        <v>993</v>
      </c>
      <c r="C26" s="45">
        <v>0.90625</v>
      </c>
      <c r="D26" s="44" t="s">
        <v>37</v>
      </c>
      <c r="E26" s="44" t="s">
        <v>80</v>
      </c>
      <c r="F26" s="44" t="s">
        <v>839</v>
      </c>
      <c r="G26" s="285"/>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44" t="s">
        <v>378</v>
      </c>
      <c r="B27" s="44" t="s">
        <v>991</v>
      </c>
      <c r="C27" s="45">
        <v>0.63541666666666663</v>
      </c>
      <c r="D27" s="44" t="s">
        <v>380</v>
      </c>
      <c r="E27" s="44" t="s">
        <v>381</v>
      </c>
      <c r="F27" s="44" t="s">
        <v>1002</v>
      </c>
      <c r="G27" s="285"/>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48" t="s">
        <v>378</v>
      </c>
      <c r="B28" s="48" t="s">
        <v>991</v>
      </c>
      <c r="C28" s="49">
        <v>0.63541666666666663</v>
      </c>
      <c r="D28" s="48" t="s">
        <v>33</v>
      </c>
      <c r="E28" s="48" t="s">
        <v>360</v>
      </c>
      <c r="F28" s="48" t="s">
        <v>1003</v>
      </c>
      <c r="G28" s="286"/>
      <c r="H28" s="50"/>
      <c r="I28" s="51"/>
      <c r="J28" s="51"/>
      <c r="K28" s="51"/>
      <c r="L28" s="51"/>
      <c r="M28" s="51"/>
      <c r="N28" s="51"/>
      <c r="O28" s="52"/>
      <c r="P28" s="51"/>
      <c r="Q28" s="53"/>
      <c r="R28" s="5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88"/>
      <c r="B29" s="289"/>
      <c r="C29" s="289"/>
      <c r="D29" s="289"/>
      <c r="E29" s="289"/>
      <c r="F29" s="289"/>
      <c r="G29" s="289"/>
      <c r="H29" s="289"/>
      <c r="I29" s="289"/>
      <c r="J29" s="289"/>
      <c r="K29" s="289"/>
      <c r="L29" s="289"/>
      <c r="M29" s="289"/>
      <c r="N29" s="289"/>
      <c r="O29" s="289"/>
      <c r="P29" s="289"/>
      <c r="Q29" s="289"/>
      <c r="R29" s="29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82" t="s">
        <v>5</v>
      </c>
      <c r="B30" s="283"/>
      <c r="C30" s="283"/>
      <c r="D30" s="283"/>
      <c r="E30" s="283"/>
      <c r="F30" s="283"/>
      <c r="G30" s="5">
        <v>45990</v>
      </c>
      <c r="H30" s="278" t="s">
        <v>6</v>
      </c>
      <c r="I30" s="279"/>
      <c r="J30" s="279"/>
      <c r="K30" s="279"/>
      <c r="L30" s="279"/>
      <c r="M30" s="279"/>
      <c r="N30" s="279"/>
      <c r="O30" s="279"/>
      <c r="P30" s="279"/>
      <c r="Q30" s="279"/>
      <c r="R30" s="27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55" t="s">
        <v>7</v>
      </c>
      <c r="B31" s="55" t="s">
        <v>8</v>
      </c>
      <c r="C31" s="56" t="s">
        <v>9</v>
      </c>
      <c r="D31" s="55" t="s">
        <v>10</v>
      </c>
      <c r="E31" s="55" t="s">
        <v>11</v>
      </c>
      <c r="F31" s="55" t="s">
        <v>12</v>
      </c>
      <c r="G31" s="57" t="s">
        <v>13</v>
      </c>
      <c r="H31" s="55" t="s">
        <v>14</v>
      </c>
      <c r="I31" s="58" t="s">
        <v>15</v>
      </c>
      <c r="J31" s="59" t="s">
        <v>16</v>
      </c>
      <c r="K31" s="60" t="s">
        <v>17</v>
      </c>
      <c r="L31" s="59" t="s">
        <v>18</v>
      </c>
      <c r="M31" s="59" t="s">
        <v>19</v>
      </c>
      <c r="N31" s="59" t="s">
        <v>20</v>
      </c>
      <c r="O31" s="55" t="s">
        <v>21</v>
      </c>
      <c r="P31" s="56" t="s">
        <v>22</v>
      </c>
      <c r="Q31" s="59" t="s">
        <v>23</v>
      </c>
      <c r="R31" s="55"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8" t="s">
        <v>304</v>
      </c>
      <c r="B32" s="8" t="s">
        <v>988</v>
      </c>
      <c r="C32" s="9">
        <v>0.1701388888888889</v>
      </c>
      <c r="D32" s="8" t="s">
        <v>37</v>
      </c>
      <c r="E32" s="8" t="s">
        <v>135</v>
      </c>
      <c r="F32" s="8" t="s">
        <v>998</v>
      </c>
      <c r="G32" s="284"/>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44" t="s">
        <v>66</v>
      </c>
      <c r="B33" s="44" t="s">
        <v>989</v>
      </c>
      <c r="C33" s="45">
        <v>0.12847222222222221</v>
      </c>
      <c r="D33" s="44" t="s">
        <v>94</v>
      </c>
      <c r="E33" s="44" t="s">
        <v>38</v>
      </c>
      <c r="F33" s="44" t="s">
        <v>999</v>
      </c>
      <c r="G33" s="285"/>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44" t="s">
        <v>333</v>
      </c>
      <c r="B34" s="44" t="s">
        <v>1000</v>
      </c>
      <c r="C34" s="45">
        <v>0.90625</v>
      </c>
      <c r="D34" s="44" t="s">
        <v>37</v>
      </c>
      <c r="E34" s="44" t="s">
        <v>108</v>
      </c>
      <c r="F34" s="44" t="s">
        <v>839</v>
      </c>
      <c r="G34" s="285"/>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63" t="s">
        <v>35</v>
      </c>
      <c r="B35" s="63" t="s">
        <v>994</v>
      </c>
      <c r="C35" s="64">
        <v>0.98958333333333337</v>
      </c>
      <c r="D35" s="63" t="s">
        <v>37</v>
      </c>
      <c r="E35" s="63" t="s">
        <v>38</v>
      </c>
      <c r="F35" s="63" t="s">
        <v>307</v>
      </c>
      <c r="G35" s="286"/>
      <c r="H35" s="65" t="s">
        <v>996</v>
      </c>
      <c r="I35" s="245">
        <v>0.16669999999999999</v>
      </c>
      <c r="J35" s="67">
        <v>28</v>
      </c>
      <c r="K35" s="68">
        <v>45982</v>
      </c>
      <c r="L35" s="67">
        <v>11</v>
      </c>
      <c r="M35" s="67">
        <v>0</v>
      </c>
      <c r="N35" s="67">
        <v>0</v>
      </c>
      <c r="O35" s="69" t="s">
        <v>202</v>
      </c>
      <c r="P35" s="70">
        <v>0.98958333333333337</v>
      </c>
      <c r="Q35" s="67">
        <v>168</v>
      </c>
      <c r="R35" s="71" t="s">
        <v>1004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95"/>
      <c r="B36" s="296"/>
      <c r="C36" s="296"/>
      <c r="D36" s="296"/>
      <c r="E36" s="296"/>
      <c r="F36" s="296"/>
      <c r="G36" s="289"/>
      <c r="H36" s="297"/>
      <c r="I36" s="297"/>
      <c r="J36" s="297"/>
      <c r="K36" s="297"/>
      <c r="L36" s="297"/>
      <c r="M36" s="297"/>
      <c r="N36" s="297"/>
      <c r="O36" s="298"/>
      <c r="P36" s="297"/>
      <c r="Q36" s="289"/>
      <c r="R36" s="29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82" t="s">
        <v>5</v>
      </c>
      <c r="B37" s="283"/>
      <c r="C37" s="283"/>
      <c r="D37" s="283"/>
      <c r="E37" s="283"/>
      <c r="F37" s="283"/>
      <c r="G37" s="5">
        <v>45991</v>
      </c>
      <c r="H37" s="278" t="s">
        <v>6</v>
      </c>
      <c r="I37" s="279"/>
      <c r="J37" s="279"/>
      <c r="K37" s="279"/>
      <c r="L37" s="279"/>
      <c r="M37" s="279"/>
      <c r="N37" s="279"/>
      <c r="O37" s="279"/>
      <c r="P37" s="279"/>
      <c r="Q37" s="279"/>
      <c r="R37" s="27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55" t="s">
        <v>7</v>
      </c>
      <c r="B38" s="55" t="s">
        <v>8</v>
      </c>
      <c r="C38" s="56" t="s">
        <v>9</v>
      </c>
      <c r="D38" s="55" t="s">
        <v>10</v>
      </c>
      <c r="E38" s="55" t="s">
        <v>11</v>
      </c>
      <c r="F38" s="55" t="s">
        <v>12</v>
      </c>
      <c r="G38" s="57" t="s">
        <v>13</v>
      </c>
      <c r="H38" s="55" t="s">
        <v>14</v>
      </c>
      <c r="I38" s="58" t="s">
        <v>15</v>
      </c>
      <c r="J38" s="59" t="s">
        <v>16</v>
      </c>
      <c r="K38" s="60" t="s">
        <v>17</v>
      </c>
      <c r="L38" s="59" t="s">
        <v>18</v>
      </c>
      <c r="M38" s="59" t="s">
        <v>19</v>
      </c>
      <c r="N38" s="59" t="s">
        <v>20</v>
      </c>
      <c r="O38" s="55" t="s">
        <v>21</v>
      </c>
      <c r="P38" s="56" t="s">
        <v>22</v>
      </c>
      <c r="Q38" s="59" t="s">
        <v>23</v>
      </c>
      <c r="R38" s="55"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8" t="s">
        <v>304</v>
      </c>
      <c r="B39" s="8" t="s">
        <v>988</v>
      </c>
      <c r="C39" s="9">
        <v>0.86458333333333337</v>
      </c>
      <c r="D39" s="8" t="s">
        <v>37</v>
      </c>
      <c r="E39" s="8" t="s">
        <v>124</v>
      </c>
      <c r="F39" s="8" t="s">
        <v>998</v>
      </c>
      <c r="G39" s="284"/>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44" t="s">
        <v>378</v>
      </c>
      <c r="B40" s="44" t="s">
        <v>991</v>
      </c>
      <c r="C40" s="45">
        <v>0.67708333333333337</v>
      </c>
      <c r="D40" s="44" t="s">
        <v>380</v>
      </c>
      <c r="E40" s="44" t="s">
        <v>381</v>
      </c>
      <c r="F40" s="44" t="s">
        <v>1005</v>
      </c>
      <c r="G40" s="285"/>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15" t="s">
        <v>378</v>
      </c>
      <c r="B41" s="15" t="s">
        <v>991</v>
      </c>
      <c r="C41" s="16">
        <v>0.67708333333333337</v>
      </c>
      <c r="D41" s="15" t="s">
        <v>33</v>
      </c>
      <c r="E41" s="15" t="s">
        <v>360</v>
      </c>
      <c r="F41" s="15" t="s">
        <v>1006</v>
      </c>
      <c r="G41" s="28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243" t="s">
        <v>333</v>
      </c>
      <c r="B42" s="243" t="s">
        <v>1007</v>
      </c>
      <c r="C42" s="244">
        <v>0.90625</v>
      </c>
      <c r="D42" s="243" t="s">
        <v>37</v>
      </c>
      <c r="E42" s="243" t="s">
        <v>38</v>
      </c>
      <c r="F42" s="243" t="s">
        <v>839</v>
      </c>
      <c r="G42" s="286"/>
      <c r="H42" s="50"/>
      <c r="I42" s="51"/>
      <c r="J42" s="51"/>
      <c r="K42" s="51"/>
      <c r="L42" s="51"/>
      <c r="M42" s="51"/>
      <c r="N42" s="51"/>
      <c r="O42" s="52"/>
      <c r="P42" s="51"/>
      <c r="Q42" s="53"/>
      <c r="R42" s="5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288"/>
      <c r="B43" s="289"/>
      <c r="C43" s="289"/>
      <c r="D43" s="289"/>
      <c r="E43" s="289"/>
      <c r="F43" s="289"/>
      <c r="G43" s="289"/>
      <c r="H43" s="289"/>
      <c r="I43" s="289"/>
      <c r="J43" s="289"/>
      <c r="K43" s="289"/>
      <c r="L43" s="289"/>
      <c r="M43" s="289"/>
      <c r="N43" s="289"/>
      <c r="O43" s="289"/>
      <c r="P43" s="289"/>
      <c r="Q43" s="289"/>
      <c r="R43" s="29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sheetData>
  <mergeCells count="33">
    <mergeCell ref="A43:R43"/>
    <mergeCell ref="H16:R16"/>
    <mergeCell ref="A9:F9"/>
    <mergeCell ref="K2:R2"/>
    <mergeCell ref="A30:F30"/>
    <mergeCell ref="H37:R37"/>
    <mergeCell ref="G25:G28"/>
    <mergeCell ref="G32:G35"/>
    <mergeCell ref="A15:R15"/>
    <mergeCell ref="A36:R36"/>
    <mergeCell ref="G11:G14"/>
    <mergeCell ref="G39:G42"/>
    <mergeCell ref="H4:R4"/>
    <mergeCell ref="A2:F2"/>
    <mergeCell ref="A3:R3"/>
    <mergeCell ref="H9:R9"/>
    <mergeCell ref="G18:G21"/>
    <mergeCell ref="A23:F23"/>
    <mergeCell ref="G6:G7"/>
    <mergeCell ref="G2:J2"/>
    <mergeCell ref="A4:F4"/>
    <mergeCell ref="A8:R8"/>
    <mergeCell ref="A22:R22"/>
    <mergeCell ref="A29:R29"/>
    <mergeCell ref="H23:R23"/>
    <mergeCell ref="A16:F16"/>
    <mergeCell ref="H30:R30"/>
    <mergeCell ref="O1:Q1"/>
    <mergeCell ref="A37:F37"/>
    <mergeCell ref="J1:M1"/>
    <mergeCell ref="D1:F1"/>
    <mergeCell ref="A1:C1"/>
    <mergeCell ref="G1:H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273</v>
      </c>
      <c r="B2" s="93">
        <v>45987</v>
      </c>
      <c r="C2" s="94" t="s">
        <v>996</v>
      </c>
      <c r="D2" s="95">
        <v>0.86458333333333337</v>
      </c>
      <c r="E2" s="94" t="s">
        <v>987</v>
      </c>
      <c r="F2" s="94" t="s">
        <v>174</v>
      </c>
      <c r="G2" s="96">
        <v>0.17860000000000001</v>
      </c>
      <c r="H2" s="97">
        <v>168</v>
      </c>
      <c r="I2" s="97">
        <v>30</v>
      </c>
      <c r="J2" s="97">
        <v>0</v>
      </c>
      <c r="K2" s="93">
        <v>45981</v>
      </c>
      <c r="L2" s="97">
        <v>0</v>
      </c>
      <c r="M2" s="97">
        <v>0</v>
      </c>
      <c r="N2" s="97">
        <v>8</v>
      </c>
      <c r="O2" s="94" t="s">
        <v>202</v>
      </c>
      <c r="P2" s="98"/>
      <c r="Q2" s="98"/>
      <c r="R2" s="98"/>
      <c r="S2" s="98"/>
      <c r="T2" s="98"/>
      <c r="U2" s="98"/>
      <c r="V2" s="98"/>
      <c r="W2" s="98"/>
      <c r="X2" s="97" t="s">
        <v>549</v>
      </c>
      <c r="Y2" s="98"/>
      <c r="Z2" s="98"/>
      <c r="AA2" s="98"/>
      <c r="AB2" s="98"/>
      <c r="AC2" s="98"/>
      <c r="AD2" s="97" t="s">
        <v>747</v>
      </c>
      <c r="AE2" s="97" t="s">
        <v>302</v>
      </c>
      <c r="AF2" s="98"/>
      <c r="AG2" s="98"/>
      <c r="AH2" s="98"/>
      <c r="AI2" s="98"/>
    </row>
    <row r="3" spans="1:35" ht="18" x14ac:dyDescent="0.3">
      <c r="A3" s="99" t="s">
        <v>197</v>
      </c>
      <c r="B3" s="100">
        <v>45988</v>
      </c>
      <c r="C3" s="101" t="s">
        <v>996</v>
      </c>
      <c r="D3" s="102">
        <v>0.86458333333333337</v>
      </c>
      <c r="E3" s="101" t="s">
        <v>987</v>
      </c>
      <c r="F3" s="101" t="s">
        <v>174</v>
      </c>
      <c r="G3" s="103">
        <v>0.35120000000000001</v>
      </c>
      <c r="H3" s="104">
        <v>168</v>
      </c>
      <c r="I3" s="104">
        <v>59</v>
      </c>
      <c r="J3" s="104">
        <v>0</v>
      </c>
      <c r="K3" s="100">
        <v>45984</v>
      </c>
      <c r="L3" s="104">
        <v>0</v>
      </c>
      <c r="M3" s="104">
        <v>7</v>
      </c>
      <c r="N3" s="104">
        <v>19</v>
      </c>
      <c r="O3" s="101" t="s">
        <v>440</v>
      </c>
      <c r="P3" s="105"/>
      <c r="Q3" s="105"/>
      <c r="R3" s="105"/>
      <c r="S3" s="105"/>
      <c r="T3" s="105"/>
      <c r="U3" s="105"/>
      <c r="V3" s="105"/>
      <c r="W3" s="105"/>
      <c r="X3" s="105"/>
      <c r="Y3" s="105"/>
      <c r="Z3" s="105"/>
      <c r="AA3" s="105"/>
      <c r="AB3" s="104" t="s">
        <v>491</v>
      </c>
      <c r="AC3" s="104" t="s">
        <v>538</v>
      </c>
      <c r="AD3" s="104" t="s">
        <v>1008</v>
      </c>
      <c r="AE3" s="104" t="s">
        <v>302</v>
      </c>
      <c r="AF3" s="105"/>
      <c r="AG3" s="105"/>
      <c r="AH3" s="105"/>
      <c r="AI3" s="105"/>
    </row>
    <row r="4" spans="1:35" ht="18" x14ac:dyDescent="0.3">
      <c r="A4" s="92" t="s">
        <v>205</v>
      </c>
      <c r="B4" s="93">
        <v>45990</v>
      </c>
      <c r="C4" s="94" t="s">
        <v>996</v>
      </c>
      <c r="D4" s="95">
        <v>0.98958333333333337</v>
      </c>
      <c r="E4" s="94" t="s">
        <v>987</v>
      </c>
      <c r="F4" s="94" t="s">
        <v>174</v>
      </c>
      <c r="G4" s="96">
        <v>0.16669999999999999</v>
      </c>
      <c r="H4" s="97">
        <v>168</v>
      </c>
      <c r="I4" s="97">
        <v>28</v>
      </c>
      <c r="J4" s="97">
        <v>0</v>
      </c>
      <c r="K4" s="93">
        <v>45982</v>
      </c>
      <c r="L4" s="97">
        <v>0</v>
      </c>
      <c r="M4" s="97">
        <v>0</v>
      </c>
      <c r="N4" s="97">
        <v>11</v>
      </c>
      <c r="O4" s="94" t="s">
        <v>202</v>
      </c>
      <c r="P4" s="98"/>
      <c r="Q4" s="98"/>
      <c r="R4" s="98"/>
      <c r="S4" s="98"/>
      <c r="T4" s="98"/>
      <c r="U4" s="98"/>
      <c r="V4" s="98"/>
      <c r="W4" s="98"/>
      <c r="X4" s="98"/>
      <c r="Y4" s="98"/>
      <c r="Z4" s="98"/>
      <c r="AA4" s="98"/>
      <c r="AB4" s="98"/>
      <c r="AC4" s="98"/>
      <c r="AD4" s="97" t="s">
        <v>568</v>
      </c>
      <c r="AE4" s="97" t="s">
        <v>503</v>
      </c>
      <c r="AF4" s="98"/>
      <c r="AG4" s="98"/>
      <c r="AH4" s="98"/>
      <c r="AI4" s="98"/>
    </row>
    <row r="5" spans="1:35" ht="18" x14ac:dyDescent="0.3">
      <c r="A5" s="106" t="s">
        <v>219</v>
      </c>
      <c r="B5" s="107"/>
      <c r="C5" s="108">
        <f>COUNTA(C2:C4)</f>
        <v>3</v>
      </c>
      <c r="D5" s="107"/>
      <c r="E5" s="107"/>
      <c r="F5" s="107"/>
      <c r="G5" s="109">
        <f>AVERAGE(G2:G4)</f>
        <v>0.23216666666666666</v>
      </c>
      <c r="H5" s="110">
        <f>SUM(H2:H4)</f>
        <v>504</v>
      </c>
      <c r="I5" s="110">
        <f>SUM(I2:I4)</f>
        <v>117</v>
      </c>
      <c r="J5" s="110">
        <f>SUM(J2:J4)</f>
        <v>0</v>
      </c>
      <c r="K5" s="107"/>
      <c r="L5" s="110">
        <f>SUM(L2:L4)</f>
        <v>0</v>
      </c>
      <c r="M5" s="110">
        <f>SUM(M2:M4)</f>
        <v>7</v>
      </c>
      <c r="N5" s="110">
        <f>SUM(N2:N4)</f>
        <v>38</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23"/>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304</v>
      </c>
      <c r="C2" s="114" t="s">
        <v>988</v>
      </c>
      <c r="D2" s="113" t="s">
        <v>987</v>
      </c>
      <c r="E2" s="115">
        <v>1.930555555555556</v>
      </c>
      <c r="F2" s="113" t="s">
        <v>37</v>
      </c>
      <c r="G2" s="116">
        <v>9</v>
      </c>
      <c r="H2" s="117">
        <v>355</v>
      </c>
    </row>
    <row r="3" spans="1:8" ht="18" x14ac:dyDescent="0.3">
      <c r="A3" s="194">
        <v>45986</v>
      </c>
      <c r="B3" s="195" t="s">
        <v>66</v>
      </c>
      <c r="C3" s="196" t="s">
        <v>989</v>
      </c>
      <c r="D3" s="195" t="s">
        <v>987</v>
      </c>
      <c r="E3" s="197">
        <v>1.1284722222222221</v>
      </c>
      <c r="F3" s="195" t="s">
        <v>68</v>
      </c>
      <c r="G3" s="198">
        <v>9</v>
      </c>
      <c r="H3" s="223">
        <v>404</v>
      </c>
    </row>
    <row r="4" spans="1:8" ht="18" x14ac:dyDescent="0.3">
      <c r="A4" s="112">
        <v>45987</v>
      </c>
      <c r="B4" s="113" t="s">
        <v>378</v>
      </c>
      <c r="C4" s="114" t="s">
        <v>991</v>
      </c>
      <c r="D4" s="113" t="s">
        <v>987</v>
      </c>
      <c r="E4" s="115">
        <v>1.635416666666667</v>
      </c>
      <c r="F4" s="113" t="s">
        <v>380</v>
      </c>
      <c r="G4" s="116">
        <v>9</v>
      </c>
      <c r="H4" s="117">
        <v>349</v>
      </c>
    </row>
    <row r="5" spans="1:8" ht="18" x14ac:dyDescent="0.3">
      <c r="A5" s="118">
        <v>45987</v>
      </c>
      <c r="B5" s="119" t="s">
        <v>378</v>
      </c>
      <c r="C5" s="120" t="s">
        <v>991</v>
      </c>
      <c r="D5" s="119" t="s">
        <v>987</v>
      </c>
      <c r="E5" s="121">
        <v>1.635416666666667</v>
      </c>
      <c r="F5" s="119" t="s">
        <v>33</v>
      </c>
      <c r="G5" s="122">
        <v>9</v>
      </c>
      <c r="H5" s="123">
        <v>472</v>
      </c>
    </row>
    <row r="6" spans="1:8" ht="18" x14ac:dyDescent="0.3">
      <c r="A6" s="136">
        <v>45987</v>
      </c>
      <c r="B6" s="113" t="s">
        <v>333</v>
      </c>
      <c r="C6" s="114" t="s">
        <v>993</v>
      </c>
      <c r="D6" s="113" t="s">
        <v>987</v>
      </c>
      <c r="E6" s="115">
        <v>1.90625</v>
      </c>
      <c r="F6" s="113" t="s">
        <v>37</v>
      </c>
      <c r="G6" s="116">
        <v>9</v>
      </c>
      <c r="H6" s="137">
        <v>355</v>
      </c>
    </row>
    <row r="7" spans="1:8" ht="18" x14ac:dyDescent="0.3">
      <c r="A7" s="154">
        <v>45987</v>
      </c>
      <c r="B7" s="155" t="s">
        <v>35</v>
      </c>
      <c r="C7" s="156" t="s">
        <v>994</v>
      </c>
      <c r="D7" s="155" t="s">
        <v>987</v>
      </c>
      <c r="E7" s="157">
        <v>1.864583333333333</v>
      </c>
      <c r="F7" s="155" t="s">
        <v>37</v>
      </c>
      <c r="G7" s="158">
        <v>9</v>
      </c>
      <c r="H7" s="242">
        <v>385</v>
      </c>
    </row>
    <row r="8" spans="1:8" ht="18" x14ac:dyDescent="0.3">
      <c r="A8" s="112">
        <v>45988</v>
      </c>
      <c r="B8" s="113" t="s">
        <v>304</v>
      </c>
      <c r="C8" s="114" t="s">
        <v>988</v>
      </c>
      <c r="D8" s="113" t="s">
        <v>987</v>
      </c>
      <c r="E8" s="115">
        <v>1.9548611111111109</v>
      </c>
      <c r="F8" s="113" t="s">
        <v>37</v>
      </c>
      <c r="G8" s="116">
        <v>1</v>
      </c>
      <c r="H8" s="117">
        <v>320</v>
      </c>
    </row>
    <row r="9" spans="1:8" ht="18" x14ac:dyDescent="0.3">
      <c r="A9" s="136">
        <v>45988</v>
      </c>
      <c r="B9" s="113" t="s">
        <v>66</v>
      </c>
      <c r="C9" s="114" t="s">
        <v>989</v>
      </c>
      <c r="D9" s="113" t="s">
        <v>987</v>
      </c>
      <c r="E9" s="115">
        <v>1.1284722222222221</v>
      </c>
      <c r="F9" s="113" t="s">
        <v>94</v>
      </c>
      <c r="G9" s="116">
        <v>7</v>
      </c>
      <c r="H9" s="137">
        <v>344</v>
      </c>
    </row>
    <row r="10" spans="1:8" ht="18" x14ac:dyDescent="0.3">
      <c r="A10" s="136">
        <v>45988</v>
      </c>
      <c r="B10" s="113" t="s">
        <v>333</v>
      </c>
      <c r="C10" s="114" t="s">
        <v>1000</v>
      </c>
      <c r="D10" s="113" t="s">
        <v>987</v>
      </c>
      <c r="E10" s="115">
        <v>1.90625</v>
      </c>
      <c r="F10" s="113" t="s">
        <v>37</v>
      </c>
      <c r="G10" s="116">
        <v>5</v>
      </c>
      <c r="H10" s="137">
        <v>355</v>
      </c>
    </row>
    <row r="11" spans="1:8" ht="18" x14ac:dyDescent="0.3">
      <c r="A11" s="154">
        <v>45988</v>
      </c>
      <c r="B11" s="155" t="s">
        <v>35</v>
      </c>
      <c r="C11" s="156" t="s">
        <v>994</v>
      </c>
      <c r="D11" s="155" t="s">
        <v>987</v>
      </c>
      <c r="E11" s="157">
        <v>1.864583333333333</v>
      </c>
      <c r="F11" s="155" t="s">
        <v>37</v>
      </c>
      <c r="G11" s="158">
        <v>5</v>
      </c>
      <c r="H11" s="242">
        <v>400</v>
      </c>
    </row>
    <row r="12" spans="1:8" ht="18" x14ac:dyDescent="0.3">
      <c r="A12" s="112">
        <v>45989</v>
      </c>
      <c r="B12" s="113" t="s">
        <v>66</v>
      </c>
      <c r="C12" s="114" t="s">
        <v>989</v>
      </c>
      <c r="D12" s="113" t="s">
        <v>987</v>
      </c>
      <c r="E12" s="115">
        <v>1.1284722222222221</v>
      </c>
      <c r="F12" s="113" t="s">
        <v>94</v>
      </c>
      <c r="G12" s="116">
        <v>9</v>
      </c>
      <c r="H12" s="117">
        <v>344</v>
      </c>
    </row>
    <row r="13" spans="1:8" ht="18" x14ac:dyDescent="0.3">
      <c r="A13" s="136">
        <v>45989</v>
      </c>
      <c r="B13" s="113" t="s">
        <v>333</v>
      </c>
      <c r="C13" s="114" t="s">
        <v>993</v>
      </c>
      <c r="D13" s="113" t="s">
        <v>987</v>
      </c>
      <c r="E13" s="115">
        <v>1.90625</v>
      </c>
      <c r="F13" s="113" t="s">
        <v>37</v>
      </c>
      <c r="G13" s="116">
        <v>4</v>
      </c>
      <c r="H13" s="137">
        <v>355</v>
      </c>
    </row>
    <row r="14" spans="1:8" ht="18" x14ac:dyDescent="0.3">
      <c r="A14" s="136">
        <v>45989</v>
      </c>
      <c r="B14" s="113" t="s">
        <v>378</v>
      </c>
      <c r="C14" s="114" t="s">
        <v>991</v>
      </c>
      <c r="D14" s="113" t="s">
        <v>987</v>
      </c>
      <c r="E14" s="115">
        <v>1.635416666666667</v>
      </c>
      <c r="F14" s="113" t="s">
        <v>380</v>
      </c>
      <c r="G14" s="116">
        <v>9</v>
      </c>
      <c r="H14" s="137">
        <v>381</v>
      </c>
    </row>
    <row r="15" spans="1:8" ht="18" x14ac:dyDescent="0.3">
      <c r="A15" s="144">
        <v>45989</v>
      </c>
      <c r="B15" s="145" t="s">
        <v>378</v>
      </c>
      <c r="C15" s="146" t="s">
        <v>991</v>
      </c>
      <c r="D15" s="145" t="s">
        <v>987</v>
      </c>
      <c r="E15" s="147">
        <v>1.635416666666667</v>
      </c>
      <c r="F15" s="145" t="s">
        <v>33</v>
      </c>
      <c r="G15" s="148">
        <v>9</v>
      </c>
      <c r="H15" s="192">
        <v>504</v>
      </c>
    </row>
    <row r="16" spans="1:8" ht="18" x14ac:dyDescent="0.3">
      <c r="A16" s="112">
        <v>45990</v>
      </c>
      <c r="B16" s="113" t="s">
        <v>304</v>
      </c>
      <c r="C16" s="114" t="s">
        <v>988</v>
      </c>
      <c r="D16" s="113" t="s">
        <v>987</v>
      </c>
      <c r="E16" s="115">
        <v>1.1701388888888891</v>
      </c>
      <c r="F16" s="113" t="s">
        <v>37</v>
      </c>
      <c r="G16" s="116">
        <v>3</v>
      </c>
      <c r="H16" s="117">
        <v>320</v>
      </c>
    </row>
    <row r="17" spans="1:8" ht="18" x14ac:dyDescent="0.3">
      <c r="A17" s="136">
        <v>45990</v>
      </c>
      <c r="B17" s="113" t="s">
        <v>66</v>
      </c>
      <c r="C17" s="114" t="s">
        <v>989</v>
      </c>
      <c r="D17" s="113" t="s">
        <v>987</v>
      </c>
      <c r="E17" s="115">
        <v>1.1284722222222221</v>
      </c>
      <c r="F17" s="113" t="s">
        <v>94</v>
      </c>
      <c r="G17" s="116">
        <v>9</v>
      </c>
      <c r="H17" s="137">
        <v>344</v>
      </c>
    </row>
    <row r="18" spans="1:8" ht="18" x14ac:dyDescent="0.3">
      <c r="A18" s="136">
        <v>45990</v>
      </c>
      <c r="B18" s="113" t="s">
        <v>333</v>
      </c>
      <c r="C18" s="114" t="s">
        <v>1000</v>
      </c>
      <c r="D18" s="113" t="s">
        <v>987</v>
      </c>
      <c r="E18" s="115">
        <v>1.90625</v>
      </c>
      <c r="F18" s="113" t="s">
        <v>37</v>
      </c>
      <c r="G18" s="116">
        <v>1</v>
      </c>
      <c r="H18" s="137">
        <v>355</v>
      </c>
    </row>
    <row r="19" spans="1:8" ht="18" x14ac:dyDescent="0.3">
      <c r="A19" s="154">
        <v>45990</v>
      </c>
      <c r="B19" s="155" t="s">
        <v>35</v>
      </c>
      <c r="C19" s="156" t="s">
        <v>994</v>
      </c>
      <c r="D19" s="155" t="s">
        <v>987</v>
      </c>
      <c r="E19" s="157">
        <v>1.989583333333333</v>
      </c>
      <c r="F19" s="155" t="s">
        <v>37</v>
      </c>
      <c r="G19" s="158">
        <v>9</v>
      </c>
      <c r="H19" s="242">
        <v>400</v>
      </c>
    </row>
    <row r="20" spans="1:8" ht="18" x14ac:dyDescent="0.3">
      <c r="A20" s="112">
        <v>45991</v>
      </c>
      <c r="B20" s="113" t="s">
        <v>304</v>
      </c>
      <c r="C20" s="114" t="s">
        <v>988</v>
      </c>
      <c r="D20" s="113" t="s">
        <v>987</v>
      </c>
      <c r="E20" s="115">
        <v>1.864583333333333</v>
      </c>
      <c r="F20" s="113" t="s">
        <v>37</v>
      </c>
      <c r="G20" s="116">
        <v>6</v>
      </c>
      <c r="H20" s="117">
        <v>320</v>
      </c>
    </row>
    <row r="21" spans="1:8" ht="18" x14ac:dyDescent="0.3">
      <c r="A21" s="136">
        <v>45991</v>
      </c>
      <c r="B21" s="113" t="s">
        <v>378</v>
      </c>
      <c r="C21" s="114" t="s">
        <v>991</v>
      </c>
      <c r="D21" s="113" t="s">
        <v>987</v>
      </c>
      <c r="E21" s="115">
        <v>1.677083333333333</v>
      </c>
      <c r="F21" s="113" t="s">
        <v>380</v>
      </c>
      <c r="G21" s="116">
        <v>9</v>
      </c>
      <c r="H21" s="137">
        <v>325</v>
      </c>
    </row>
    <row r="22" spans="1:8" ht="18" x14ac:dyDescent="0.3">
      <c r="A22" s="118">
        <v>45991</v>
      </c>
      <c r="B22" s="119" t="s">
        <v>378</v>
      </c>
      <c r="C22" s="120" t="s">
        <v>991</v>
      </c>
      <c r="D22" s="119" t="s">
        <v>987</v>
      </c>
      <c r="E22" s="121">
        <v>1.677083333333333</v>
      </c>
      <c r="F22" s="119" t="s">
        <v>33</v>
      </c>
      <c r="G22" s="122">
        <v>9</v>
      </c>
      <c r="H22" s="123">
        <v>448</v>
      </c>
    </row>
    <row r="23" spans="1:8" ht="18" x14ac:dyDescent="0.3">
      <c r="A23" s="194">
        <v>45991</v>
      </c>
      <c r="B23" s="195" t="s">
        <v>333</v>
      </c>
      <c r="C23" s="196" t="s">
        <v>1007</v>
      </c>
      <c r="D23" s="195" t="s">
        <v>987</v>
      </c>
      <c r="E23" s="197">
        <v>1.90625</v>
      </c>
      <c r="F23" s="195" t="s">
        <v>37</v>
      </c>
      <c r="G23" s="198">
        <v>9</v>
      </c>
      <c r="H23" s="223">
        <v>355</v>
      </c>
    </row>
  </sheetData>
  <dataValidations count="3">
    <dataValidation type="custom" allowBlank="1" showInputMessage="1" promptTitle="LOAD FACTOR ANALYSIS" prompt="SM-326_x000d__x000a_LF 17.9%_x000d__x000a_SOLD 30_x000d__x000a_LST-SOLD 20NOV_x000d__x000a_WEEKLY 8_x000d__x000a_TO-DAY NIL_x000d__x000a_Y-DAY NIL_x000d__x000a_LOWEST AVAIL O9_x000d__x000a_CAPACITY 168_x000d__x000a_CLASSES G1 &amp; O11 &amp; I18" sqref="A7 B7 C7 D7 E7 F7 G7 H7" xr:uid="{00000000-0002-0000-2D00-000000000000}">
      <formula1>TRUE</formula1>
    </dataValidation>
    <dataValidation type="custom" allowBlank="1" showInputMessage="1" promptTitle="LOAD FACTOR ANALYSIS" prompt="SM-326_x000d__x000a_LF 35.1%_x000d__x000a_SOLD 59_x000d__x000a_LST-SOLD 23NOV_x000d__x000a_WEEKLY 19_x000d__x000a_TO-DAY NIL_x000d__x000a_Y-DAY 7_x000d__x000a_LOWEST AVAIL O5_x000d__x000a_CAPACITY 168_x000d__x000a_CLASSES X1 &amp; U3 &amp; O37 &amp; +1 more" sqref="A11 B11 C11 D11 E11 F11 G11 H11" xr:uid="{00000000-0002-0000-2D00-000001000000}">
      <formula1>TRUE</formula1>
    </dataValidation>
    <dataValidation type="custom" allowBlank="1" showInputMessage="1" promptTitle="LOAD FACTOR ANALYSIS" prompt="SM-326_x000d__x000a_LF 16.7%_x000d__x000a_SOLD 28_x000d__x000a_LST-SOLD 21NOV_x000d__x000a_WEEKLY 11_x000d__x000a_TO-DAY NIL_x000d__x000a_Y-DAY NIL_x000d__x000a_LOWEST AVAIL O9_x000d__x000a_CAPACITY 168_x000d__x000a_CLASSES O13 &amp; I15" sqref="A19 B19 C19 D19 E19 F19 G19 H19" xr:uid="{00000000-0002-0000-2D00-000002000000}">
      <formula1>TRUE</formula1>
    </dataValidation>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1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7.88671875" bestFit="1" customWidth="1"/>
  </cols>
  <sheetData>
    <row r="1" spans="1:92" ht="28.8" customHeight="1" x14ac:dyDescent="0.3">
      <c r="A1" s="305" t="s">
        <v>0</v>
      </c>
      <c r="B1" s="281"/>
      <c r="C1" s="281"/>
      <c r="D1" s="305" t="s">
        <v>1009</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45985.360378750192</v>
      </c>
      <c r="H2" s="292"/>
      <c r="I2" s="292"/>
      <c r="J2" s="292"/>
      <c r="K2" s="303">
        <v>45985.360378750658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45989</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7" t="s">
        <v>35</v>
      </c>
      <c r="B6" s="17" t="s">
        <v>1010</v>
      </c>
      <c r="C6" s="18">
        <v>0.51736111111111105</v>
      </c>
      <c r="D6" s="17" t="s">
        <v>37</v>
      </c>
      <c r="E6" s="17" t="s">
        <v>28</v>
      </c>
      <c r="F6" s="17" t="s">
        <v>859</v>
      </c>
      <c r="G6" s="284"/>
      <c r="H6" s="19" t="s">
        <v>1011</v>
      </c>
      <c r="I6" s="217">
        <v>0.4405</v>
      </c>
      <c r="J6" s="21">
        <v>74</v>
      </c>
      <c r="K6" s="22">
        <v>45984</v>
      </c>
      <c r="L6" s="21">
        <v>46</v>
      </c>
      <c r="M6" s="21">
        <v>0</v>
      </c>
      <c r="N6" s="21">
        <v>10</v>
      </c>
      <c r="O6" s="23" t="s">
        <v>317</v>
      </c>
      <c r="P6" s="24">
        <v>0.51736111111111105</v>
      </c>
      <c r="Q6" s="21">
        <v>168</v>
      </c>
      <c r="R6" s="25" t="s">
        <v>1012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6" t="s">
        <v>1013</v>
      </c>
      <c r="B7" s="307"/>
      <c r="C7" s="307"/>
      <c r="D7" s="307"/>
      <c r="E7" s="307"/>
      <c r="F7" s="307"/>
      <c r="G7" s="285"/>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46" t="s">
        <v>66</v>
      </c>
      <c r="B8" s="46" t="s">
        <v>989</v>
      </c>
      <c r="C8" s="47" t="s">
        <v>604</v>
      </c>
      <c r="D8" s="46" t="s">
        <v>94</v>
      </c>
      <c r="E8" s="46" t="s">
        <v>235</v>
      </c>
      <c r="F8" s="46" t="s">
        <v>999</v>
      </c>
      <c r="G8" s="285"/>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46" t="s">
        <v>333</v>
      </c>
      <c r="B9" s="46" t="s">
        <v>993</v>
      </c>
      <c r="C9" s="47" t="s">
        <v>1014</v>
      </c>
      <c r="D9" s="46" t="s">
        <v>37</v>
      </c>
      <c r="E9" s="46" t="s">
        <v>254</v>
      </c>
      <c r="F9" s="46" t="s">
        <v>839</v>
      </c>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6" t="s">
        <v>378</v>
      </c>
      <c r="B10" s="46" t="s">
        <v>991</v>
      </c>
      <c r="C10" s="47" t="s">
        <v>1015</v>
      </c>
      <c r="D10" s="46" t="s">
        <v>380</v>
      </c>
      <c r="E10" s="46" t="s">
        <v>646</v>
      </c>
      <c r="F10" s="46" t="s">
        <v>1002</v>
      </c>
      <c r="G10" s="285"/>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61" t="s">
        <v>378</v>
      </c>
      <c r="B11" s="61" t="s">
        <v>991</v>
      </c>
      <c r="C11" s="62" t="s">
        <v>1015</v>
      </c>
      <c r="D11" s="61" t="s">
        <v>33</v>
      </c>
      <c r="E11" s="61" t="s">
        <v>646</v>
      </c>
      <c r="F11" s="61" t="s">
        <v>1003</v>
      </c>
      <c r="G11" s="286"/>
      <c r="H11" s="174"/>
      <c r="I11" s="174"/>
      <c r="J11" s="174"/>
      <c r="K11" s="174"/>
      <c r="L11" s="174"/>
      <c r="M11" s="174"/>
      <c r="N11" s="174"/>
      <c r="O11" s="175"/>
      <c r="P11" s="174"/>
      <c r="Q11" s="176"/>
      <c r="R11" s="17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88"/>
      <c r="B12" s="289"/>
      <c r="C12" s="289"/>
      <c r="D12" s="289"/>
      <c r="E12" s="289"/>
      <c r="F12" s="289"/>
      <c r="G12" s="289"/>
      <c r="H12" s="289"/>
      <c r="I12" s="289"/>
      <c r="J12" s="289"/>
      <c r="K12" s="289"/>
      <c r="L12" s="289"/>
      <c r="M12" s="289"/>
      <c r="N12" s="289"/>
      <c r="O12" s="289"/>
      <c r="P12" s="289"/>
      <c r="Q12" s="289"/>
      <c r="R12" s="2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sheetData>
  <mergeCells count="14">
    <mergeCell ref="A12:R12"/>
    <mergeCell ref="G6:G11"/>
    <mergeCell ref="A4:F4"/>
    <mergeCell ref="D1:F1"/>
    <mergeCell ref="J1:M1"/>
    <mergeCell ref="A7:F7"/>
    <mergeCell ref="A2:F2"/>
    <mergeCell ref="A3:R3"/>
    <mergeCell ref="O1:Q1"/>
    <mergeCell ref="H4:R4"/>
    <mergeCell ref="A1:C1"/>
    <mergeCell ref="G1:H1"/>
    <mergeCell ref="K2:R2"/>
    <mergeCell ref="G2:J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543</v>
      </c>
      <c r="B2" s="93">
        <v>45989</v>
      </c>
      <c r="C2" s="94" t="s">
        <v>1011</v>
      </c>
      <c r="D2" s="95">
        <v>0.51736111111111105</v>
      </c>
      <c r="E2" s="94" t="s">
        <v>1009</v>
      </c>
      <c r="F2" s="94" t="s">
        <v>174</v>
      </c>
      <c r="G2" s="96">
        <v>0.4405</v>
      </c>
      <c r="H2" s="97">
        <v>168</v>
      </c>
      <c r="I2" s="97">
        <v>74</v>
      </c>
      <c r="J2" s="97">
        <v>0</v>
      </c>
      <c r="K2" s="93">
        <v>45984</v>
      </c>
      <c r="L2" s="97">
        <v>0</v>
      </c>
      <c r="M2" s="97">
        <v>10</v>
      </c>
      <c r="N2" s="97">
        <v>46</v>
      </c>
      <c r="O2" s="94" t="s">
        <v>317</v>
      </c>
      <c r="P2" s="98"/>
      <c r="Q2" s="98"/>
      <c r="R2" s="98"/>
      <c r="S2" s="98"/>
      <c r="T2" s="98"/>
      <c r="U2" s="98"/>
      <c r="V2" s="98"/>
      <c r="W2" s="98"/>
      <c r="X2" s="98"/>
      <c r="Y2" s="98"/>
      <c r="Z2" s="98"/>
      <c r="AA2" s="98"/>
      <c r="AB2" s="98"/>
      <c r="AC2" s="97" t="s">
        <v>538</v>
      </c>
      <c r="AD2" s="97" t="s">
        <v>1016</v>
      </c>
      <c r="AE2" s="97" t="s">
        <v>187</v>
      </c>
      <c r="AF2" s="98"/>
      <c r="AG2" s="98"/>
      <c r="AH2" s="98"/>
      <c r="AI2" s="98"/>
    </row>
    <row r="3" spans="1:35" ht="18" x14ac:dyDescent="0.3">
      <c r="A3" s="106" t="s">
        <v>219</v>
      </c>
      <c r="B3" s="107"/>
      <c r="C3" s="108">
        <f>COUNTA(C2:C2)</f>
        <v>1</v>
      </c>
      <c r="D3" s="107"/>
      <c r="E3" s="107"/>
      <c r="F3" s="107"/>
      <c r="G3" s="109">
        <f>AVERAGE(G2:G2)</f>
        <v>0.4405</v>
      </c>
      <c r="H3" s="110">
        <f>SUM(H2:H2)</f>
        <v>168</v>
      </c>
      <c r="I3" s="110">
        <f>SUM(I2:I2)</f>
        <v>74</v>
      </c>
      <c r="J3" s="110">
        <f>SUM(J2:J2)</f>
        <v>0</v>
      </c>
      <c r="K3" s="107"/>
      <c r="L3" s="110">
        <f>SUM(L2:L2)</f>
        <v>0</v>
      </c>
      <c r="M3" s="110">
        <f>SUM(M2:M2)</f>
        <v>10</v>
      </c>
      <c r="N3" s="110">
        <f>SUM(N2:N2)</f>
        <v>46</v>
      </c>
      <c r="O3" s="107"/>
      <c r="P3" s="110">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110">
        <f t="shared" si="0"/>
        <v>0</v>
      </c>
      <c r="R3" s="110">
        <f t="shared" si="0"/>
        <v>0</v>
      </c>
      <c r="S3" s="110">
        <f t="shared" si="0"/>
        <v>0</v>
      </c>
      <c r="T3" s="110">
        <f t="shared" si="0"/>
        <v>0</v>
      </c>
      <c r="U3" s="110">
        <f t="shared" si="0"/>
        <v>0</v>
      </c>
      <c r="V3" s="110">
        <f t="shared" si="0"/>
        <v>0</v>
      </c>
      <c r="W3" s="110">
        <f t="shared" si="0"/>
        <v>0</v>
      </c>
      <c r="X3" s="110">
        <f t="shared" si="0"/>
        <v>0</v>
      </c>
      <c r="Y3" s="110">
        <f t="shared" si="0"/>
        <v>0</v>
      </c>
      <c r="Z3" s="110">
        <f t="shared" si="0"/>
        <v>0</v>
      </c>
      <c r="AA3" s="110">
        <f t="shared" si="0"/>
        <v>0</v>
      </c>
      <c r="AB3" s="110">
        <f t="shared" si="0"/>
        <v>0</v>
      </c>
      <c r="AC3" s="110">
        <f t="shared" si="0"/>
        <v>3</v>
      </c>
      <c r="AD3" s="110">
        <f t="shared" si="0"/>
        <v>61</v>
      </c>
      <c r="AE3" s="110">
        <f t="shared" si="0"/>
        <v>10</v>
      </c>
      <c r="AF3" s="110">
        <f t="shared" si="0"/>
        <v>0</v>
      </c>
      <c r="AG3" s="110">
        <f t="shared" si="0"/>
        <v>0</v>
      </c>
      <c r="AH3" s="110">
        <f t="shared" si="0"/>
        <v>0</v>
      </c>
      <c r="AI3" s="110">
        <f t="shared" si="0"/>
        <v>0</v>
      </c>
    </row>
  </sheetData>
  <autoFilter ref="A1:AI2" xr:uid="{00000000-0009-0000-0000-00002F000000}"/>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30"/>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5.6" x14ac:dyDescent="0.3">
      <c r="A2" s="189"/>
      <c r="B2" s="189"/>
      <c r="C2" s="189"/>
      <c r="D2" s="189"/>
      <c r="E2" s="190" t="s">
        <v>1017</v>
      </c>
      <c r="F2" s="189"/>
      <c r="G2" s="189"/>
      <c r="H2" s="3"/>
    </row>
    <row r="3" spans="1:8" ht="18" x14ac:dyDescent="0.3">
      <c r="A3" s="112">
        <v>45986</v>
      </c>
      <c r="B3" s="113" t="s">
        <v>304</v>
      </c>
      <c r="C3" s="114" t="s">
        <v>988</v>
      </c>
      <c r="D3" s="113" t="s">
        <v>987</v>
      </c>
      <c r="E3" s="115">
        <v>1.930555555555556</v>
      </c>
      <c r="F3" s="113" t="s">
        <v>37</v>
      </c>
      <c r="G3" s="116">
        <v>9</v>
      </c>
      <c r="H3" s="117">
        <v>355</v>
      </c>
    </row>
    <row r="4" spans="1:8" ht="18" x14ac:dyDescent="0.3">
      <c r="A4" s="194">
        <v>45986</v>
      </c>
      <c r="B4" s="195" t="s">
        <v>66</v>
      </c>
      <c r="C4" s="196" t="s">
        <v>989</v>
      </c>
      <c r="D4" s="195" t="s">
        <v>987</v>
      </c>
      <c r="E4" s="197">
        <v>1.1284722222222221</v>
      </c>
      <c r="F4" s="195" t="s">
        <v>68</v>
      </c>
      <c r="G4" s="198">
        <v>9</v>
      </c>
      <c r="H4" s="223">
        <v>404</v>
      </c>
    </row>
    <row r="5" spans="1:8" ht="15.6" x14ac:dyDescent="0.3">
      <c r="A5" s="189"/>
      <c r="B5" s="189"/>
      <c r="C5" s="189"/>
      <c r="D5" s="189"/>
      <c r="E5" s="190" t="s">
        <v>1017</v>
      </c>
      <c r="F5" s="189"/>
      <c r="G5" s="189"/>
      <c r="H5" s="3"/>
    </row>
    <row r="6" spans="1:8" ht="18" x14ac:dyDescent="0.3">
      <c r="A6" s="112">
        <v>45987</v>
      </c>
      <c r="B6" s="113" t="s">
        <v>378</v>
      </c>
      <c r="C6" s="114" t="s">
        <v>991</v>
      </c>
      <c r="D6" s="113" t="s">
        <v>987</v>
      </c>
      <c r="E6" s="115">
        <v>1.635416666666667</v>
      </c>
      <c r="F6" s="113" t="s">
        <v>380</v>
      </c>
      <c r="G6" s="116">
        <v>9</v>
      </c>
      <c r="H6" s="117">
        <v>349</v>
      </c>
    </row>
    <row r="7" spans="1:8" ht="18" x14ac:dyDescent="0.3">
      <c r="A7" s="118">
        <v>45987</v>
      </c>
      <c r="B7" s="119" t="s">
        <v>378</v>
      </c>
      <c r="C7" s="120" t="s">
        <v>991</v>
      </c>
      <c r="D7" s="119" t="s">
        <v>987</v>
      </c>
      <c r="E7" s="121">
        <v>1.635416666666667</v>
      </c>
      <c r="F7" s="119" t="s">
        <v>33</v>
      </c>
      <c r="G7" s="122">
        <v>9</v>
      </c>
      <c r="H7" s="123">
        <v>472</v>
      </c>
    </row>
    <row r="8" spans="1:8" ht="18" x14ac:dyDescent="0.3">
      <c r="A8" s="136">
        <v>45987</v>
      </c>
      <c r="B8" s="113" t="s">
        <v>333</v>
      </c>
      <c r="C8" s="114" t="s">
        <v>993</v>
      </c>
      <c r="D8" s="113" t="s">
        <v>987</v>
      </c>
      <c r="E8" s="115">
        <v>1.90625</v>
      </c>
      <c r="F8" s="113" t="s">
        <v>37</v>
      </c>
      <c r="G8" s="116">
        <v>9</v>
      </c>
      <c r="H8" s="137">
        <v>355</v>
      </c>
    </row>
    <row r="9" spans="1:8" ht="18" x14ac:dyDescent="0.3">
      <c r="A9" s="154">
        <v>45987</v>
      </c>
      <c r="B9" s="155" t="s">
        <v>35</v>
      </c>
      <c r="C9" s="156" t="s">
        <v>994</v>
      </c>
      <c r="D9" s="155" t="s">
        <v>987</v>
      </c>
      <c r="E9" s="157">
        <v>1.864583333333333</v>
      </c>
      <c r="F9" s="155" t="s">
        <v>37</v>
      </c>
      <c r="G9" s="158">
        <v>9</v>
      </c>
      <c r="H9" s="242">
        <v>385</v>
      </c>
    </row>
    <row r="10" spans="1:8" ht="15.6" x14ac:dyDescent="0.3">
      <c r="A10" s="189"/>
      <c r="B10" s="189"/>
      <c r="C10" s="189"/>
      <c r="D10" s="189"/>
      <c r="E10" s="190" t="s">
        <v>1017</v>
      </c>
      <c r="F10" s="189"/>
      <c r="G10" s="189"/>
      <c r="H10" s="3"/>
    </row>
    <row r="11" spans="1:8" ht="18" x14ac:dyDescent="0.3">
      <c r="A11" s="112">
        <v>45988</v>
      </c>
      <c r="B11" s="113" t="s">
        <v>304</v>
      </c>
      <c r="C11" s="114" t="s">
        <v>988</v>
      </c>
      <c r="D11" s="113" t="s">
        <v>987</v>
      </c>
      <c r="E11" s="115">
        <v>1.9548611111111109</v>
      </c>
      <c r="F11" s="113" t="s">
        <v>37</v>
      </c>
      <c r="G11" s="116">
        <v>1</v>
      </c>
      <c r="H11" s="117">
        <v>320</v>
      </c>
    </row>
    <row r="12" spans="1:8" ht="18" x14ac:dyDescent="0.3">
      <c r="A12" s="136">
        <v>45988</v>
      </c>
      <c r="B12" s="113" t="s">
        <v>66</v>
      </c>
      <c r="C12" s="114" t="s">
        <v>989</v>
      </c>
      <c r="D12" s="113" t="s">
        <v>987</v>
      </c>
      <c r="E12" s="115">
        <v>1.1284722222222221</v>
      </c>
      <c r="F12" s="113" t="s">
        <v>94</v>
      </c>
      <c r="G12" s="116">
        <v>7</v>
      </c>
      <c r="H12" s="137">
        <v>344</v>
      </c>
    </row>
    <row r="13" spans="1:8" ht="18" x14ac:dyDescent="0.3">
      <c r="A13" s="136">
        <v>45988</v>
      </c>
      <c r="B13" s="113" t="s">
        <v>333</v>
      </c>
      <c r="C13" s="114" t="s">
        <v>1000</v>
      </c>
      <c r="D13" s="113" t="s">
        <v>987</v>
      </c>
      <c r="E13" s="115">
        <v>1.90625</v>
      </c>
      <c r="F13" s="113" t="s">
        <v>37</v>
      </c>
      <c r="G13" s="116">
        <v>5</v>
      </c>
      <c r="H13" s="137">
        <v>355</v>
      </c>
    </row>
    <row r="14" spans="1:8" ht="18" x14ac:dyDescent="0.3">
      <c r="A14" s="154">
        <v>45988</v>
      </c>
      <c r="B14" s="155" t="s">
        <v>35</v>
      </c>
      <c r="C14" s="156" t="s">
        <v>994</v>
      </c>
      <c r="D14" s="155" t="s">
        <v>987</v>
      </c>
      <c r="E14" s="157">
        <v>1.864583333333333</v>
      </c>
      <c r="F14" s="155" t="s">
        <v>37</v>
      </c>
      <c r="G14" s="158">
        <v>5</v>
      </c>
      <c r="H14" s="242">
        <v>400</v>
      </c>
    </row>
    <row r="15" spans="1:8" ht="18" x14ac:dyDescent="0.3">
      <c r="A15" s="187">
        <v>45989</v>
      </c>
      <c r="B15" s="125" t="s">
        <v>35</v>
      </c>
      <c r="C15" s="126" t="s">
        <v>1010</v>
      </c>
      <c r="D15" s="125" t="s">
        <v>1009</v>
      </c>
      <c r="E15" s="127">
        <v>1.5173611111111109</v>
      </c>
      <c r="F15" s="125" t="s">
        <v>37</v>
      </c>
      <c r="G15" s="128">
        <v>7</v>
      </c>
      <c r="H15" s="200">
        <v>406</v>
      </c>
    </row>
    <row r="16" spans="1:8" ht="15.6" x14ac:dyDescent="0.3">
      <c r="A16" s="189"/>
      <c r="B16" s="189"/>
      <c r="C16" s="189"/>
      <c r="D16" s="189"/>
      <c r="E16" s="190" t="s">
        <v>1017</v>
      </c>
      <c r="F16" s="189"/>
      <c r="G16" s="189"/>
      <c r="H16" s="3"/>
    </row>
    <row r="17" spans="1:8" ht="18" x14ac:dyDescent="0.3">
      <c r="A17" s="136">
        <v>45989</v>
      </c>
      <c r="B17" s="113" t="s">
        <v>66</v>
      </c>
      <c r="C17" s="114" t="s">
        <v>989</v>
      </c>
      <c r="D17" s="113" t="s">
        <v>987</v>
      </c>
      <c r="E17" s="115">
        <v>1.1284722222222221</v>
      </c>
      <c r="F17" s="113" t="s">
        <v>94</v>
      </c>
      <c r="G17" s="116">
        <v>9</v>
      </c>
      <c r="H17" s="137">
        <v>344</v>
      </c>
    </row>
    <row r="18" spans="1:8" ht="18" x14ac:dyDescent="0.3">
      <c r="A18" s="136">
        <v>45989</v>
      </c>
      <c r="B18" s="113" t="s">
        <v>333</v>
      </c>
      <c r="C18" s="114" t="s">
        <v>993</v>
      </c>
      <c r="D18" s="113" t="s">
        <v>987</v>
      </c>
      <c r="E18" s="115">
        <v>1.90625</v>
      </c>
      <c r="F18" s="113" t="s">
        <v>37</v>
      </c>
      <c r="G18" s="116">
        <v>4</v>
      </c>
      <c r="H18" s="137">
        <v>355</v>
      </c>
    </row>
    <row r="19" spans="1:8" ht="18" x14ac:dyDescent="0.3">
      <c r="A19" s="136">
        <v>45989</v>
      </c>
      <c r="B19" s="113" t="s">
        <v>378</v>
      </c>
      <c r="C19" s="114" t="s">
        <v>991</v>
      </c>
      <c r="D19" s="113" t="s">
        <v>987</v>
      </c>
      <c r="E19" s="115">
        <v>1.635416666666667</v>
      </c>
      <c r="F19" s="113" t="s">
        <v>380</v>
      </c>
      <c r="G19" s="116">
        <v>9</v>
      </c>
      <c r="H19" s="137">
        <v>381</v>
      </c>
    </row>
    <row r="20" spans="1:8" ht="18" x14ac:dyDescent="0.3">
      <c r="A20" s="144">
        <v>45989</v>
      </c>
      <c r="B20" s="145" t="s">
        <v>378</v>
      </c>
      <c r="C20" s="146" t="s">
        <v>991</v>
      </c>
      <c r="D20" s="145" t="s">
        <v>987</v>
      </c>
      <c r="E20" s="147">
        <v>1.635416666666667</v>
      </c>
      <c r="F20" s="145" t="s">
        <v>33</v>
      </c>
      <c r="G20" s="148">
        <v>9</v>
      </c>
      <c r="H20" s="192">
        <v>504</v>
      </c>
    </row>
    <row r="21" spans="1:8" ht="15.6" x14ac:dyDescent="0.3">
      <c r="A21" s="189"/>
      <c r="B21" s="189"/>
      <c r="C21" s="189"/>
      <c r="D21" s="189"/>
      <c r="E21" s="190" t="s">
        <v>1017</v>
      </c>
      <c r="F21" s="189"/>
      <c r="G21" s="189"/>
      <c r="H21" s="3"/>
    </row>
    <row r="22" spans="1:8" ht="18" x14ac:dyDescent="0.3">
      <c r="A22" s="112">
        <v>45990</v>
      </c>
      <c r="B22" s="113" t="s">
        <v>304</v>
      </c>
      <c r="C22" s="114" t="s">
        <v>988</v>
      </c>
      <c r="D22" s="113" t="s">
        <v>987</v>
      </c>
      <c r="E22" s="115">
        <v>1.1701388888888891</v>
      </c>
      <c r="F22" s="113" t="s">
        <v>37</v>
      </c>
      <c r="G22" s="116">
        <v>3</v>
      </c>
      <c r="H22" s="117">
        <v>320</v>
      </c>
    </row>
    <row r="23" spans="1:8" ht="18" x14ac:dyDescent="0.3">
      <c r="A23" s="136">
        <v>45990</v>
      </c>
      <c r="B23" s="113" t="s">
        <v>66</v>
      </c>
      <c r="C23" s="114" t="s">
        <v>989</v>
      </c>
      <c r="D23" s="113" t="s">
        <v>987</v>
      </c>
      <c r="E23" s="115">
        <v>1.1284722222222221</v>
      </c>
      <c r="F23" s="113" t="s">
        <v>94</v>
      </c>
      <c r="G23" s="116">
        <v>9</v>
      </c>
      <c r="H23" s="137">
        <v>344</v>
      </c>
    </row>
    <row r="24" spans="1:8" ht="18" x14ac:dyDescent="0.3">
      <c r="A24" s="136">
        <v>45990</v>
      </c>
      <c r="B24" s="113" t="s">
        <v>333</v>
      </c>
      <c r="C24" s="114" t="s">
        <v>1000</v>
      </c>
      <c r="D24" s="113" t="s">
        <v>987</v>
      </c>
      <c r="E24" s="115">
        <v>1.90625</v>
      </c>
      <c r="F24" s="113" t="s">
        <v>37</v>
      </c>
      <c r="G24" s="116">
        <v>1</v>
      </c>
      <c r="H24" s="137">
        <v>355</v>
      </c>
    </row>
    <row r="25" spans="1:8" ht="18" x14ac:dyDescent="0.3">
      <c r="A25" s="154">
        <v>45990</v>
      </c>
      <c r="B25" s="155" t="s">
        <v>35</v>
      </c>
      <c r="C25" s="156" t="s">
        <v>994</v>
      </c>
      <c r="D25" s="155" t="s">
        <v>987</v>
      </c>
      <c r="E25" s="157">
        <v>1.989583333333333</v>
      </c>
      <c r="F25" s="155" t="s">
        <v>37</v>
      </c>
      <c r="G25" s="158">
        <v>9</v>
      </c>
      <c r="H25" s="242">
        <v>400</v>
      </c>
    </row>
    <row r="26" spans="1:8" ht="15.6" x14ac:dyDescent="0.3">
      <c r="A26" s="189"/>
      <c r="B26" s="189"/>
      <c r="C26" s="189"/>
      <c r="D26" s="189"/>
      <c r="E26" s="190" t="s">
        <v>1017</v>
      </c>
      <c r="F26" s="189"/>
      <c r="G26" s="189"/>
      <c r="H26" s="3"/>
    </row>
    <row r="27" spans="1:8" ht="18" x14ac:dyDescent="0.3">
      <c r="A27" s="112">
        <v>45991</v>
      </c>
      <c r="B27" s="113" t="s">
        <v>304</v>
      </c>
      <c r="C27" s="114" t="s">
        <v>988</v>
      </c>
      <c r="D27" s="113" t="s">
        <v>987</v>
      </c>
      <c r="E27" s="115">
        <v>1.864583333333333</v>
      </c>
      <c r="F27" s="113" t="s">
        <v>37</v>
      </c>
      <c r="G27" s="116">
        <v>6</v>
      </c>
      <c r="H27" s="117">
        <v>320</v>
      </c>
    </row>
    <row r="28" spans="1:8" ht="18" x14ac:dyDescent="0.3">
      <c r="A28" s="136">
        <v>45991</v>
      </c>
      <c r="B28" s="113" t="s">
        <v>378</v>
      </c>
      <c r="C28" s="114" t="s">
        <v>991</v>
      </c>
      <c r="D28" s="113" t="s">
        <v>987</v>
      </c>
      <c r="E28" s="115">
        <v>1.677083333333333</v>
      </c>
      <c r="F28" s="113" t="s">
        <v>380</v>
      </c>
      <c r="G28" s="116">
        <v>9</v>
      </c>
      <c r="H28" s="137">
        <v>325</v>
      </c>
    </row>
    <row r="29" spans="1:8" ht="18" x14ac:dyDescent="0.3">
      <c r="A29" s="118">
        <v>45991</v>
      </c>
      <c r="B29" s="119" t="s">
        <v>378</v>
      </c>
      <c r="C29" s="120" t="s">
        <v>991</v>
      </c>
      <c r="D29" s="119" t="s">
        <v>987</v>
      </c>
      <c r="E29" s="121">
        <v>1.677083333333333</v>
      </c>
      <c r="F29" s="119" t="s">
        <v>33</v>
      </c>
      <c r="G29" s="122">
        <v>9</v>
      </c>
      <c r="H29" s="123">
        <v>448</v>
      </c>
    </row>
    <row r="30" spans="1:8" ht="18" x14ac:dyDescent="0.3">
      <c r="A30" s="194">
        <v>45991</v>
      </c>
      <c r="B30" s="195" t="s">
        <v>333</v>
      </c>
      <c r="C30" s="196" t="s">
        <v>1007</v>
      </c>
      <c r="D30" s="195" t="s">
        <v>987</v>
      </c>
      <c r="E30" s="197">
        <v>1.90625</v>
      </c>
      <c r="F30" s="195" t="s">
        <v>37</v>
      </c>
      <c r="G30" s="198">
        <v>9</v>
      </c>
      <c r="H30" s="223">
        <v>355</v>
      </c>
    </row>
  </sheetData>
  <dataValidations count="2">
    <dataValidation type="custom" allowBlank="1" showInputMessage="1" promptTitle="LOAD FACTOR ANALYSIS" prompt="SM-326_x000d__x000a_LF -_x000d__x000a_SOLD -_x000d__x000a_LST-SOLD -_x000d__x000a_WEEKLY -_x000d__x000a_TO-DAY -_x000d__x000a_Y-DAY -_x000d__x000a_LOWEST AVAIL -_x000d__x000a_CAPACITY -_x000d__x000a_CLASSES -" sqref="A9 A14 A25 B9 B14 B25 C9 C14 C25 D9 D14 D25 E9 E14 E25 F9 F14 F25 G9 G14 G25 H9 H14 H25" xr:uid="{00000000-0002-0000-3000-000000000000}">
      <formula1>TRUE</formula1>
    </dataValidation>
    <dataValidation type="custom" allowBlank="1" showInputMessage="1" promptTitle="LOAD FACTOR ANALYSIS" prompt="SM-328_x000d__x000a_LF 44.0%_x000d__x000a_SOLD 74_x000d__x000a_LST-SOLD 23NOV_x000d__x000a_WEEKLY 46_x000d__x000a_TO-DAY NIL_x000d__x000a_Y-DAY 10_x000d__x000a_LOWEST AVAIL O7_x000d__x000a_CAPACITY 168_x000d__x000a_CLASSES U3 &amp; O61 &amp; I10" sqref="A15 B15 C15 D15 E15 F15 G15 H15" xr:uid="{00000000-0002-0000-3000-000001000000}">
      <formula1>TRUE</formula1>
    </dataValidation>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24"/>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0.33203125" bestFit="1" customWidth="1"/>
  </cols>
  <sheetData>
    <row r="1" spans="1:92" ht="28.8" customHeight="1" x14ac:dyDescent="0.3">
      <c r="A1" s="305" t="s">
        <v>0</v>
      </c>
      <c r="B1" s="281"/>
      <c r="C1" s="281"/>
      <c r="D1" s="305" t="s">
        <v>1018</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45985.360379788668</v>
      </c>
      <c r="H2" s="292"/>
      <c r="I2" s="292"/>
      <c r="J2" s="292"/>
      <c r="K2" s="303">
        <v>45985.360379789126</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11" t="s">
        <v>35</v>
      </c>
      <c r="B6" s="211" t="s">
        <v>1019</v>
      </c>
      <c r="C6" s="212">
        <v>0.45833333333333331</v>
      </c>
      <c r="D6" s="211" t="s">
        <v>37</v>
      </c>
      <c r="E6" s="211" t="s">
        <v>38</v>
      </c>
      <c r="F6" s="211" t="s">
        <v>1020</v>
      </c>
      <c r="G6" s="308"/>
      <c r="H6" s="75" t="s">
        <v>1021</v>
      </c>
      <c r="I6" s="76">
        <v>0.91669999999999996</v>
      </c>
      <c r="J6" s="77">
        <v>154</v>
      </c>
      <c r="K6" s="78">
        <v>45985</v>
      </c>
      <c r="L6" s="77">
        <v>93</v>
      </c>
      <c r="M6" s="77">
        <v>2</v>
      </c>
      <c r="N6" s="77">
        <v>21</v>
      </c>
      <c r="O6" s="79" t="s">
        <v>41</v>
      </c>
      <c r="P6" s="80">
        <v>0.45833333333333331</v>
      </c>
      <c r="Q6" s="77">
        <v>168</v>
      </c>
      <c r="R6" s="81" t="s">
        <v>1022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88"/>
      <c r="B7" s="289"/>
      <c r="C7" s="289"/>
      <c r="D7" s="289"/>
      <c r="E7" s="289"/>
      <c r="F7" s="289"/>
      <c r="G7" s="289"/>
      <c r="H7" s="289"/>
      <c r="I7" s="289"/>
      <c r="J7" s="289"/>
      <c r="K7" s="289"/>
      <c r="L7" s="289"/>
      <c r="M7" s="289"/>
      <c r="N7" s="289"/>
      <c r="O7" s="289"/>
      <c r="P7" s="289"/>
      <c r="Q7" s="289"/>
      <c r="R7" s="2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2" t="s">
        <v>5</v>
      </c>
      <c r="B8" s="283"/>
      <c r="C8" s="283"/>
      <c r="D8" s="283"/>
      <c r="E8" s="283"/>
      <c r="F8" s="283"/>
      <c r="G8" s="5">
        <v>45988</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55" t="s">
        <v>7</v>
      </c>
      <c r="B9" s="55" t="s">
        <v>8</v>
      </c>
      <c r="C9" s="56" t="s">
        <v>9</v>
      </c>
      <c r="D9" s="55" t="s">
        <v>10</v>
      </c>
      <c r="E9" s="55" t="s">
        <v>11</v>
      </c>
      <c r="F9" s="55" t="s">
        <v>12</v>
      </c>
      <c r="G9" s="57" t="s">
        <v>13</v>
      </c>
      <c r="H9" s="55" t="s">
        <v>14</v>
      </c>
      <c r="I9" s="58" t="s">
        <v>15</v>
      </c>
      <c r="J9" s="59" t="s">
        <v>16</v>
      </c>
      <c r="K9" s="60" t="s">
        <v>17</v>
      </c>
      <c r="L9" s="59" t="s">
        <v>18</v>
      </c>
      <c r="M9" s="59" t="s">
        <v>19</v>
      </c>
      <c r="N9" s="59" t="s">
        <v>20</v>
      </c>
      <c r="O9" s="55" t="s">
        <v>21</v>
      </c>
      <c r="P9" s="56" t="s">
        <v>22</v>
      </c>
      <c r="Q9" s="59" t="s">
        <v>23</v>
      </c>
      <c r="R9" s="55"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77" t="s">
        <v>35</v>
      </c>
      <c r="B10" s="177" t="s">
        <v>1019</v>
      </c>
      <c r="C10" s="178">
        <v>0.91319444444444453</v>
      </c>
      <c r="D10" s="177" t="s">
        <v>37</v>
      </c>
      <c r="E10" s="177" t="s">
        <v>38</v>
      </c>
      <c r="F10" s="177" t="s">
        <v>1023</v>
      </c>
      <c r="G10" s="284"/>
      <c r="H10" s="179" t="s">
        <v>1021</v>
      </c>
      <c r="I10" s="213">
        <v>0.47020000000000001</v>
      </c>
      <c r="J10" s="181">
        <v>79</v>
      </c>
      <c r="K10" s="182">
        <v>45984</v>
      </c>
      <c r="L10" s="181">
        <v>54</v>
      </c>
      <c r="M10" s="181">
        <v>0</v>
      </c>
      <c r="N10" s="181">
        <v>7</v>
      </c>
      <c r="O10" s="183" t="s">
        <v>202</v>
      </c>
      <c r="P10" s="184">
        <v>0.91319444444444453</v>
      </c>
      <c r="Q10" s="181">
        <v>168</v>
      </c>
      <c r="R10" s="185" t="s">
        <v>1024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43" t="s">
        <v>333</v>
      </c>
      <c r="B11" s="243" t="s">
        <v>1025</v>
      </c>
      <c r="C11" s="244">
        <v>0.90625</v>
      </c>
      <c r="D11" s="243" t="s">
        <v>37</v>
      </c>
      <c r="E11" s="243" t="s">
        <v>108</v>
      </c>
      <c r="F11" s="243" t="s">
        <v>1026</v>
      </c>
      <c r="G11" s="286"/>
      <c r="H11" s="50"/>
      <c r="I11" s="51"/>
      <c r="J11" s="51"/>
      <c r="K11" s="51"/>
      <c r="L11" s="51"/>
      <c r="M11" s="51"/>
      <c r="N11" s="51"/>
      <c r="O11" s="52"/>
      <c r="P11" s="51"/>
      <c r="Q11" s="53"/>
      <c r="R11" s="5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95"/>
      <c r="B12" s="296"/>
      <c r="C12" s="296"/>
      <c r="D12" s="296"/>
      <c r="E12" s="296"/>
      <c r="F12" s="296"/>
      <c r="G12" s="289"/>
      <c r="H12" s="297"/>
      <c r="I12" s="297"/>
      <c r="J12" s="297"/>
      <c r="K12" s="297"/>
      <c r="L12" s="297"/>
      <c r="M12" s="297"/>
      <c r="N12" s="297"/>
      <c r="O12" s="298"/>
      <c r="P12" s="297"/>
      <c r="Q12" s="289"/>
      <c r="R12" s="2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82" t="s">
        <v>5</v>
      </c>
      <c r="B13" s="283"/>
      <c r="C13" s="283"/>
      <c r="D13" s="283"/>
      <c r="E13" s="283"/>
      <c r="F13" s="283"/>
      <c r="G13" s="5">
        <v>45989</v>
      </c>
      <c r="H13" s="278" t="s">
        <v>6</v>
      </c>
      <c r="I13" s="279"/>
      <c r="J13" s="279"/>
      <c r="K13" s="279"/>
      <c r="L13" s="279"/>
      <c r="M13" s="279"/>
      <c r="N13" s="279"/>
      <c r="O13" s="279"/>
      <c r="P13" s="279"/>
      <c r="Q13" s="279"/>
      <c r="R13" s="27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55" t="s">
        <v>7</v>
      </c>
      <c r="B14" s="55" t="s">
        <v>8</v>
      </c>
      <c r="C14" s="56" t="s">
        <v>9</v>
      </c>
      <c r="D14" s="55" t="s">
        <v>10</v>
      </c>
      <c r="E14" s="55" t="s">
        <v>11</v>
      </c>
      <c r="F14" s="55" t="s">
        <v>12</v>
      </c>
      <c r="G14" s="57" t="s">
        <v>13</v>
      </c>
      <c r="H14" s="55" t="s">
        <v>14</v>
      </c>
      <c r="I14" s="58" t="s">
        <v>15</v>
      </c>
      <c r="J14" s="59" t="s">
        <v>16</v>
      </c>
      <c r="K14" s="60" t="s">
        <v>17</v>
      </c>
      <c r="L14" s="59" t="s">
        <v>18</v>
      </c>
      <c r="M14" s="59" t="s">
        <v>19</v>
      </c>
      <c r="N14" s="59" t="s">
        <v>20</v>
      </c>
      <c r="O14" s="55" t="s">
        <v>21</v>
      </c>
      <c r="P14" s="56" t="s">
        <v>22</v>
      </c>
      <c r="Q14" s="59" t="s">
        <v>23</v>
      </c>
      <c r="R14" s="55"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35" t="s">
        <v>333</v>
      </c>
      <c r="B15" s="235" t="s">
        <v>1027</v>
      </c>
      <c r="C15" s="236">
        <v>0.45833333333333331</v>
      </c>
      <c r="D15" s="235" t="s">
        <v>37</v>
      </c>
      <c r="E15" s="235" t="s">
        <v>38</v>
      </c>
      <c r="F15" s="235" t="s">
        <v>1026</v>
      </c>
      <c r="G15" s="308"/>
      <c r="H15" s="50"/>
      <c r="I15" s="51"/>
      <c r="J15" s="51"/>
      <c r="K15" s="51"/>
      <c r="L15" s="51"/>
      <c r="M15" s="51"/>
      <c r="N15" s="51"/>
      <c r="O15" s="52"/>
      <c r="P15" s="51"/>
      <c r="Q15" s="53"/>
      <c r="R15" s="5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88"/>
      <c r="B16" s="289"/>
      <c r="C16" s="289"/>
      <c r="D16" s="289"/>
      <c r="E16" s="289"/>
      <c r="F16" s="289"/>
      <c r="G16" s="289"/>
      <c r="H16" s="289"/>
      <c r="I16" s="289"/>
      <c r="J16" s="289"/>
      <c r="K16" s="289"/>
      <c r="L16" s="289"/>
      <c r="M16" s="289"/>
      <c r="N16" s="289"/>
      <c r="O16" s="289"/>
      <c r="P16" s="289"/>
      <c r="Q16" s="289"/>
      <c r="R16" s="2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82" t="s">
        <v>5</v>
      </c>
      <c r="B17" s="283"/>
      <c r="C17" s="283"/>
      <c r="D17" s="283"/>
      <c r="E17" s="283"/>
      <c r="F17" s="283"/>
      <c r="G17" s="5">
        <v>45990</v>
      </c>
      <c r="H17" s="278" t="s">
        <v>6</v>
      </c>
      <c r="I17" s="279"/>
      <c r="J17" s="279"/>
      <c r="K17" s="279"/>
      <c r="L17" s="279"/>
      <c r="M17" s="279"/>
      <c r="N17" s="279"/>
      <c r="O17" s="279"/>
      <c r="P17" s="279"/>
      <c r="Q17" s="279"/>
      <c r="R17" s="27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55" t="s">
        <v>7</v>
      </c>
      <c r="B18" s="55" t="s">
        <v>8</v>
      </c>
      <c r="C18" s="56" t="s">
        <v>9</v>
      </c>
      <c r="D18" s="55" t="s">
        <v>10</v>
      </c>
      <c r="E18" s="55" t="s">
        <v>11</v>
      </c>
      <c r="F18" s="55" t="s">
        <v>12</v>
      </c>
      <c r="G18" s="57" t="s">
        <v>13</v>
      </c>
      <c r="H18" s="55" t="s">
        <v>14</v>
      </c>
      <c r="I18" s="58" t="s">
        <v>15</v>
      </c>
      <c r="J18" s="59" t="s">
        <v>16</v>
      </c>
      <c r="K18" s="60" t="s">
        <v>17</v>
      </c>
      <c r="L18" s="59" t="s">
        <v>18</v>
      </c>
      <c r="M18" s="59" t="s">
        <v>19</v>
      </c>
      <c r="N18" s="59" t="s">
        <v>20</v>
      </c>
      <c r="O18" s="55" t="s">
        <v>21</v>
      </c>
      <c r="P18" s="56" t="s">
        <v>22</v>
      </c>
      <c r="Q18" s="59" t="s">
        <v>23</v>
      </c>
      <c r="R18" s="55"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177" t="s">
        <v>35</v>
      </c>
      <c r="B19" s="177" t="s">
        <v>1019</v>
      </c>
      <c r="C19" s="178">
        <v>0.86458333333333337</v>
      </c>
      <c r="D19" s="177" t="s">
        <v>37</v>
      </c>
      <c r="E19" s="177" t="s">
        <v>38</v>
      </c>
      <c r="F19" s="177" t="s">
        <v>1023</v>
      </c>
      <c r="G19" s="308"/>
      <c r="H19" s="255" t="s">
        <v>1021</v>
      </c>
      <c r="I19" s="256">
        <v>0.3095</v>
      </c>
      <c r="J19" s="257">
        <v>52</v>
      </c>
      <c r="K19" s="258">
        <v>45985</v>
      </c>
      <c r="L19" s="257">
        <v>31</v>
      </c>
      <c r="M19" s="257">
        <v>1</v>
      </c>
      <c r="N19" s="257">
        <v>3</v>
      </c>
      <c r="O19" s="259" t="s">
        <v>202</v>
      </c>
      <c r="P19" s="260">
        <v>0.86458333333333337</v>
      </c>
      <c r="Q19" s="257">
        <v>168</v>
      </c>
      <c r="R19" s="261" t="s">
        <v>1028</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88"/>
      <c r="B20" s="289"/>
      <c r="C20" s="289"/>
      <c r="D20" s="289"/>
      <c r="E20" s="289"/>
      <c r="F20" s="289"/>
      <c r="G20" s="289"/>
      <c r="H20" s="289"/>
      <c r="I20" s="289"/>
      <c r="J20" s="289"/>
      <c r="K20" s="289"/>
      <c r="L20" s="289"/>
      <c r="M20" s="289"/>
      <c r="N20" s="289"/>
      <c r="O20" s="289"/>
      <c r="P20" s="289"/>
      <c r="Q20" s="289"/>
      <c r="R20" s="29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82" t="s">
        <v>5</v>
      </c>
      <c r="B21" s="283"/>
      <c r="C21" s="283"/>
      <c r="D21" s="283"/>
      <c r="E21" s="283"/>
      <c r="F21" s="283"/>
      <c r="G21" s="5">
        <v>45991</v>
      </c>
      <c r="H21" s="278" t="s">
        <v>6</v>
      </c>
      <c r="I21" s="279"/>
      <c r="J21" s="279"/>
      <c r="K21" s="279"/>
      <c r="L21" s="279"/>
      <c r="M21" s="279"/>
      <c r="N21" s="279"/>
      <c r="O21" s="279"/>
      <c r="P21" s="279"/>
      <c r="Q21" s="279"/>
      <c r="R21" s="27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55" t="s">
        <v>7</v>
      </c>
      <c r="B22" s="55" t="s">
        <v>8</v>
      </c>
      <c r="C22" s="56" t="s">
        <v>9</v>
      </c>
      <c r="D22" s="55" t="s">
        <v>10</v>
      </c>
      <c r="E22" s="55" t="s">
        <v>11</v>
      </c>
      <c r="F22" s="55" t="s">
        <v>12</v>
      </c>
      <c r="G22" s="57" t="s">
        <v>13</v>
      </c>
      <c r="H22" s="55" t="s">
        <v>14</v>
      </c>
      <c r="I22" s="58" t="s">
        <v>15</v>
      </c>
      <c r="J22" s="59" t="s">
        <v>16</v>
      </c>
      <c r="K22" s="60" t="s">
        <v>17</v>
      </c>
      <c r="L22" s="59" t="s">
        <v>18</v>
      </c>
      <c r="M22" s="59" t="s">
        <v>19</v>
      </c>
      <c r="N22" s="59" t="s">
        <v>20</v>
      </c>
      <c r="O22" s="55" t="s">
        <v>21</v>
      </c>
      <c r="P22" s="56" t="s">
        <v>22</v>
      </c>
      <c r="Q22" s="59" t="s">
        <v>23</v>
      </c>
      <c r="R22" s="55"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235" t="s">
        <v>333</v>
      </c>
      <c r="B23" s="235" t="s">
        <v>1027</v>
      </c>
      <c r="C23" s="236">
        <v>0.45833333333333331</v>
      </c>
      <c r="D23" s="235" t="s">
        <v>37</v>
      </c>
      <c r="E23" s="235" t="s">
        <v>38</v>
      </c>
      <c r="F23" s="235" t="s">
        <v>1026</v>
      </c>
      <c r="G23" s="308"/>
      <c r="H23" s="50"/>
      <c r="I23" s="51"/>
      <c r="J23" s="51"/>
      <c r="K23" s="51"/>
      <c r="L23" s="51"/>
      <c r="M23" s="51"/>
      <c r="N23" s="51"/>
      <c r="O23" s="52"/>
      <c r="P23" s="51"/>
      <c r="Q23" s="53"/>
      <c r="R23" s="5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88"/>
      <c r="B24" s="289"/>
      <c r="C24" s="289"/>
      <c r="D24" s="289"/>
      <c r="E24" s="289"/>
      <c r="F24" s="289"/>
      <c r="G24" s="289"/>
      <c r="H24" s="289"/>
      <c r="I24" s="289"/>
      <c r="J24" s="289"/>
      <c r="K24" s="289"/>
      <c r="L24" s="289"/>
      <c r="M24" s="289"/>
      <c r="N24" s="289"/>
      <c r="O24" s="289"/>
      <c r="P24" s="289"/>
      <c r="Q24" s="289"/>
      <c r="R24" s="29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sheetData>
  <mergeCells count="29">
    <mergeCell ref="D1:F1"/>
    <mergeCell ref="G6"/>
    <mergeCell ref="H13:R13"/>
    <mergeCell ref="A1:C1"/>
    <mergeCell ref="A24:R24"/>
    <mergeCell ref="G1:H1"/>
    <mergeCell ref="G15"/>
    <mergeCell ref="A20:R20"/>
    <mergeCell ref="G23"/>
    <mergeCell ref="H17:R17"/>
    <mergeCell ref="A13:F13"/>
    <mergeCell ref="K2:R2"/>
    <mergeCell ref="G19"/>
    <mergeCell ref="H8:R8"/>
    <mergeCell ref="O1:Q1"/>
    <mergeCell ref="A7:R7"/>
    <mergeCell ref="A16:R16"/>
    <mergeCell ref="A21:F21"/>
    <mergeCell ref="H4:R4"/>
    <mergeCell ref="G10:G11"/>
    <mergeCell ref="A12:R12"/>
    <mergeCell ref="A2:F2"/>
    <mergeCell ref="A3:R3"/>
    <mergeCell ref="A8:F8"/>
    <mergeCell ref="H21:R21"/>
    <mergeCell ref="G2:J2"/>
    <mergeCell ref="A17:F17"/>
    <mergeCell ref="A4:F4"/>
    <mergeCell ref="J1:M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1021</v>
      </c>
      <c r="D2" s="95">
        <v>0.45833333333333331</v>
      </c>
      <c r="E2" s="94" t="s">
        <v>1018</v>
      </c>
      <c r="F2" s="94" t="s">
        <v>174</v>
      </c>
      <c r="G2" s="96">
        <v>0.91669999999999996</v>
      </c>
      <c r="H2" s="97">
        <v>168</v>
      </c>
      <c r="I2" s="97">
        <v>154</v>
      </c>
      <c r="J2" s="97">
        <v>0</v>
      </c>
      <c r="K2" s="93">
        <v>45985</v>
      </c>
      <c r="L2" s="97">
        <v>2</v>
      </c>
      <c r="M2" s="97">
        <v>21</v>
      </c>
      <c r="N2" s="97">
        <v>93</v>
      </c>
      <c r="O2" s="94" t="s">
        <v>41</v>
      </c>
      <c r="P2" s="98"/>
      <c r="Q2" s="98"/>
      <c r="R2" s="98"/>
      <c r="S2" s="98"/>
      <c r="T2" s="98"/>
      <c r="U2" s="98"/>
      <c r="V2" s="98"/>
      <c r="W2" s="98"/>
      <c r="X2" s="97" t="s">
        <v>549</v>
      </c>
      <c r="Y2" s="97" t="s">
        <v>200</v>
      </c>
      <c r="Z2" s="97" t="s">
        <v>214</v>
      </c>
      <c r="AA2" s="97" t="s">
        <v>1029</v>
      </c>
      <c r="AB2" s="97" t="s">
        <v>1030</v>
      </c>
      <c r="AC2" s="97" t="s">
        <v>295</v>
      </c>
      <c r="AD2" s="97" t="s">
        <v>296</v>
      </c>
      <c r="AE2" s="97" t="s">
        <v>748</v>
      </c>
      <c r="AF2" s="98"/>
      <c r="AG2" s="98"/>
      <c r="AH2" s="98"/>
      <c r="AI2" s="98"/>
    </row>
    <row r="3" spans="1:35" ht="18" x14ac:dyDescent="0.3">
      <c r="A3" s="99" t="s">
        <v>197</v>
      </c>
      <c r="B3" s="100">
        <v>45988</v>
      </c>
      <c r="C3" s="101" t="s">
        <v>1021</v>
      </c>
      <c r="D3" s="102">
        <v>0.91319444444444453</v>
      </c>
      <c r="E3" s="101" t="s">
        <v>1018</v>
      </c>
      <c r="F3" s="101" t="s">
        <v>174</v>
      </c>
      <c r="G3" s="103">
        <v>0.47020000000000001</v>
      </c>
      <c r="H3" s="104">
        <v>168</v>
      </c>
      <c r="I3" s="104">
        <v>79</v>
      </c>
      <c r="J3" s="104">
        <v>0</v>
      </c>
      <c r="K3" s="100">
        <v>45984</v>
      </c>
      <c r="L3" s="104">
        <v>0</v>
      </c>
      <c r="M3" s="104">
        <v>7</v>
      </c>
      <c r="N3" s="104">
        <v>54</v>
      </c>
      <c r="O3" s="101" t="s">
        <v>202</v>
      </c>
      <c r="P3" s="105"/>
      <c r="Q3" s="105"/>
      <c r="R3" s="105"/>
      <c r="S3" s="105"/>
      <c r="T3" s="105"/>
      <c r="U3" s="105"/>
      <c r="V3" s="105"/>
      <c r="W3" s="105"/>
      <c r="X3" s="105"/>
      <c r="Y3" s="104" t="s">
        <v>200</v>
      </c>
      <c r="Z3" s="105"/>
      <c r="AA3" s="104" t="s">
        <v>215</v>
      </c>
      <c r="AB3" s="104" t="s">
        <v>491</v>
      </c>
      <c r="AC3" s="105"/>
      <c r="AD3" s="104" t="s">
        <v>528</v>
      </c>
      <c r="AE3" s="104" t="s">
        <v>1031</v>
      </c>
      <c r="AF3" s="105"/>
      <c r="AG3" s="105"/>
      <c r="AH3" s="105"/>
      <c r="AI3" s="105"/>
    </row>
    <row r="4" spans="1:35" ht="18" x14ac:dyDescent="0.3">
      <c r="A4" s="92" t="s">
        <v>205</v>
      </c>
      <c r="B4" s="93">
        <v>45990</v>
      </c>
      <c r="C4" s="94" t="s">
        <v>1021</v>
      </c>
      <c r="D4" s="95">
        <v>0.86458333333333337</v>
      </c>
      <c r="E4" s="94" t="s">
        <v>1018</v>
      </c>
      <c r="F4" s="94" t="s">
        <v>174</v>
      </c>
      <c r="G4" s="96">
        <v>0.3095</v>
      </c>
      <c r="H4" s="97">
        <v>168</v>
      </c>
      <c r="I4" s="97">
        <v>52</v>
      </c>
      <c r="J4" s="97">
        <v>0</v>
      </c>
      <c r="K4" s="93">
        <v>45985</v>
      </c>
      <c r="L4" s="97">
        <v>1</v>
      </c>
      <c r="M4" s="97">
        <v>3</v>
      </c>
      <c r="N4" s="97">
        <v>31</v>
      </c>
      <c r="O4" s="94" t="s">
        <v>202</v>
      </c>
      <c r="P4" s="98"/>
      <c r="Q4" s="98"/>
      <c r="R4" s="98"/>
      <c r="S4" s="98"/>
      <c r="T4" s="98"/>
      <c r="U4" s="98"/>
      <c r="V4" s="98"/>
      <c r="W4" s="98"/>
      <c r="X4" s="98"/>
      <c r="Y4" s="98"/>
      <c r="Z4" s="97" t="s">
        <v>525</v>
      </c>
      <c r="AA4" s="98"/>
      <c r="AB4" s="98"/>
      <c r="AC4" s="98"/>
      <c r="AD4" s="97" t="s">
        <v>1032</v>
      </c>
      <c r="AE4" s="97" t="s">
        <v>312</v>
      </c>
      <c r="AF4" s="98"/>
      <c r="AG4" s="98"/>
      <c r="AH4" s="98"/>
      <c r="AI4" s="98"/>
    </row>
    <row r="5" spans="1:35" ht="18" x14ac:dyDescent="0.3">
      <c r="A5" s="106" t="s">
        <v>219</v>
      </c>
      <c r="B5" s="107"/>
      <c r="C5" s="108">
        <f>COUNTA(C2:C4)</f>
        <v>3</v>
      </c>
      <c r="D5" s="107"/>
      <c r="E5" s="107"/>
      <c r="F5" s="107"/>
      <c r="G5" s="109">
        <f>AVERAGE(G2:G4)</f>
        <v>0.56546666666666667</v>
      </c>
      <c r="H5" s="110">
        <f>SUM(H2:H4)</f>
        <v>504</v>
      </c>
      <c r="I5" s="110">
        <f>SUM(I2:I4)</f>
        <v>285</v>
      </c>
      <c r="J5" s="110">
        <f>SUM(J2:J4)</f>
        <v>0</v>
      </c>
      <c r="K5" s="107"/>
      <c r="L5" s="110">
        <f>SUM(L2:L4)</f>
        <v>3</v>
      </c>
      <c r="M5" s="110">
        <f>SUM(M2:M4)</f>
        <v>31</v>
      </c>
      <c r="N5" s="110">
        <f>SUM(N2:N4)</f>
        <v>178</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32000000}"/>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7"/>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262">
        <v>45986</v>
      </c>
      <c r="B2" s="155" t="s">
        <v>35</v>
      </c>
      <c r="C2" s="156" t="s">
        <v>1019</v>
      </c>
      <c r="D2" s="155" t="s">
        <v>1018</v>
      </c>
      <c r="E2" s="157">
        <v>1.458333333333333</v>
      </c>
      <c r="F2" s="155" t="s">
        <v>37</v>
      </c>
      <c r="G2" s="158">
        <v>9</v>
      </c>
      <c r="H2" s="263">
        <v>668</v>
      </c>
    </row>
    <row r="3" spans="1:8" ht="18" x14ac:dyDescent="0.3">
      <c r="A3" s="187">
        <v>45988</v>
      </c>
      <c r="B3" s="125" t="s">
        <v>35</v>
      </c>
      <c r="C3" s="126" t="s">
        <v>1019</v>
      </c>
      <c r="D3" s="125" t="s">
        <v>1018</v>
      </c>
      <c r="E3" s="127">
        <v>1.913194444444444</v>
      </c>
      <c r="F3" s="125" t="s">
        <v>37</v>
      </c>
      <c r="G3" s="128">
        <v>9</v>
      </c>
      <c r="H3" s="200">
        <v>420</v>
      </c>
    </row>
    <row r="4" spans="1:8" ht="18" x14ac:dyDescent="0.3">
      <c r="A4" s="194">
        <v>45988</v>
      </c>
      <c r="B4" s="195" t="s">
        <v>333</v>
      </c>
      <c r="C4" s="196" t="s">
        <v>1025</v>
      </c>
      <c r="D4" s="195" t="s">
        <v>1018</v>
      </c>
      <c r="E4" s="197">
        <v>1.90625</v>
      </c>
      <c r="F4" s="195" t="s">
        <v>37</v>
      </c>
      <c r="G4" s="198">
        <v>1</v>
      </c>
      <c r="H4" s="223">
        <v>421</v>
      </c>
    </row>
    <row r="5" spans="1:8" ht="18" x14ac:dyDescent="0.3">
      <c r="A5" s="237">
        <v>45989</v>
      </c>
      <c r="B5" s="195" t="s">
        <v>333</v>
      </c>
      <c r="C5" s="196" t="s">
        <v>1027</v>
      </c>
      <c r="D5" s="195" t="s">
        <v>1018</v>
      </c>
      <c r="E5" s="197">
        <v>1.458333333333333</v>
      </c>
      <c r="F5" s="195" t="s">
        <v>37</v>
      </c>
      <c r="G5" s="198">
        <v>9</v>
      </c>
      <c r="H5" s="238">
        <v>421</v>
      </c>
    </row>
    <row r="6" spans="1:8" ht="18" x14ac:dyDescent="0.3">
      <c r="A6" s="262">
        <v>45990</v>
      </c>
      <c r="B6" s="155" t="s">
        <v>35</v>
      </c>
      <c r="C6" s="156" t="s">
        <v>1019</v>
      </c>
      <c r="D6" s="155" t="s">
        <v>1018</v>
      </c>
      <c r="E6" s="157">
        <v>1.864583333333333</v>
      </c>
      <c r="F6" s="155" t="s">
        <v>37</v>
      </c>
      <c r="G6" s="158">
        <v>9</v>
      </c>
      <c r="H6" s="263">
        <v>420</v>
      </c>
    </row>
    <row r="7" spans="1:8" ht="18" x14ac:dyDescent="0.3">
      <c r="A7" s="237">
        <v>45991</v>
      </c>
      <c r="B7" s="195" t="s">
        <v>333</v>
      </c>
      <c r="C7" s="196" t="s">
        <v>1027</v>
      </c>
      <c r="D7" s="195" t="s">
        <v>1018</v>
      </c>
      <c r="E7" s="197">
        <v>1.458333333333333</v>
      </c>
      <c r="F7" s="195" t="s">
        <v>37</v>
      </c>
      <c r="G7" s="198">
        <v>9</v>
      </c>
      <c r="H7" s="238">
        <v>421</v>
      </c>
    </row>
  </sheetData>
  <dataValidations count="3">
    <dataValidation type="custom" allowBlank="1" showInputMessage="1" promptTitle="LOAD FACTOR ANALYSIS" prompt="SM-322_x000d__x000a_LF 91.7%_x000d__x000a_SOLD 154_x000d__x000a_LST-SOLD 24NOV_x000d__x000a_WEEKLY 93_x000d__x000a_TO-DAY 2_x000d__x000a_Y-DAY 21_x000d__x000a_LOWEST AVAIL W9_x000d__x000a_CAPACITY 168_x000d__x000a_CLASSES G1 &amp; S1 &amp; W4 &amp; +5 more" sqref="A2 B2 C2 D2 E2 F2 G2 H2" xr:uid="{00000000-0002-0000-3300-000000000000}">
      <formula1>TRUE</formula1>
    </dataValidation>
    <dataValidation type="custom" allowBlank="1" showInputMessage="1" promptTitle="LOAD FACTOR ANALYSIS" prompt="SM-322_x000d__x000a_LF 47.0%_x000d__x000a_SOLD 79_x000d__x000a_LST-SOLD 23NOV_x000d__x000a_WEEKLY 54_x000d__x000a_TO-DAY NIL_x000d__x000a_Y-DAY 7_x000d__x000a_LOWEST AVAIL O9_x000d__x000a_CAPACITY 168_x000d__x000a_CLASSES S1 &amp; T4 &amp; X1 &amp; +2 more" sqref="A3 B3 C3 D3 E3 F3 G3 H3" xr:uid="{00000000-0002-0000-3300-000001000000}">
      <formula1>TRUE</formula1>
    </dataValidation>
    <dataValidation type="custom" allowBlank="1" showInputMessage="1" promptTitle="LOAD FACTOR ANALYSIS" prompt="SM-322_x000d__x000a_LF 30.9%_x000d__x000a_SOLD 52_x000d__x000a_LST-SOLD 24NOV_x000d__x000a_WEEKLY 31_x000d__x000a_TO-DAY 1_x000d__x000a_Y-DAY 3_x000d__x000a_LOWEST AVAIL O9_x000d__x000a_CAPACITY 168_x000d__x000a_CLASSES W1 &amp; O50 &amp; I1" sqref="A6 B6 C6 D6 E6 F6 G6 H6" xr:uid="{00000000-0002-0000-3300-000002000000}">
      <formula1>TRUE</formula1>
    </dataValidation>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9"/>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20.664062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3.44140625" bestFit="1" customWidth="1"/>
  </cols>
  <sheetData>
    <row r="1" spans="1:92" ht="28.8" customHeight="1" x14ac:dyDescent="0.3">
      <c r="A1" s="305" t="s">
        <v>0</v>
      </c>
      <c r="B1" s="281"/>
      <c r="C1" s="281"/>
      <c r="D1" s="305" t="s">
        <v>1033</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45985.360381063983</v>
      </c>
      <c r="H2" s="292"/>
      <c r="I2" s="292"/>
      <c r="J2" s="292"/>
      <c r="K2" s="303">
        <v>45985.360381064471</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45989</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77" t="s">
        <v>35</v>
      </c>
      <c r="B6" s="177" t="s">
        <v>1034</v>
      </c>
      <c r="C6" s="178">
        <v>0.63541666666666663</v>
      </c>
      <c r="D6" s="177" t="s">
        <v>37</v>
      </c>
      <c r="E6" s="177" t="s">
        <v>58</v>
      </c>
      <c r="F6" s="177" t="s">
        <v>1035</v>
      </c>
      <c r="G6" s="284"/>
      <c r="H6" s="179" t="s">
        <v>1036</v>
      </c>
      <c r="I6" s="204">
        <v>0.5655</v>
      </c>
      <c r="J6" s="181">
        <v>95</v>
      </c>
      <c r="K6" s="182">
        <v>45984</v>
      </c>
      <c r="L6" s="181">
        <v>61</v>
      </c>
      <c r="M6" s="181">
        <v>0</v>
      </c>
      <c r="N6" s="181">
        <v>6</v>
      </c>
      <c r="O6" s="183" t="s">
        <v>271</v>
      </c>
      <c r="P6" s="184">
        <v>0.63541666666666663</v>
      </c>
      <c r="Q6" s="181">
        <v>168</v>
      </c>
      <c r="R6" s="185" t="s">
        <v>1037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6" t="s">
        <v>1038</v>
      </c>
      <c r="B7" s="307"/>
      <c r="C7" s="307"/>
      <c r="D7" s="307"/>
      <c r="E7" s="307"/>
      <c r="F7" s="307"/>
      <c r="G7" s="285"/>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61" t="s">
        <v>333</v>
      </c>
      <c r="B8" s="61" t="s">
        <v>1027</v>
      </c>
      <c r="C8" s="62" t="s">
        <v>654</v>
      </c>
      <c r="D8" s="61" t="s">
        <v>37</v>
      </c>
      <c r="E8" s="61" t="s">
        <v>235</v>
      </c>
      <c r="F8" s="61" t="s">
        <v>1026</v>
      </c>
      <c r="G8" s="286"/>
      <c r="H8" s="174"/>
      <c r="I8" s="174"/>
      <c r="J8" s="174"/>
      <c r="K8" s="174"/>
      <c r="L8" s="174"/>
      <c r="M8" s="174"/>
      <c r="N8" s="174"/>
      <c r="O8" s="175"/>
      <c r="P8" s="174"/>
      <c r="Q8" s="176"/>
      <c r="R8" s="17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88"/>
      <c r="B9" s="289"/>
      <c r="C9" s="289"/>
      <c r="D9" s="289"/>
      <c r="E9" s="289"/>
      <c r="F9" s="289"/>
      <c r="G9" s="289"/>
      <c r="H9" s="289"/>
      <c r="I9" s="289"/>
      <c r="J9" s="289"/>
      <c r="K9" s="289"/>
      <c r="L9" s="289"/>
      <c r="M9" s="289"/>
      <c r="N9" s="289"/>
      <c r="O9" s="289"/>
      <c r="P9" s="289"/>
      <c r="Q9" s="289"/>
      <c r="R9" s="2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sheetData>
  <mergeCells count="14">
    <mergeCell ref="G6:G8"/>
    <mergeCell ref="A4:F4"/>
    <mergeCell ref="A9:R9"/>
    <mergeCell ref="D1:F1"/>
    <mergeCell ref="J1:M1"/>
    <mergeCell ref="A7:F7"/>
    <mergeCell ref="A2:F2"/>
    <mergeCell ref="A3:R3"/>
    <mergeCell ref="O1:Q1"/>
    <mergeCell ref="H4:R4"/>
    <mergeCell ref="A1:C1"/>
    <mergeCell ref="G1:H1"/>
    <mergeCell ref="K2:R2"/>
    <mergeCell ref="G2:J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543</v>
      </c>
      <c r="B2" s="93">
        <v>45989</v>
      </c>
      <c r="C2" s="94" t="s">
        <v>1036</v>
      </c>
      <c r="D2" s="95">
        <v>0.63541666666666663</v>
      </c>
      <c r="E2" s="94" t="s">
        <v>1033</v>
      </c>
      <c r="F2" s="94" t="s">
        <v>174</v>
      </c>
      <c r="G2" s="96">
        <v>0.5655</v>
      </c>
      <c r="H2" s="97">
        <v>168</v>
      </c>
      <c r="I2" s="97">
        <v>95</v>
      </c>
      <c r="J2" s="97">
        <v>0</v>
      </c>
      <c r="K2" s="93">
        <v>45984</v>
      </c>
      <c r="L2" s="97">
        <v>0</v>
      </c>
      <c r="M2" s="97">
        <v>6</v>
      </c>
      <c r="N2" s="97">
        <v>61</v>
      </c>
      <c r="O2" s="94" t="s">
        <v>271</v>
      </c>
      <c r="P2" s="98"/>
      <c r="Q2" s="98"/>
      <c r="R2" s="98"/>
      <c r="S2" s="98"/>
      <c r="T2" s="98"/>
      <c r="U2" s="98"/>
      <c r="V2" s="98"/>
      <c r="W2" s="98"/>
      <c r="X2" s="98"/>
      <c r="Y2" s="98"/>
      <c r="Z2" s="98"/>
      <c r="AA2" s="98"/>
      <c r="AB2" s="97" t="s">
        <v>511</v>
      </c>
      <c r="AC2" s="97" t="s">
        <v>1039</v>
      </c>
      <c r="AD2" s="97" t="s">
        <v>928</v>
      </c>
      <c r="AE2" s="97" t="s">
        <v>312</v>
      </c>
      <c r="AF2" s="98"/>
      <c r="AG2" s="98"/>
      <c r="AH2" s="98"/>
      <c r="AI2" s="98"/>
    </row>
    <row r="3" spans="1:35" ht="18" x14ac:dyDescent="0.3">
      <c r="A3" s="106" t="s">
        <v>219</v>
      </c>
      <c r="B3" s="107"/>
      <c r="C3" s="108">
        <f>COUNTA(C2:C2)</f>
        <v>1</v>
      </c>
      <c r="D3" s="107"/>
      <c r="E3" s="107"/>
      <c r="F3" s="107"/>
      <c r="G3" s="109">
        <f>AVERAGE(G2:G2)</f>
        <v>0.5655</v>
      </c>
      <c r="H3" s="110">
        <f>SUM(H2:H2)</f>
        <v>168</v>
      </c>
      <c r="I3" s="110">
        <f>SUM(I2:I2)</f>
        <v>95</v>
      </c>
      <c r="J3" s="110">
        <f>SUM(J2:J2)</f>
        <v>0</v>
      </c>
      <c r="K3" s="107"/>
      <c r="L3" s="110">
        <f>SUM(L2:L2)</f>
        <v>0</v>
      </c>
      <c r="M3" s="110">
        <f>SUM(M2:M2)</f>
        <v>6</v>
      </c>
      <c r="N3" s="110">
        <f>SUM(N2:N2)</f>
        <v>61</v>
      </c>
      <c r="O3" s="107"/>
      <c r="P3" s="110">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110">
        <f t="shared" si="0"/>
        <v>0</v>
      </c>
      <c r="R3" s="110">
        <f t="shared" si="0"/>
        <v>0</v>
      </c>
      <c r="S3" s="110">
        <f t="shared" si="0"/>
        <v>0</v>
      </c>
      <c r="T3" s="110">
        <f t="shared" si="0"/>
        <v>0</v>
      </c>
      <c r="U3" s="110">
        <f t="shared" si="0"/>
        <v>0</v>
      </c>
      <c r="V3" s="110">
        <f t="shared" si="0"/>
        <v>0</v>
      </c>
      <c r="W3" s="110">
        <f t="shared" si="0"/>
        <v>0</v>
      </c>
      <c r="X3" s="110">
        <f t="shared" si="0"/>
        <v>0</v>
      </c>
      <c r="Y3" s="110">
        <f t="shared" si="0"/>
        <v>0</v>
      </c>
      <c r="Z3" s="110">
        <f t="shared" si="0"/>
        <v>0</v>
      </c>
      <c r="AA3" s="110">
        <f t="shared" si="0"/>
        <v>0</v>
      </c>
      <c r="AB3" s="110">
        <f t="shared" si="0"/>
        <v>5</v>
      </c>
      <c r="AC3" s="110">
        <f t="shared" si="0"/>
        <v>40</v>
      </c>
      <c r="AD3" s="110">
        <f t="shared" si="0"/>
        <v>49</v>
      </c>
      <c r="AE3" s="110">
        <f t="shared" si="0"/>
        <v>1</v>
      </c>
      <c r="AF3" s="110">
        <f t="shared" si="0"/>
        <v>0</v>
      </c>
      <c r="AG3" s="110">
        <f t="shared" si="0"/>
        <v>0</v>
      </c>
      <c r="AH3" s="110">
        <f t="shared" si="0"/>
        <v>0</v>
      </c>
      <c r="AI3" s="110">
        <f t="shared" si="0"/>
        <v>0</v>
      </c>
    </row>
  </sheetData>
  <autoFilter ref="A1:AI2" xr:uid="{00000000-0009-0000-0000-000035000000}"/>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3"/>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31.88671875" bestFit="1" customWidth="1"/>
    <col min="6" max="6" width="33.4414062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5.6" x14ac:dyDescent="0.3">
      <c r="A2" s="189"/>
      <c r="B2" s="189"/>
      <c r="C2" s="189"/>
      <c r="D2" s="189"/>
      <c r="E2" s="190" t="s">
        <v>1040</v>
      </c>
      <c r="F2" s="189"/>
      <c r="G2" s="189"/>
      <c r="H2" s="3"/>
    </row>
    <row r="3" spans="1:8" ht="18" x14ac:dyDescent="0.3">
      <c r="A3" s="262">
        <v>45986</v>
      </c>
      <c r="B3" s="155" t="s">
        <v>35</v>
      </c>
      <c r="C3" s="156" t="s">
        <v>1019</v>
      </c>
      <c r="D3" s="155" t="s">
        <v>1018</v>
      </c>
      <c r="E3" s="157">
        <v>1.458333333333333</v>
      </c>
      <c r="F3" s="155" t="s">
        <v>37</v>
      </c>
      <c r="G3" s="158">
        <v>9</v>
      </c>
      <c r="H3" s="263">
        <v>668</v>
      </c>
    </row>
    <row r="4" spans="1:8" ht="15.6" x14ac:dyDescent="0.3">
      <c r="A4" s="189"/>
      <c r="B4" s="189"/>
      <c r="C4" s="189"/>
      <c r="D4" s="189"/>
      <c r="E4" s="190" t="s">
        <v>1040</v>
      </c>
      <c r="F4" s="189"/>
      <c r="G4" s="189"/>
      <c r="H4" s="3"/>
    </row>
    <row r="5" spans="1:8" ht="18" x14ac:dyDescent="0.3">
      <c r="A5" s="187">
        <v>45988</v>
      </c>
      <c r="B5" s="125" t="s">
        <v>35</v>
      </c>
      <c r="C5" s="126" t="s">
        <v>1019</v>
      </c>
      <c r="D5" s="125" t="s">
        <v>1018</v>
      </c>
      <c r="E5" s="127">
        <v>1.913194444444444</v>
      </c>
      <c r="F5" s="125" t="s">
        <v>37</v>
      </c>
      <c r="G5" s="128">
        <v>9</v>
      </c>
      <c r="H5" s="200">
        <v>420</v>
      </c>
    </row>
    <row r="6" spans="1:8" ht="18" x14ac:dyDescent="0.3">
      <c r="A6" s="194">
        <v>45988</v>
      </c>
      <c r="B6" s="195" t="s">
        <v>333</v>
      </c>
      <c r="C6" s="196" t="s">
        <v>1025</v>
      </c>
      <c r="D6" s="195" t="s">
        <v>1018</v>
      </c>
      <c r="E6" s="197">
        <v>1.90625</v>
      </c>
      <c r="F6" s="195" t="s">
        <v>37</v>
      </c>
      <c r="G6" s="198">
        <v>1</v>
      </c>
      <c r="H6" s="223">
        <v>421</v>
      </c>
    </row>
    <row r="7" spans="1:8" ht="18" x14ac:dyDescent="0.3">
      <c r="A7" s="187">
        <v>45989</v>
      </c>
      <c r="B7" s="125" t="s">
        <v>35</v>
      </c>
      <c r="C7" s="126" t="s">
        <v>1034</v>
      </c>
      <c r="D7" s="125" t="s">
        <v>1033</v>
      </c>
      <c r="E7" s="127">
        <v>1.635416666666667</v>
      </c>
      <c r="F7" s="125" t="s">
        <v>37</v>
      </c>
      <c r="G7" s="128">
        <v>8</v>
      </c>
      <c r="H7" s="200">
        <v>538</v>
      </c>
    </row>
    <row r="8" spans="1:8" ht="15.6" x14ac:dyDescent="0.3">
      <c r="A8" s="189"/>
      <c r="B8" s="189"/>
      <c r="C8" s="189"/>
      <c r="D8" s="189"/>
      <c r="E8" s="190" t="s">
        <v>1040</v>
      </c>
      <c r="F8" s="189"/>
      <c r="G8" s="189"/>
      <c r="H8" s="3"/>
    </row>
    <row r="9" spans="1:8" ht="18" x14ac:dyDescent="0.3">
      <c r="A9" s="194">
        <v>45989</v>
      </c>
      <c r="B9" s="195" t="s">
        <v>333</v>
      </c>
      <c r="C9" s="196" t="s">
        <v>1027</v>
      </c>
      <c r="D9" s="195" t="s">
        <v>1018</v>
      </c>
      <c r="E9" s="197">
        <v>1.458333333333333</v>
      </c>
      <c r="F9" s="195" t="s">
        <v>37</v>
      </c>
      <c r="G9" s="198">
        <v>9</v>
      </c>
      <c r="H9" s="223">
        <v>421</v>
      </c>
    </row>
    <row r="10" spans="1:8" ht="15.6" x14ac:dyDescent="0.3">
      <c r="A10" s="189"/>
      <c r="B10" s="189"/>
      <c r="C10" s="189"/>
      <c r="D10" s="189"/>
      <c r="E10" s="190" t="s">
        <v>1040</v>
      </c>
      <c r="F10" s="189"/>
      <c r="G10" s="189"/>
      <c r="H10" s="3"/>
    </row>
    <row r="11" spans="1:8" ht="18" x14ac:dyDescent="0.3">
      <c r="A11" s="262">
        <v>45990</v>
      </c>
      <c r="B11" s="155" t="s">
        <v>35</v>
      </c>
      <c r="C11" s="156" t="s">
        <v>1019</v>
      </c>
      <c r="D11" s="155" t="s">
        <v>1018</v>
      </c>
      <c r="E11" s="157">
        <v>1.864583333333333</v>
      </c>
      <c r="F11" s="155" t="s">
        <v>37</v>
      </c>
      <c r="G11" s="158">
        <v>9</v>
      </c>
      <c r="H11" s="263">
        <v>420</v>
      </c>
    </row>
    <row r="12" spans="1:8" ht="15.6" x14ac:dyDescent="0.3">
      <c r="A12" s="189"/>
      <c r="B12" s="189"/>
      <c r="C12" s="189"/>
      <c r="D12" s="189"/>
      <c r="E12" s="190" t="s">
        <v>1040</v>
      </c>
      <c r="F12" s="189"/>
      <c r="G12" s="189"/>
      <c r="H12" s="3"/>
    </row>
    <row r="13" spans="1:8" ht="18" x14ac:dyDescent="0.3">
      <c r="A13" s="237">
        <v>45991</v>
      </c>
      <c r="B13" s="195" t="s">
        <v>333</v>
      </c>
      <c r="C13" s="196" t="s">
        <v>1027</v>
      </c>
      <c r="D13" s="195" t="s">
        <v>1018</v>
      </c>
      <c r="E13" s="197">
        <v>1.458333333333333</v>
      </c>
      <c r="F13" s="195" t="s">
        <v>37</v>
      </c>
      <c r="G13" s="198">
        <v>9</v>
      </c>
      <c r="H13" s="238">
        <v>421</v>
      </c>
    </row>
  </sheetData>
  <dataValidations count="2">
    <dataValidation type="custom" allowBlank="1" showInputMessage="1" promptTitle="LOAD FACTOR ANALYSIS" prompt="SM-322_x000d__x000a_LF -_x000d__x000a_SOLD -_x000d__x000a_LST-SOLD -_x000d__x000a_WEEKLY -_x000d__x000a_TO-DAY -_x000d__x000a_Y-DAY -_x000d__x000a_LOWEST AVAIL -_x000d__x000a_CAPACITY -_x000d__x000a_CLASSES -" sqref="A3 A5 A11 B3 B5 B11 C3 C5 C11 D3 D5 D11 E3 E5 E11 F3 F5 F11 G3 G5 G11 H3 H5 H11" xr:uid="{00000000-0002-0000-3600-000000000000}">
      <formula1>TRUE</formula1>
    </dataValidation>
    <dataValidation type="custom" allowBlank="1" showInputMessage="1" promptTitle="LOAD FACTOR ANALYSIS" prompt="SM-324_x000d__x000a_LF 56.5%_x000d__x000a_SOLD 95_x000d__x000a_LST-SOLD 23NOV_x000d__x000a_WEEKLY 61_x000d__x000a_TO-DAY NIL_x000d__x000a_Y-DAY 6_x000d__x000a_LOWEST AVAIL X8_x000d__x000a_CAPACITY 168_x000d__x000a_CLASSES X5 &amp; U40 &amp; O49 &amp; +1 more" sqref="A7 B7 C7 D7 E7 F7 G7 H7" xr:uid="{00000000-0002-0000-3600-000001000000}">
      <formula1>TRUE</formula1>
    </dataValidation>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30"/>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5.88671875" bestFit="1" customWidth="1"/>
  </cols>
  <sheetData>
    <row r="1" spans="1:92" ht="28.8" customHeight="1" x14ac:dyDescent="0.3">
      <c r="A1" s="305" t="s">
        <v>0</v>
      </c>
      <c r="B1" s="281"/>
      <c r="C1" s="281"/>
      <c r="D1" s="305" t="s">
        <v>1041</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45985.360381690407</v>
      </c>
      <c r="H2" s="292"/>
      <c r="I2" s="292"/>
      <c r="J2" s="292"/>
      <c r="K2" s="303">
        <v>45985.360381690938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333</v>
      </c>
      <c r="B6" s="8" t="s">
        <v>1042</v>
      </c>
      <c r="C6" s="9">
        <v>0.17708333333333329</v>
      </c>
      <c r="D6" s="8" t="s">
        <v>37</v>
      </c>
      <c r="E6" s="8" t="s">
        <v>95</v>
      </c>
      <c r="F6" s="8" t="s">
        <v>1043</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64" t="s">
        <v>35</v>
      </c>
      <c r="B7" s="264" t="s">
        <v>1044</v>
      </c>
      <c r="C7" s="265">
        <v>0.99305555555555547</v>
      </c>
      <c r="D7" s="264" t="s">
        <v>37</v>
      </c>
      <c r="E7" s="264" t="s">
        <v>124</v>
      </c>
      <c r="F7" s="264" t="s">
        <v>1045</v>
      </c>
      <c r="G7" s="286"/>
      <c r="H7" s="255" t="s">
        <v>1046</v>
      </c>
      <c r="I7" s="266">
        <v>0.96650000000000003</v>
      </c>
      <c r="J7" s="257">
        <v>173</v>
      </c>
      <c r="K7" s="258">
        <v>45984</v>
      </c>
      <c r="L7" s="257">
        <v>6</v>
      </c>
      <c r="M7" s="257">
        <v>0</v>
      </c>
      <c r="N7" s="257">
        <v>4</v>
      </c>
      <c r="O7" s="259" t="s">
        <v>1047</v>
      </c>
      <c r="P7" s="260">
        <v>0.99305555555555547</v>
      </c>
      <c r="Q7" s="257">
        <v>179</v>
      </c>
      <c r="R7" s="261" t="s">
        <v>1048</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95"/>
      <c r="B8" s="296"/>
      <c r="C8" s="296"/>
      <c r="D8" s="296"/>
      <c r="E8" s="296"/>
      <c r="F8" s="296"/>
      <c r="G8" s="289"/>
      <c r="H8" s="297"/>
      <c r="I8" s="297"/>
      <c r="J8" s="297"/>
      <c r="K8" s="297"/>
      <c r="L8" s="297"/>
      <c r="M8" s="297"/>
      <c r="N8" s="297"/>
      <c r="O8" s="298"/>
      <c r="P8" s="297"/>
      <c r="Q8" s="289"/>
      <c r="R8" s="2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82" t="s">
        <v>5</v>
      </c>
      <c r="B9" s="283"/>
      <c r="C9" s="283"/>
      <c r="D9" s="283"/>
      <c r="E9" s="283"/>
      <c r="F9" s="283"/>
      <c r="G9" s="5">
        <v>45987</v>
      </c>
      <c r="H9" s="278" t="s">
        <v>6</v>
      </c>
      <c r="I9" s="279"/>
      <c r="J9" s="279"/>
      <c r="K9" s="279"/>
      <c r="L9" s="279"/>
      <c r="M9" s="279"/>
      <c r="N9" s="279"/>
      <c r="O9" s="279"/>
      <c r="P9" s="279"/>
      <c r="Q9" s="279"/>
      <c r="R9" s="27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55" t="s">
        <v>7</v>
      </c>
      <c r="B10" s="55" t="s">
        <v>8</v>
      </c>
      <c r="C10" s="56" t="s">
        <v>9</v>
      </c>
      <c r="D10" s="55" t="s">
        <v>10</v>
      </c>
      <c r="E10" s="55" t="s">
        <v>11</v>
      </c>
      <c r="F10" s="55" t="s">
        <v>12</v>
      </c>
      <c r="G10" s="57" t="s">
        <v>13</v>
      </c>
      <c r="H10" s="55" t="s">
        <v>14</v>
      </c>
      <c r="I10" s="58" t="s">
        <v>15</v>
      </c>
      <c r="J10" s="59" t="s">
        <v>16</v>
      </c>
      <c r="K10" s="60" t="s">
        <v>17</v>
      </c>
      <c r="L10" s="59" t="s">
        <v>18</v>
      </c>
      <c r="M10" s="59" t="s">
        <v>19</v>
      </c>
      <c r="N10" s="59" t="s">
        <v>20</v>
      </c>
      <c r="O10" s="55" t="s">
        <v>21</v>
      </c>
      <c r="P10" s="56" t="s">
        <v>22</v>
      </c>
      <c r="Q10" s="59" t="s">
        <v>23</v>
      </c>
      <c r="R10" s="55"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304</v>
      </c>
      <c r="B11" s="8" t="s">
        <v>1049</v>
      </c>
      <c r="C11" s="9">
        <v>0.59027777777777779</v>
      </c>
      <c r="D11" s="8" t="s">
        <v>306</v>
      </c>
      <c r="E11" s="8" t="s">
        <v>108</v>
      </c>
      <c r="F11" s="8" t="s">
        <v>485</v>
      </c>
      <c r="G11" s="284"/>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72" t="s">
        <v>35</v>
      </c>
      <c r="B12" s="72" t="s">
        <v>1044</v>
      </c>
      <c r="C12" s="73">
        <v>0.98611111111111116</v>
      </c>
      <c r="D12" s="72" t="s">
        <v>37</v>
      </c>
      <c r="E12" s="72" t="s">
        <v>38</v>
      </c>
      <c r="F12" s="72" t="s">
        <v>1045</v>
      </c>
      <c r="G12" s="286"/>
      <c r="H12" s="75" t="s">
        <v>1046</v>
      </c>
      <c r="I12" s="76">
        <v>0.87150000000000005</v>
      </c>
      <c r="J12" s="77">
        <v>156</v>
      </c>
      <c r="K12" s="78">
        <v>45984</v>
      </c>
      <c r="L12" s="77">
        <v>12</v>
      </c>
      <c r="M12" s="77">
        <v>0</v>
      </c>
      <c r="N12" s="77">
        <v>3</v>
      </c>
      <c r="O12" s="79" t="s">
        <v>181</v>
      </c>
      <c r="P12" s="80">
        <v>0.98611111111111116</v>
      </c>
      <c r="Q12" s="77">
        <v>179</v>
      </c>
      <c r="R12" s="81" t="s">
        <v>1050</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95"/>
      <c r="B13" s="296"/>
      <c r="C13" s="296"/>
      <c r="D13" s="296"/>
      <c r="E13" s="296"/>
      <c r="F13" s="296"/>
      <c r="G13" s="289"/>
      <c r="H13" s="297"/>
      <c r="I13" s="297"/>
      <c r="J13" s="297"/>
      <c r="K13" s="297"/>
      <c r="L13" s="297"/>
      <c r="M13" s="297"/>
      <c r="N13" s="297"/>
      <c r="O13" s="298"/>
      <c r="P13" s="297"/>
      <c r="Q13" s="289"/>
      <c r="R13" s="2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82" t="s">
        <v>5</v>
      </c>
      <c r="B14" s="283"/>
      <c r="C14" s="283"/>
      <c r="D14" s="283"/>
      <c r="E14" s="283"/>
      <c r="F14" s="283"/>
      <c r="G14" s="5">
        <v>45988</v>
      </c>
      <c r="H14" s="278" t="s">
        <v>6</v>
      </c>
      <c r="I14" s="279"/>
      <c r="J14" s="279"/>
      <c r="K14" s="279"/>
      <c r="L14" s="279"/>
      <c r="M14" s="279"/>
      <c r="N14" s="279"/>
      <c r="O14" s="279"/>
      <c r="P14" s="279"/>
      <c r="Q14" s="279"/>
      <c r="R14" s="27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55" t="s">
        <v>7</v>
      </c>
      <c r="B15" s="55" t="s">
        <v>8</v>
      </c>
      <c r="C15" s="56" t="s">
        <v>9</v>
      </c>
      <c r="D15" s="55" t="s">
        <v>10</v>
      </c>
      <c r="E15" s="55" t="s">
        <v>11</v>
      </c>
      <c r="F15" s="55" t="s">
        <v>12</v>
      </c>
      <c r="G15" s="57" t="s">
        <v>13</v>
      </c>
      <c r="H15" s="55" t="s">
        <v>14</v>
      </c>
      <c r="I15" s="58" t="s">
        <v>15</v>
      </c>
      <c r="J15" s="59" t="s">
        <v>16</v>
      </c>
      <c r="K15" s="60" t="s">
        <v>17</v>
      </c>
      <c r="L15" s="59" t="s">
        <v>18</v>
      </c>
      <c r="M15" s="59" t="s">
        <v>19</v>
      </c>
      <c r="N15" s="59" t="s">
        <v>20</v>
      </c>
      <c r="O15" s="55" t="s">
        <v>21</v>
      </c>
      <c r="P15" s="56" t="s">
        <v>22</v>
      </c>
      <c r="Q15" s="59" t="s">
        <v>23</v>
      </c>
      <c r="R15" s="55"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8" t="s">
        <v>333</v>
      </c>
      <c r="B16" s="8" t="s">
        <v>1042</v>
      </c>
      <c r="C16" s="9">
        <v>0.17708333333333329</v>
      </c>
      <c r="D16" s="8" t="s">
        <v>37</v>
      </c>
      <c r="E16" s="8" t="s">
        <v>38</v>
      </c>
      <c r="F16" s="8" t="s">
        <v>320</v>
      </c>
      <c r="G16" s="284"/>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246" t="s">
        <v>35</v>
      </c>
      <c r="B17" s="246" t="s">
        <v>1044</v>
      </c>
      <c r="C17" s="247">
        <v>0.59722222222222221</v>
      </c>
      <c r="D17" s="246" t="s">
        <v>37</v>
      </c>
      <c r="E17" s="246" t="s">
        <v>124</v>
      </c>
      <c r="F17" s="246" t="s">
        <v>1051</v>
      </c>
      <c r="G17" s="286"/>
      <c r="H17" s="248" t="s">
        <v>1046</v>
      </c>
      <c r="I17" s="267">
        <v>0.96650000000000003</v>
      </c>
      <c r="J17" s="250">
        <v>173</v>
      </c>
      <c r="K17" s="251">
        <v>45984</v>
      </c>
      <c r="L17" s="250">
        <v>5</v>
      </c>
      <c r="M17" s="250">
        <v>0</v>
      </c>
      <c r="N17" s="250">
        <v>1</v>
      </c>
      <c r="O17" s="252" t="s">
        <v>1052</v>
      </c>
      <c r="P17" s="253">
        <v>0.59722222222222221</v>
      </c>
      <c r="Q17" s="250">
        <v>179</v>
      </c>
      <c r="R17" s="254" t="s">
        <v>1053</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88"/>
      <c r="B18" s="289"/>
      <c r="C18" s="289"/>
      <c r="D18" s="289"/>
      <c r="E18" s="289"/>
      <c r="F18" s="289"/>
      <c r="G18" s="289"/>
      <c r="H18" s="289"/>
      <c r="I18" s="289"/>
      <c r="J18" s="289"/>
      <c r="K18" s="289"/>
      <c r="L18" s="289"/>
      <c r="M18" s="289"/>
      <c r="N18" s="289"/>
      <c r="O18" s="289"/>
      <c r="P18" s="289"/>
      <c r="Q18" s="289"/>
      <c r="R18" s="2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2" t="s">
        <v>5</v>
      </c>
      <c r="B19" s="283"/>
      <c r="C19" s="283"/>
      <c r="D19" s="283"/>
      <c r="E19" s="283"/>
      <c r="F19" s="283"/>
      <c r="G19" s="5">
        <v>45989</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55" t="s">
        <v>7</v>
      </c>
      <c r="B20" s="55" t="s">
        <v>8</v>
      </c>
      <c r="C20" s="56" t="s">
        <v>9</v>
      </c>
      <c r="D20" s="55" t="s">
        <v>10</v>
      </c>
      <c r="E20" s="55" t="s">
        <v>11</v>
      </c>
      <c r="F20" s="55" t="s">
        <v>12</v>
      </c>
      <c r="G20" s="57" t="s">
        <v>13</v>
      </c>
      <c r="H20" s="55" t="s">
        <v>14</v>
      </c>
      <c r="I20" s="58" t="s">
        <v>15</v>
      </c>
      <c r="J20" s="59" t="s">
        <v>16</v>
      </c>
      <c r="K20" s="60" t="s">
        <v>17</v>
      </c>
      <c r="L20" s="59" t="s">
        <v>18</v>
      </c>
      <c r="M20" s="59" t="s">
        <v>19</v>
      </c>
      <c r="N20" s="59" t="s">
        <v>20</v>
      </c>
      <c r="O20" s="55" t="s">
        <v>21</v>
      </c>
      <c r="P20" s="56" t="s">
        <v>22</v>
      </c>
      <c r="Q20" s="59" t="s">
        <v>23</v>
      </c>
      <c r="R20" s="55"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82" t="s">
        <v>35</v>
      </c>
      <c r="B21" s="82" t="s">
        <v>1044</v>
      </c>
      <c r="C21" s="83">
        <v>0.3263888888888889</v>
      </c>
      <c r="D21" s="82" t="s">
        <v>37</v>
      </c>
      <c r="E21" s="82" t="s">
        <v>38</v>
      </c>
      <c r="F21" s="82" t="s">
        <v>1035</v>
      </c>
      <c r="G21" s="308"/>
      <c r="H21" s="65" t="s">
        <v>1046</v>
      </c>
      <c r="I21" s="66">
        <v>0.85470000000000002</v>
      </c>
      <c r="J21" s="67">
        <v>153</v>
      </c>
      <c r="K21" s="68">
        <v>45984</v>
      </c>
      <c r="L21" s="67">
        <v>29</v>
      </c>
      <c r="M21" s="67">
        <v>0</v>
      </c>
      <c r="N21" s="67">
        <v>4</v>
      </c>
      <c r="O21" s="69" t="s">
        <v>563</v>
      </c>
      <c r="P21" s="70">
        <v>0.3263888888888889</v>
      </c>
      <c r="Q21" s="67">
        <v>179</v>
      </c>
      <c r="R21" s="71" t="s">
        <v>1054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95"/>
      <c r="B22" s="296"/>
      <c r="C22" s="296"/>
      <c r="D22" s="296"/>
      <c r="E22" s="296"/>
      <c r="F22" s="296"/>
      <c r="G22" s="289"/>
      <c r="H22" s="297"/>
      <c r="I22" s="297"/>
      <c r="J22" s="297"/>
      <c r="K22" s="297"/>
      <c r="L22" s="297"/>
      <c r="M22" s="297"/>
      <c r="N22" s="297"/>
      <c r="O22" s="298"/>
      <c r="P22" s="297"/>
      <c r="Q22" s="289"/>
      <c r="R22" s="29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82" t="s">
        <v>5</v>
      </c>
      <c r="B23" s="283"/>
      <c r="C23" s="283"/>
      <c r="D23" s="283"/>
      <c r="E23" s="283"/>
      <c r="F23" s="283"/>
      <c r="G23" s="5">
        <v>45990</v>
      </c>
      <c r="H23" s="278" t="s">
        <v>6</v>
      </c>
      <c r="I23" s="279"/>
      <c r="J23" s="279"/>
      <c r="K23" s="279"/>
      <c r="L23" s="279"/>
      <c r="M23" s="279"/>
      <c r="N23" s="279"/>
      <c r="O23" s="279"/>
      <c r="P23" s="279"/>
      <c r="Q23" s="279"/>
      <c r="R23" s="27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55" t="s">
        <v>7</v>
      </c>
      <c r="B24" s="55" t="s">
        <v>8</v>
      </c>
      <c r="C24" s="56" t="s">
        <v>9</v>
      </c>
      <c r="D24" s="55" t="s">
        <v>10</v>
      </c>
      <c r="E24" s="55" t="s">
        <v>11</v>
      </c>
      <c r="F24" s="55" t="s">
        <v>12</v>
      </c>
      <c r="G24" s="57" t="s">
        <v>13</v>
      </c>
      <c r="H24" s="55" t="s">
        <v>14</v>
      </c>
      <c r="I24" s="58" t="s">
        <v>15</v>
      </c>
      <c r="J24" s="59" t="s">
        <v>16</v>
      </c>
      <c r="K24" s="60" t="s">
        <v>17</v>
      </c>
      <c r="L24" s="59" t="s">
        <v>18</v>
      </c>
      <c r="M24" s="59" t="s">
        <v>19</v>
      </c>
      <c r="N24" s="59" t="s">
        <v>20</v>
      </c>
      <c r="O24" s="55" t="s">
        <v>21</v>
      </c>
      <c r="P24" s="56" t="s">
        <v>22</v>
      </c>
      <c r="Q24" s="59" t="s">
        <v>23</v>
      </c>
      <c r="R24" s="55"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177" t="s">
        <v>35</v>
      </c>
      <c r="B25" s="177" t="s">
        <v>1044</v>
      </c>
      <c r="C25" s="178">
        <v>0.28472222222222221</v>
      </c>
      <c r="D25" s="177" t="s">
        <v>37</v>
      </c>
      <c r="E25" s="177" t="s">
        <v>122</v>
      </c>
      <c r="F25" s="177" t="s">
        <v>1055</v>
      </c>
      <c r="G25" s="308"/>
      <c r="H25" s="255" t="s">
        <v>1046</v>
      </c>
      <c r="I25" s="266">
        <v>0.96089999999999998</v>
      </c>
      <c r="J25" s="257">
        <v>172</v>
      </c>
      <c r="K25" s="258">
        <v>45984</v>
      </c>
      <c r="L25" s="257">
        <v>11</v>
      </c>
      <c r="M25" s="257">
        <v>0</v>
      </c>
      <c r="N25" s="257">
        <v>1</v>
      </c>
      <c r="O25" s="259" t="s">
        <v>679</v>
      </c>
      <c r="P25" s="260">
        <v>0.28472222222222221</v>
      </c>
      <c r="Q25" s="257">
        <v>179</v>
      </c>
      <c r="R25" s="261" t="s">
        <v>1056</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88"/>
      <c r="B26" s="289"/>
      <c r="C26" s="289"/>
      <c r="D26" s="289"/>
      <c r="E26" s="289"/>
      <c r="F26" s="289"/>
      <c r="G26" s="289"/>
      <c r="H26" s="289"/>
      <c r="I26" s="289"/>
      <c r="J26" s="289"/>
      <c r="K26" s="289"/>
      <c r="L26" s="289"/>
      <c r="M26" s="289"/>
      <c r="N26" s="289"/>
      <c r="O26" s="289"/>
      <c r="P26" s="289"/>
      <c r="Q26" s="289"/>
      <c r="R26" s="2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82" t="s">
        <v>5</v>
      </c>
      <c r="B27" s="283"/>
      <c r="C27" s="283"/>
      <c r="D27" s="283"/>
      <c r="E27" s="283"/>
      <c r="F27" s="283"/>
      <c r="G27" s="5">
        <v>45991</v>
      </c>
      <c r="H27" s="278" t="s">
        <v>6</v>
      </c>
      <c r="I27" s="279"/>
      <c r="J27" s="279"/>
      <c r="K27" s="279"/>
      <c r="L27" s="279"/>
      <c r="M27" s="279"/>
      <c r="N27" s="279"/>
      <c r="O27" s="279"/>
      <c r="P27" s="279"/>
      <c r="Q27" s="279"/>
      <c r="R27" s="27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55" t="s">
        <v>7</v>
      </c>
      <c r="B28" s="55" t="s">
        <v>8</v>
      </c>
      <c r="C28" s="56" t="s">
        <v>9</v>
      </c>
      <c r="D28" s="55" t="s">
        <v>10</v>
      </c>
      <c r="E28" s="55" t="s">
        <v>11</v>
      </c>
      <c r="F28" s="55" t="s">
        <v>12</v>
      </c>
      <c r="G28" s="57" t="s">
        <v>13</v>
      </c>
      <c r="H28" s="55" t="s">
        <v>14</v>
      </c>
      <c r="I28" s="58" t="s">
        <v>15</v>
      </c>
      <c r="J28" s="59" t="s">
        <v>16</v>
      </c>
      <c r="K28" s="60" t="s">
        <v>17</v>
      </c>
      <c r="L28" s="59" t="s">
        <v>18</v>
      </c>
      <c r="M28" s="59" t="s">
        <v>19</v>
      </c>
      <c r="N28" s="59" t="s">
        <v>20</v>
      </c>
      <c r="O28" s="55" t="s">
        <v>21</v>
      </c>
      <c r="P28" s="56" t="s">
        <v>22</v>
      </c>
      <c r="Q28" s="59" t="s">
        <v>23</v>
      </c>
      <c r="R28" s="55"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169" t="s">
        <v>35</v>
      </c>
      <c r="B29" s="169" t="s">
        <v>1046</v>
      </c>
      <c r="C29" s="170">
        <v>0.375</v>
      </c>
      <c r="D29" s="169" t="s">
        <v>131</v>
      </c>
      <c r="E29" s="219"/>
      <c r="F29" s="169" t="s">
        <v>132</v>
      </c>
      <c r="G29" s="308"/>
      <c r="H29" s="268" t="s">
        <v>1046</v>
      </c>
      <c r="I29" s="269">
        <v>0.96650000000000003</v>
      </c>
      <c r="J29" s="270">
        <v>173</v>
      </c>
      <c r="K29" s="271">
        <v>45981</v>
      </c>
      <c r="L29" s="270">
        <v>14</v>
      </c>
      <c r="M29" s="270">
        <v>0</v>
      </c>
      <c r="N29" s="270">
        <v>0</v>
      </c>
      <c r="O29" s="272" t="s">
        <v>133</v>
      </c>
      <c r="P29" s="273">
        <v>0.375</v>
      </c>
      <c r="Q29" s="270">
        <v>179</v>
      </c>
      <c r="R29" s="274" t="s">
        <v>1057</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88"/>
      <c r="B30" s="289"/>
      <c r="C30" s="289"/>
      <c r="D30" s="289"/>
      <c r="E30" s="289"/>
      <c r="F30" s="289"/>
      <c r="G30" s="289"/>
      <c r="H30" s="289"/>
      <c r="I30" s="289"/>
      <c r="J30" s="289"/>
      <c r="K30" s="289"/>
      <c r="L30" s="289"/>
      <c r="M30" s="289"/>
      <c r="N30" s="289"/>
      <c r="O30" s="289"/>
      <c r="P30" s="289"/>
      <c r="Q30" s="289"/>
      <c r="R30" s="29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sheetData>
  <mergeCells count="33">
    <mergeCell ref="H27:R27"/>
    <mergeCell ref="A30:R30"/>
    <mergeCell ref="A1:C1"/>
    <mergeCell ref="G1:H1"/>
    <mergeCell ref="G11:G12"/>
    <mergeCell ref="H14:R14"/>
    <mergeCell ref="A4:F4"/>
    <mergeCell ref="A8:R8"/>
    <mergeCell ref="J1:M1"/>
    <mergeCell ref="A22:R22"/>
    <mergeCell ref="A19:F19"/>
    <mergeCell ref="A9:F9"/>
    <mergeCell ref="A13:R13"/>
    <mergeCell ref="K2:R2"/>
    <mergeCell ref="H19:R19"/>
    <mergeCell ref="G16:G17"/>
    <mergeCell ref="D1:F1"/>
    <mergeCell ref="H23:R23"/>
    <mergeCell ref="O1:Q1"/>
    <mergeCell ref="G29"/>
    <mergeCell ref="A27:F27"/>
    <mergeCell ref="G25"/>
    <mergeCell ref="H4:R4"/>
    <mergeCell ref="A18:R18"/>
    <mergeCell ref="A2:F2"/>
    <mergeCell ref="A3:R3"/>
    <mergeCell ref="H9:R9"/>
    <mergeCell ref="A26:R26"/>
    <mergeCell ref="A14:F14"/>
    <mergeCell ref="A23:F23"/>
    <mergeCell ref="G21"/>
    <mergeCell ref="G6:G7"/>
    <mergeCell ref="G2:J2"/>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8"/>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173</v>
      </c>
      <c r="B2" s="93">
        <v>45986</v>
      </c>
      <c r="C2" s="94" t="s">
        <v>1046</v>
      </c>
      <c r="D2" s="95">
        <v>0.99305555555555547</v>
      </c>
      <c r="E2" s="94" t="s">
        <v>1041</v>
      </c>
      <c r="F2" s="94" t="s">
        <v>174</v>
      </c>
      <c r="G2" s="96">
        <v>0.96650000000000003</v>
      </c>
      <c r="H2" s="97">
        <v>179</v>
      </c>
      <c r="I2" s="97">
        <v>173</v>
      </c>
      <c r="J2" s="97">
        <v>158</v>
      </c>
      <c r="K2" s="93">
        <v>45984</v>
      </c>
      <c r="L2" s="97">
        <v>0</v>
      </c>
      <c r="M2" s="97">
        <v>4</v>
      </c>
      <c r="N2" s="97">
        <v>6</v>
      </c>
      <c r="O2" s="94" t="s">
        <v>1047</v>
      </c>
      <c r="P2" s="98"/>
      <c r="Q2" s="98"/>
      <c r="R2" s="98"/>
      <c r="S2" s="98"/>
      <c r="T2" s="98"/>
      <c r="U2" s="98"/>
      <c r="V2" s="98"/>
      <c r="W2" s="97" t="s">
        <v>199</v>
      </c>
      <c r="X2" s="98"/>
      <c r="Y2" s="97" t="s">
        <v>754</v>
      </c>
      <c r="Z2" s="98"/>
      <c r="AA2" s="98"/>
      <c r="AB2" s="97" t="s">
        <v>511</v>
      </c>
      <c r="AC2" s="98"/>
      <c r="AD2" s="98"/>
      <c r="AE2" s="98"/>
      <c r="AF2" s="98"/>
      <c r="AG2" s="98"/>
      <c r="AH2" s="97" t="s">
        <v>678</v>
      </c>
      <c r="AI2" s="98"/>
    </row>
    <row r="3" spans="1:35" ht="18" x14ac:dyDescent="0.3">
      <c r="A3" s="99" t="s">
        <v>273</v>
      </c>
      <c r="B3" s="100">
        <v>45987</v>
      </c>
      <c r="C3" s="101" t="s">
        <v>1046</v>
      </c>
      <c r="D3" s="102">
        <v>0.98611111111111116</v>
      </c>
      <c r="E3" s="101" t="s">
        <v>1041</v>
      </c>
      <c r="F3" s="101" t="s">
        <v>174</v>
      </c>
      <c r="G3" s="103">
        <v>0.87150000000000005</v>
      </c>
      <c r="H3" s="104">
        <v>179</v>
      </c>
      <c r="I3" s="104">
        <v>156</v>
      </c>
      <c r="J3" s="104">
        <v>117</v>
      </c>
      <c r="K3" s="100">
        <v>45984</v>
      </c>
      <c r="L3" s="104">
        <v>0</v>
      </c>
      <c r="M3" s="104">
        <v>3</v>
      </c>
      <c r="N3" s="104">
        <v>12</v>
      </c>
      <c r="O3" s="101" t="s">
        <v>181</v>
      </c>
      <c r="P3" s="105"/>
      <c r="Q3" s="105"/>
      <c r="R3" s="105"/>
      <c r="S3" s="105"/>
      <c r="T3" s="105"/>
      <c r="U3" s="105"/>
      <c r="V3" s="105"/>
      <c r="W3" s="105"/>
      <c r="X3" s="105"/>
      <c r="Y3" s="104" t="s">
        <v>213</v>
      </c>
      <c r="Z3" s="104" t="s">
        <v>525</v>
      </c>
      <c r="AA3" s="104" t="s">
        <v>1058</v>
      </c>
      <c r="AB3" s="104" t="s">
        <v>192</v>
      </c>
      <c r="AC3" s="104" t="s">
        <v>217</v>
      </c>
      <c r="AD3" s="104" t="s">
        <v>463</v>
      </c>
      <c r="AE3" s="104" t="s">
        <v>972</v>
      </c>
      <c r="AF3" s="105"/>
      <c r="AG3" s="105"/>
      <c r="AH3" s="104" t="s">
        <v>504</v>
      </c>
      <c r="AI3" s="105"/>
    </row>
    <row r="4" spans="1:35" ht="18" x14ac:dyDescent="0.3">
      <c r="A4" s="92" t="s">
        <v>197</v>
      </c>
      <c r="B4" s="93">
        <v>45988</v>
      </c>
      <c r="C4" s="94" t="s">
        <v>1046</v>
      </c>
      <c r="D4" s="95">
        <v>0.59722222222222221</v>
      </c>
      <c r="E4" s="94" t="s">
        <v>1041</v>
      </c>
      <c r="F4" s="94" t="s">
        <v>174</v>
      </c>
      <c r="G4" s="96">
        <v>0.96650000000000003</v>
      </c>
      <c r="H4" s="97">
        <v>179</v>
      </c>
      <c r="I4" s="97">
        <v>173</v>
      </c>
      <c r="J4" s="97">
        <v>137</v>
      </c>
      <c r="K4" s="93">
        <v>45984</v>
      </c>
      <c r="L4" s="97">
        <v>0</v>
      </c>
      <c r="M4" s="97">
        <v>1</v>
      </c>
      <c r="N4" s="97">
        <v>5</v>
      </c>
      <c r="O4" s="94" t="s">
        <v>1052</v>
      </c>
      <c r="P4" s="98"/>
      <c r="Q4" s="98"/>
      <c r="R4" s="98"/>
      <c r="S4" s="98"/>
      <c r="T4" s="98"/>
      <c r="U4" s="97" t="s">
        <v>268</v>
      </c>
      <c r="V4" s="97" t="s">
        <v>190</v>
      </c>
      <c r="W4" s="98"/>
      <c r="X4" s="98"/>
      <c r="Y4" s="98"/>
      <c r="Z4" s="97" t="s">
        <v>699</v>
      </c>
      <c r="AA4" s="97" t="s">
        <v>693</v>
      </c>
      <c r="AB4" s="97" t="s">
        <v>1059</v>
      </c>
      <c r="AC4" s="98"/>
      <c r="AD4" s="98"/>
      <c r="AE4" s="98"/>
      <c r="AF4" s="98"/>
      <c r="AG4" s="98"/>
      <c r="AH4" s="97" t="s">
        <v>698</v>
      </c>
      <c r="AI4" s="98"/>
    </row>
    <row r="5" spans="1:35" ht="18" x14ac:dyDescent="0.3">
      <c r="A5" s="99" t="s">
        <v>543</v>
      </c>
      <c r="B5" s="100">
        <v>45989</v>
      </c>
      <c r="C5" s="101" t="s">
        <v>1046</v>
      </c>
      <c r="D5" s="102">
        <v>0.3263888888888889</v>
      </c>
      <c r="E5" s="101" t="s">
        <v>1041</v>
      </c>
      <c r="F5" s="101" t="s">
        <v>174</v>
      </c>
      <c r="G5" s="103">
        <v>0.85470000000000002</v>
      </c>
      <c r="H5" s="104">
        <v>179</v>
      </c>
      <c r="I5" s="104">
        <v>153</v>
      </c>
      <c r="J5" s="104">
        <v>40</v>
      </c>
      <c r="K5" s="100">
        <v>45984</v>
      </c>
      <c r="L5" s="104">
        <v>0</v>
      </c>
      <c r="M5" s="104">
        <v>4</v>
      </c>
      <c r="N5" s="104">
        <v>29</v>
      </c>
      <c r="O5" s="101" t="s">
        <v>563</v>
      </c>
      <c r="P5" s="105"/>
      <c r="Q5" s="105"/>
      <c r="R5" s="105"/>
      <c r="S5" s="105"/>
      <c r="T5" s="105"/>
      <c r="U5" s="105"/>
      <c r="V5" s="104" t="s">
        <v>269</v>
      </c>
      <c r="W5" s="105"/>
      <c r="X5" s="105"/>
      <c r="Y5" s="104" t="s">
        <v>200</v>
      </c>
      <c r="Z5" s="104" t="s">
        <v>1060</v>
      </c>
      <c r="AA5" s="104" t="s">
        <v>1061</v>
      </c>
      <c r="AB5" s="104" t="s">
        <v>184</v>
      </c>
      <c r="AC5" s="104" t="s">
        <v>1062</v>
      </c>
      <c r="AD5" s="104" t="s">
        <v>202</v>
      </c>
      <c r="AE5" s="104" t="s">
        <v>1063</v>
      </c>
      <c r="AF5" s="105"/>
      <c r="AG5" s="105"/>
      <c r="AH5" s="104" t="s">
        <v>1064</v>
      </c>
      <c r="AI5" s="105"/>
    </row>
    <row r="6" spans="1:35" ht="18" x14ac:dyDescent="0.3">
      <c r="A6" s="92" t="s">
        <v>205</v>
      </c>
      <c r="B6" s="93">
        <v>45990</v>
      </c>
      <c r="C6" s="94" t="s">
        <v>1046</v>
      </c>
      <c r="D6" s="95">
        <v>0.28472222222222221</v>
      </c>
      <c r="E6" s="94" t="s">
        <v>1041</v>
      </c>
      <c r="F6" s="94" t="s">
        <v>174</v>
      </c>
      <c r="G6" s="96">
        <v>0.96089999999999998</v>
      </c>
      <c r="H6" s="97">
        <v>179</v>
      </c>
      <c r="I6" s="97">
        <v>172</v>
      </c>
      <c r="J6" s="97">
        <v>137</v>
      </c>
      <c r="K6" s="93">
        <v>45984</v>
      </c>
      <c r="L6" s="97">
        <v>0</v>
      </c>
      <c r="M6" s="97">
        <v>1</v>
      </c>
      <c r="N6" s="97">
        <v>11</v>
      </c>
      <c r="O6" s="94" t="s">
        <v>679</v>
      </c>
      <c r="P6" s="97" t="s">
        <v>1065</v>
      </c>
      <c r="Q6" s="98"/>
      <c r="R6" s="98"/>
      <c r="S6" s="98"/>
      <c r="T6" s="98"/>
      <c r="U6" s="98"/>
      <c r="V6" s="98"/>
      <c r="W6" s="97" t="s">
        <v>327</v>
      </c>
      <c r="X6" s="97" t="s">
        <v>1066</v>
      </c>
      <c r="Y6" s="98"/>
      <c r="Z6" s="97" t="s">
        <v>525</v>
      </c>
      <c r="AA6" s="98"/>
      <c r="AB6" s="97" t="s">
        <v>275</v>
      </c>
      <c r="AC6" s="97" t="s">
        <v>531</v>
      </c>
      <c r="AD6" s="97" t="s">
        <v>488</v>
      </c>
      <c r="AE6" s="97" t="s">
        <v>176</v>
      </c>
      <c r="AF6" s="98"/>
      <c r="AG6" s="98"/>
      <c r="AH6" s="97" t="s">
        <v>698</v>
      </c>
      <c r="AI6" s="98"/>
    </row>
    <row r="7" spans="1:35" ht="18" x14ac:dyDescent="0.3">
      <c r="A7" s="99" t="s">
        <v>211</v>
      </c>
      <c r="B7" s="100">
        <v>45991</v>
      </c>
      <c r="C7" s="101" t="s">
        <v>1046</v>
      </c>
      <c r="D7" s="102">
        <v>0.375</v>
      </c>
      <c r="E7" s="101" t="s">
        <v>1041</v>
      </c>
      <c r="F7" s="101" t="s">
        <v>174</v>
      </c>
      <c r="G7" s="103">
        <v>0.96650000000000003</v>
      </c>
      <c r="H7" s="104">
        <v>179</v>
      </c>
      <c r="I7" s="104">
        <v>173</v>
      </c>
      <c r="J7" s="104">
        <v>89</v>
      </c>
      <c r="K7" s="100">
        <v>45981</v>
      </c>
      <c r="L7" s="104">
        <v>0</v>
      </c>
      <c r="M7" s="104">
        <v>0</v>
      </c>
      <c r="N7" s="104">
        <v>14</v>
      </c>
      <c r="O7" s="101" t="s">
        <v>133</v>
      </c>
      <c r="P7" s="105"/>
      <c r="Q7" s="105"/>
      <c r="R7" s="105"/>
      <c r="S7" s="105"/>
      <c r="T7" s="105"/>
      <c r="U7" s="105"/>
      <c r="V7" s="105"/>
      <c r="W7" s="105"/>
      <c r="X7" s="105"/>
      <c r="Y7" s="104" t="s">
        <v>274</v>
      </c>
      <c r="Z7" s="104" t="s">
        <v>510</v>
      </c>
      <c r="AA7" s="104" t="s">
        <v>1067</v>
      </c>
      <c r="AB7" s="104" t="s">
        <v>275</v>
      </c>
      <c r="AC7" s="104" t="s">
        <v>512</v>
      </c>
      <c r="AD7" s="104" t="s">
        <v>558</v>
      </c>
      <c r="AE7" s="104" t="s">
        <v>520</v>
      </c>
      <c r="AF7" s="105"/>
      <c r="AG7" s="105"/>
      <c r="AH7" s="104" t="s">
        <v>541</v>
      </c>
      <c r="AI7" s="105"/>
    </row>
    <row r="8" spans="1:35" ht="18" x14ac:dyDescent="0.3">
      <c r="A8" s="106" t="s">
        <v>219</v>
      </c>
      <c r="B8" s="107"/>
      <c r="C8" s="108">
        <f>COUNTA(C2:C7)</f>
        <v>6</v>
      </c>
      <c r="D8" s="107"/>
      <c r="E8" s="107"/>
      <c r="F8" s="107"/>
      <c r="G8" s="109">
        <f>AVERAGE(G2:G7)</f>
        <v>0.93109999999999993</v>
      </c>
      <c r="H8" s="110">
        <f>SUM(H2:H7)</f>
        <v>1074</v>
      </c>
      <c r="I8" s="110">
        <f>SUM(I2:I7)</f>
        <v>1000</v>
      </c>
      <c r="J8" s="110">
        <f>SUM(J2:J7)</f>
        <v>678</v>
      </c>
      <c r="K8" s="107"/>
      <c r="L8" s="110">
        <f>SUM(L2:L7)</f>
        <v>0</v>
      </c>
      <c r="M8" s="110">
        <f>SUM(M2:M7)</f>
        <v>13</v>
      </c>
      <c r="N8" s="110">
        <f>SUM(N2:N7)</f>
        <v>77</v>
      </c>
      <c r="O8" s="107"/>
      <c r="P8" s="110">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10">
        <f t="shared" si="0"/>
        <v>0</v>
      </c>
      <c r="R8" s="110">
        <f t="shared" si="0"/>
        <v>0</v>
      </c>
      <c r="S8" s="110">
        <f t="shared" si="0"/>
        <v>0</v>
      </c>
      <c r="T8" s="110">
        <f t="shared" si="0"/>
        <v>0</v>
      </c>
      <c r="U8" s="110">
        <f t="shared" si="0"/>
        <v>0</v>
      </c>
      <c r="V8" s="110">
        <f t="shared" si="0"/>
        <v>0</v>
      </c>
      <c r="W8" s="110">
        <f t="shared" si="0"/>
        <v>0</v>
      </c>
      <c r="X8" s="110">
        <f t="shared" si="0"/>
        <v>0</v>
      </c>
      <c r="Y8" s="110">
        <f t="shared" si="0"/>
        <v>0</v>
      </c>
      <c r="Z8" s="110">
        <f t="shared" si="0"/>
        <v>0</v>
      </c>
      <c r="AA8" s="110">
        <f t="shared" si="0"/>
        <v>0</v>
      </c>
      <c r="AB8" s="110">
        <f t="shared" si="0"/>
        <v>0</v>
      </c>
      <c r="AC8" s="110">
        <f t="shared" si="0"/>
        <v>0</v>
      </c>
      <c r="AD8" s="110">
        <f t="shared" si="0"/>
        <v>0</v>
      </c>
      <c r="AE8" s="110">
        <f t="shared" si="0"/>
        <v>0</v>
      </c>
      <c r="AF8" s="110">
        <f t="shared" si="0"/>
        <v>0</v>
      </c>
      <c r="AG8" s="110">
        <f t="shared" si="0"/>
        <v>0</v>
      </c>
      <c r="AH8" s="110">
        <f t="shared" si="0"/>
        <v>0</v>
      </c>
      <c r="AI8" s="110">
        <f t="shared" si="0"/>
        <v>0</v>
      </c>
    </row>
  </sheetData>
  <autoFilter ref="A1:AI7" xr:uid="{00000000-0009-0000-0000-000038000000}"/>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0"/>
  <sheetViews>
    <sheetView workbookViewId="0"/>
  </sheetViews>
  <sheetFormatPr defaultRowHeight="14.4" x14ac:dyDescent="0.3"/>
  <cols>
    <col min="1" max="1" width="13"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333</v>
      </c>
      <c r="C2" s="114" t="s">
        <v>1042</v>
      </c>
      <c r="D2" s="113" t="s">
        <v>1041</v>
      </c>
      <c r="E2" s="115">
        <v>1.177083333333333</v>
      </c>
      <c r="F2" s="113" t="s">
        <v>37</v>
      </c>
      <c r="G2" s="116">
        <v>2</v>
      </c>
      <c r="H2" s="117">
        <v>521</v>
      </c>
    </row>
    <row r="3" spans="1:8" ht="18" x14ac:dyDescent="0.3">
      <c r="A3" s="154">
        <v>45986</v>
      </c>
      <c r="B3" s="155" t="s">
        <v>35</v>
      </c>
      <c r="C3" s="156" t="s">
        <v>1044</v>
      </c>
      <c r="D3" s="155" t="s">
        <v>1041</v>
      </c>
      <c r="E3" s="157">
        <v>1.993055555555556</v>
      </c>
      <c r="F3" s="155" t="s">
        <v>37</v>
      </c>
      <c r="G3" s="158">
        <v>6</v>
      </c>
      <c r="H3" s="242">
        <v>748</v>
      </c>
    </row>
    <row r="4" spans="1:8" ht="18" x14ac:dyDescent="0.3">
      <c r="A4" s="112">
        <v>45987</v>
      </c>
      <c r="B4" s="113" t="s">
        <v>304</v>
      </c>
      <c r="C4" s="114" t="s">
        <v>1049</v>
      </c>
      <c r="D4" s="113" t="s">
        <v>1041</v>
      </c>
      <c r="E4" s="115">
        <v>1.5902777777777779</v>
      </c>
      <c r="F4" s="113" t="s">
        <v>306</v>
      </c>
      <c r="G4" s="116">
        <v>1</v>
      </c>
      <c r="H4" s="117">
        <v>745</v>
      </c>
    </row>
    <row r="5" spans="1:8" ht="18" x14ac:dyDescent="0.3">
      <c r="A5" s="154">
        <v>45987</v>
      </c>
      <c r="B5" s="155" t="s">
        <v>35</v>
      </c>
      <c r="C5" s="156" t="s">
        <v>1044</v>
      </c>
      <c r="D5" s="155" t="s">
        <v>1041</v>
      </c>
      <c r="E5" s="157">
        <v>1.9861111111111109</v>
      </c>
      <c r="F5" s="155" t="s">
        <v>37</v>
      </c>
      <c r="G5" s="158">
        <v>9</v>
      </c>
      <c r="H5" s="242">
        <v>748</v>
      </c>
    </row>
    <row r="6" spans="1:8" ht="18" x14ac:dyDescent="0.3">
      <c r="A6" s="112">
        <v>45988</v>
      </c>
      <c r="B6" s="113" t="s">
        <v>333</v>
      </c>
      <c r="C6" s="114" t="s">
        <v>1042</v>
      </c>
      <c r="D6" s="113" t="s">
        <v>1041</v>
      </c>
      <c r="E6" s="115">
        <v>1.177083333333333</v>
      </c>
      <c r="F6" s="113" t="s">
        <v>37</v>
      </c>
      <c r="G6" s="116">
        <v>9</v>
      </c>
      <c r="H6" s="117">
        <v>471</v>
      </c>
    </row>
    <row r="7" spans="1:8" ht="18" x14ac:dyDescent="0.3">
      <c r="A7" s="154">
        <v>45988</v>
      </c>
      <c r="B7" s="155" t="s">
        <v>35</v>
      </c>
      <c r="C7" s="156" t="s">
        <v>1044</v>
      </c>
      <c r="D7" s="155" t="s">
        <v>1041</v>
      </c>
      <c r="E7" s="157">
        <v>1.5972222222222221</v>
      </c>
      <c r="F7" s="155" t="s">
        <v>37</v>
      </c>
      <c r="G7" s="158">
        <v>6</v>
      </c>
      <c r="H7" s="155" t="s">
        <v>1051</v>
      </c>
    </row>
    <row r="8" spans="1:8" ht="18" x14ac:dyDescent="0.3">
      <c r="A8" s="262">
        <v>45989</v>
      </c>
      <c r="B8" s="155" t="s">
        <v>35</v>
      </c>
      <c r="C8" s="156" t="s">
        <v>1044</v>
      </c>
      <c r="D8" s="155" t="s">
        <v>1041</v>
      </c>
      <c r="E8" s="157">
        <v>1.3263888888888891</v>
      </c>
      <c r="F8" s="155" t="s">
        <v>37</v>
      </c>
      <c r="G8" s="158">
        <v>9</v>
      </c>
      <c r="H8" s="263">
        <v>538</v>
      </c>
    </row>
    <row r="9" spans="1:8" ht="18" x14ac:dyDescent="0.3">
      <c r="A9" s="262">
        <v>45990</v>
      </c>
      <c r="B9" s="155" t="s">
        <v>35</v>
      </c>
      <c r="C9" s="156" t="s">
        <v>1044</v>
      </c>
      <c r="D9" s="155" t="s">
        <v>1041</v>
      </c>
      <c r="E9" s="157">
        <v>1.2847222222222221</v>
      </c>
      <c r="F9" s="155" t="s">
        <v>37</v>
      </c>
      <c r="G9" s="158">
        <v>5</v>
      </c>
      <c r="H9" s="263">
        <v>868</v>
      </c>
    </row>
    <row r="10" spans="1:8" ht="18" x14ac:dyDescent="0.3">
      <c r="A10" s="262">
        <v>45991</v>
      </c>
      <c r="B10" s="155" t="s">
        <v>35</v>
      </c>
      <c r="C10" s="156" t="s">
        <v>1046</v>
      </c>
      <c r="D10" s="155" t="s">
        <v>1041</v>
      </c>
      <c r="E10" s="157">
        <v>1.375</v>
      </c>
      <c r="F10" s="155" t="s">
        <v>131</v>
      </c>
      <c r="G10" s="155"/>
      <c r="H10" s="275" t="s">
        <v>132</v>
      </c>
    </row>
  </sheetData>
  <dataValidations count="6">
    <dataValidation type="custom" allowBlank="1" showInputMessage="1" promptTitle="LOAD FACTOR ANALYSIS" prompt="SM-442_x000d__x000a_LF 96.7%_x000d__x000a_SOLD 173_x000d__x000a_LST-SOLD 23NOV_x000d__x000a_WEEKLY 6_x000d__x000a_TO-DAY NIL_x000d__x000a_Y-DAY 4_x000d__x000a_LOWEST AVAIL S6_x000d__x000a_CAPACITY 179_x000d__x000a_CLASSES L2 &amp; S7 &amp; X5 &amp; +1 more" sqref="A3 B3 C3 D3 E3 F3 G3 H3" xr:uid="{00000000-0002-0000-3900-000000000000}">
      <formula1>TRUE</formula1>
    </dataValidation>
    <dataValidation type="custom" allowBlank="1" showInputMessage="1" promptTitle="LOAD FACTOR ANALYSIS" prompt="SM-442_x000d__x000a_LF 87.2%_x000d__x000a_SOLD 156_x000d__x000a_LST-SOLD 23NOV_x000d__x000a_WEEKLY 12_x000d__x000a_TO-DAY NIL_x000d__x000a_Y-DAY 3_x000d__x000a_LOWEST AVAIL S9_x000d__x000a_CAPACITY 179_x000d__x000a_CLASSES S4 &amp; W1 &amp; T12 &amp; +5 more" sqref="A5 B5 C5 D5 E5 F5 G5 H5" xr:uid="{00000000-0002-0000-3900-000001000000}">
      <formula1>TRUE</formula1>
    </dataValidation>
    <dataValidation type="custom" allowBlank="1" showInputMessage="1" promptTitle="LOAD FACTOR ANALYSIS" prompt="SM-442_x000d__x000a_LF 96.7%_x000d__x000a_SOLD 173_x000d__x000a_LST-SOLD 23NOV_x000d__x000a_WEEKLY 5_x000d__x000a_TO-DAY NIL_x000d__x000a_Y-DAY 1_x000d__x000a_LOWEST AVAIL V6_x000d__x000a_CAPACITY 179_x000d__x000a_CLASSES K4 &amp; V4 &amp; W6 &amp; +3 more" sqref="A7 B7 C7 D7 E7 F7 G7 H7" xr:uid="{00000000-0002-0000-3900-000002000000}">
      <formula1>TRUE</formula1>
    </dataValidation>
    <dataValidation type="custom" allowBlank="1" showInputMessage="1" promptTitle="LOAD FACTOR ANALYSIS" prompt="SM-442_x000d__x000a_LF 85.5%_x000d__x000a_SOLD 153_x000d__x000a_LST-SOLD 23NOV_x000d__x000a_WEEKLY 29_x000d__x000a_TO-DAY NIL_x000d__x000a_Y-DAY 4_x000d__x000a_LOWEST AVAIL T9_x000d__x000a_CAPACITY 179_x000d__x000a_CLASSES V2 &amp; S1 &amp; W8 &amp; +6 more" sqref="A8 B8 C8 D8 E8 F8 G8 H8" xr:uid="{00000000-0002-0000-3900-000003000000}">
      <formula1>TRUE</formula1>
    </dataValidation>
    <dataValidation type="custom" allowBlank="1" showInputMessage="1" promptTitle="LOAD FACTOR ANALYSIS" prompt="SM-442_x000d__x000a_LF 96.1%_x000d__x000a_SOLD 172_x000d__x000a_LST-SOLD 23NOV_x000d__x000a_WEEKLY 11_x000d__x000a_TO-DAY NIL_x000d__x000a_Y-DAY 1_x000d__x000a_LOWEST AVAIL G5_x000d__x000a_CAPACITY 179_x000d__x000a_CLASSES Y1 &amp; L3 &amp; G12 &amp; +6 more" sqref="A9 B9 C9 D9 E9 F9 G9 H9" xr:uid="{00000000-0002-0000-3900-000004000000}">
      <formula1>TRUE</formula1>
    </dataValidation>
    <dataValidation type="custom" allowBlank="1" showInputMessage="1" promptTitle="LOAD FACTOR ANALYSIS" prompt="SM442_x000d__x000a_LF 96.7%_x000d__x000a_SOLD 173_x000d__x000a_LST-SOLD 20NOV_x000d__x000a_WEEKLY 14_x000d__x000a_TO-DAY NIL_x000d__x000a_Y-DAY NIL_x000d__x000a_LOWEST AVAIL CLOSED_x000d__x000a_CAPACITY 179_x000d__x000a_CLASSES S2 &amp; W2 &amp; T6 &amp; +5 more" sqref="A10 B10 C10 D10 E10 F10 G10 H10" xr:uid="{00000000-0002-0000-3900-000005000000}">
      <formula1>TRUE</formula1>
    </dataValidation>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2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39.5546875" bestFit="1" customWidth="1"/>
  </cols>
  <sheetData>
    <row r="1" spans="1:92" ht="28.8" customHeight="1" x14ac:dyDescent="0.3">
      <c r="A1" s="305" t="s">
        <v>0</v>
      </c>
      <c r="B1" s="281"/>
      <c r="C1" s="281"/>
      <c r="D1" s="305" t="s">
        <v>1068</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45985.360383457068</v>
      </c>
      <c r="H2" s="292"/>
      <c r="I2" s="292"/>
      <c r="J2" s="292"/>
      <c r="K2" s="303">
        <v>45985.360383457533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333</v>
      </c>
      <c r="B6" s="8" t="s">
        <v>1069</v>
      </c>
      <c r="C6" s="9">
        <v>0.95833333333333337</v>
      </c>
      <c r="D6" s="8" t="s">
        <v>37</v>
      </c>
      <c r="E6" s="8" t="s">
        <v>108</v>
      </c>
      <c r="F6" s="8" t="s">
        <v>1070</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44" t="s">
        <v>378</v>
      </c>
      <c r="B7" s="44" t="s">
        <v>1071</v>
      </c>
      <c r="C7" s="45">
        <v>0.2951388888888889</v>
      </c>
      <c r="D7" s="44" t="s">
        <v>380</v>
      </c>
      <c r="E7" s="44" t="s">
        <v>108</v>
      </c>
      <c r="F7" s="44" t="s">
        <v>1072</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48" t="s">
        <v>378</v>
      </c>
      <c r="B8" s="48" t="s">
        <v>1071</v>
      </c>
      <c r="C8" s="49">
        <v>0.2951388888888889</v>
      </c>
      <c r="D8" s="48" t="s">
        <v>33</v>
      </c>
      <c r="E8" s="48" t="s">
        <v>109</v>
      </c>
      <c r="F8" s="48" t="s">
        <v>1073</v>
      </c>
      <c r="G8" s="286"/>
      <c r="H8" s="50"/>
      <c r="I8" s="51"/>
      <c r="J8" s="51"/>
      <c r="K8" s="51"/>
      <c r="L8" s="51"/>
      <c r="M8" s="51"/>
      <c r="N8" s="51"/>
      <c r="O8" s="52"/>
      <c r="P8" s="51"/>
      <c r="Q8" s="53"/>
      <c r="R8" s="5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95"/>
      <c r="B9" s="296"/>
      <c r="C9" s="296"/>
      <c r="D9" s="296"/>
      <c r="E9" s="296"/>
      <c r="F9" s="296"/>
      <c r="G9" s="289"/>
      <c r="H9" s="297"/>
      <c r="I9" s="297"/>
      <c r="J9" s="297"/>
      <c r="K9" s="297"/>
      <c r="L9" s="297"/>
      <c r="M9" s="297"/>
      <c r="N9" s="297"/>
      <c r="O9" s="298"/>
      <c r="P9" s="297"/>
      <c r="Q9" s="289"/>
      <c r="R9" s="2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82" t="s">
        <v>5</v>
      </c>
      <c r="B10" s="283"/>
      <c r="C10" s="283"/>
      <c r="D10" s="283"/>
      <c r="E10" s="283"/>
      <c r="F10" s="283"/>
      <c r="G10" s="5">
        <v>45988</v>
      </c>
      <c r="H10" s="278" t="s">
        <v>6</v>
      </c>
      <c r="I10" s="279"/>
      <c r="J10" s="279"/>
      <c r="K10" s="279"/>
      <c r="L10" s="279"/>
      <c r="M10" s="279"/>
      <c r="N10" s="279"/>
      <c r="O10" s="279"/>
      <c r="P10" s="279"/>
      <c r="Q10" s="279"/>
      <c r="R10" s="27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55" t="s">
        <v>7</v>
      </c>
      <c r="B11" s="55" t="s">
        <v>8</v>
      </c>
      <c r="C11" s="56" t="s">
        <v>9</v>
      </c>
      <c r="D11" s="55" t="s">
        <v>10</v>
      </c>
      <c r="E11" s="55" t="s">
        <v>11</v>
      </c>
      <c r="F11" s="55" t="s">
        <v>12</v>
      </c>
      <c r="G11" s="57" t="s">
        <v>13</v>
      </c>
      <c r="H11" s="55" t="s">
        <v>14</v>
      </c>
      <c r="I11" s="58" t="s">
        <v>15</v>
      </c>
      <c r="J11" s="59" t="s">
        <v>16</v>
      </c>
      <c r="K11" s="60" t="s">
        <v>17</v>
      </c>
      <c r="L11" s="59" t="s">
        <v>18</v>
      </c>
      <c r="M11" s="59" t="s">
        <v>19</v>
      </c>
      <c r="N11" s="59" t="s">
        <v>20</v>
      </c>
      <c r="O11" s="55" t="s">
        <v>21</v>
      </c>
      <c r="P11" s="56" t="s">
        <v>22</v>
      </c>
      <c r="Q11" s="59" t="s">
        <v>23</v>
      </c>
      <c r="R11" s="55"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2" t="s">
        <v>35</v>
      </c>
      <c r="B12" s="82" t="s">
        <v>1074</v>
      </c>
      <c r="C12" s="83">
        <v>4.5138888888888888E-2</v>
      </c>
      <c r="D12" s="82" t="s">
        <v>37</v>
      </c>
      <c r="E12" s="82" t="s">
        <v>108</v>
      </c>
      <c r="F12" s="82" t="s">
        <v>1075</v>
      </c>
      <c r="G12" s="284"/>
      <c r="H12" s="84" t="s">
        <v>1076</v>
      </c>
      <c r="I12" s="215">
        <v>0.53569999999999995</v>
      </c>
      <c r="J12" s="86">
        <v>90</v>
      </c>
      <c r="K12" s="87">
        <v>45985</v>
      </c>
      <c r="L12" s="86">
        <v>53</v>
      </c>
      <c r="M12" s="86">
        <v>1</v>
      </c>
      <c r="N12" s="86">
        <v>6</v>
      </c>
      <c r="O12" s="88" t="s">
        <v>693</v>
      </c>
      <c r="P12" s="89">
        <v>4.5138888888888888E-2</v>
      </c>
      <c r="Q12" s="86">
        <v>168</v>
      </c>
      <c r="R12" s="90" t="s">
        <v>1077</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43" t="s">
        <v>333</v>
      </c>
      <c r="B13" s="243" t="s">
        <v>1069</v>
      </c>
      <c r="C13" s="244">
        <v>0.99652777777777779</v>
      </c>
      <c r="D13" s="243" t="s">
        <v>37</v>
      </c>
      <c r="E13" s="243" t="s">
        <v>80</v>
      </c>
      <c r="F13" s="243" t="s">
        <v>722</v>
      </c>
      <c r="G13" s="286"/>
      <c r="H13" s="50"/>
      <c r="I13" s="51"/>
      <c r="J13" s="51"/>
      <c r="K13" s="51"/>
      <c r="L13" s="51"/>
      <c r="M13" s="51"/>
      <c r="N13" s="51"/>
      <c r="O13" s="52"/>
      <c r="P13" s="51"/>
      <c r="Q13" s="53"/>
      <c r="R13" s="5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88"/>
      <c r="B14" s="289"/>
      <c r="C14" s="289"/>
      <c r="D14" s="289"/>
      <c r="E14" s="289"/>
      <c r="F14" s="289"/>
      <c r="G14" s="289"/>
      <c r="H14" s="289"/>
      <c r="I14" s="289"/>
      <c r="J14" s="289"/>
      <c r="K14" s="289"/>
      <c r="L14" s="289"/>
      <c r="M14" s="289"/>
      <c r="N14" s="289"/>
      <c r="O14" s="289"/>
      <c r="P14" s="289"/>
      <c r="Q14" s="289"/>
      <c r="R14" s="2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82" t="s">
        <v>5</v>
      </c>
      <c r="B15" s="283"/>
      <c r="C15" s="283"/>
      <c r="D15" s="283"/>
      <c r="E15" s="283"/>
      <c r="F15" s="283"/>
      <c r="G15" s="5">
        <v>45989</v>
      </c>
      <c r="H15" s="278" t="s">
        <v>6</v>
      </c>
      <c r="I15" s="279"/>
      <c r="J15" s="279"/>
      <c r="K15" s="279"/>
      <c r="L15" s="279"/>
      <c r="M15" s="279"/>
      <c r="N15" s="279"/>
      <c r="O15" s="279"/>
      <c r="P15" s="279"/>
      <c r="Q15" s="279"/>
      <c r="R15" s="27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55" t="s">
        <v>7</v>
      </c>
      <c r="B16" s="55" t="s">
        <v>8</v>
      </c>
      <c r="C16" s="56" t="s">
        <v>9</v>
      </c>
      <c r="D16" s="55" t="s">
        <v>10</v>
      </c>
      <c r="E16" s="55" t="s">
        <v>11</v>
      </c>
      <c r="F16" s="55" t="s">
        <v>12</v>
      </c>
      <c r="G16" s="57" t="s">
        <v>13</v>
      </c>
      <c r="H16" s="55" t="s">
        <v>14</v>
      </c>
      <c r="I16" s="58" t="s">
        <v>15</v>
      </c>
      <c r="J16" s="59" t="s">
        <v>16</v>
      </c>
      <c r="K16" s="60" t="s">
        <v>17</v>
      </c>
      <c r="L16" s="59" t="s">
        <v>18</v>
      </c>
      <c r="M16" s="59" t="s">
        <v>19</v>
      </c>
      <c r="N16" s="59" t="s">
        <v>20</v>
      </c>
      <c r="O16" s="55" t="s">
        <v>21</v>
      </c>
      <c r="P16" s="56" t="s">
        <v>22</v>
      </c>
      <c r="Q16" s="59" t="s">
        <v>23</v>
      </c>
      <c r="R16" s="55"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7" t="s">
        <v>35</v>
      </c>
      <c r="B17" s="17" t="s">
        <v>1078</v>
      </c>
      <c r="C17" s="18">
        <v>3.472222222222222E-3</v>
      </c>
      <c r="D17" s="17" t="s">
        <v>37</v>
      </c>
      <c r="E17" s="17" t="s">
        <v>108</v>
      </c>
      <c r="F17" s="17" t="s">
        <v>1079</v>
      </c>
      <c r="G17" s="284"/>
      <c r="H17" s="19" t="s">
        <v>1080</v>
      </c>
      <c r="I17" s="20">
        <v>0.5655</v>
      </c>
      <c r="J17" s="21">
        <v>95</v>
      </c>
      <c r="K17" s="22">
        <v>45985</v>
      </c>
      <c r="L17" s="21">
        <v>51</v>
      </c>
      <c r="M17" s="21">
        <v>4</v>
      </c>
      <c r="N17" s="21">
        <v>16</v>
      </c>
      <c r="O17" s="23" t="s">
        <v>491</v>
      </c>
      <c r="P17" s="24">
        <v>3.472222222222222E-3</v>
      </c>
      <c r="Q17" s="21">
        <v>168</v>
      </c>
      <c r="R17" s="25" t="s">
        <v>1081</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44" t="s">
        <v>378</v>
      </c>
      <c r="B18" s="44" t="s">
        <v>1071</v>
      </c>
      <c r="C18" s="45">
        <v>0.91666666666666663</v>
      </c>
      <c r="D18" s="44" t="s">
        <v>380</v>
      </c>
      <c r="E18" s="44" t="s">
        <v>381</v>
      </c>
      <c r="F18" s="44" t="s">
        <v>1082</v>
      </c>
      <c r="G18" s="285"/>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48" t="s">
        <v>378</v>
      </c>
      <c r="B19" s="48" t="s">
        <v>1071</v>
      </c>
      <c r="C19" s="49">
        <v>0.91666666666666663</v>
      </c>
      <c r="D19" s="48" t="s">
        <v>33</v>
      </c>
      <c r="E19" s="48" t="s">
        <v>360</v>
      </c>
      <c r="F19" s="48" t="s">
        <v>1083</v>
      </c>
      <c r="G19" s="286"/>
      <c r="H19" s="50"/>
      <c r="I19" s="51"/>
      <c r="J19" s="51"/>
      <c r="K19" s="51"/>
      <c r="L19" s="51"/>
      <c r="M19" s="51"/>
      <c r="N19" s="51"/>
      <c r="O19" s="52"/>
      <c r="P19" s="51"/>
      <c r="Q19" s="53"/>
      <c r="R19" s="5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88"/>
      <c r="B20" s="289"/>
      <c r="C20" s="289"/>
      <c r="D20" s="289"/>
      <c r="E20" s="289"/>
      <c r="F20" s="289"/>
      <c r="G20" s="289"/>
      <c r="H20" s="289"/>
      <c r="I20" s="289"/>
      <c r="J20" s="289"/>
      <c r="K20" s="289"/>
      <c r="L20" s="289"/>
      <c r="M20" s="289"/>
      <c r="N20" s="289"/>
      <c r="O20" s="289"/>
      <c r="P20" s="289"/>
      <c r="Q20" s="289"/>
      <c r="R20" s="29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82" t="s">
        <v>5</v>
      </c>
      <c r="B21" s="283"/>
      <c r="C21" s="283"/>
      <c r="D21" s="283"/>
      <c r="E21" s="283"/>
      <c r="F21" s="283"/>
      <c r="G21" s="5">
        <v>45990</v>
      </c>
      <c r="H21" s="278" t="s">
        <v>6</v>
      </c>
      <c r="I21" s="279"/>
      <c r="J21" s="279"/>
      <c r="K21" s="279"/>
      <c r="L21" s="279"/>
      <c r="M21" s="279"/>
      <c r="N21" s="279"/>
      <c r="O21" s="279"/>
      <c r="P21" s="279"/>
      <c r="Q21" s="279"/>
      <c r="R21" s="27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55" t="s">
        <v>7</v>
      </c>
      <c r="B22" s="55" t="s">
        <v>8</v>
      </c>
      <c r="C22" s="56" t="s">
        <v>9</v>
      </c>
      <c r="D22" s="55" t="s">
        <v>10</v>
      </c>
      <c r="E22" s="55" t="s">
        <v>11</v>
      </c>
      <c r="F22" s="55" t="s">
        <v>12</v>
      </c>
      <c r="G22" s="57" t="s">
        <v>13</v>
      </c>
      <c r="H22" s="55" t="s">
        <v>14</v>
      </c>
      <c r="I22" s="58" t="s">
        <v>15</v>
      </c>
      <c r="J22" s="59" t="s">
        <v>16</v>
      </c>
      <c r="K22" s="60" t="s">
        <v>17</v>
      </c>
      <c r="L22" s="59" t="s">
        <v>18</v>
      </c>
      <c r="M22" s="59" t="s">
        <v>19</v>
      </c>
      <c r="N22" s="59" t="s">
        <v>20</v>
      </c>
      <c r="O22" s="55" t="s">
        <v>21</v>
      </c>
      <c r="P22" s="56" t="s">
        <v>22</v>
      </c>
      <c r="Q22" s="59" t="s">
        <v>23</v>
      </c>
      <c r="R22" s="55"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235" t="s">
        <v>333</v>
      </c>
      <c r="B23" s="235" t="s">
        <v>1084</v>
      </c>
      <c r="C23" s="236">
        <v>0.19791666666666671</v>
      </c>
      <c r="D23" s="235" t="s">
        <v>37</v>
      </c>
      <c r="E23" s="235" t="s">
        <v>80</v>
      </c>
      <c r="F23" s="235" t="s">
        <v>1085</v>
      </c>
      <c r="G23" s="308"/>
      <c r="H23" s="50"/>
      <c r="I23" s="51"/>
      <c r="J23" s="51"/>
      <c r="K23" s="51"/>
      <c r="L23" s="51"/>
      <c r="M23" s="51"/>
      <c r="N23" s="51"/>
      <c r="O23" s="52"/>
      <c r="P23" s="51"/>
      <c r="Q23" s="53"/>
      <c r="R23" s="5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95"/>
      <c r="B24" s="296"/>
      <c r="C24" s="296"/>
      <c r="D24" s="296"/>
      <c r="E24" s="296"/>
      <c r="F24" s="296"/>
      <c r="G24" s="289"/>
      <c r="H24" s="297"/>
      <c r="I24" s="297"/>
      <c r="J24" s="297"/>
      <c r="K24" s="297"/>
      <c r="L24" s="297"/>
      <c r="M24" s="297"/>
      <c r="N24" s="297"/>
      <c r="O24" s="298"/>
      <c r="P24" s="297"/>
      <c r="Q24" s="289"/>
      <c r="R24" s="29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82" t="s">
        <v>5</v>
      </c>
      <c r="B25" s="283"/>
      <c r="C25" s="283"/>
      <c r="D25" s="283"/>
      <c r="E25" s="283"/>
      <c r="F25" s="283"/>
      <c r="G25" s="5">
        <v>45991</v>
      </c>
      <c r="H25" s="278" t="s">
        <v>6</v>
      </c>
      <c r="I25" s="279"/>
      <c r="J25" s="279"/>
      <c r="K25" s="279"/>
      <c r="L25" s="279"/>
      <c r="M25" s="279"/>
      <c r="N25" s="279"/>
      <c r="O25" s="279"/>
      <c r="P25" s="279"/>
      <c r="Q25" s="279"/>
      <c r="R25" s="27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55" t="s">
        <v>7</v>
      </c>
      <c r="B26" s="55" t="s">
        <v>8</v>
      </c>
      <c r="C26" s="56" t="s">
        <v>9</v>
      </c>
      <c r="D26" s="55" t="s">
        <v>10</v>
      </c>
      <c r="E26" s="55" t="s">
        <v>11</v>
      </c>
      <c r="F26" s="55" t="s">
        <v>12</v>
      </c>
      <c r="G26" s="57" t="s">
        <v>13</v>
      </c>
      <c r="H26" s="55" t="s">
        <v>14</v>
      </c>
      <c r="I26" s="58" t="s">
        <v>15</v>
      </c>
      <c r="J26" s="59" t="s">
        <v>16</v>
      </c>
      <c r="K26" s="60" t="s">
        <v>17</v>
      </c>
      <c r="L26" s="59" t="s">
        <v>18</v>
      </c>
      <c r="M26" s="59" t="s">
        <v>19</v>
      </c>
      <c r="N26" s="59" t="s">
        <v>20</v>
      </c>
      <c r="O26" s="55" t="s">
        <v>21</v>
      </c>
      <c r="P26" s="56" t="s">
        <v>22</v>
      </c>
      <c r="Q26" s="59" t="s">
        <v>23</v>
      </c>
      <c r="R26" s="55"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17" t="s">
        <v>35</v>
      </c>
      <c r="B27" s="17" t="s">
        <v>1078</v>
      </c>
      <c r="C27" s="18">
        <v>3.472222222222222E-3</v>
      </c>
      <c r="D27" s="17" t="s">
        <v>37</v>
      </c>
      <c r="E27" s="17" t="s">
        <v>38</v>
      </c>
      <c r="F27" s="17" t="s">
        <v>1079</v>
      </c>
      <c r="G27" s="284"/>
      <c r="H27" s="19" t="s">
        <v>1080</v>
      </c>
      <c r="I27" s="217">
        <v>0.38100000000000001</v>
      </c>
      <c r="J27" s="21">
        <v>64</v>
      </c>
      <c r="K27" s="22">
        <v>45984</v>
      </c>
      <c r="L27" s="21">
        <v>21</v>
      </c>
      <c r="M27" s="21">
        <v>0</v>
      </c>
      <c r="N27" s="21">
        <v>3</v>
      </c>
      <c r="O27" s="23" t="s">
        <v>285</v>
      </c>
      <c r="P27" s="24">
        <v>3.472222222222222E-3</v>
      </c>
      <c r="Q27" s="21">
        <v>168</v>
      </c>
      <c r="R27" s="25" t="s">
        <v>1086</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243" t="s">
        <v>333</v>
      </c>
      <c r="B28" s="243" t="s">
        <v>1069</v>
      </c>
      <c r="C28" s="244">
        <v>0.91666666666666663</v>
      </c>
      <c r="D28" s="243" t="s">
        <v>37</v>
      </c>
      <c r="E28" s="243" t="s">
        <v>108</v>
      </c>
      <c r="F28" s="243" t="s">
        <v>1087</v>
      </c>
      <c r="G28" s="286"/>
      <c r="H28" s="50"/>
      <c r="I28" s="51"/>
      <c r="J28" s="51"/>
      <c r="K28" s="51"/>
      <c r="L28" s="51"/>
      <c r="M28" s="51"/>
      <c r="N28" s="51"/>
      <c r="O28" s="52"/>
      <c r="P28" s="51"/>
      <c r="Q28" s="53"/>
      <c r="R28" s="5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88"/>
      <c r="B29" s="289"/>
      <c r="C29" s="289"/>
      <c r="D29" s="289"/>
      <c r="E29" s="289"/>
      <c r="F29" s="289"/>
      <c r="G29" s="289"/>
      <c r="H29" s="289"/>
      <c r="I29" s="289"/>
      <c r="J29" s="289"/>
      <c r="K29" s="289"/>
      <c r="L29" s="289"/>
      <c r="M29" s="289"/>
      <c r="N29" s="289"/>
      <c r="O29" s="289"/>
      <c r="P29" s="289"/>
      <c r="Q29" s="289"/>
      <c r="R29" s="29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sheetData>
  <mergeCells count="29">
    <mergeCell ref="A29:R29"/>
    <mergeCell ref="G17:G19"/>
    <mergeCell ref="K2:R2"/>
    <mergeCell ref="A9:R9"/>
    <mergeCell ref="D1:F1"/>
    <mergeCell ref="A15:F15"/>
    <mergeCell ref="G27:G28"/>
    <mergeCell ref="A1:C1"/>
    <mergeCell ref="A24:R24"/>
    <mergeCell ref="G1:H1"/>
    <mergeCell ref="G12:G13"/>
    <mergeCell ref="H15:R15"/>
    <mergeCell ref="G6:G8"/>
    <mergeCell ref="A25:F25"/>
    <mergeCell ref="H25:R25"/>
    <mergeCell ref="H21:R21"/>
    <mergeCell ref="A14:R14"/>
    <mergeCell ref="G2:J2"/>
    <mergeCell ref="A4:F4"/>
    <mergeCell ref="A20:R20"/>
    <mergeCell ref="G23"/>
    <mergeCell ref="A10:F10"/>
    <mergeCell ref="O1:Q1"/>
    <mergeCell ref="H10:R10"/>
    <mergeCell ref="A21:F21"/>
    <mergeCell ref="H4:R4"/>
    <mergeCell ref="A2:F2"/>
    <mergeCell ref="A3:R3"/>
    <mergeCell ref="J1:M1"/>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197</v>
      </c>
      <c r="B2" s="93">
        <v>45988</v>
      </c>
      <c r="C2" s="94" t="s">
        <v>1076</v>
      </c>
      <c r="D2" s="95">
        <v>4.5138888888888888E-2</v>
      </c>
      <c r="E2" s="94" t="s">
        <v>1068</v>
      </c>
      <c r="F2" s="94" t="s">
        <v>174</v>
      </c>
      <c r="G2" s="96">
        <v>0.53569999999999995</v>
      </c>
      <c r="H2" s="97">
        <v>168</v>
      </c>
      <c r="I2" s="97">
        <v>90</v>
      </c>
      <c r="J2" s="97">
        <v>0</v>
      </c>
      <c r="K2" s="93">
        <v>45985</v>
      </c>
      <c r="L2" s="97">
        <v>1</v>
      </c>
      <c r="M2" s="97">
        <v>6</v>
      </c>
      <c r="N2" s="97">
        <v>53</v>
      </c>
      <c r="O2" s="94" t="s">
        <v>693</v>
      </c>
      <c r="P2" s="98"/>
      <c r="Q2" s="98"/>
      <c r="R2" s="98"/>
      <c r="S2" s="98"/>
      <c r="T2" s="98"/>
      <c r="U2" s="98"/>
      <c r="V2" s="98"/>
      <c r="W2" s="98"/>
      <c r="X2" s="98"/>
      <c r="Y2" s="97" t="s">
        <v>213</v>
      </c>
      <c r="Z2" s="97" t="s">
        <v>41</v>
      </c>
      <c r="AA2" s="97" t="s">
        <v>563</v>
      </c>
      <c r="AB2" s="97" t="s">
        <v>1088</v>
      </c>
      <c r="AC2" s="98"/>
      <c r="AD2" s="97" t="s">
        <v>463</v>
      </c>
      <c r="AE2" s="98"/>
      <c r="AF2" s="98"/>
      <c r="AG2" s="98"/>
      <c r="AH2" s="98"/>
      <c r="AI2" s="98"/>
    </row>
    <row r="3" spans="1:35" ht="18" x14ac:dyDescent="0.3">
      <c r="A3" s="99" t="s">
        <v>543</v>
      </c>
      <c r="B3" s="100">
        <v>45989</v>
      </c>
      <c r="C3" s="101" t="s">
        <v>1080</v>
      </c>
      <c r="D3" s="102">
        <v>3.472222222222222E-3</v>
      </c>
      <c r="E3" s="101" t="s">
        <v>1068</v>
      </c>
      <c r="F3" s="101" t="s">
        <v>174</v>
      </c>
      <c r="G3" s="103">
        <v>0.5655</v>
      </c>
      <c r="H3" s="104">
        <v>168</v>
      </c>
      <c r="I3" s="104">
        <v>95</v>
      </c>
      <c r="J3" s="104">
        <v>0</v>
      </c>
      <c r="K3" s="100">
        <v>45985</v>
      </c>
      <c r="L3" s="104">
        <v>4</v>
      </c>
      <c r="M3" s="104">
        <v>16</v>
      </c>
      <c r="N3" s="104">
        <v>51</v>
      </c>
      <c r="O3" s="101" t="s">
        <v>491</v>
      </c>
      <c r="P3" s="105"/>
      <c r="Q3" s="105"/>
      <c r="R3" s="105"/>
      <c r="S3" s="105"/>
      <c r="T3" s="105"/>
      <c r="U3" s="105"/>
      <c r="V3" s="105"/>
      <c r="W3" s="105"/>
      <c r="X3" s="105"/>
      <c r="Y3" s="105"/>
      <c r="Z3" s="104" t="s">
        <v>699</v>
      </c>
      <c r="AA3" s="104" t="s">
        <v>1089</v>
      </c>
      <c r="AB3" s="104" t="s">
        <v>1090</v>
      </c>
      <c r="AC3" s="104" t="s">
        <v>322</v>
      </c>
      <c r="AD3" s="104" t="s">
        <v>202</v>
      </c>
      <c r="AE3" s="105"/>
      <c r="AF3" s="105"/>
      <c r="AG3" s="105"/>
      <c r="AH3" s="105"/>
      <c r="AI3" s="105"/>
    </row>
    <row r="4" spans="1:35" ht="18" x14ac:dyDescent="0.3">
      <c r="A4" s="92" t="s">
        <v>211</v>
      </c>
      <c r="B4" s="93">
        <v>45991</v>
      </c>
      <c r="C4" s="94" t="s">
        <v>1080</v>
      </c>
      <c r="D4" s="95">
        <v>3.472222222222222E-3</v>
      </c>
      <c r="E4" s="94" t="s">
        <v>1068</v>
      </c>
      <c r="F4" s="94" t="s">
        <v>174</v>
      </c>
      <c r="G4" s="96">
        <v>0.38100000000000001</v>
      </c>
      <c r="H4" s="97">
        <v>168</v>
      </c>
      <c r="I4" s="97">
        <v>64</v>
      </c>
      <c r="J4" s="97">
        <v>0</v>
      </c>
      <c r="K4" s="93">
        <v>45984</v>
      </c>
      <c r="L4" s="97">
        <v>0</v>
      </c>
      <c r="M4" s="97">
        <v>3</v>
      </c>
      <c r="N4" s="97">
        <v>21</v>
      </c>
      <c r="O4" s="94" t="s">
        <v>285</v>
      </c>
      <c r="P4" s="98"/>
      <c r="Q4" s="98"/>
      <c r="R4" s="98"/>
      <c r="S4" s="98"/>
      <c r="T4" s="98"/>
      <c r="U4" s="98"/>
      <c r="V4" s="98"/>
      <c r="W4" s="98"/>
      <c r="X4" s="98"/>
      <c r="Y4" s="97" t="s">
        <v>200</v>
      </c>
      <c r="Z4" s="97" t="s">
        <v>510</v>
      </c>
      <c r="AA4" s="97" t="s">
        <v>693</v>
      </c>
      <c r="AB4" s="97" t="s">
        <v>1091</v>
      </c>
      <c r="AC4" s="97" t="s">
        <v>193</v>
      </c>
      <c r="AD4" s="97" t="s">
        <v>202</v>
      </c>
      <c r="AE4" s="97" t="s">
        <v>574</v>
      </c>
      <c r="AF4" s="98"/>
      <c r="AG4" s="98"/>
      <c r="AH4" s="98"/>
      <c r="AI4" s="98"/>
    </row>
    <row r="5" spans="1:35" ht="18" x14ac:dyDescent="0.3">
      <c r="A5" s="106" t="s">
        <v>219</v>
      </c>
      <c r="B5" s="107"/>
      <c r="C5" s="108">
        <f>COUNTA(C2:C4)</f>
        <v>3</v>
      </c>
      <c r="D5" s="107"/>
      <c r="E5" s="107"/>
      <c r="F5" s="107"/>
      <c r="G5" s="109">
        <f>AVERAGE(G2:G4)</f>
        <v>0.49406666666666665</v>
      </c>
      <c r="H5" s="110">
        <f>SUM(H2:H4)</f>
        <v>504</v>
      </c>
      <c r="I5" s="110">
        <f>SUM(I2:I4)</f>
        <v>249</v>
      </c>
      <c r="J5" s="110">
        <f>SUM(J2:J4)</f>
        <v>0</v>
      </c>
      <c r="K5" s="107"/>
      <c r="L5" s="110">
        <f>SUM(L2:L4)</f>
        <v>5</v>
      </c>
      <c r="M5" s="110">
        <f>SUM(M2:M4)</f>
        <v>25</v>
      </c>
      <c r="N5" s="110">
        <f>SUM(N2:N4)</f>
        <v>125</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3B000000}"/>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2"/>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333</v>
      </c>
      <c r="C2" s="114" t="s">
        <v>1069</v>
      </c>
      <c r="D2" s="113" t="s">
        <v>1068</v>
      </c>
      <c r="E2" s="115">
        <v>1.958333333333333</v>
      </c>
      <c r="F2" s="113" t="s">
        <v>37</v>
      </c>
      <c r="G2" s="116">
        <v>1</v>
      </c>
      <c r="H2" s="117">
        <v>863</v>
      </c>
    </row>
    <row r="3" spans="1:8" ht="18" x14ac:dyDescent="0.3">
      <c r="A3" s="136">
        <v>45986</v>
      </c>
      <c r="B3" s="113" t="s">
        <v>378</v>
      </c>
      <c r="C3" s="114" t="s">
        <v>1071</v>
      </c>
      <c r="D3" s="113" t="s">
        <v>1068</v>
      </c>
      <c r="E3" s="115">
        <v>1.2951388888888891</v>
      </c>
      <c r="F3" s="113" t="s">
        <v>380</v>
      </c>
      <c r="G3" s="116">
        <v>1</v>
      </c>
      <c r="H3" s="113" t="s">
        <v>1072</v>
      </c>
    </row>
    <row r="4" spans="1:8" ht="18" x14ac:dyDescent="0.3">
      <c r="A4" s="144">
        <v>45986</v>
      </c>
      <c r="B4" s="145" t="s">
        <v>378</v>
      </c>
      <c r="C4" s="146" t="s">
        <v>1071</v>
      </c>
      <c r="D4" s="145" t="s">
        <v>1068</v>
      </c>
      <c r="E4" s="147">
        <v>1.2951388888888891</v>
      </c>
      <c r="F4" s="145" t="s">
        <v>33</v>
      </c>
      <c r="G4" s="148">
        <v>1</v>
      </c>
      <c r="H4" s="145" t="s">
        <v>1073</v>
      </c>
    </row>
    <row r="5" spans="1:8" ht="18" x14ac:dyDescent="0.3">
      <c r="A5" s="187">
        <v>45988</v>
      </c>
      <c r="B5" s="125" t="s">
        <v>35</v>
      </c>
      <c r="C5" s="126" t="s">
        <v>1074</v>
      </c>
      <c r="D5" s="125" t="s">
        <v>1068</v>
      </c>
      <c r="E5" s="127">
        <v>1.0451388888888891</v>
      </c>
      <c r="F5" s="125" t="s">
        <v>37</v>
      </c>
      <c r="G5" s="128">
        <v>1</v>
      </c>
      <c r="H5" s="200">
        <v>591</v>
      </c>
    </row>
    <row r="6" spans="1:8" ht="18" x14ac:dyDescent="0.3">
      <c r="A6" s="194">
        <v>45988</v>
      </c>
      <c r="B6" s="195" t="s">
        <v>333</v>
      </c>
      <c r="C6" s="196" t="s">
        <v>1069</v>
      </c>
      <c r="D6" s="195" t="s">
        <v>1068</v>
      </c>
      <c r="E6" s="197">
        <v>1.9965277777777779</v>
      </c>
      <c r="F6" s="195" t="s">
        <v>37</v>
      </c>
      <c r="G6" s="198">
        <v>4</v>
      </c>
      <c r="H6" s="223">
        <v>640</v>
      </c>
    </row>
    <row r="7" spans="1:8" ht="18" x14ac:dyDescent="0.3">
      <c r="A7" s="187">
        <v>45989</v>
      </c>
      <c r="B7" s="125" t="s">
        <v>35</v>
      </c>
      <c r="C7" s="126" t="s">
        <v>1078</v>
      </c>
      <c r="D7" s="125" t="s">
        <v>1068</v>
      </c>
      <c r="E7" s="127">
        <v>1.0034722222222221</v>
      </c>
      <c r="F7" s="125" t="s">
        <v>37</v>
      </c>
      <c r="G7" s="128">
        <v>1</v>
      </c>
      <c r="H7" s="200">
        <v>564</v>
      </c>
    </row>
    <row r="8" spans="1:8" ht="18" x14ac:dyDescent="0.3">
      <c r="A8" s="136">
        <v>45989</v>
      </c>
      <c r="B8" s="113" t="s">
        <v>378</v>
      </c>
      <c r="C8" s="114" t="s">
        <v>1071</v>
      </c>
      <c r="D8" s="113" t="s">
        <v>1068</v>
      </c>
      <c r="E8" s="115">
        <v>1.916666666666667</v>
      </c>
      <c r="F8" s="113" t="s">
        <v>380</v>
      </c>
      <c r="G8" s="116">
        <v>9</v>
      </c>
      <c r="H8" s="137">
        <v>625</v>
      </c>
    </row>
    <row r="9" spans="1:8" ht="18" x14ac:dyDescent="0.3">
      <c r="A9" s="144">
        <v>45989</v>
      </c>
      <c r="B9" s="145" t="s">
        <v>378</v>
      </c>
      <c r="C9" s="146" t="s">
        <v>1071</v>
      </c>
      <c r="D9" s="145" t="s">
        <v>1068</v>
      </c>
      <c r="E9" s="147">
        <v>1.916666666666667</v>
      </c>
      <c r="F9" s="145" t="s">
        <v>33</v>
      </c>
      <c r="G9" s="148">
        <v>9</v>
      </c>
      <c r="H9" s="192">
        <v>753</v>
      </c>
    </row>
    <row r="10" spans="1:8" ht="18" x14ac:dyDescent="0.3">
      <c r="A10" s="237">
        <v>45990</v>
      </c>
      <c r="B10" s="195" t="s">
        <v>333</v>
      </c>
      <c r="C10" s="196" t="s">
        <v>1084</v>
      </c>
      <c r="D10" s="195" t="s">
        <v>1068</v>
      </c>
      <c r="E10" s="197">
        <v>1.197916666666667</v>
      </c>
      <c r="F10" s="195" t="s">
        <v>37</v>
      </c>
      <c r="G10" s="198">
        <v>4</v>
      </c>
      <c r="H10" s="238">
        <v>550</v>
      </c>
    </row>
    <row r="11" spans="1:8" ht="18" x14ac:dyDescent="0.3">
      <c r="A11" s="187">
        <v>45991</v>
      </c>
      <c r="B11" s="125" t="s">
        <v>35</v>
      </c>
      <c r="C11" s="126" t="s">
        <v>1078</v>
      </c>
      <c r="D11" s="125" t="s">
        <v>1068</v>
      </c>
      <c r="E11" s="127">
        <v>1.0034722222222221</v>
      </c>
      <c r="F11" s="125" t="s">
        <v>37</v>
      </c>
      <c r="G11" s="128">
        <v>9</v>
      </c>
      <c r="H11" s="200">
        <v>564</v>
      </c>
    </row>
    <row r="12" spans="1:8" ht="18" x14ac:dyDescent="0.3">
      <c r="A12" s="194">
        <v>45991</v>
      </c>
      <c r="B12" s="195" t="s">
        <v>333</v>
      </c>
      <c r="C12" s="196" t="s">
        <v>1069</v>
      </c>
      <c r="D12" s="195" t="s">
        <v>1068</v>
      </c>
      <c r="E12" s="197">
        <v>1.916666666666667</v>
      </c>
      <c r="F12" s="195" t="s">
        <v>37</v>
      </c>
      <c r="G12" s="198">
        <v>1</v>
      </c>
      <c r="H12" s="223">
        <v>571</v>
      </c>
    </row>
  </sheetData>
  <dataValidations count="3">
    <dataValidation type="custom" allowBlank="1" showInputMessage="1" promptTitle="LOAD FACTOR ANALYSIS" prompt="SM-448_x000d__x000a_LF 53.6%_x000d__x000a_SOLD 90_x000d__x000a_LST-SOLD 24NOV_x000d__x000a_WEEKLY 53_x000d__x000a_TO-DAY 1_x000d__x000a_Y-DAY 6_x000d__x000a_LOWEST AVAIL T1_x000d__x000a_CAPACITY 168_x000d__x000a_CLASSES S4 &amp; W9 &amp; T9 &amp; +2 more" sqref="A5 B5 C5 D5 E5 F5 G5 H5" xr:uid="{00000000-0002-0000-3C00-000000000000}">
      <formula1>TRUE</formula1>
    </dataValidation>
    <dataValidation type="custom" allowBlank="1" showInputMessage="1" promptTitle="LOAD FACTOR ANALYSIS" prompt="SM-444_x000d__x000a_LF 56.5%_x000d__x000a_SOLD 95_x000d__x000a_LST-SOLD 24NOV_x000d__x000a_WEEKLY 51_x000d__x000a_TO-DAY 4_x000d__x000a_Y-DAY 16_x000d__x000a_LOWEST AVAIL X1_x000d__x000a_CAPACITY 168_x000d__x000a_CLASSES W6 &amp; T16 &amp; X55 &amp; +2 more" sqref="A7 B7 C7 D7 E7 F7 G7 H7" xr:uid="{00000000-0002-0000-3C00-000001000000}">
      <formula1>TRUE</formula1>
    </dataValidation>
    <dataValidation type="custom" allowBlank="1" showInputMessage="1" promptTitle="LOAD FACTOR ANALYSIS" prompt="SM-444_x000d__x000a_LF 38.1%_x000d__x000a_SOLD 64_x000d__x000a_LST-SOLD 23NOV_x000d__x000a_WEEKLY 21_x000d__x000a_TO-DAY NIL_x000d__x000a_Y-DAY 3_x000d__x000a_LOWEST AVAIL X9_x000d__x000a_CAPACITY 168_x000d__x000a_CLASSES S1 &amp; W2 &amp; T1 &amp; +4 more" sqref="A11 B11 C11 D11 E11 F11 G11 H11" xr:uid="{00000000-0002-0000-3C00-000002000000}">
      <formula1>TRUE</formula1>
    </dataValidation>
  </dataValidation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1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19.554687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5.33203125" bestFit="1" customWidth="1"/>
  </cols>
  <sheetData>
    <row r="1" spans="1:92" ht="28.8" customHeight="1" x14ac:dyDescent="0.3">
      <c r="A1" s="305" t="s">
        <v>0</v>
      </c>
      <c r="B1" s="281"/>
      <c r="C1" s="281"/>
      <c r="D1" s="305" t="s">
        <v>1092</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45985.360384664004</v>
      </c>
      <c r="H2" s="292"/>
      <c r="I2" s="292"/>
      <c r="J2" s="292"/>
      <c r="K2" s="303">
        <v>45985.360384664491</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45989</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69" t="s">
        <v>35</v>
      </c>
      <c r="B6" s="169" t="s">
        <v>1093</v>
      </c>
      <c r="C6" s="170">
        <v>0.76041666666666663</v>
      </c>
      <c r="D6" s="169" t="s">
        <v>37</v>
      </c>
      <c r="E6" s="169" t="s">
        <v>38</v>
      </c>
      <c r="F6" s="169" t="s">
        <v>847</v>
      </c>
      <c r="G6" s="284"/>
      <c r="H6" s="28" t="s">
        <v>1094</v>
      </c>
      <c r="I6" s="216">
        <v>0.3155</v>
      </c>
      <c r="J6" s="30">
        <v>53</v>
      </c>
      <c r="K6" s="31">
        <v>45984</v>
      </c>
      <c r="L6" s="30">
        <v>16</v>
      </c>
      <c r="M6" s="30">
        <v>0</v>
      </c>
      <c r="N6" s="30">
        <v>4</v>
      </c>
      <c r="O6" s="32" t="s">
        <v>1095</v>
      </c>
      <c r="P6" s="33">
        <v>0.76041666666666663</v>
      </c>
      <c r="Q6" s="30">
        <v>168</v>
      </c>
      <c r="R6" s="34" t="s">
        <v>1096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6" t="s">
        <v>1097</v>
      </c>
      <c r="B7" s="307"/>
      <c r="C7" s="307"/>
      <c r="D7" s="307"/>
      <c r="E7" s="307"/>
      <c r="F7" s="307"/>
      <c r="G7" s="285"/>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46" t="s">
        <v>35</v>
      </c>
      <c r="B8" s="46" t="s">
        <v>1078</v>
      </c>
      <c r="C8" s="47" t="s">
        <v>1098</v>
      </c>
      <c r="D8" s="46" t="s">
        <v>37</v>
      </c>
      <c r="E8" s="46" t="s">
        <v>248</v>
      </c>
      <c r="F8" s="46" t="s">
        <v>1079</v>
      </c>
      <c r="G8" s="285"/>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46" t="s">
        <v>378</v>
      </c>
      <c r="B9" s="46" t="s">
        <v>1071</v>
      </c>
      <c r="C9" s="47" t="s">
        <v>1099</v>
      </c>
      <c r="D9" s="46" t="s">
        <v>380</v>
      </c>
      <c r="E9" s="46" t="s">
        <v>646</v>
      </c>
      <c r="F9" s="46" t="s">
        <v>1082</v>
      </c>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61" t="s">
        <v>378</v>
      </c>
      <c r="B10" s="61" t="s">
        <v>1071</v>
      </c>
      <c r="C10" s="62" t="s">
        <v>1099</v>
      </c>
      <c r="D10" s="61" t="s">
        <v>33</v>
      </c>
      <c r="E10" s="61" t="s">
        <v>646</v>
      </c>
      <c r="F10" s="61" t="s">
        <v>1083</v>
      </c>
      <c r="G10" s="286"/>
      <c r="H10" s="174"/>
      <c r="I10" s="174"/>
      <c r="J10" s="174"/>
      <c r="K10" s="174"/>
      <c r="L10" s="174"/>
      <c r="M10" s="174"/>
      <c r="N10" s="174"/>
      <c r="O10" s="175"/>
      <c r="P10" s="174"/>
      <c r="Q10" s="176"/>
      <c r="R10" s="176"/>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88"/>
      <c r="B11" s="289"/>
      <c r="C11" s="289"/>
      <c r="D11" s="289"/>
      <c r="E11" s="289"/>
      <c r="F11" s="289"/>
      <c r="G11" s="289"/>
      <c r="H11" s="289"/>
      <c r="I11" s="289"/>
      <c r="J11" s="289"/>
      <c r="K11" s="289"/>
      <c r="L11" s="289"/>
      <c r="M11" s="289"/>
      <c r="N11" s="289"/>
      <c r="O11" s="289"/>
      <c r="P11" s="289"/>
      <c r="Q11" s="289"/>
      <c r="R11" s="29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sheetData>
  <mergeCells count="14">
    <mergeCell ref="A11:R11"/>
    <mergeCell ref="K2:R2"/>
    <mergeCell ref="G2:J2"/>
    <mergeCell ref="A4:F4"/>
    <mergeCell ref="G6:G10"/>
    <mergeCell ref="A7:F7"/>
    <mergeCell ref="A2:F2"/>
    <mergeCell ref="A3:R3"/>
    <mergeCell ref="O1:Q1"/>
    <mergeCell ref="H4:R4"/>
    <mergeCell ref="A1:C1"/>
    <mergeCell ref="G1:H1"/>
    <mergeCell ref="D1:F1"/>
    <mergeCell ref="J1:M1"/>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543</v>
      </c>
      <c r="B2" s="93">
        <v>45989</v>
      </c>
      <c r="C2" s="94" t="s">
        <v>1094</v>
      </c>
      <c r="D2" s="95">
        <v>0.76041666666666663</v>
      </c>
      <c r="E2" s="94" t="s">
        <v>1092</v>
      </c>
      <c r="F2" s="94" t="s">
        <v>174</v>
      </c>
      <c r="G2" s="96">
        <v>0.3155</v>
      </c>
      <c r="H2" s="97">
        <v>168</v>
      </c>
      <c r="I2" s="97">
        <v>53</v>
      </c>
      <c r="J2" s="97">
        <v>0</v>
      </c>
      <c r="K2" s="93">
        <v>45984</v>
      </c>
      <c r="L2" s="97">
        <v>0</v>
      </c>
      <c r="M2" s="97">
        <v>4</v>
      </c>
      <c r="N2" s="97">
        <v>16</v>
      </c>
      <c r="O2" s="94" t="s">
        <v>1095</v>
      </c>
      <c r="P2" s="98"/>
      <c r="Q2" s="98"/>
      <c r="R2" s="98"/>
      <c r="S2" s="98"/>
      <c r="T2" s="98"/>
      <c r="U2" s="98"/>
      <c r="V2" s="98"/>
      <c r="W2" s="97" t="s">
        <v>327</v>
      </c>
      <c r="X2" s="97" t="s">
        <v>1100</v>
      </c>
      <c r="Y2" s="97" t="s">
        <v>284</v>
      </c>
      <c r="Z2" s="97" t="s">
        <v>681</v>
      </c>
      <c r="AA2" s="98"/>
      <c r="AB2" s="98"/>
      <c r="AC2" s="98"/>
      <c r="AD2" s="98"/>
      <c r="AE2" s="98"/>
      <c r="AF2" s="98"/>
      <c r="AG2" s="98"/>
      <c r="AH2" s="98"/>
      <c r="AI2" s="98"/>
    </row>
    <row r="3" spans="1:35" ht="18" x14ac:dyDescent="0.3">
      <c r="A3" s="106" t="s">
        <v>219</v>
      </c>
      <c r="B3" s="107"/>
      <c r="C3" s="108">
        <f>COUNTA(C2:C2)</f>
        <v>1</v>
      </c>
      <c r="D3" s="107"/>
      <c r="E3" s="107"/>
      <c r="F3" s="107"/>
      <c r="G3" s="109">
        <f>AVERAGE(G2:G2)</f>
        <v>0.3155</v>
      </c>
      <c r="H3" s="110">
        <f>SUM(H2:H2)</f>
        <v>168</v>
      </c>
      <c r="I3" s="110">
        <f>SUM(I2:I2)</f>
        <v>53</v>
      </c>
      <c r="J3" s="110">
        <f>SUM(J2:J2)</f>
        <v>0</v>
      </c>
      <c r="K3" s="107"/>
      <c r="L3" s="110">
        <f>SUM(L2:L2)</f>
        <v>0</v>
      </c>
      <c r="M3" s="110">
        <f>SUM(M2:M2)</f>
        <v>4</v>
      </c>
      <c r="N3" s="110">
        <f>SUM(N2:N2)</f>
        <v>16</v>
      </c>
      <c r="O3" s="107"/>
      <c r="P3" s="110">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110">
        <f t="shared" si="0"/>
        <v>0</v>
      </c>
      <c r="R3" s="110">
        <f t="shared" si="0"/>
        <v>0</v>
      </c>
      <c r="S3" s="110">
        <f t="shared" si="0"/>
        <v>0</v>
      </c>
      <c r="T3" s="110">
        <f t="shared" si="0"/>
        <v>0</v>
      </c>
      <c r="U3" s="110">
        <f t="shared" si="0"/>
        <v>0</v>
      </c>
      <c r="V3" s="110">
        <f t="shared" si="0"/>
        <v>0</v>
      </c>
      <c r="W3" s="110">
        <f t="shared" si="0"/>
        <v>3</v>
      </c>
      <c r="X3" s="110">
        <f t="shared" si="0"/>
        <v>26</v>
      </c>
      <c r="Y3" s="110">
        <f t="shared" si="0"/>
        <v>14</v>
      </c>
      <c r="Z3" s="110">
        <f t="shared" si="0"/>
        <v>10</v>
      </c>
      <c r="AA3" s="110">
        <f t="shared" si="0"/>
        <v>0</v>
      </c>
      <c r="AB3" s="110">
        <f t="shared" si="0"/>
        <v>0</v>
      </c>
      <c r="AC3" s="110">
        <f t="shared" si="0"/>
        <v>0</v>
      </c>
      <c r="AD3" s="110">
        <f t="shared" si="0"/>
        <v>0</v>
      </c>
      <c r="AE3" s="110">
        <f t="shared" si="0"/>
        <v>0</v>
      </c>
      <c r="AF3" s="110">
        <f t="shared" si="0"/>
        <v>0</v>
      </c>
      <c r="AG3" s="110">
        <f t="shared" si="0"/>
        <v>0</v>
      </c>
      <c r="AH3" s="110">
        <f t="shared" si="0"/>
        <v>0</v>
      </c>
      <c r="AI3" s="110">
        <f t="shared" si="0"/>
        <v>0</v>
      </c>
    </row>
  </sheetData>
  <autoFilter ref="A1:AI2" xr:uid="{00000000-0009-0000-0000-00003E000000}"/>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8"/>
  <sheetViews>
    <sheetView workbookViewId="0"/>
  </sheetViews>
  <sheetFormatPr defaultRowHeight="14.4" x14ac:dyDescent="0.3"/>
  <cols>
    <col min="1" max="1" width="13" bestFit="1" customWidth="1"/>
    <col min="2" max="2" width="19.44140625" bestFit="1" customWidth="1"/>
    <col min="3" max="3" width="16.109375" bestFit="1" customWidth="1"/>
    <col min="4" max="4" width="11.3320312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5.6" x14ac:dyDescent="0.3">
      <c r="A2" s="189"/>
      <c r="B2" s="189"/>
      <c r="C2" s="189"/>
      <c r="D2" s="189"/>
      <c r="E2" s="190" t="s">
        <v>1101</v>
      </c>
      <c r="F2" s="189"/>
      <c r="G2" s="189"/>
      <c r="H2" s="3"/>
    </row>
    <row r="3" spans="1:8" ht="18" x14ac:dyDescent="0.3">
      <c r="A3" s="112">
        <v>45986</v>
      </c>
      <c r="B3" s="113" t="s">
        <v>333</v>
      </c>
      <c r="C3" s="114" t="s">
        <v>1069</v>
      </c>
      <c r="D3" s="113" t="s">
        <v>1068</v>
      </c>
      <c r="E3" s="115">
        <v>1.958333333333333</v>
      </c>
      <c r="F3" s="113" t="s">
        <v>37</v>
      </c>
      <c r="G3" s="116">
        <v>1</v>
      </c>
      <c r="H3" s="117">
        <v>863</v>
      </c>
    </row>
    <row r="4" spans="1:8" ht="18" x14ac:dyDescent="0.3">
      <c r="A4" s="136">
        <v>45986</v>
      </c>
      <c r="B4" s="113" t="s">
        <v>378</v>
      </c>
      <c r="C4" s="114" t="s">
        <v>1071</v>
      </c>
      <c r="D4" s="113" t="s">
        <v>1068</v>
      </c>
      <c r="E4" s="115">
        <v>1.2951388888888891</v>
      </c>
      <c r="F4" s="113" t="s">
        <v>380</v>
      </c>
      <c r="G4" s="116">
        <v>1</v>
      </c>
      <c r="H4" s="113" t="s">
        <v>1072</v>
      </c>
    </row>
    <row r="5" spans="1:8" ht="18" x14ac:dyDescent="0.3">
      <c r="A5" s="144">
        <v>45986</v>
      </c>
      <c r="B5" s="145" t="s">
        <v>378</v>
      </c>
      <c r="C5" s="146" t="s">
        <v>1071</v>
      </c>
      <c r="D5" s="145" t="s">
        <v>1068</v>
      </c>
      <c r="E5" s="147">
        <v>1.2951388888888891</v>
      </c>
      <c r="F5" s="145" t="s">
        <v>33</v>
      </c>
      <c r="G5" s="148">
        <v>1</v>
      </c>
      <c r="H5" s="145" t="s">
        <v>1073</v>
      </c>
    </row>
    <row r="6" spans="1:8" ht="15.6" x14ac:dyDescent="0.3">
      <c r="A6" s="189"/>
      <c r="B6" s="189"/>
      <c r="C6" s="189"/>
      <c r="D6" s="189"/>
      <c r="E6" s="190" t="s">
        <v>1101</v>
      </c>
      <c r="F6" s="189"/>
      <c r="G6" s="189"/>
      <c r="H6" s="3"/>
    </row>
    <row r="7" spans="1:8" ht="18" x14ac:dyDescent="0.3">
      <c r="A7" s="187">
        <v>45988</v>
      </c>
      <c r="B7" s="125" t="s">
        <v>35</v>
      </c>
      <c r="C7" s="126" t="s">
        <v>1074</v>
      </c>
      <c r="D7" s="125" t="s">
        <v>1068</v>
      </c>
      <c r="E7" s="127">
        <v>1.0451388888888891</v>
      </c>
      <c r="F7" s="125" t="s">
        <v>37</v>
      </c>
      <c r="G7" s="128">
        <v>1</v>
      </c>
      <c r="H7" s="200">
        <v>591</v>
      </c>
    </row>
    <row r="8" spans="1:8" ht="18" x14ac:dyDescent="0.3">
      <c r="A8" s="194">
        <v>45988</v>
      </c>
      <c r="B8" s="195" t="s">
        <v>333</v>
      </c>
      <c r="C8" s="196" t="s">
        <v>1069</v>
      </c>
      <c r="D8" s="195" t="s">
        <v>1068</v>
      </c>
      <c r="E8" s="197">
        <v>1.9965277777777779</v>
      </c>
      <c r="F8" s="195" t="s">
        <v>37</v>
      </c>
      <c r="G8" s="198">
        <v>4</v>
      </c>
      <c r="H8" s="223">
        <v>640</v>
      </c>
    </row>
    <row r="9" spans="1:8" ht="18" x14ac:dyDescent="0.3">
      <c r="A9" s="187">
        <v>45989</v>
      </c>
      <c r="B9" s="125" t="s">
        <v>35</v>
      </c>
      <c r="C9" s="126" t="s">
        <v>1093</v>
      </c>
      <c r="D9" s="125" t="s">
        <v>1092</v>
      </c>
      <c r="E9" s="127">
        <v>1.760416666666667</v>
      </c>
      <c r="F9" s="125" t="s">
        <v>37</v>
      </c>
      <c r="G9" s="128">
        <v>9</v>
      </c>
      <c r="H9" s="200">
        <v>786</v>
      </c>
    </row>
    <row r="10" spans="1:8" ht="15.6" x14ac:dyDescent="0.3">
      <c r="A10" s="189"/>
      <c r="B10" s="189"/>
      <c r="C10" s="189"/>
      <c r="D10" s="189"/>
      <c r="E10" s="190" t="s">
        <v>1101</v>
      </c>
      <c r="F10" s="189"/>
      <c r="G10" s="189"/>
      <c r="H10" s="3"/>
    </row>
    <row r="11" spans="1:8" ht="18" x14ac:dyDescent="0.3">
      <c r="A11" s="124">
        <v>45989</v>
      </c>
      <c r="B11" s="125" t="s">
        <v>35</v>
      </c>
      <c r="C11" s="126" t="s">
        <v>1078</v>
      </c>
      <c r="D11" s="125" t="s">
        <v>1068</v>
      </c>
      <c r="E11" s="127">
        <v>1.0034722222222221</v>
      </c>
      <c r="F11" s="125" t="s">
        <v>37</v>
      </c>
      <c r="G11" s="128">
        <v>1</v>
      </c>
      <c r="H11" s="129">
        <v>564</v>
      </c>
    </row>
    <row r="12" spans="1:8" ht="18" x14ac:dyDescent="0.3">
      <c r="A12" s="136">
        <v>45989</v>
      </c>
      <c r="B12" s="113" t="s">
        <v>378</v>
      </c>
      <c r="C12" s="114" t="s">
        <v>1071</v>
      </c>
      <c r="D12" s="113" t="s">
        <v>1068</v>
      </c>
      <c r="E12" s="115">
        <v>1.916666666666667</v>
      </c>
      <c r="F12" s="113" t="s">
        <v>380</v>
      </c>
      <c r="G12" s="116">
        <v>9</v>
      </c>
      <c r="H12" s="137">
        <v>625</v>
      </c>
    </row>
    <row r="13" spans="1:8" ht="18" x14ac:dyDescent="0.3">
      <c r="A13" s="144">
        <v>45989</v>
      </c>
      <c r="B13" s="145" t="s">
        <v>378</v>
      </c>
      <c r="C13" s="146" t="s">
        <v>1071</v>
      </c>
      <c r="D13" s="145" t="s">
        <v>1068</v>
      </c>
      <c r="E13" s="147">
        <v>1.916666666666667</v>
      </c>
      <c r="F13" s="145" t="s">
        <v>33</v>
      </c>
      <c r="G13" s="148">
        <v>9</v>
      </c>
      <c r="H13" s="192">
        <v>753</v>
      </c>
    </row>
    <row r="14" spans="1:8" ht="15.6" x14ac:dyDescent="0.3">
      <c r="A14" s="189"/>
      <c r="B14" s="189"/>
      <c r="C14" s="189"/>
      <c r="D14" s="189"/>
      <c r="E14" s="190" t="s">
        <v>1101</v>
      </c>
      <c r="F14" s="189"/>
      <c r="G14" s="189"/>
      <c r="H14" s="3"/>
    </row>
    <row r="15" spans="1:8" ht="18" x14ac:dyDescent="0.3">
      <c r="A15" s="237">
        <v>45990</v>
      </c>
      <c r="B15" s="195" t="s">
        <v>333</v>
      </c>
      <c r="C15" s="196" t="s">
        <v>1084</v>
      </c>
      <c r="D15" s="195" t="s">
        <v>1068</v>
      </c>
      <c r="E15" s="197">
        <v>1.197916666666667</v>
      </c>
      <c r="F15" s="195" t="s">
        <v>37</v>
      </c>
      <c r="G15" s="198">
        <v>4</v>
      </c>
      <c r="H15" s="238">
        <v>550</v>
      </c>
    </row>
    <row r="16" spans="1:8" ht="15.6" x14ac:dyDescent="0.3">
      <c r="A16" s="189"/>
      <c r="B16" s="189"/>
      <c r="C16" s="189"/>
      <c r="D16" s="189"/>
      <c r="E16" s="190" t="s">
        <v>1101</v>
      </c>
      <c r="F16" s="189"/>
      <c r="G16" s="189"/>
      <c r="H16" s="3"/>
    </row>
    <row r="17" spans="1:8" ht="18" x14ac:dyDescent="0.3">
      <c r="A17" s="187">
        <v>45991</v>
      </c>
      <c r="B17" s="125" t="s">
        <v>35</v>
      </c>
      <c r="C17" s="126" t="s">
        <v>1078</v>
      </c>
      <c r="D17" s="125" t="s">
        <v>1068</v>
      </c>
      <c r="E17" s="127">
        <v>1.0034722222222221</v>
      </c>
      <c r="F17" s="125" t="s">
        <v>37</v>
      </c>
      <c r="G17" s="128">
        <v>9</v>
      </c>
      <c r="H17" s="200">
        <v>564</v>
      </c>
    </row>
    <row r="18" spans="1:8" ht="18" x14ac:dyDescent="0.3">
      <c r="A18" s="194">
        <v>45991</v>
      </c>
      <c r="B18" s="195" t="s">
        <v>333</v>
      </c>
      <c r="C18" s="196" t="s">
        <v>1069</v>
      </c>
      <c r="D18" s="195" t="s">
        <v>1068</v>
      </c>
      <c r="E18" s="197">
        <v>1.916666666666667</v>
      </c>
      <c r="F18" s="195" t="s">
        <v>37</v>
      </c>
      <c r="G18" s="198">
        <v>1</v>
      </c>
      <c r="H18" s="223">
        <v>571</v>
      </c>
    </row>
  </sheetData>
  <dataValidations count="3">
    <dataValidation type="custom" allowBlank="1" showInputMessage="1" promptTitle="LOAD FACTOR ANALYSIS" prompt="SM-448_x000d__x000a_LF -_x000d__x000a_SOLD -_x000d__x000a_LST-SOLD -_x000d__x000a_WEEKLY -_x000d__x000a_TO-DAY -_x000d__x000a_Y-DAY -_x000d__x000a_LOWEST AVAIL -_x000d__x000a_CAPACITY -_x000d__x000a_CLASSES -" sqref="A7 B7 C7 D7 E7 F7 G7 H7" xr:uid="{00000000-0002-0000-3F00-000000000000}">
      <formula1>TRUE</formula1>
    </dataValidation>
    <dataValidation type="custom" allowBlank="1" showInputMessage="1" promptTitle="LOAD FACTOR ANALYSIS" prompt="SM-446_x000d__x000a_LF 31.6%_x000d__x000a_SOLD 53_x000d__x000a_LST-SOLD 23NOV_x000d__x000a_WEEKLY 16_x000d__x000a_TO-DAY NIL_x000d__x000a_Y-DAY 4_x000d__x000a_LOWEST AVAIL G9_x000d__x000a_CAPACITY 168_x000d__x000a_CLASSES L3 &amp; G26 &amp; S14 &amp; +1 more" sqref="A9 B9 C9 D9 E9 F9 G9 H9" xr:uid="{00000000-0002-0000-3F00-000001000000}">
      <formula1>TRUE</formula1>
    </dataValidation>
    <dataValidation type="custom" allowBlank="1" showInputMessage="1" promptTitle="LOAD FACTOR ANALYSIS" prompt="SM-444_x000d__x000a_LF -_x000d__x000a_SOLD -_x000d__x000a_LST-SOLD -_x000d__x000a_WEEKLY -_x000d__x000a_TO-DAY -_x000d__x000a_Y-DAY -_x000d__x000a_LOWEST AVAIL -_x000d__x000a_CAPACITY -_x000d__x000a_CLASSES -" sqref="A11 A17 B11 B17 C11 C17 D11 D17 E11 E17 F11 F17 G11 G17 H11 H17" xr:uid="{00000000-0002-0000-3F00-000002000000}">
      <formula1>TRUE</formula1>
    </dataValidation>
  </dataValidation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44"/>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3.88671875" bestFit="1" customWidth="1"/>
  </cols>
  <sheetData>
    <row r="1" spans="1:92" ht="28.8" customHeight="1" x14ac:dyDescent="0.3">
      <c r="A1" s="305" t="s">
        <v>0</v>
      </c>
      <c r="B1" s="281"/>
      <c r="C1" s="281"/>
      <c r="D1" s="305" t="s">
        <v>1102</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45985.360385390079</v>
      </c>
      <c r="H2" s="292"/>
      <c r="I2" s="292"/>
      <c r="J2" s="292"/>
      <c r="K2" s="303">
        <v>45985.360385390588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304</v>
      </c>
      <c r="B6" s="8" t="s">
        <v>1103</v>
      </c>
      <c r="C6" s="9">
        <v>0.60763888888888895</v>
      </c>
      <c r="D6" s="8" t="s">
        <v>37</v>
      </c>
      <c r="E6" s="8" t="s">
        <v>38</v>
      </c>
      <c r="F6" s="8" t="s">
        <v>796</v>
      </c>
      <c r="G6" s="284"/>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44" t="s">
        <v>333</v>
      </c>
      <c r="B7" s="44" t="s">
        <v>1104</v>
      </c>
      <c r="C7" s="45">
        <v>0.65625</v>
      </c>
      <c r="D7" s="44" t="s">
        <v>37</v>
      </c>
      <c r="E7" s="44" t="s">
        <v>122</v>
      </c>
      <c r="F7" s="44" t="s">
        <v>796</v>
      </c>
      <c r="G7" s="285"/>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43" t="s">
        <v>66</v>
      </c>
      <c r="B8" s="243" t="s">
        <v>1105</v>
      </c>
      <c r="C8" s="244">
        <v>3.4722222222222217E-2</v>
      </c>
      <c r="D8" s="243" t="s">
        <v>68</v>
      </c>
      <c r="E8" s="243" t="s">
        <v>38</v>
      </c>
      <c r="F8" s="243" t="s">
        <v>1106</v>
      </c>
      <c r="G8" s="286"/>
      <c r="H8" s="50"/>
      <c r="I8" s="51"/>
      <c r="J8" s="51"/>
      <c r="K8" s="51"/>
      <c r="L8" s="51"/>
      <c r="M8" s="51"/>
      <c r="N8" s="51"/>
      <c r="O8" s="52"/>
      <c r="P8" s="51"/>
      <c r="Q8" s="53"/>
      <c r="R8" s="5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95"/>
      <c r="B9" s="296"/>
      <c r="C9" s="296"/>
      <c r="D9" s="296"/>
      <c r="E9" s="296"/>
      <c r="F9" s="296"/>
      <c r="G9" s="289"/>
      <c r="H9" s="297"/>
      <c r="I9" s="297"/>
      <c r="J9" s="297"/>
      <c r="K9" s="297"/>
      <c r="L9" s="297"/>
      <c r="M9" s="297"/>
      <c r="N9" s="297"/>
      <c r="O9" s="298"/>
      <c r="P9" s="297"/>
      <c r="Q9" s="289"/>
      <c r="R9" s="2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82" t="s">
        <v>5</v>
      </c>
      <c r="B10" s="283"/>
      <c r="C10" s="283"/>
      <c r="D10" s="283"/>
      <c r="E10" s="283"/>
      <c r="F10" s="283"/>
      <c r="G10" s="5">
        <v>45987</v>
      </c>
      <c r="H10" s="278" t="s">
        <v>6</v>
      </c>
      <c r="I10" s="279"/>
      <c r="J10" s="279"/>
      <c r="K10" s="279"/>
      <c r="L10" s="279"/>
      <c r="M10" s="279"/>
      <c r="N10" s="279"/>
      <c r="O10" s="279"/>
      <c r="P10" s="279"/>
      <c r="Q10" s="279"/>
      <c r="R10" s="27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55" t="s">
        <v>7</v>
      </c>
      <c r="B11" s="55" t="s">
        <v>8</v>
      </c>
      <c r="C11" s="56" t="s">
        <v>9</v>
      </c>
      <c r="D11" s="55" t="s">
        <v>10</v>
      </c>
      <c r="E11" s="55" t="s">
        <v>11</v>
      </c>
      <c r="F11" s="55" t="s">
        <v>12</v>
      </c>
      <c r="G11" s="57" t="s">
        <v>13</v>
      </c>
      <c r="H11" s="55" t="s">
        <v>14</v>
      </c>
      <c r="I11" s="58" t="s">
        <v>15</v>
      </c>
      <c r="J11" s="59" t="s">
        <v>16</v>
      </c>
      <c r="K11" s="60" t="s">
        <v>17</v>
      </c>
      <c r="L11" s="59" t="s">
        <v>18</v>
      </c>
      <c r="M11" s="59" t="s">
        <v>19</v>
      </c>
      <c r="N11" s="59" t="s">
        <v>20</v>
      </c>
      <c r="O11" s="55" t="s">
        <v>21</v>
      </c>
      <c r="P11" s="56" t="s">
        <v>22</v>
      </c>
      <c r="Q11" s="59" t="s">
        <v>23</v>
      </c>
      <c r="R11" s="55"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 t="s">
        <v>378</v>
      </c>
      <c r="B12" s="8" t="s">
        <v>1107</v>
      </c>
      <c r="C12" s="9">
        <v>0.9375</v>
      </c>
      <c r="D12" s="8" t="s">
        <v>380</v>
      </c>
      <c r="E12" s="8" t="s">
        <v>381</v>
      </c>
      <c r="F12" s="8" t="s">
        <v>1108</v>
      </c>
      <c r="G12" s="284"/>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15" t="s">
        <v>378</v>
      </c>
      <c r="B13" s="15" t="s">
        <v>1107</v>
      </c>
      <c r="C13" s="16">
        <v>0.9375</v>
      </c>
      <c r="D13" s="15" t="s">
        <v>33</v>
      </c>
      <c r="E13" s="15" t="s">
        <v>360</v>
      </c>
      <c r="F13" s="15" t="s">
        <v>1109</v>
      </c>
      <c r="G13" s="285"/>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44" t="s">
        <v>304</v>
      </c>
      <c r="B14" s="44" t="s">
        <v>1103</v>
      </c>
      <c r="C14" s="45">
        <v>0.625</v>
      </c>
      <c r="D14" s="44" t="s">
        <v>37</v>
      </c>
      <c r="E14" s="44" t="s">
        <v>38</v>
      </c>
      <c r="F14" s="44" t="s">
        <v>796</v>
      </c>
      <c r="G14" s="285"/>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43" t="s">
        <v>333</v>
      </c>
      <c r="B15" s="243" t="s">
        <v>1104</v>
      </c>
      <c r="C15" s="244">
        <v>0.65625</v>
      </c>
      <c r="D15" s="243" t="s">
        <v>37</v>
      </c>
      <c r="E15" s="243" t="s">
        <v>58</v>
      </c>
      <c r="F15" s="243" t="s">
        <v>796</v>
      </c>
      <c r="G15" s="286"/>
      <c r="H15" s="50"/>
      <c r="I15" s="51"/>
      <c r="J15" s="51"/>
      <c r="K15" s="51"/>
      <c r="L15" s="51"/>
      <c r="M15" s="51"/>
      <c r="N15" s="51"/>
      <c r="O15" s="52"/>
      <c r="P15" s="51"/>
      <c r="Q15" s="53"/>
      <c r="R15" s="5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95"/>
      <c r="B16" s="296"/>
      <c r="C16" s="296"/>
      <c r="D16" s="296"/>
      <c r="E16" s="296"/>
      <c r="F16" s="296"/>
      <c r="G16" s="289"/>
      <c r="H16" s="297"/>
      <c r="I16" s="297"/>
      <c r="J16" s="297"/>
      <c r="K16" s="297"/>
      <c r="L16" s="297"/>
      <c r="M16" s="297"/>
      <c r="N16" s="297"/>
      <c r="O16" s="298"/>
      <c r="P16" s="297"/>
      <c r="Q16" s="289"/>
      <c r="R16" s="2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82" t="s">
        <v>5</v>
      </c>
      <c r="B17" s="283"/>
      <c r="C17" s="283"/>
      <c r="D17" s="283"/>
      <c r="E17" s="283"/>
      <c r="F17" s="283"/>
      <c r="G17" s="5">
        <v>45988</v>
      </c>
      <c r="H17" s="278" t="s">
        <v>6</v>
      </c>
      <c r="I17" s="279"/>
      <c r="J17" s="279"/>
      <c r="K17" s="279"/>
      <c r="L17" s="279"/>
      <c r="M17" s="279"/>
      <c r="N17" s="279"/>
      <c r="O17" s="279"/>
      <c r="P17" s="279"/>
      <c r="Q17" s="279"/>
      <c r="R17" s="27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55" t="s">
        <v>7</v>
      </c>
      <c r="B18" s="55" t="s">
        <v>8</v>
      </c>
      <c r="C18" s="56" t="s">
        <v>9</v>
      </c>
      <c r="D18" s="55" t="s">
        <v>10</v>
      </c>
      <c r="E18" s="55" t="s">
        <v>11</v>
      </c>
      <c r="F18" s="55" t="s">
        <v>12</v>
      </c>
      <c r="G18" s="57" t="s">
        <v>13</v>
      </c>
      <c r="H18" s="55" t="s">
        <v>14</v>
      </c>
      <c r="I18" s="58" t="s">
        <v>15</v>
      </c>
      <c r="J18" s="59" t="s">
        <v>16</v>
      </c>
      <c r="K18" s="60" t="s">
        <v>17</v>
      </c>
      <c r="L18" s="59" t="s">
        <v>18</v>
      </c>
      <c r="M18" s="59" t="s">
        <v>19</v>
      </c>
      <c r="N18" s="59" t="s">
        <v>20</v>
      </c>
      <c r="O18" s="55" t="s">
        <v>21</v>
      </c>
      <c r="P18" s="56" t="s">
        <v>22</v>
      </c>
      <c r="Q18" s="59" t="s">
        <v>23</v>
      </c>
      <c r="R18" s="55"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8" t="s">
        <v>66</v>
      </c>
      <c r="B19" s="8" t="s">
        <v>1105</v>
      </c>
      <c r="C19" s="9">
        <v>3.4722222222222217E-2</v>
      </c>
      <c r="D19" s="8" t="s">
        <v>94</v>
      </c>
      <c r="E19" s="8" t="s">
        <v>38</v>
      </c>
      <c r="F19" s="8" t="s">
        <v>1110</v>
      </c>
      <c r="G19" s="284"/>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44" t="s">
        <v>378</v>
      </c>
      <c r="B20" s="44" t="s">
        <v>1107</v>
      </c>
      <c r="C20" s="45">
        <v>0.9375</v>
      </c>
      <c r="D20" s="44" t="s">
        <v>380</v>
      </c>
      <c r="E20" s="44" t="s">
        <v>381</v>
      </c>
      <c r="F20" s="44" t="s">
        <v>1108</v>
      </c>
      <c r="G20" s="285"/>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5" t="s">
        <v>378</v>
      </c>
      <c r="B21" s="15" t="s">
        <v>1107</v>
      </c>
      <c r="C21" s="16">
        <v>0.9375</v>
      </c>
      <c r="D21" s="15" t="s">
        <v>33</v>
      </c>
      <c r="E21" s="15" t="s">
        <v>360</v>
      </c>
      <c r="F21" s="15" t="s">
        <v>1109</v>
      </c>
      <c r="G21" s="285"/>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44" t="s">
        <v>304</v>
      </c>
      <c r="B22" s="44" t="s">
        <v>1103</v>
      </c>
      <c r="C22" s="45">
        <v>0.625</v>
      </c>
      <c r="D22" s="44" t="s">
        <v>37</v>
      </c>
      <c r="E22" s="44" t="s">
        <v>38</v>
      </c>
      <c r="F22" s="44" t="s">
        <v>796</v>
      </c>
      <c r="G22" s="285"/>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44" t="s">
        <v>333</v>
      </c>
      <c r="B23" s="44" t="s">
        <v>1104</v>
      </c>
      <c r="C23" s="45">
        <v>0.65625</v>
      </c>
      <c r="D23" s="44" t="s">
        <v>37</v>
      </c>
      <c r="E23" s="44" t="s">
        <v>108</v>
      </c>
      <c r="F23" s="44" t="s">
        <v>796</v>
      </c>
      <c r="G23" s="285"/>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72" t="s">
        <v>35</v>
      </c>
      <c r="B24" s="72" t="s">
        <v>1111</v>
      </c>
      <c r="C24" s="73">
        <v>0.79861111111111116</v>
      </c>
      <c r="D24" s="72" t="s">
        <v>37</v>
      </c>
      <c r="E24" s="72" t="s">
        <v>38</v>
      </c>
      <c r="F24" s="72" t="s">
        <v>839</v>
      </c>
      <c r="G24" s="286"/>
      <c r="H24" s="75" t="s">
        <v>1112</v>
      </c>
      <c r="I24" s="276">
        <v>0.38100000000000001</v>
      </c>
      <c r="J24" s="77">
        <v>64</v>
      </c>
      <c r="K24" s="78">
        <v>45984</v>
      </c>
      <c r="L24" s="77">
        <v>26</v>
      </c>
      <c r="M24" s="77">
        <v>0</v>
      </c>
      <c r="N24" s="77">
        <v>3</v>
      </c>
      <c r="O24" s="79" t="s">
        <v>202</v>
      </c>
      <c r="P24" s="80">
        <v>0.79861111111111116</v>
      </c>
      <c r="Q24" s="77">
        <v>168</v>
      </c>
      <c r="R24" s="81" t="s">
        <v>1113</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288"/>
      <c r="B25" s="289"/>
      <c r="C25" s="289"/>
      <c r="D25" s="289"/>
      <c r="E25" s="289"/>
      <c r="F25" s="289"/>
      <c r="G25" s="289"/>
      <c r="H25" s="289"/>
      <c r="I25" s="289"/>
      <c r="J25" s="289"/>
      <c r="K25" s="289"/>
      <c r="L25" s="289"/>
      <c r="M25" s="289"/>
      <c r="N25" s="289"/>
      <c r="O25" s="289"/>
      <c r="P25" s="289"/>
      <c r="Q25" s="289"/>
      <c r="R25" s="29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282" t="s">
        <v>5</v>
      </c>
      <c r="B26" s="283"/>
      <c r="C26" s="283"/>
      <c r="D26" s="283"/>
      <c r="E26" s="283"/>
      <c r="F26" s="283"/>
      <c r="G26" s="5">
        <v>45989</v>
      </c>
      <c r="H26" s="278" t="s">
        <v>6</v>
      </c>
      <c r="I26" s="279"/>
      <c r="J26" s="279"/>
      <c r="K26" s="279"/>
      <c r="L26" s="279"/>
      <c r="M26" s="279"/>
      <c r="N26" s="279"/>
      <c r="O26" s="279"/>
      <c r="P26" s="279"/>
      <c r="Q26" s="279"/>
      <c r="R26" s="27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55" t="s">
        <v>7</v>
      </c>
      <c r="B27" s="55" t="s">
        <v>8</v>
      </c>
      <c r="C27" s="56" t="s">
        <v>9</v>
      </c>
      <c r="D27" s="55" t="s">
        <v>10</v>
      </c>
      <c r="E27" s="55" t="s">
        <v>11</v>
      </c>
      <c r="F27" s="55" t="s">
        <v>12</v>
      </c>
      <c r="G27" s="57" t="s">
        <v>13</v>
      </c>
      <c r="H27" s="55" t="s">
        <v>14</v>
      </c>
      <c r="I27" s="58" t="s">
        <v>15</v>
      </c>
      <c r="J27" s="59" t="s">
        <v>16</v>
      </c>
      <c r="K27" s="60" t="s">
        <v>17</v>
      </c>
      <c r="L27" s="59" t="s">
        <v>18</v>
      </c>
      <c r="M27" s="59" t="s">
        <v>19</v>
      </c>
      <c r="N27" s="59" t="s">
        <v>20</v>
      </c>
      <c r="O27" s="55" t="s">
        <v>21</v>
      </c>
      <c r="P27" s="56" t="s">
        <v>22</v>
      </c>
      <c r="Q27" s="59" t="s">
        <v>23</v>
      </c>
      <c r="R27" s="55"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8" t="s">
        <v>304</v>
      </c>
      <c r="B28" s="8" t="s">
        <v>1103</v>
      </c>
      <c r="C28" s="9">
        <v>0.86805555555555547</v>
      </c>
      <c r="D28" s="8" t="s">
        <v>37</v>
      </c>
      <c r="E28" s="8" t="s">
        <v>38</v>
      </c>
      <c r="F28" s="8" t="s">
        <v>1114</v>
      </c>
      <c r="G28" s="284"/>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44" t="s">
        <v>333</v>
      </c>
      <c r="B29" s="44" t="s">
        <v>1104</v>
      </c>
      <c r="C29" s="45">
        <v>0.65625</v>
      </c>
      <c r="D29" s="44" t="s">
        <v>37</v>
      </c>
      <c r="E29" s="44" t="s">
        <v>124</v>
      </c>
      <c r="F29" s="44" t="s">
        <v>796</v>
      </c>
      <c r="G29" s="285"/>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243" t="s">
        <v>66</v>
      </c>
      <c r="B30" s="243" t="s">
        <v>1105</v>
      </c>
      <c r="C30" s="244">
        <v>3.4722222222222217E-2</v>
      </c>
      <c r="D30" s="243" t="s">
        <v>68</v>
      </c>
      <c r="E30" s="243" t="s">
        <v>38</v>
      </c>
      <c r="F30" s="243" t="s">
        <v>1115</v>
      </c>
      <c r="G30" s="286"/>
      <c r="H30" s="50"/>
      <c r="I30" s="51"/>
      <c r="J30" s="51"/>
      <c r="K30" s="51"/>
      <c r="L30" s="51"/>
      <c r="M30" s="51"/>
      <c r="N30" s="51"/>
      <c r="O30" s="52"/>
      <c r="P30" s="51"/>
      <c r="Q30" s="53"/>
      <c r="R30" s="5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95"/>
      <c r="B31" s="296"/>
      <c r="C31" s="296"/>
      <c r="D31" s="296"/>
      <c r="E31" s="296"/>
      <c r="F31" s="296"/>
      <c r="G31" s="289"/>
      <c r="H31" s="297"/>
      <c r="I31" s="297"/>
      <c r="J31" s="297"/>
      <c r="K31" s="297"/>
      <c r="L31" s="297"/>
      <c r="M31" s="297"/>
      <c r="N31" s="297"/>
      <c r="O31" s="298"/>
      <c r="P31" s="297"/>
      <c r="Q31" s="289"/>
      <c r="R31" s="29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82" t="s">
        <v>5</v>
      </c>
      <c r="B32" s="283"/>
      <c r="C32" s="283"/>
      <c r="D32" s="283"/>
      <c r="E32" s="283"/>
      <c r="F32" s="283"/>
      <c r="G32" s="5">
        <v>45990</v>
      </c>
      <c r="H32" s="278" t="s">
        <v>6</v>
      </c>
      <c r="I32" s="279"/>
      <c r="J32" s="279"/>
      <c r="K32" s="279"/>
      <c r="L32" s="279"/>
      <c r="M32" s="279"/>
      <c r="N32" s="279"/>
      <c r="O32" s="279"/>
      <c r="P32" s="279"/>
      <c r="Q32" s="279"/>
      <c r="R32" s="27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55" t="s">
        <v>7</v>
      </c>
      <c r="B33" s="55" t="s">
        <v>8</v>
      </c>
      <c r="C33" s="56" t="s">
        <v>9</v>
      </c>
      <c r="D33" s="55" t="s">
        <v>10</v>
      </c>
      <c r="E33" s="55" t="s">
        <v>11</v>
      </c>
      <c r="F33" s="55" t="s">
        <v>12</v>
      </c>
      <c r="G33" s="57" t="s">
        <v>13</v>
      </c>
      <c r="H33" s="55" t="s">
        <v>14</v>
      </c>
      <c r="I33" s="58" t="s">
        <v>15</v>
      </c>
      <c r="J33" s="59" t="s">
        <v>16</v>
      </c>
      <c r="K33" s="60" t="s">
        <v>17</v>
      </c>
      <c r="L33" s="59" t="s">
        <v>18</v>
      </c>
      <c r="M33" s="59" t="s">
        <v>19</v>
      </c>
      <c r="N33" s="59" t="s">
        <v>20</v>
      </c>
      <c r="O33" s="55" t="s">
        <v>21</v>
      </c>
      <c r="P33" s="56" t="s">
        <v>22</v>
      </c>
      <c r="Q33" s="59" t="s">
        <v>23</v>
      </c>
      <c r="R33" s="55"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8" t="s">
        <v>333</v>
      </c>
      <c r="B34" s="8" t="s">
        <v>1116</v>
      </c>
      <c r="C34" s="9">
        <v>0.97916666666666663</v>
      </c>
      <c r="D34" s="8" t="s">
        <v>37</v>
      </c>
      <c r="E34" s="8" t="s">
        <v>122</v>
      </c>
      <c r="F34" s="8" t="s">
        <v>796</v>
      </c>
      <c r="G34" s="284"/>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211" t="s">
        <v>35</v>
      </c>
      <c r="B35" s="211" t="s">
        <v>1111</v>
      </c>
      <c r="C35" s="212">
        <v>6.9444444444444447E-4</v>
      </c>
      <c r="D35" s="211" t="s">
        <v>37</v>
      </c>
      <c r="E35" s="211" t="s">
        <v>38</v>
      </c>
      <c r="F35" s="211" t="s">
        <v>839</v>
      </c>
      <c r="G35" s="285"/>
      <c r="H35" s="37" t="s">
        <v>1112</v>
      </c>
      <c r="I35" s="214">
        <v>0.1071</v>
      </c>
      <c r="J35" s="39">
        <v>18</v>
      </c>
      <c r="K35" s="40">
        <v>45982</v>
      </c>
      <c r="L35" s="39">
        <v>2</v>
      </c>
      <c r="M35" s="39">
        <v>0</v>
      </c>
      <c r="N35" s="39">
        <v>0</v>
      </c>
      <c r="O35" s="41" t="s">
        <v>202</v>
      </c>
      <c r="P35" s="42">
        <v>6.9444444444444447E-4</v>
      </c>
      <c r="Q35" s="39">
        <v>168</v>
      </c>
      <c r="R35" s="43" t="s">
        <v>1117</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243" t="s">
        <v>66</v>
      </c>
      <c r="B36" s="243" t="s">
        <v>1105</v>
      </c>
      <c r="C36" s="244">
        <v>3.4722222222222217E-2</v>
      </c>
      <c r="D36" s="243" t="s">
        <v>68</v>
      </c>
      <c r="E36" s="243" t="s">
        <v>95</v>
      </c>
      <c r="F36" s="243" t="s">
        <v>1118</v>
      </c>
      <c r="G36" s="286"/>
      <c r="H36" s="50"/>
      <c r="I36" s="51"/>
      <c r="J36" s="51"/>
      <c r="K36" s="51"/>
      <c r="L36" s="51"/>
      <c r="M36" s="51"/>
      <c r="N36" s="51"/>
      <c r="O36" s="52"/>
      <c r="P36" s="51"/>
      <c r="Q36" s="53"/>
      <c r="R36" s="5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88"/>
      <c r="B37" s="289"/>
      <c r="C37" s="289"/>
      <c r="D37" s="289"/>
      <c r="E37" s="289"/>
      <c r="F37" s="289"/>
      <c r="G37" s="289"/>
      <c r="H37" s="289"/>
      <c r="I37" s="289"/>
      <c r="J37" s="289"/>
      <c r="K37" s="289"/>
      <c r="L37" s="289"/>
      <c r="M37" s="289"/>
      <c r="N37" s="289"/>
      <c r="O37" s="289"/>
      <c r="P37" s="289"/>
      <c r="Q37" s="289"/>
      <c r="R37" s="29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82" t="s">
        <v>5</v>
      </c>
      <c r="B38" s="283"/>
      <c r="C38" s="283"/>
      <c r="D38" s="283"/>
      <c r="E38" s="283"/>
      <c r="F38" s="283"/>
      <c r="G38" s="5">
        <v>45991</v>
      </c>
      <c r="H38" s="278" t="s">
        <v>6</v>
      </c>
      <c r="I38" s="279"/>
      <c r="J38" s="279"/>
      <c r="K38" s="279"/>
      <c r="L38" s="279"/>
      <c r="M38" s="279"/>
      <c r="N38" s="279"/>
      <c r="O38" s="279"/>
      <c r="P38" s="279"/>
      <c r="Q38" s="279"/>
      <c r="R38" s="27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55" t="s">
        <v>7</v>
      </c>
      <c r="B39" s="55" t="s">
        <v>8</v>
      </c>
      <c r="C39" s="56" t="s">
        <v>9</v>
      </c>
      <c r="D39" s="55" t="s">
        <v>10</v>
      </c>
      <c r="E39" s="55" t="s">
        <v>11</v>
      </c>
      <c r="F39" s="55" t="s">
        <v>12</v>
      </c>
      <c r="G39" s="57" t="s">
        <v>13</v>
      </c>
      <c r="H39" s="55" t="s">
        <v>14</v>
      </c>
      <c r="I39" s="58" t="s">
        <v>15</v>
      </c>
      <c r="J39" s="59" t="s">
        <v>16</v>
      </c>
      <c r="K39" s="60" t="s">
        <v>17</v>
      </c>
      <c r="L39" s="59" t="s">
        <v>18</v>
      </c>
      <c r="M39" s="59" t="s">
        <v>19</v>
      </c>
      <c r="N39" s="59" t="s">
        <v>20</v>
      </c>
      <c r="O39" s="55" t="s">
        <v>21</v>
      </c>
      <c r="P39" s="56" t="s">
        <v>22</v>
      </c>
      <c r="Q39" s="59" t="s">
        <v>23</v>
      </c>
      <c r="R39" s="55"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8" t="s">
        <v>304</v>
      </c>
      <c r="B40" s="8" t="s">
        <v>1103</v>
      </c>
      <c r="C40" s="9">
        <v>0.60763888888888895</v>
      </c>
      <c r="D40" s="8" t="s">
        <v>37</v>
      </c>
      <c r="E40" s="8" t="s">
        <v>108</v>
      </c>
      <c r="F40" s="8" t="s">
        <v>1114</v>
      </c>
      <c r="G40" s="284"/>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44" t="s">
        <v>333</v>
      </c>
      <c r="B41" s="44" t="s">
        <v>1104</v>
      </c>
      <c r="C41" s="45">
        <v>0.65625</v>
      </c>
      <c r="D41" s="44" t="s">
        <v>37</v>
      </c>
      <c r="E41" s="44" t="s">
        <v>80</v>
      </c>
      <c r="F41" s="44" t="s">
        <v>796</v>
      </c>
      <c r="G41" s="28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77" t="s">
        <v>35</v>
      </c>
      <c r="B42" s="177" t="s">
        <v>1111</v>
      </c>
      <c r="C42" s="178">
        <v>0.79861111111111116</v>
      </c>
      <c r="D42" s="177" t="s">
        <v>37</v>
      </c>
      <c r="E42" s="177" t="s">
        <v>135</v>
      </c>
      <c r="F42" s="177" t="s">
        <v>839</v>
      </c>
      <c r="G42" s="285"/>
      <c r="H42" s="179" t="s">
        <v>1112</v>
      </c>
      <c r="I42" s="213">
        <v>0.45829999999999999</v>
      </c>
      <c r="J42" s="181">
        <v>77</v>
      </c>
      <c r="K42" s="182">
        <v>45984</v>
      </c>
      <c r="L42" s="181">
        <v>11</v>
      </c>
      <c r="M42" s="181">
        <v>0</v>
      </c>
      <c r="N42" s="181">
        <v>1</v>
      </c>
      <c r="O42" s="183" t="s">
        <v>442</v>
      </c>
      <c r="P42" s="184">
        <v>0.79861111111111116</v>
      </c>
      <c r="Q42" s="181">
        <v>168</v>
      </c>
      <c r="R42" s="185" t="s">
        <v>1119</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243" t="s">
        <v>66</v>
      </c>
      <c r="B43" s="243" t="s">
        <v>1105</v>
      </c>
      <c r="C43" s="244">
        <v>3.125E-2</v>
      </c>
      <c r="D43" s="243" t="s">
        <v>68</v>
      </c>
      <c r="E43" s="243" t="s">
        <v>38</v>
      </c>
      <c r="F43" s="243" t="s">
        <v>1115</v>
      </c>
      <c r="G43" s="286"/>
      <c r="H43" s="50"/>
      <c r="I43" s="51"/>
      <c r="J43" s="51"/>
      <c r="K43" s="51"/>
      <c r="L43" s="51"/>
      <c r="M43" s="51"/>
      <c r="N43" s="51"/>
      <c r="O43" s="52"/>
      <c r="P43" s="51"/>
      <c r="Q43" s="53"/>
      <c r="R43" s="5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88"/>
      <c r="B44" s="289"/>
      <c r="C44" s="289"/>
      <c r="D44" s="289"/>
      <c r="E44" s="289"/>
      <c r="F44" s="289"/>
      <c r="G44" s="289"/>
      <c r="H44" s="289"/>
      <c r="I44" s="289"/>
      <c r="J44" s="289"/>
      <c r="K44" s="289"/>
      <c r="L44" s="289"/>
      <c r="M44" s="289"/>
      <c r="N44" s="289"/>
      <c r="O44" s="289"/>
      <c r="P44" s="289"/>
      <c r="Q44" s="289"/>
      <c r="R44" s="29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sheetData>
  <mergeCells count="33">
    <mergeCell ref="A44:R44"/>
    <mergeCell ref="H32:R32"/>
    <mergeCell ref="A9:R9"/>
    <mergeCell ref="A31:R31"/>
    <mergeCell ref="D1:F1"/>
    <mergeCell ref="A1:C1"/>
    <mergeCell ref="G1:H1"/>
    <mergeCell ref="G34:G36"/>
    <mergeCell ref="G28:G30"/>
    <mergeCell ref="G12:G15"/>
    <mergeCell ref="G6:G8"/>
    <mergeCell ref="G40:G43"/>
    <mergeCell ref="J1:M1"/>
    <mergeCell ref="A38:F38"/>
    <mergeCell ref="A10:F10"/>
    <mergeCell ref="H17:R17"/>
    <mergeCell ref="K2:R2"/>
    <mergeCell ref="O1:Q1"/>
    <mergeCell ref="H26:R26"/>
    <mergeCell ref="A25:R25"/>
    <mergeCell ref="A16:R16"/>
    <mergeCell ref="H38:R38"/>
    <mergeCell ref="A37:R37"/>
    <mergeCell ref="H10:R10"/>
    <mergeCell ref="A26:F26"/>
    <mergeCell ref="H4:R4"/>
    <mergeCell ref="A2:F2"/>
    <mergeCell ref="A3:R3"/>
    <mergeCell ref="A32:F32"/>
    <mergeCell ref="G2:J2"/>
    <mergeCell ref="A17:F17"/>
    <mergeCell ref="A4:F4"/>
    <mergeCell ref="G19:G2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197</v>
      </c>
      <c r="B2" s="93">
        <v>45988</v>
      </c>
      <c r="C2" s="94" t="s">
        <v>1112</v>
      </c>
      <c r="D2" s="95">
        <v>0.79861111111111116</v>
      </c>
      <c r="E2" s="94" t="s">
        <v>1102</v>
      </c>
      <c r="F2" s="94" t="s">
        <v>174</v>
      </c>
      <c r="G2" s="96">
        <v>0.38100000000000001</v>
      </c>
      <c r="H2" s="97">
        <v>168</v>
      </c>
      <c r="I2" s="97">
        <v>64</v>
      </c>
      <c r="J2" s="97">
        <v>0</v>
      </c>
      <c r="K2" s="93">
        <v>45984</v>
      </c>
      <c r="L2" s="97">
        <v>0</v>
      </c>
      <c r="M2" s="97">
        <v>3</v>
      </c>
      <c r="N2" s="97">
        <v>26</v>
      </c>
      <c r="O2" s="94" t="s">
        <v>202</v>
      </c>
      <c r="P2" s="98"/>
      <c r="Q2" s="98"/>
      <c r="R2" s="98"/>
      <c r="S2" s="98"/>
      <c r="T2" s="98"/>
      <c r="U2" s="98"/>
      <c r="V2" s="98"/>
      <c r="W2" s="98"/>
      <c r="X2" s="98"/>
      <c r="Y2" s="97" t="s">
        <v>274</v>
      </c>
      <c r="Z2" s="97" t="s">
        <v>510</v>
      </c>
      <c r="AA2" s="98"/>
      <c r="AB2" s="98"/>
      <c r="AC2" s="98"/>
      <c r="AD2" s="97" t="s">
        <v>513</v>
      </c>
      <c r="AE2" s="97" t="s">
        <v>1120</v>
      </c>
      <c r="AF2" s="98"/>
      <c r="AG2" s="98"/>
      <c r="AH2" s="98"/>
      <c r="AI2" s="98"/>
    </row>
    <row r="3" spans="1:35" ht="18" x14ac:dyDescent="0.3">
      <c r="A3" s="99" t="s">
        <v>205</v>
      </c>
      <c r="B3" s="100">
        <v>45990</v>
      </c>
      <c r="C3" s="101" t="s">
        <v>1112</v>
      </c>
      <c r="D3" s="102">
        <v>6.9444444444444447E-4</v>
      </c>
      <c r="E3" s="101" t="s">
        <v>1102</v>
      </c>
      <c r="F3" s="101" t="s">
        <v>174</v>
      </c>
      <c r="G3" s="103">
        <v>0.1071</v>
      </c>
      <c r="H3" s="104">
        <v>168</v>
      </c>
      <c r="I3" s="104">
        <v>18</v>
      </c>
      <c r="J3" s="104">
        <v>0</v>
      </c>
      <c r="K3" s="100">
        <v>45982</v>
      </c>
      <c r="L3" s="104">
        <v>0</v>
      </c>
      <c r="M3" s="104">
        <v>0</v>
      </c>
      <c r="N3" s="104">
        <v>2</v>
      </c>
      <c r="O3" s="101" t="s">
        <v>202</v>
      </c>
      <c r="P3" s="105"/>
      <c r="Q3" s="105"/>
      <c r="R3" s="105"/>
      <c r="S3" s="105"/>
      <c r="T3" s="105"/>
      <c r="U3" s="105"/>
      <c r="V3" s="105"/>
      <c r="W3" s="105"/>
      <c r="X3" s="105"/>
      <c r="Y3" s="104" t="s">
        <v>274</v>
      </c>
      <c r="Z3" s="104" t="s">
        <v>214</v>
      </c>
      <c r="AA3" s="105"/>
      <c r="AB3" s="105"/>
      <c r="AC3" s="105"/>
      <c r="AD3" s="104" t="s">
        <v>740</v>
      </c>
      <c r="AE3" s="105"/>
      <c r="AF3" s="105"/>
      <c r="AG3" s="105"/>
      <c r="AH3" s="105"/>
      <c r="AI3" s="105"/>
    </row>
    <row r="4" spans="1:35" ht="18" x14ac:dyDescent="0.3">
      <c r="A4" s="92" t="s">
        <v>211</v>
      </c>
      <c r="B4" s="93">
        <v>45991</v>
      </c>
      <c r="C4" s="94" t="s">
        <v>1112</v>
      </c>
      <c r="D4" s="95">
        <v>0.79861111111111116</v>
      </c>
      <c r="E4" s="94" t="s">
        <v>1102</v>
      </c>
      <c r="F4" s="94" t="s">
        <v>174</v>
      </c>
      <c r="G4" s="96">
        <v>0.45829999999999999</v>
      </c>
      <c r="H4" s="97">
        <v>168</v>
      </c>
      <c r="I4" s="97">
        <v>77</v>
      </c>
      <c r="J4" s="97">
        <v>0</v>
      </c>
      <c r="K4" s="93">
        <v>45984</v>
      </c>
      <c r="L4" s="97">
        <v>0</v>
      </c>
      <c r="M4" s="97">
        <v>1</v>
      </c>
      <c r="N4" s="97">
        <v>11</v>
      </c>
      <c r="O4" s="94" t="s">
        <v>442</v>
      </c>
      <c r="P4" s="98"/>
      <c r="Q4" s="98"/>
      <c r="R4" s="98"/>
      <c r="S4" s="98"/>
      <c r="T4" s="98"/>
      <c r="U4" s="98"/>
      <c r="V4" s="98"/>
      <c r="W4" s="98"/>
      <c r="X4" s="98"/>
      <c r="Y4" s="97" t="s">
        <v>299</v>
      </c>
      <c r="Z4" s="97" t="s">
        <v>214</v>
      </c>
      <c r="AA4" s="98"/>
      <c r="AB4" s="98"/>
      <c r="AC4" s="98"/>
      <c r="AD4" s="97" t="s">
        <v>1121</v>
      </c>
      <c r="AE4" s="98"/>
      <c r="AF4" s="98"/>
      <c r="AG4" s="98"/>
      <c r="AH4" s="98"/>
      <c r="AI4" s="98"/>
    </row>
    <row r="5" spans="1:35" ht="18" x14ac:dyDescent="0.3">
      <c r="A5" s="106" t="s">
        <v>219</v>
      </c>
      <c r="B5" s="107"/>
      <c r="C5" s="108">
        <f>COUNTA(C2:C4)</f>
        <v>3</v>
      </c>
      <c r="D5" s="107"/>
      <c r="E5" s="107"/>
      <c r="F5" s="107"/>
      <c r="G5" s="109">
        <f>AVERAGE(G2:G4)</f>
        <v>0.31546666666666662</v>
      </c>
      <c r="H5" s="110">
        <f>SUM(H2:H4)</f>
        <v>504</v>
      </c>
      <c r="I5" s="110">
        <f>SUM(I2:I4)</f>
        <v>159</v>
      </c>
      <c r="J5" s="110">
        <f>SUM(J2:J4)</f>
        <v>0</v>
      </c>
      <c r="K5" s="107"/>
      <c r="L5" s="110">
        <f>SUM(L2:L4)</f>
        <v>0</v>
      </c>
      <c r="M5" s="110">
        <f>SUM(M2:M4)</f>
        <v>4</v>
      </c>
      <c r="N5" s="110">
        <f>SUM(N2:N4)</f>
        <v>39</v>
      </c>
      <c r="O5" s="107"/>
      <c r="P5" s="110">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10">
        <f t="shared" si="0"/>
        <v>0</v>
      </c>
      <c r="R5" s="110">
        <f t="shared" si="0"/>
        <v>0</v>
      </c>
      <c r="S5" s="110">
        <f t="shared" si="0"/>
        <v>0</v>
      </c>
      <c r="T5" s="110">
        <f t="shared" si="0"/>
        <v>0</v>
      </c>
      <c r="U5" s="110">
        <f t="shared" si="0"/>
        <v>0</v>
      </c>
      <c r="V5" s="110">
        <f t="shared" si="0"/>
        <v>0</v>
      </c>
      <c r="W5" s="110">
        <f t="shared" si="0"/>
        <v>0</v>
      </c>
      <c r="X5" s="110">
        <f t="shared" si="0"/>
        <v>0</v>
      </c>
      <c r="Y5" s="110">
        <f t="shared" si="0"/>
        <v>0</v>
      </c>
      <c r="Z5" s="110">
        <f t="shared" si="0"/>
        <v>0</v>
      </c>
      <c r="AA5" s="110">
        <f t="shared" si="0"/>
        <v>0</v>
      </c>
      <c r="AB5" s="110">
        <f t="shared" si="0"/>
        <v>0</v>
      </c>
      <c r="AC5" s="110">
        <f t="shared" si="0"/>
        <v>0</v>
      </c>
      <c r="AD5" s="110">
        <f t="shared" si="0"/>
        <v>0</v>
      </c>
      <c r="AE5" s="110">
        <f t="shared" si="0"/>
        <v>0</v>
      </c>
      <c r="AF5" s="110">
        <f t="shared" si="0"/>
        <v>0</v>
      </c>
      <c r="AG5" s="110">
        <f t="shared" si="0"/>
        <v>0</v>
      </c>
      <c r="AH5" s="110">
        <f t="shared" si="0"/>
        <v>0</v>
      </c>
      <c r="AI5" s="110">
        <f t="shared" si="0"/>
        <v>0</v>
      </c>
    </row>
  </sheetData>
  <autoFilter ref="A1:AI4" xr:uid="{00000000-0009-0000-0000-000041000000}"/>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24"/>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112">
        <v>45986</v>
      </c>
      <c r="B2" s="113" t="s">
        <v>304</v>
      </c>
      <c r="C2" s="114" t="s">
        <v>1103</v>
      </c>
      <c r="D2" s="113" t="s">
        <v>1102</v>
      </c>
      <c r="E2" s="115">
        <v>1.6076388888888891</v>
      </c>
      <c r="F2" s="113" t="s">
        <v>37</v>
      </c>
      <c r="G2" s="116">
        <v>9</v>
      </c>
      <c r="H2" s="117">
        <v>350</v>
      </c>
    </row>
    <row r="3" spans="1:8" ht="18" x14ac:dyDescent="0.3">
      <c r="A3" s="136">
        <v>45986</v>
      </c>
      <c r="B3" s="113" t="s">
        <v>333</v>
      </c>
      <c r="C3" s="114" t="s">
        <v>1104</v>
      </c>
      <c r="D3" s="113" t="s">
        <v>1102</v>
      </c>
      <c r="E3" s="115">
        <v>1.65625</v>
      </c>
      <c r="F3" s="113" t="s">
        <v>37</v>
      </c>
      <c r="G3" s="116">
        <v>5</v>
      </c>
      <c r="H3" s="137">
        <v>350</v>
      </c>
    </row>
    <row r="4" spans="1:8" ht="18" x14ac:dyDescent="0.3">
      <c r="A4" s="194">
        <v>45986</v>
      </c>
      <c r="B4" s="195" t="s">
        <v>66</v>
      </c>
      <c r="C4" s="196" t="s">
        <v>1105</v>
      </c>
      <c r="D4" s="195" t="s">
        <v>1102</v>
      </c>
      <c r="E4" s="197">
        <v>1.0347222222222221</v>
      </c>
      <c r="F4" s="195" t="s">
        <v>68</v>
      </c>
      <c r="G4" s="198">
        <v>9</v>
      </c>
      <c r="H4" s="195" t="s">
        <v>1106</v>
      </c>
    </row>
    <row r="5" spans="1:8" ht="18" x14ac:dyDescent="0.3">
      <c r="A5" s="112">
        <v>45987</v>
      </c>
      <c r="B5" s="113" t="s">
        <v>378</v>
      </c>
      <c r="C5" s="114" t="s">
        <v>1107</v>
      </c>
      <c r="D5" s="113" t="s">
        <v>1102</v>
      </c>
      <c r="E5" s="115">
        <v>1.9375</v>
      </c>
      <c r="F5" s="113" t="s">
        <v>380</v>
      </c>
      <c r="G5" s="116">
        <v>9</v>
      </c>
      <c r="H5" s="117">
        <v>324</v>
      </c>
    </row>
    <row r="6" spans="1:8" ht="18" x14ac:dyDescent="0.3">
      <c r="A6" s="118">
        <v>45987</v>
      </c>
      <c r="B6" s="119" t="s">
        <v>378</v>
      </c>
      <c r="C6" s="120" t="s">
        <v>1107</v>
      </c>
      <c r="D6" s="119" t="s">
        <v>1102</v>
      </c>
      <c r="E6" s="121">
        <v>1.9375</v>
      </c>
      <c r="F6" s="119" t="s">
        <v>33</v>
      </c>
      <c r="G6" s="122">
        <v>9</v>
      </c>
      <c r="H6" s="123">
        <v>447</v>
      </c>
    </row>
    <row r="7" spans="1:8" ht="18" x14ac:dyDescent="0.3">
      <c r="A7" s="136">
        <v>45987</v>
      </c>
      <c r="B7" s="113" t="s">
        <v>304</v>
      </c>
      <c r="C7" s="114" t="s">
        <v>1103</v>
      </c>
      <c r="D7" s="113" t="s">
        <v>1102</v>
      </c>
      <c r="E7" s="115">
        <v>1.625</v>
      </c>
      <c r="F7" s="113" t="s">
        <v>37</v>
      </c>
      <c r="G7" s="116">
        <v>9</v>
      </c>
      <c r="H7" s="137">
        <v>350</v>
      </c>
    </row>
    <row r="8" spans="1:8" ht="18" x14ac:dyDescent="0.3">
      <c r="A8" s="194">
        <v>45987</v>
      </c>
      <c r="B8" s="195" t="s">
        <v>333</v>
      </c>
      <c r="C8" s="196" t="s">
        <v>1104</v>
      </c>
      <c r="D8" s="195" t="s">
        <v>1102</v>
      </c>
      <c r="E8" s="197">
        <v>1.65625</v>
      </c>
      <c r="F8" s="195" t="s">
        <v>37</v>
      </c>
      <c r="G8" s="198">
        <v>8</v>
      </c>
      <c r="H8" s="223">
        <v>350</v>
      </c>
    </row>
    <row r="9" spans="1:8" ht="18" x14ac:dyDescent="0.3">
      <c r="A9" s="112">
        <v>45988</v>
      </c>
      <c r="B9" s="113" t="s">
        <v>66</v>
      </c>
      <c r="C9" s="114" t="s">
        <v>1105</v>
      </c>
      <c r="D9" s="113" t="s">
        <v>1102</v>
      </c>
      <c r="E9" s="115">
        <v>1.0347222222222221</v>
      </c>
      <c r="F9" s="113" t="s">
        <v>94</v>
      </c>
      <c r="G9" s="116">
        <v>9</v>
      </c>
      <c r="H9" s="117">
        <v>305</v>
      </c>
    </row>
    <row r="10" spans="1:8" ht="18" x14ac:dyDescent="0.3">
      <c r="A10" s="136">
        <v>45988</v>
      </c>
      <c r="B10" s="113" t="s">
        <v>378</v>
      </c>
      <c r="C10" s="114" t="s">
        <v>1107</v>
      </c>
      <c r="D10" s="113" t="s">
        <v>1102</v>
      </c>
      <c r="E10" s="115">
        <v>1.9375</v>
      </c>
      <c r="F10" s="113" t="s">
        <v>380</v>
      </c>
      <c r="G10" s="116">
        <v>9</v>
      </c>
      <c r="H10" s="137">
        <v>324</v>
      </c>
    </row>
    <row r="11" spans="1:8" ht="18" x14ac:dyDescent="0.3">
      <c r="A11" s="118">
        <v>45988</v>
      </c>
      <c r="B11" s="119" t="s">
        <v>378</v>
      </c>
      <c r="C11" s="120" t="s">
        <v>1107</v>
      </c>
      <c r="D11" s="119" t="s">
        <v>1102</v>
      </c>
      <c r="E11" s="121">
        <v>1.9375</v>
      </c>
      <c r="F11" s="119" t="s">
        <v>33</v>
      </c>
      <c r="G11" s="122">
        <v>9</v>
      </c>
      <c r="H11" s="123">
        <v>447</v>
      </c>
    </row>
    <row r="12" spans="1:8" ht="18" x14ac:dyDescent="0.3">
      <c r="A12" s="136">
        <v>45988</v>
      </c>
      <c r="B12" s="113" t="s">
        <v>304</v>
      </c>
      <c r="C12" s="114" t="s">
        <v>1103</v>
      </c>
      <c r="D12" s="113" t="s">
        <v>1102</v>
      </c>
      <c r="E12" s="115">
        <v>1.625</v>
      </c>
      <c r="F12" s="113" t="s">
        <v>37</v>
      </c>
      <c r="G12" s="116">
        <v>9</v>
      </c>
      <c r="H12" s="137">
        <v>350</v>
      </c>
    </row>
    <row r="13" spans="1:8" ht="18" x14ac:dyDescent="0.3">
      <c r="A13" s="136">
        <v>45988</v>
      </c>
      <c r="B13" s="113" t="s">
        <v>333</v>
      </c>
      <c r="C13" s="114" t="s">
        <v>1104</v>
      </c>
      <c r="D13" s="113" t="s">
        <v>1102</v>
      </c>
      <c r="E13" s="115">
        <v>1.65625</v>
      </c>
      <c r="F13" s="113" t="s">
        <v>37</v>
      </c>
      <c r="G13" s="116">
        <v>1</v>
      </c>
      <c r="H13" s="137">
        <v>350</v>
      </c>
    </row>
    <row r="14" spans="1:8" ht="18" x14ac:dyDescent="0.3">
      <c r="A14" s="154">
        <v>45988</v>
      </c>
      <c r="B14" s="155" t="s">
        <v>35</v>
      </c>
      <c r="C14" s="156" t="s">
        <v>1111</v>
      </c>
      <c r="D14" s="155" t="s">
        <v>1102</v>
      </c>
      <c r="E14" s="157">
        <v>1.7986111111111109</v>
      </c>
      <c r="F14" s="155" t="s">
        <v>37</v>
      </c>
      <c r="G14" s="158">
        <v>9</v>
      </c>
      <c r="H14" s="242">
        <v>355</v>
      </c>
    </row>
    <row r="15" spans="1:8" ht="18" x14ac:dyDescent="0.3">
      <c r="A15" s="112">
        <v>45989</v>
      </c>
      <c r="B15" s="113" t="s">
        <v>304</v>
      </c>
      <c r="C15" s="114" t="s">
        <v>1103</v>
      </c>
      <c r="D15" s="113" t="s">
        <v>1102</v>
      </c>
      <c r="E15" s="115">
        <v>1.868055555555556</v>
      </c>
      <c r="F15" s="113" t="s">
        <v>37</v>
      </c>
      <c r="G15" s="116">
        <v>9</v>
      </c>
      <c r="H15" s="117">
        <v>300</v>
      </c>
    </row>
    <row r="16" spans="1:8" ht="18" x14ac:dyDescent="0.3">
      <c r="A16" s="136">
        <v>45989</v>
      </c>
      <c r="B16" s="113" t="s">
        <v>333</v>
      </c>
      <c r="C16" s="114" t="s">
        <v>1104</v>
      </c>
      <c r="D16" s="113" t="s">
        <v>1102</v>
      </c>
      <c r="E16" s="115">
        <v>1.65625</v>
      </c>
      <c r="F16" s="113" t="s">
        <v>37</v>
      </c>
      <c r="G16" s="116">
        <v>6</v>
      </c>
      <c r="H16" s="137">
        <v>350</v>
      </c>
    </row>
    <row r="17" spans="1:8" ht="18" x14ac:dyDescent="0.3">
      <c r="A17" s="194">
        <v>45989</v>
      </c>
      <c r="B17" s="195" t="s">
        <v>66</v>
      </c>
      <c r="C17" s="196" t="s">
        <v>1105</v>
      </c>
      <c r="D17" s="195" t="s">
        <v>1102</v>
      </c>
      <c r="E17" s="197">
        <v>1.0347222222222221</v>
      </c>
      <c r="F17" s="195" t="s">
        <v>68</v>
      </c>
      <c r="G17" s="198">
        <v>9</v>
      </c>
      <c r="H17" s="223">
        <v>451</v>
      </c>
    </row>
    <row r="18" spans="1:8" ht="18" x14ac:dyDescent="0.3">
      <c r="A18" s="112">
        <v>45990</v>
      </c>
      <c r="B18" s="113" t="s">
        <v>333</v>
      </c>
      <c r="C18" s="114" t="s">
        <v>1116</v>
      </c>
      <c r="D18" s="113" t="s">
        <v>1102</v>
      </c>
      <c r="E18" s="115">
        <v>1.979166666666667</v>
      </c>
      <c r="F18" s="113" t="s">
        <v>37</v>
      </c>
      <c r="G18" s="116">
        <v>5</v>
      </c>
      <c r="H18" s="117">
        <v>350</v>
      </c>
    </row>
    <row r="19" spans="1:8" ht="18" x14ac:dyDescent="0.3">
      <c r="A19" s="124">
        <v>45990</v>
      </c>
      <c r="B19" s="125" t="s">
        <v>35</v>
      </c>
      <c r="C19" s="126" t="s">
        <v>1111</v>
      </c>
      <c r="D19" s="125" t="s">
        <v>1102</v>
      </c>
      <c r="E19" s="127">
        <v>1.000694444444445</v>
      </c>
      <c r="F19" s="125" t="s">
        <v>37</v>
      </c>
      <c r="G19" s="128">
        <v>9</v>
      </c>
      <c r="H19" s="129">
        <v>355</v>
      </c>
    </row>
    <row r="20" spans="1:8" ht="18" x14ac:dyDescent="0.3">
      <c r="A20" s="194">
        <v>45990</v>
      </c>
      <c r="B20" s="195" t="s">
        <v>66</v>
      </c>
      <c r="C20" s="196" t="s">
        <v>1105</v>
      </c>
      <c r="D20" s="195" t="s">
        <v>1102</v>
      </c>
      <c r="E20" s="197">
        <v>1.0347222222222221</v>
      </c>
      <c r="F20" s="195" t="s">
        <v>68</v>
      </c>
      <c r="G20" s="198">
        <v>2</v>
      </c>
      <c r="H20" s="223">
        <v>372</v>
      </c>
    </row>
    <row r="21" spans="1:8" ht="18" x14ac:dyDescent="0.3">
      <c r="A21" s="112">
        <v>45991</v>
      </c>
      <c r="B21" s="113" t="s">
        <v>304</v>
      </c>
      <c r="C21" s="114" t="s">
        <v>1103</v>
      </c>
      <c r="D21" s="113" t="s">
        <v>1102</v>
      </c>
      <c r="E21" s="115">
        <v>1.6076388888888891</v>
      </c>
      <c r="F21" s="113" t="s">
        <v>37</v>
      </c>
      <c r="G21" s="116">
        <v>1</v>
      </c>
      <c r="H21" s="117">
        <v>300</v>
      </c>
    </row>
    <row r="22" spans="1:8" ht="18" x14ac:dyDescent="0.3">
      <c r="A22" s="136">
        <v>45991</v>
      </c>
      <c r="B22" s="113" t="s">
        <v>333</v>
      </c>
      <c r="C22" s="114" t="s">
        <v>1104</v>
      </c>
      <c r="D22" s="113" t="s">
        <v>1102</v>
      </c>
      <c r="E22" s="115">
        <v>1.65625</v>
      </c>
      <c r="F22" s="113" t="s">
        <v>37</v>
      </c>
      <c r="G22" s="116">
        <v>4</v>
      </c>
      <c r="H22" s="137">
        <v>350</v>
      </c>
    </row>
    <row r="23" spans="1:8" ht="18" x14ac:dyDescent="0.3">
      <c r="A23" s="124">
        <v>45991</v>
      </c>
      <c r="B23" s="125" t="s">
        <v>35</v>
      </c>
      <c r="C23" s="126" t="s">
        <v>1111</v>
      </c>
      <c r="D23" s="125" t="s">
        <v>1102</v>
      </c>
      <c r="E23" s="127">
        <v>1.7986111111111109</v>
      </c>
      <c r="F23" s="125" t="s">
        <v>37</v>
      </c>
      <c r="G23" s="128">
        <v>3</v>
      </c>
      <c r="H23" s="129">
        <v>355</v>
      </c>
    </row>
    <row r="24" spans="1:8" ht="18" x14ac:dyDescent="0.3">
      <c r="A24" s="194">
        <v>45991</v>
      </c>
      <c r="B24" s="195" t="s">
        <v>66</v>
      </c>
      <c r="C24" s="196" t="s">
        <v>1105</v>
      </c>
      <c r="D24" s="195" t="s">
        <v>1102</v>
      </c>
      <c r="E24" s="197">
        <v>1.03125</v>
      </c>
      <c r="F24" s="195" t="s">
        <v>68</v>
      </c>
      <c r="G24" s="198">
        <v>9</v>
      </c>
      <c r="H24" s="223">
        <v>451</v>
      </c>
    </row>
  </sheetData>
  <dataValidations count="3">
    <dataValidation type="custom" allowBlank="1" showInputMessage="1" promptTitle="LOAD FACTOR ANALYSIS" prompt="SM-428_x000d__x000a_LF 38.1%_x000d__x000a_SOLD 64_x000d__x000a_LST-SOLD 23NOV_x000d__x000a_WEEKLY 26_x000d__x000a_TO-DAY NIL_x000d__x000a_Y-DAY 3_x000d__x000a_LOWEST AVAIL O9_x000d__x000a_CAPACITY 168_x000d__x000a_CLASSES S2 &amp; W2 &amp; O14 &amp; +1 more" sqref="A14 B14 C14 D14 E14 F14 G14 H14" xr:uid="{00000000-0002-0000-4200-000000000000}">
      <formula1>TRUE</formula1>
    </dataValidation>
    <dataValidation type="custom" allowBlank="1" showInputMessage="1" promptTitle="LOAD FACTOR ANALYSIS" prompt="SM-428_x000d__x000a_LF 10.7%_x000d__x000a_SOLD 18_x000d__x000a_LST-SOLD 21NOV_x000d__x000a_WEEKLY 2_x000d__x000a_TO-DAY NIL_x000d__x000a_Y-DAY NIL_x000d__x000a_LOWEST AVAIL O9_x000d__x000a_CAPACITY 168_x000d__x000a_CLASSES S2 &amp; W4 &amp; O12" sqref="A19 B19 C19 D19 E19 F19 G19 H19" xr:uid="{00000000-0002-0000-4200-000001000000}">
      <formula1>TRUE</formula1>
    </dataValidation>
    <dataValidation type="custom" allowBlank="1" showInputMessage="1" promptTitle="LOAD FACTOR ANALYSIS" prompt="SM-428_x000d__x000a_LF 45.8%_x000d__x000a_SOLD 77_x000d__x000a_LST-SOLD 23NOV_x000d__x000a_WEEKLY 11_x000d__x000a_TO-DAY NIL_x000d__x000a_Y-DAY 1_x000d__x000a_LOWEST AVAIL O3_x000d__x000a_CAPACITY 168_x000d__x000a_CLASSES S8 &amp; W4 &amp; O65" sqref="A23 B23 C23 D23 E23 F23 G23 H23" xr:uid="{00000000-0002-0000-4200-000002000000}">
      <formula1>TRUE</formula1>
    </dataValidation>
  </dataValidation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2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5" bestFit="1" customWidth="1"/>
  </cols>
  <sheetData>
    <row r="1" spans="1:92" ht="28.8" customHeight="1" x14ac:dyDescent="0.3">
      <c r="A1" s="305" t="s">
        <v>0</v>
      </c>
      <c r="B1" s="281"/>
      <c r="C1" s="281"/>
      <c r="D1" s="305" t="s">
        <v>1122</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45985.360387635163</v>
      </c>
      <c r="H2" s="292"/>
      <c r="I2" s="292"/>
      <c r="J2" s="292"/>
      <c r="K2" s="303">
        <v>45985.36038763565</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45987</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77" t="s">
        <v>35</v>
      </c>
      <c r="B6" s="177" t="s">
        <v>1123</v>
      </c>
      <c r="C6" s="178">
        <v>2.0833333333333329E-2</v>
      </c>
      <c r="D6" s="177" t="s">
        <v>37</v>
      </c>
      <c r="E6" s="177" t="s">
        <v>38</v>
      </c>
      <c r="F6" s="177" t="s">
        <v>1124</v>
      </c>
      <c r="G6" s="284"/>
      <c r="H6" s="179" t="s">
        <v>1125</v>
      </c>
      <c r="I6" s="204">
        <v>0.55359999999999998</v>
      </c>
      <c r="J6" s="181">
        <v>93</v>
      </c>
      <c r="K6" s="182">
        <v>45984</v>
      </c>
      <c r="L6" s="181">
        <v>60</v>
      </c>
      <c r="M6" s="181">
        <v>0</v>
      </c>
      <c r="N6" s="181">
        <v>11</v>
      </c>
      <c r="O6" s="183" t="s">
        <v>322</v>
      </c>
      <c r="P6" s="184">
        <v>2.0833333333333329E-2</v>
      </c>
      <c r="Q6" s="181">
        <v>168</v>
      </c>
      <c r="R6" s="185" t="s">
        <v>1126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06" t="s">
        <v>1127</v>
      </c>
      <c r="B7" s="307"/>
      <c r="C7" s="307"/>
      <c r="D7" s="307"/>
      <c r="E7" s="307"/>
      <c r="F7" s="307"/>
      <c r="G7" s="285"/>
      <c r="H7" s="171"/>
      <c r="I7" s="171"/>
      <c r="J7" s="171"/>
      <c r="K7" s="171"/>
      <c r="L7" s="171"/>
      <c r="M7" s="171"/>
      <c r="N7" s="171"/>
      <c r="O7" s="172"/>
      <c r="P7" s="171"/>
      <c r="Q7" s="173"/>
      <c r="R7" s="17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46" t="s">
        <v>378</v>
      </c>
      <c r="B8" s="46" t="s">
        <v>1107</v>
      </c>
      <c r="C8" s="47" t="s">
        <v>1128</v>
      </c>
      <c r="D8" s="46" t="s">
        <v>380</v>
      </c>
      <c r="E8" s="46" t="s">
        <v>646</v>
      </c>
      <c r="F8" s="46" t="s">
        <v>1108</v>
      </c>
      <c r="G8" s="285"/>
      <c r="H8" s="171"/>
      <c r="I8" s="171"/>
      <c r="J8" s="171"/>
      <c r="K8" s="171"/>
      <c r="L8" s="171"/>
      <c r="M8" s="171"/>
      <c r="N8" s="171"/>
      <c r="O8" s="172"/>
      <c r="P8" s="171"/>
      <c r="Q8" s="173"/>
      <c r="R8" s="17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46" t="s">
        <v>304</v>
      </c>
      <c r="B9" s="46" t="s">
        <v>1103</v>
      </c>
      <c r="C9" s="47" t="s">
        <v>1129</v>
      </c>
      <c r="D9" s="46" t="s">
        <v>37</v>
      </c>
      <c r="E9" s="46" t="s">
        <v>235</v>
      </c>
      <c r="F9" s="46" t="s">
        <v>796</v>
      </c>
      <c r="G9" s="285"/>
      <c r="H9" s="171"/>
      <c r="I9" s="171"/>
      <c r="J9" s="171"/>
      <c r="K9" s="171"/>
      <c r="L9" s="171"/>
      <c r="M9" s="171"/>
      <c r="N9" s="171"/>
      <c r="O9" s="172"/>
      <c r="P9" s="171"/>
      <c r="Q9" s="173"/>
      <c r="R9" s="17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6" t="s">
        <v>333</v>
      </c>
      <c r="B10" s="46" t="s">
        <v>1104</v>
      </c>
      <c r="C10" s="47" t="s">
        <v>1130</v>
      </c>
      <c r="D10" s="46" t="s">
        <v>37</v>
      </c>
      <c r="E10" s="46" t="s">
        <v>237</v>
      </c>
      <c r="F10" s="46" t="s">
        <v>796</v>
      </c>
      <c r="G10" s="285"/>
      <c r="H10" s="171"/>
      <c r="I10" s="171"/>
      <c r="J10" s="171"/>
      <c r="K10" s="171"/>
      <c r="L10" s="171"/>
      <c r="M10" s="171"/>
      <c r="N10" s="171"/>
      <c r="O10" s="172"/>
      <c r="P10" s="171"/>
      <c r="Q10" s="173"/>
      <c r="R10" s="17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61" t="s">
        <v>378</v>
      </c>
      <c r="B11" s="61" t="s">
        <v>1107</v>
      </c>
      <c r="C11" s="62" t="s">
        <v>1128</v>
      </c>
      <c r="D11" s="61" t="s">
        <v>33</v>
      </c>
      <c r="E11" s="61" t="s">
        <v>646</v>
      </c>
      <c r="F11" s="61" t="s">
        <v>1109</v>
      </c>
      <c r="G11" s="286"/>
      <c r="H11" s="174"/>
      <c r="I11" s="174"/>
      <c r="J11" s="174"/>
      <c r="K11" s="174"/>
      <c r="L11" s="174"/>
      <c r="M11" s="174"/>
      <c r="N11" s="174"/>
      <c r="O11" s="175"/>
      <c r="P11" s="174"/>
      <c r="Q11" s="176"/>
      <c r="R11" s="17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88"/>
      <c r="B12" s="289"/>
      <c r="C12" s="289"/>
      <c r="D12" s="289"/>
      <c r="E12" s="289"/>
      <c r="F12" s="289"/>
      <c r="G12" s="289"/>
      <c r="H12" s="289"/>
      <c r="I12" s="289"/>
      <c r="J12" s="289"/>
      <c r="K12" s="289"/>
      <c r="L12" s="289"/>
      <c r="M12" s="289"/>
      <c r="N12" s="289"/>
      <c r="O12" s="289"/>
      <c r="P12" s="289"/>
      <c r="Q12" s="289"/>
      <c r="R12" s="2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82" t="s">
        <v>5</v>
      </c>
      <c r="B13" s="283"/>
      <c r="C13" s="283"/>
      <c r="D13" s="283"/>
      <c r="E13" s="283"/>
      <c r="F13" s="283"/>
      <c r="G13" s="5">
        <v>45990</v>
      </c>
      <c r="H13" s="278" t="s">
        <v>6</v>
      </c>
      <c r="I13" s="279"/>
      <c r="J13" s="279"/>
      <c r="K13" s="279"/>
      <c r="L13" s="279"/>
      <c r="M13" s="279"/>
      <c r="N13" s="279"/>
      <c r="O13" s="279"/>
      <c r="P13" s="279"/>
      <c r="Q13" s="279"/>
      <c r="R13" s="27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55" t="s">
        <v>7</v>
      </c>
      <c r="B14" s="55" t="s">
        <v>8</v>
      </c>
      <c r="C14" s="56" t="s">
        <v>9</v>
      </c>
      <c r="D14" s="55" t="s">
        <v>10</v>
      </c>
      <c r="E14" s="55" t="s">
        <v>11</v>
      </c>
      <c r="F14" s="55" t="s">
        <v>12</v>
      </c>
      <c r="G14" s="57" t="s">
        <v>13</v>
      </c>
      <c r="H14" s="55" t="s">
        <v>14</v>
      </c>
      <c r="I14" s="58" t="s">
        <v>15</v>
      </c>
      <c r="J14" s="59" t="s">
        <v>16</v>
      </c>
      <c r="K14" s="60" t="s">
        <v>17</v>
      </c>
      <c r="L14" s="59" t="s">
        <v>18</v>
      </c>
      <c r="M14" s="59" t="s">
        <v>19</v>
      </c>
      <c r="N14" s="59" t="s">
        <v>20</v>
      </c>
      <c r="O14" s="55" t="s">
        <v>21</v>
      </c>
      <c r="P14" s="56" t="s">
        <v>22</v>
      </c>
      <c r="Q14" s="59" t="s">
        <v>23</v>
      </c>
      <c r="R14" s="55"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11" t="s">
        <v>35</v>
      </c>
      <c r="B15" s="211" t="s">
        <v>1123</v>
      </c>
      <c r="C15" s="212">
        <v>0.85416666666666663</v>
      </c>
      <c r="D15" s="211" t="s">
        <v>37</v>
      </c>
      <c r="E15" s="211" t="s">
        <v>38</v>
      </c>
      <c r="F15" s="211" t="s">
        <v>290</v>
      </c>
      <c r="G15" s="284"/>
      <c r="H15" s="37" t="s">
        <v>1125</v>
      </c>
      <c r="I15" s="214">
        <v>0.3095</v>
      </c>
      <c r="J15" s="39">
        <v>52</v>
      </c>
      <c r="K15" s="40">
        <v>45984</v>
      </c>
      <c r="L15" s="39">
        <v>18</v>
      </c>
      <c r="M15" s="39">
        <v>0</v>
      </c>
      <c r="N15" s="39">
        <v>2</v>
      </c>
      <c r="O15" s="41" t="s">
        <v>285</v>
      </c>
      <c r="P15" s="42">
        <v>0.85416666666666663</v>
      </c>
      <c r="Q15" s="39">
        <v>168</v>
      </c>
      <c r="R15" s="43" t="s">
        <v>1131</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x14ac:dyDescent="0.3">
      <c r="A16" s="306" t="s">
        <v>1127</v>
      </c>
      <c r="B16" s="307"/>
      <c r="C16" s="307"/>
      <c r="D16" s="307"/>
      <c r="E16" s="307"/>
      <c r="F16" s="307"/>
      <c r="G16" s="285"/>
      <c r="H16" s="171"/>
      <c r="I16" s="171"/>
      <c r="J16" s="171"/>
      <c r="K16" s="171"/>
      <c r="L16" s="171"/>
      <c r="M16" s="171"/>
      <c r="N16" s="171"/>
      <c r="O16" s="172"/>
      <c r="P16" s="171"/>
      <c r="Q16" s="173"/>
      <c r="R16" s="17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46" t="s">
        <v>333</v>
      </c>
      <c r="B17" s="46" t="s">
        <v>1116</v>
      </c>
      <c r="C17" s="47" t="s">
        <v>1132</v>
      </c>
      <c r="D17" s="46" t="s">
        <v>37</v>
      </c>
      <c r="E17" s="46" t="s">
        <v>259</v>
      </c>
      <c r="F17" s="46" t="s">
        <v>796</v>
      </c>
      <c r="G17" s="285"/>
      <c r="H17" s="171"/>
      <c r="I17" s="171"/>
      <c r="J17" s="171"/>
      <c r="K17" s="171"/>
      <c r="L17" s="171"/>
      <c r="M17" s="171"/>
      <c r="N17" s="171"/>
      <c r="O17" s="172"/>
      <c r="P17" s="171"/>
      <c r="Q17" s="173"/>
      <c r="R17" s="17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46" t="s">
        <v>35</v>
      </c>
      <c r="B18" s="46" t="s">
        <v>1111</v>
      </c>
      <c r="C18" s="47" t="s">
        <v>1133</v>
      </c>
      <c r="D18" s="46" t="s">
        <v>37</v>
      </c>
      <c r="E18" s="46" t="s">
        <v>235</v>
      </c>
      <c r="F18" s="46" t="s">
        <v>839</v>
      </c>
      <c r="G18" s="285"/>
      <c r="H18" s="171"/>
      <c r="I18" s="171"/>
      <c r="J18" s="171"/>
      <c r="K18" s="171"/>
      <c r="L18" s="171"/>
      <c r="M18" s="171"/>
      <c r="N18" s="171"/>
      <c r="O18" s="172"/>
      <c r="P18" s="171"/>
      <c r="Q18" s="173"/>
      <c r="R18" s="17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61" t="s">
        <v>66</v>
      </c>
      <c r="B19" s="61" t="s">
        <v>1105</v>
      </c>
      <c r="C19" s="62" t="s">
        <v>1134</v>
      </c>
      <c r="D19" s="61" t="s">
        <v>68</v>
      </c>
      <c r="E19" s="61" t="s">
        <v>246</v>
      </c>
      <c r="F19" s="61" t="s">
        <v>1118</v>
      </c>
      <c r="G19" s="286"/>
      <c r="H19" s="174"/>
      <c r="I19" s="174"/>
      <c r="J19" s="174"/>
      <c r="K19" s="174"/>
      <c r="L19" s="174"/>
      <c r="M19" s="174"/>
      <c r="N19" s="174"/>
      <c r="O19" s="175"/>
      <c r="P19" s="174"/>
      <c r="Q19" s="176"/>
      <c r="R19" s="17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88"/>
      <c r="B20" s="289"/>
      <c r="C20" s="289"/>
      <c r="D20" s="289"/>
      <c r="E20" s="289"/>
      <c r="F20" s="289"/>
      <c r="G20" s="289"/>
      <c r="H20" s="289"/>
      <c r="I20" s="289"/>
      <c r="J20" s="289"/>
      <c r="K20" s="289"/>
      <c r="L20" s="289"/>
      <c r="M20" s="289"/>
      <c r="N20" s="289"/>
      <c r="O20" s="289"/>
      <c r="P20" s="289"/>
      <c r="Q20" s="289"/>
      <c r="R20" s="29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sheetData>
  <mergeCells count="19">
    <mergeCell ref="A20:R20"/>
    <mergeCell ref="A7:F7"/>
    <mergeCell ref="A13:F13"/>
    <mergeCell ref="K2:R2"/>
    <mergeCell ref="G6:G11"/>
    <mergeCell ref="H13:R13"/>
    <mergeCell ref="G15:G19"/>
    <mergeCell ref="A16:F16"/>
    <mergeCell ref="O1:Q1"/>
    <mergeCell ref="H4:R4"/>
    <mergeCell ref="A12:R12"/>
    <mergeCell ref="A2:F2"/>
    <mergeCell ref="A3:R3"/>
    <mergeCell ref="G2:J2"/>
    <mergeCell ref="A4:F4"/>
    <mergeCell ref="J1:M1"/>
    <mergeCell ref="D1:F1"/>
    <mergeCell ref="A1:C1"/>
    <mergeCell ref="G1:H1"/>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273</v>
      </c>
      <c r="B2" s="93">
        <v>45987</v>
      </c>
      <c r="C2" s="94" t="s">
        <v>1125</v>
      </c>
      <c r="D2" s="95">
        <v>2.0833333333333329E-2</v>
      </c>
      <c r="E2" s="94" t="s">
        <v>1122</v>
      </c>
      <c r="F2" s="94" t="s">
        <v>174</v>
      </c>
      <c r="G2" s="96">
        <v>0.55359999999999998</v>
      </c>
      <c r="H2" s="97">
        <v>168</v>
      </c>
      <c r="I2" s="97">
        <v>93</v>
      </c>
      <c r="J2" s="97">
        <v>0</v>
      </c>
      <c r="K2" s="93">
        <v>45984</v>
      </c>
      <c r="L2" s="97">
        <v>0</v>
      </c>
      <c r="M2" s="97">
        <v>11</v>
      </c>
      <c r="N2" s="97">
        <v>60</v>
      </c>
      <c r="O2" s="94" t="s">
        <v>322</v>
      </c>
      <c r="P2" s="98"/>
      <c r="Q2" s="98"/>
      <c r="R2" s="98"/>
      <c r="S2" s="98"/>
      <c r="T2" s="98"/>
      <c r="U2" s="98"/>
      <c r="V2" s="98"/>
      <c r="W2" s="98"/>
      <c r="X2" s="98"/>
      <c r="Y2" s="98"/>
      <c r="Z2" s="97" t="s">
        <v>525</v>
      </c>
      <c r="AA2" s="98"/>
      <c r="AB2" s="97" t="s">
        <v>192</v>
      </c>
      <c r="AC2" s="97" t="s">
        <v>1135</v>
      </c>
      <c r="AD2" s="97" t="s">
        <v>1136</v>
      </c>
      <c r="AE2" s="98"/>
      <c r="AF2" s="98"/>
      <c r="AG2" s="98"/>
      <c r="AH2" s="98"/>
      <c r="AI2" s="98"/>
    </row>
    <row r="3" spans="1:35" ht="18" x14ac:dyDescent="0.3">
      <c r="A3" s="99" t="s">
        <v>205</v>
      </c>
      <c r="B3" s="100">
        <v>45990</v>
      </c>
      <c r="C3" s="101" t="s">
        <v>1125</v>
      </c>
      <c r="D3" s="102">
        <v>0.85416666666666663</v>
      </c>
      <c r="E3" s="101" t="s">
        <v>1122</v>
      </c>
      <c r="F3" s="101" t="s">
        <v>174</v>
      </c>
      <c r="G3" s="103">
        <v>0.3095</v>
      </c>
      <c r="H3" s="104">
        <v>168</v>
      </c>
      <c r="I3" s="104">
        <v>52</v>
      </c>
      <c r="J3" s="104">
        <v>0</v>
      </c>
      <c r="K3" s="100">
        <v>45984</v>
      </c>
      <c r="L3" s="104">
        <v>0</v>
      </c>
      <c r="M3" s="104">
        <v>2</v>
      </c>
      <c r="N3" s="104">
        <v>18</v>
      </c>
      <c r="O3" s="101" t="s">
        <v>285</v>
      </c>
      <c r="P3" s="105"/>
      <c r="Q3" s="105"/>
      <c r="R3" s="105"/>
      <c r="S3" s="105"/>
      <c r="T3" s="105"/>
      <c r="U3" s="105"/>
      <c r="V3" s="105"/>
      <c r="W3" s="105"/>
      <c r="X3" s="105"/>
      <c r="Y3" s="105"/>
      <c r="Z3" s="104" t="s">
        <v>525</v>
      </c>
      <c r="AA3" s="105"/>
      <c r="AB3" s="104" t="s">
        <v>491</v>
      </c>
      <c r="AC3" s="104" t="s">
        <v>295</v>
      </c>
      <c r="AD3" s="104" t="s">
        <v>301</v>
      </c>
      <c r="AE3" s="105"/>
      <c r="AF3" s="105"/>
      <c r="AG3" s="105"/>
      <c r="AH3" s="105"/>
      <c r="AI3" s="105"/>
    </row>
    <row r="4" spans="1:35" ht="18" x14ac:dyDescent="0.3">
      <c r="A4" s="106" t="s">
        <v>219</v>
      </c>
      <c r="B4" s="107"/>
      <c r="C4" s="108">
        <f>COUNTA(C2:C3)</f>
        <v>2</v>
      </c>
      <c r="D4" s="107"/>
      <c r="E4" s="107"/>
      <c r="F4" s="107"/>
      <c r="G4" s="109">
        <f>AVERAGE(G2:G3)</f>
        <v>0.43154999999999999</v>
      </c>
      <c r="H4" s="110">
        <f>SUM(H2:H3)</f>
        <v>336</v>
      </c>
      <c r="I4" s="110">
        <f>SUM(I2:I3)</f>
        <v>145</v>
      </c>
      <c r="J4" s="110">
        <f>SUM(J2:J3)</f>
        <v>0</v>
      </c>
      <c r="K4" s="107"/>
      <c r="L4" s="110">
        <f>SUM(L2:L3)</f>
        <v>0</v>
      </c>
      <c r="M4" s="110">
        <f>SUM(M2:M3)</f>
        <v>13</v>
      </c>
      <c r="N4" s="110">
        <f>SUM(N2:N3)</f>
        <v>78</v>
      </c>
      <c r="O4" s="107"/>
      <c r="P4" s="110">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10">
        <f t="shared" si="0"/>
        <v>0</v>
      </c>
      <c r="R4" s="110">
        <f t="shared" si="0"/>
        <v>0</v>
      </c>
      <c r="S4" s="110">
        <f t="shared" si="0"/>
        <v>0</v>
      </c>
      <c r="T4" s="110">
        <f t="shared" si="0"/>
        <v>0</v>
      </c>
      <c r="U4" s="110">
        <f t="shared" si="0"/>
        <v>0</v>
      </c>
      <c r="V4" s="110">
        <f t="shared" si="0"/>
        <v>0</v>
      </c>
      <c r="W4" s="110">
        <f t="shared" si="0"/>
        <v>0</v>
      </c>
      <c r="X4" s="110">
        <f t="shared" si="0"/>
        <v>0</v>
      </c>
      <c r="Y4" s="110">
        <f t="shared" si="0"/>
        <v>0</v>
      </c>
      <c r="Z4" s="110">
        <f t="shared" si="0"/>
        <v>0</v>
      </c>
      <c r="AA4" s="110">
        <f t="shared" si="0"/>
        <v>0</v>
      </c>
      <c r="AB4" s="110">
        <f t="shared" si="0"/>
        <v>0</v>
      </c>
      <c r="AC4" s="110">
        <f t="shared" si="0"/>
        <v>0</v>
      </c>
      <c r="AD4" s="110">
        <f t="shared" si="0"/>
        <v>0</v>
      </c>
      <c r="AE4" s="110">
        <f t="shared" si="0"/>
        <v>0</v>
      </c>
      <c r="AF4" s="110">
        <f t="shared" si="0"/>
        <v>0</v>
      </c>
      <c r="AG4" s="110">
        <f t="shared" si="0"/>
        <v>0</v>
      </c>
      <c r="AH4" s="110">
        <f t="shared" si="0"/>
        <v>0</v>
      </c>
      <c r="AI4" s="110">
        <f t="shared" si="0"/>
        <v>0</v>
      </c>
    </row>
  </sheetData>
  <autoFilter ref="A1:AI3" xr:uid="{00000000-0009-0000-0000-000044000000}"/>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32"/>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3320312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5.6" x14ac:dyDescent="0.3">
      <c r="A2" s="189"/>
      <c r="B2" s="189"/>
      <c r="C2" s="189"/>
      <c r="D2" s="189"/>
      <c r="E2" s="190" t="s">
        <v>1137</v>
      </c>
      <c r="F2" s="189"/>
      <c r="G2" s="189"/>
      <c r="H2" s="3"/>
    </row>
    <row r="3" spans="1:8" ht="18" x14ac:dyDescent="0.3">
      <c r="A3" s="112">
        <v>45986</v>
      </c>
      <c r="B3" s="113" t="s">
        <v>304</v>
      </c>
      <c r="C3" s="114" t="s">
        <v>1103</v>
      </c>
      <c r="D3" s="113" t="s">
        <v>1102</v>
      </c>
      <c r="E3" s="115">
        <v>1.6076388888888891</v>
      </c>
      <c r="F3" s="113" t="s">
        <v>37</v>
      </c>
      <c r="G3" s="116">
        <v>9</v>
      </c>
      <c r="H3" s="117">
        <v>350</v>
      </c>
    </row>
    <row r="4" spans="1:8" ht="18" x14ac:dyDescent="0.3">
      <c r="A4" s="136">
        <v>45986</v>
      </c>
      <c r="B4" s="113" t="s">
        <v>333</v>
      </c>
      <c r="C4" s="114" t="s">
        <v>1104</v>
      </c>
      <c r="D4" s="113" t="s">
        <v>1102</v>
      </c>
      <c r="E4" s="115">
        <v>1.65625</v>
      </c>
      <c r="F4" s="113" t="s">
        <v>37</v>
      </c>
      <c r="G4" s="116">
        <v>5</v>
      </c>
      <c r="H4" s="137">
        <v>350</v>
      </c>
    </row>
    <row r="5" spans="1:8" ht="18" x14ac:dyDescent="0.3">
      <c r="A5" s="194">
        <v>45986</v>
      </c>
      <c r="B5" s="195" t="s">
        <v>66</v>
      </c>
      <c r="C5" s="196" t="s">
        <v>1105</v>
      </c>
      <c r="D5" s="195" t="s">
        <v>1102</v>
      </c>
      <c r="E5" s="197">
        <v>1.0347222222222221</v>
      </c>
      <c r="F5" s="195" t="s">
        <v>68</v>
      </c>
      <c r="G5" s="198">
        <v>9</v>
      </c>
      <c r="H5" s="195" t="s">
        <v>1106</v>
      </c>
    </row>
    <row r="6" spans="1:8" ht="18" x14ac:dyDescent="0.3">
      <c r="A6" s="187">
        <v>45987</v>
      </c>
      <c r="B6" s="125" t="s">
        <v>35</v>
      </c>
      <c r="C6" s="126" t="s">
        <v>1123</v>
      </c>
      <c r="D6" s="125" t="s">
        <v>1122</v>
      </c>
      <c r="E6" s="127">
        <v>1.020833333333333</v>
      </c>
      <c r="F6" s="125" t="s">
        <v>37</v>
      </c>
      <c r="G6" s="128">
        <v>9</v>
      </c>
      <c r="H6" s="200">
        <v>413</v>
      </c>
    </row>
    <row r="7" spans="1:8" ht="15.6" x14ac:dyDescent="0.3">
      <c r="A7" s="189"/>
      <c r="B7" s="189"/>
      <c r="C7" s="189"/>
      <c r="D7" s="189"/>
      <c r="E7" s="190" t="s">
        <v>1137</v>
      </c>
      <c r="F7" s="189"/>
      <c r="G7" s="189"/>
      <c r="H7" s="3"/>
    </row>
    <row r="8" spans="1:8" ht="18" x14ac:dyDescent="0.3">
      <c r="A8" s="136">
        <v>45987</v>
      </c>
      <c r="B8" s="113" t="s">
        <v>378</v>
      </c>
      <c r="C8" s="114" t="s">
        <v>1107</v>
      </c>
      <c r="D8" s="113" t="s">
        <v>1102</v>
      </c>
      <c r="E8" s="115">
        <v>1.9375</v>
      </c>
      <c r="F8" s="113" t="s">
        <v>380</v>
      </c>
      <c r="G8" s="116">
        <v>9</v>
      </c>
      <c r="H8" s="137">
        <v>324</v>
      </c>
    </row>
    <row r="9" spans="1:8" ht="18" x14ac:dyDescent="0.3">
      <c r="A9" s="118">
        <v>45987</v>
      </c>
      <c r="B9" s="119" t="s">
        <v>378</v>
      </c>
      <c r="C9" s="120" t="s">
        <v>1107</v>
      </c>
      <c r="D9" s="119" t="s">
        <v>1102</v>
      </c>
      <c r="E9" s="121">
        <v>1.9375</v>
      </c>
      <c r="F9" s="119" t="s">
        <v>33</v>
      </c>
      <c r="G9" s="122">
        <v>9</v>
      </c>
      <c r="H9" s="123">
        <v>447</v>
      </c>
    </row>
    <row r="10" spans="1:8" ht="18" x14ac:dyDescent="0.3">
      <c r="A10" s="136">
        <v>45987</v>
      </c>
      <c r="B10" s="113" t="s">
        <v>304</v>
      </c>
      <c r="C10" s="114" t="s">
        <v>1103</v>
      </c>
      <c r="D10" s="113" t="s">
        <v>1102</v>
      </c>
      <c r="E10" s="115">
        <v>1.625</v>
      </c>
      <c r="F10" s="113" t="s">
        <v>37</v>
      </c>
      <c r="G10" s="116">
        <v>9</v>
      </c>
      <c r="H10" s="137">
        <v>350</v>
      </c>
    </row>
    <row r="11" spans="1:8" ht="18" x14ac:dyDescent="0.3">
      <c r="A11" s="194">
        <v>45987</v>
      </c>
      <c r="B11" s="195" t="s">
        <v>333</v>
      </c>
      <c r="C11" s="196" t="s">
        <v>1104</v>
      </c>
      <c r="D11" s="195" t="s">
        <v>1102</v>
      </c>
      <c r="E11" s="197">
        <v>1.65625</v>
      </c>
      <c r="F11" s="195" t="s">
        <v>37</v>
      </c>
      <c r="G11" s="198">
        <v>8</v>
      </c>
      <c r="H11" s="223">
        <v>350</v>
      </c>
    </row>
    <row r="12" spans="1:8" ht="15.6" x14ac:dyDescent="0.3">
      <c r="A12" s="189"/>
      <c r="B12" s="189"/>
      <c r="C12" s="189"/>
      <c r="D12" s="189"/>
      <c r="E12" s="190" t="s">
        <v>1137</v>
      </c>
      <c r="F12" s="189"/>
      <c r="G12" s="189"/>
      <c r="H12" s="3"/>
    </row>
    <row r="13" spans="1:8" ht="18" x14ac:dyDescent="0.3">
      <c r="A13" s="112">
        <v>45988</v>
      </c>
      <c r="B13" s="113" t="s">
        <v>66</v>
      </c>
      <c r="C13" s="114" t="s">
        <v>1105</v>
      </c>
      <c r="D13" s="113" t="s">
        <v>1102</v>
      </c>
      <c r="E13" s="115">
        <v>1.0347222222222221</v>
      </c>
      <c r="F13" s="113" t="s">
        <v>94</v>
      </c>
      <c r="G13" s="116">
        <v>9</v>
      </c>
      <c r="H13" s="117">
        <v>305</v>
      </c>
    </row>
    <row r="14" spans="1:8" ht="18" x14ac:dyDescent="0.3">
      <c r="A14" s="136">
        <v>45988</v>
      </c>
      <c r="B14" s="113" t="s">
        <v>378</v>
      </c>
      <c r="C14" s="114" t="s">
        <v>1107</v>
      </c>
      <c r="D14" s="113" t="s">
        <v>1102</v>
      </c>
      <c r="E14" s="115">
        <v>1.9375</v>
      </c>
      <c r="F14" s="113" t="s">
        <v>380</v>
      </c>
      <c r="G14" s="116">
        <v>9</v>
      </c>
      <c r="H14" s="137">
        <v>324</v>
      </c>
    </row>
    <row r="15" spans="1:8" ht="18" x14ac:dyDescent="0.3">
      <c r="A15" s="118">
        <v>45988</v>
      </c>
      <c r="B15" s="119" t="s">
        <v>378</v>
      </c>
      <c r="C15" s="120" t="s">
        <v>1107</v>
      </c>
      <c r="D15" s="119" t="s">
        <v>1102</v>
      </c>
      <c r="E15" s="121">
        <v>1.9375</v>
      </c>
      <c r="F15" s="119" t="s">
        <v>33</v>
      </c>
      <c r="G15" s="122">
        <v>9</v>
      </c>
      <c r="H15" s="123">
        <v>447</v>
      </c>
    </row>
    <row r="16" spans="1:8" ht="18" x14ac:dyDescent="0.3">
      <c r="A16" s="136">
        <v>45988</v>
      </c>
      <c r="B16" s="113" t="s">
        <v>304</v>
      </c>
      <c r="C16" s="114" t="s">
        <v>1103</v>
      </c>
      <c r="D16" s="113" t="s">
        <v>1102</v>
      </c>
      <c r="E16" s="115">
        <v>1.625</v>
      </c>
      <c r="F16" s="113" t="s">
        <v>37</v>
      </c>
      <c r="G16" s="116">
        <v>9</v>
      </c>
      <c r="H16" s="137">
        <v>350</v>
      </c>
    </row>
    <row r="17" spans="1:8" ht="18" x14ac:dyDescent="0.3">
      <c r="A17" s="136">
        <v>45988</v>
      </c>
      <c r="B17" s="113" t="s">
        <v>333</v>
      </c>
      <c r="C17" s="114" t="s">
        <v>1104</v>
      </c>
      <c r="D17" s="113" t="s">
        <v>1102</v>
      </c>
      <c r="E17" s="115">
        <v>1.65625</v>
      </c>
      <c r="F17" s="113" t="s">
        <v>37</v>
      </c>
      <c r="G17" s="116">
        <v>1</v>
      </c>
      <c r="H17" s="137">
        <v>350</v>
      </c>
    </row>
    <row r="18" spans="1:8" ht="18" x14ac:dyDescent="0.3">
      <c r="A18" s="154">
        <v>45988</v>
      </c>
      <c r="B18" s="155" t="s">
        <v>35</v>
      </c>
      <c r="C18" s="156" t="s">
        <v>1111</v>
      </c>
      <c r="D18" s="155" t="s">
        <v>1102</v>
      </c>
      <c r="E18" s="157">
        <v>1.7986111111111109</v>
      </c>
      <c r="F18" s="155" t="s">
        <v>37</v>
      </c>
      <c r="G18" s="158">
        <v>9</v>
      </c>
      <c r="H18" s="242">
        <v>355</v>
      </c>
    </row>
    <row r="19" spans="1:8" ht="15.6" x14ac:dyDescent="0.3">
      <c r="A19" s="189"/>
      <c r="B19" s="189"/>
      <c r="C19" s="189"/>
      <c r="D19" s="189"/>
      <c r="E19" s="190" t="s">
        <v>1137</v>
      </c>
      <c r="F19" s="189"/>
      <c r="G19" s="189"/>
      <c r="H19" s="3"/>
    </row>
    <row r="20" spans="1:8" ht="18" x14ac:dyDescent="0.3">
      <c r="A20" s="112">
        <v>45989</v>
      </c>
      <c r="B20" s="113" t="s">
        <v>304</v>
      </c>
      <c r="C20" s="114" t="s">
        <v>1103</v>
      </c>
      <c r="D20" s="113" t="s">
        <v>1102</v>
      </c>
      <c r="E20" s="115">
        <v>1.868055555555556</v>
      </c>
      <c r="F20" s="113" t="s">
        <v>37</v>
      </c>
      <c r="G20" s="116">
        <v>9</v>
      </c>
      <c r="H20" s="117">
        <v>300</v>
      </c>
    </row>
    <row r="21" spans="1:8" ht="18" x14ac:dyDescent="0.3">
      <c r="A21" s="136">
        <v>45989</v>
      </c>
      <c r="B21" s="113" t="s">
        <v>333</v>
      </c>
      <c r="C21" s="114" t="s">
        <v>1104</v>
      </c>
      <c r="D21" s="113" t="s">
        <v>1102</v>
      </c>
      <c r="E21" s="115">
        <v>1.65625</v>
      </c>
      <c r="F21" s="113" t="s">
        <v>37</v>
      </c>
      <c r="G21" s="116">
        <v>6</v>
      </c>
      <c r="H21" s="137">
        <v>350</v>
      </c>
    </row>
    <row r="22" spans="1:8" ht="18" x14ac:dyDescent="0.3">
      <c r="A22" s="194">
        <v>45989</v>
      </c>
      <c r="B22" s="195" t="s">
        <v>66</v>
      </c>
      <c r="C22" s="196" t="s">
        <v>1105</v>
      </c>
      <c r="D22" s="195" t="s">
        <v>1102</v>
      </c>
      <c r="E22" s="197">
        <v>1.0347222222222221</v>
      </c>
      <c r="F22" s="195" t="s">
        <v>68</v>
      </c>
      <c r="G22" s="198">
        <v>9</v>
      </c>
      <c r="H22" s="223">
        <v>451</v>
      </c>
    </row>
    <row r="23" spans="1:8" ht="18" x14ac:dyDescent="0.3">
      <c r="A23" s="187">
        <v>45990</v>
      </c>
      <c r="B23" s="125" t="s">
        <v>35</v>
      </c>
      <c r="C23" s="126" t="s">
        <v>1123</v>
      </c>
      <c r="D23" s="125" t="s">
        <v>1122</v>
      </c>
      <c r="E23" s="127">
        <v>1.854166666666667</v>
      </c>
      <c r="F23" s="125" t="s">
        <v>37</v>
      </c>
      <c r="G23" s="128">
        <v>9</v>
      </c>
      <c r="H23" s="200">
        <v>500</v>
      </c>
    </row>
    <row r="24" spans="1:8" ht="15.6" x14ac:dyDescent="0.3">
      <c r="A24" s="189"/>
      <c r="B24" s="189"/>
      <c r="C24" s="189"/>
      <c r="D24" s="189"/>
      <c r="E24" s="190" t="s">
        <v>1137</v>
      </c>
      <c r="F24" s="189"/>
      <c r="G24" s="189"/>
      <c r="H24" s="3"/>
    </row>
    <row r="25" spans="1:8" ht="18" x14ac:dyDescent="0.3">
      <c r="A25" s="136">
        <v>45990</v>
      </c>
      <c r="B25" s="113" t="s">
        <v>333</v>
      </c>
      <c r="C25" s="114" t="s">
        <v>1116</v>
      </c>
      <c r="D25" s="113" t="s">
        <v>1102</v>
      </c>
      <c r="E25" s="115">
        <v>1.979166666666667</v>
      </c>
      <c r="F25" s="113" t="s">
        <v>37</v>
      </c>
      <c r="G25" s="116">
        <v>5</v>
      </c>
      <c r="H25" s="137">
        <v>350</v>
      </c>
    </row>
    <row r="26" spans="1:8" ht="18" x14ac:dyDescent="0.3">
      <c r="A26" s="124">
        <v>45990</v>
      </c>
      <c r="B26" s="125" t="s">
        <v>35</v>
      </c>
      <c r="C26" s="126" t="s">
        <v>1111</v>
      </c>
      <c r="D26" s="125" t="s">
        <v>1102</v>
      </c>
      <c r="E26" s="127">
        <v>1.000694444444445</v>
      </c>
      <c r="F26" s="125" t="s">
        <v>37</v>
      </c>
      <c r="G26" s="128">
        <v>9</v>
      </c>
      <c r="H26" s="129">
        <v>355</v>
      </c>
    </row>
    <row r="27" spans="1:8" ht="18" x14ac:dyDescent="0.3">
      <c r="A27" s="194">
        <v>45990</v>
      </c>
      <c r="B27" s="195" t="s">
        <v>66</v>
      </c>
      <c r="C27" s="196" t="s">
        <v>1105</v>
      </c>
      <c r="D27" s="195" t="s">
        <v>1102</v>
      </c>
      <c r="E27" s="197">
        <v>1.0347222222222221</v>
      </c>
      <c r="F27" s="195" t="s">
        <v>68</v>
      </c>
      <c r="G27" s="198">
        <v>2</v>
      </c>
      <c r="H27" s="223">
        <v>372</v>
      </c>
    </row>
    <row r="28" spans="1:8" ht="15.6" x14ac:dyDescent="0.3">
      <c r="A28" s="189"/>
      <c r="B28" s="189"/>
      <c r="C28" s="189"/>
      <c r="D28" s="189"/>
      <c r="E28" s="190" t="s">
        <v>1137</v>
      </c>
      <c r="F28" s="189"/>
      <c r="G28" s="189"/>
      <c r="H28" s="3"/>
    </row>
    <row r="29" spans="1:8" ht="18" x14ac:dyDescent="0.3">
      <c r="A29" s="112">
        <v>45991</v>
      </c>
      <c r="B29" s="113" t="s">
        <v>304</v>
      </c>
      <c r="C29" s="114" t="s">
        <v>1103</v>
      </c>
      <c r="D29" s="113" t="s">
        <v>1102</v>
      </c>
      <c r="E29" s="115">
        <v>1.6076388888888891</v>
      </c>
      <c r="F29" s="113" t="s">
        <v>37</v>
      </c>
      <c r="G29" s="116">
        <v>1</v>
      </c>
      <c r="H29" s="117">
        <v>300</v>
      </c>
    </row>
    <row r="30" spans="1:8" ht="18" x14ac:dyDescent="0.3">
      <c r="A30" s="136">
        <v>45991</v>
      </c>
      <c r="B30" s="113" t="s">
        <v>333</v>
      </c>
      <c r="C30" s="114" t="s">
        <v>1104</v>
      </c>
      <c r="D30" s="113" t="s">
        <v>1102</v>
      </c>
      <c r="E30" s="115">
        <v>1.65625</v>
      </c>
      <c r="F30" s="113" t="s">
        <v>37</v>
      </c>
      <c r="G30" s="116">
        <v>4</v>
      </c>
      <c r="H30" s="137">
        <v>350</v>
      </c>
    </row>
    <row r="31" spans="1:8" ht="18" x14ac:dyDescent="0.3">
      <c r="A31" s="124">
        <v>45991</v>
      </c>
      <c r="B31" s="125" t="s">
        <v>35</v>
      </c>
      <c r="C31" s="126" t="s">
        <v>1111</v>
      </c>
      <c r="D31" s="125" t="s">
        <v>1102</v>
      </c>
      <c r="E31" s="127">
        <v>1.7986111111111109</v>
      </c>
      <c r="F31" s="125" t="s">
        <v>37</v>
      </c>
      <c r="G31" s="128">
        <v>3</v>
      </c>
      <c r="H31" s="129">
        <v>355</v>
      </c>
    </row>
    <row r="32" spans="1:8" ht="18" x14ac:dyDescent="0.3">
      <c r="A32" s="194">
        <v>45991</v>
      </c>
      <c r="B32" s="195" t="s">
        <v>66</v>
      </c>
      <c r="C32" s="196" t="s">
        <v>1105</v>
      </c>
      <c r="D32" s="195" t="s">
        <v>1102</v>
      </c>
      <c r="E32" s="197">
        <v>1.03125</v>
      </c>
      <c r="F32" s="195" t="s">
        <v>68</v>
      </c>
      <c r="G32" s="198">
        <v>9</v>
      </c>
      <c r="H32" s="223">
        <v>451</v>
      </c>
    </row>
  </sheetData>
  <dataValidations count="3">
    <dataValidation type="custom" allowBlank="1" showInputMessage="1" promptTitle="LOAD FACTOR ANALYSIS" prompt="SM-436_x000d__x000a_LF 55.4%_x000d__x000a_SOLD 93_x000d__x000a_LST-SOLD 23NOV_x000d__x000a_WEEKLY 60_x000d__x000a_TO-DAY NIL_x000d__x000a_Y-DAY 11_x000d__x000a_LOWEST AVAIL U9_x000d__x000a_CAPACITY 168_x000d__x000a_CLASSES W1 &amp; X3 &amp; U21 &amp; +1 more" sqref="A6 B6 C6 D6 E6 F6 G6 H6" xr:uid="{00000000-0002-0000-4500-000000000000}">
      <formula1>TRUE</formula1>
    </dataValidation>
    <dataValidation type="custom" allowBlank="1" showInputMessage="1" promptTitle="LOAD FACTOR ANALYSIS" prompt="SM-428_x000d__x000a_LF -_x000d__x000a_SOLD -_x000d__x000a_LST-SOLD -_x000d__x000a_WEEKLY -_x000d__x000a_TO-DAY -_x000d__x000a_Y-DAY -_x000d__x000a_LOWEST AVAIL -_x000d__x000a_CAPACITY -_x000d__x000a_CLASSES -" sqref="A18 A26 A31 B18 B26 B31 C18 C26 C31 D18 D26 D31 E18 E26 E31 F18 F26 F31 G18 G26 G31 H18 H26 H31" xr:uid="{00000000-0002-0000-4500-000001000000}">
      <formula1>TRUE</formula1>
    </dataValidation>
    <dataValidation type="custom" allowBlank="1" showInputMessage="1" promptTitle="LOAD FACTOR ANALYSIS" prompt="SM-436_x000d__x000a_LF 30.9%_x000d__x000a_SOLD 52_x000d__x000a_LST-SOLD 23NOV_x000d__x000a_WEEKLY 18_x000d__x000a_TO-DAY NIL_x000d__x000a_Y-DAY 2_x000d__x000a_LOWEST AVAIL X9_x000d__x000a_CAPACITY 168_x000d__x000a_CLASSES W1 &amp; X1 &amp; U20 &amp; +1 more" sqref="A23 B23 C23 D23 E23 F23 G23 H23" xr:uid="{00000000-0002-0000-4500-000002000000}">
      <formula1>TRUE</formula1>
    </dataValidation>
  </dataValidation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27"/>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24.44140625" bestFit="1" customWidth="1"/>
  </cols>
  <sheetData>
    <row r="1" spans="1:92" ht="28.8" customHeight="1" x14ac:dyDescent="0.3">
      <c r="A1" s="305" t="s">
        <v>0</v>
      </c>
      <c r="B1" s="281"/>
      <c r="C1" s="281"/>
      <c r="D1" s="305" t="s">
        <v>1138</v>
      </c>
      <c r="E1" s="281"/>
      <c r="F1" s="281"/>
      <c r="G1" s="305" t="s">
        <v>2</v>
      </c>
      <c r="H1" s="281"/>
      <c r="I1" s="2"/>
      <c r="J1" s="302">
        <v>45986</v>
      </c>
      <c r="K1" s="281"/>
      <c r="L1" s="281"/>
      <c r="M1" s="281"/>
      <c r="N1" s="1" t="s">
        <v>3</v>
      </c>
      <c r="O1" s="280">
        <v>45991</v>
      </c>
      <c r="P1" s="281"/>
      <c r="Q1" s="281"/>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91" t="s">
        <v>4</v>
      </c>
      <c r="B2" s="292"/>
      <c r="C2" s="292"/>
      <c r="D2" s="292"/>
      <c r="E2" s="292"/>
      <c r="F2" s="292"/>
      <c r="G2" s="299">
        <v>45985.360388735768</v>
      </c>
      <c r="H2" s="292"/>
      <c r="I2" s="292"/>
      <c r="J2" s="292"/>
      <c r="K2" s="303">
        <v>45985.360388736401</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0" t="s">
        <v>5</v>
      </c>
      <c r="B4" s="301"/>
      <c r="C4" s="301"/>
      <c r="D4" s="301"/>
      <c r="E4" s="301"/>
      <c r="F4" s="301"/>
      <c r="G4" s="5">
        <v>45986</v>
      </c>
      <c r="H4" s="287"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5" t="s">
        <v>333</v>
      </c>
      <c r="B6" s="235" t="s">
        <v>1139</v>
      </c>
      <c r="C6" s="236">
        <v>0.54166666666666663</v>
      </c>
      <c r="D6" s="235" t="s">
        <v>37</v>
      </c>
      <c r="E6" s="235" t="s">
        <v>38</v>
      </c>
      <c r="F6" s="235" t="s">
        <v>1140</v>
      </c>
      <c r="G6" s="308"/>
      <c r="H6" s="50"/>
      <c r="I6" s="51"/>
      <c r="J6" s="51"/>
      <c r="K6" s="51"/>
      <c r="L6" s="51"/>
      <c r="M6" s="51"/>
      <c r="N6" s="51"/>
      <c r="O6" s="52"/>
      <c r="P6" s="51"/>
      <c r="Q6" s="53"/>
      <c r="R6" s="5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88"/>
      <c r="B7" s="289"/>
      <c r="C7" s="289"/>
      <c r="D7" s="289"/>
      <c r="E7" s="289"/>
      <c r="F7" s="289"/>
      <c r="G7" s="289"/>
      <c r="H7" s="289"/>
      <c r="I7" s="289"/>
      <c r="J7" s="289"/>
      <c r="K7" s="289"/>
      <c r="L7" s="289"/>
      <c r="M7" s="289"/>
      <c r="N7" s="289"/>
      <c r="O7" s="289"/>
      <c r="P7" s="289"/>
      <c r="Q7" s="289"/>
      <c r="R7" s="2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2" t="s">
        <v>5</v>
      </c>
      <c r="B8" s="283"/>
      <c r="C8" s="283"/>
      <c r="D8" s="283"/>
      <c r="E8" s="283"/>
      <c r="F8" s="283"/>
      <c r="G8" s="5">
        <v>45988</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55" t="s">
        <v>7</v>
      </c>
      <c r="B9" s="55" t="s">
        <v>8</v>
      </c>
      <c r="C9" s="56" t="s">
        <v>9</v>
      </c>
      <c r="D9" s="55" t="s">
        <v>10</v>
      </c>
      <c r="E9" s="55" t="s">
        <v>11</v>
      </c>
      <c r="F9" s="55" t="s">
        <v>12</v>
      </c>
      <c r="G9" s="57" t="s">
        <v>13</v>
      </c>
      <c r="H9" s="55" t="s">
        <v>14</v>
      </c>
      <c r="I9" s="58" t="s">
        <v>15</v>
      </c>
      <c r="J9" s="59" t="s">
        <v>16</v>
      </c>
      <c r="K9" s="60" t="s">
        <v>17</v>
      </c>
      <c r="L9" s="59" t="s">
        <v>18</v>
      </c>
      <c r="M9" s="59" t="s">
        <v>19</v>
      </c>
      <c r="N9" s="59" t="s">
        <v>20</v>
      </c>
      <c r="O9" s="55" t="s">
        <v>21</v>
      </c>
      <c r="P9" s="56" t="s">
        <v>22</v>
      </c>
      <c r="Q9" s="59" t="s">
        <v>23</v>
      </c>
      <c r="R9" s="55"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333</v>
      </c>
      <c r="B10" s="8" t="s">
        <v>1139</v>
      </c>
      <c r="C10" s="9">
        <v>0.54166666666666663</v>
      </c>
      <c r="D10" s="8" t="s">
        <v>37</v>
      </c>
      <c r="E10" s="8" t="s">
        <v>124</v>
      </c>
      <c r="F10" s="8" t="s">
        <v>1141</v>
      </c>
      <c r="G10" s="284"/>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44" t="s">
        <v>378</v>
      </c>
      <c r="B11" s="44" t="s">
        <v>1142</v>
      </c>
      <c r="C11" s="45">
        <v>0.1875</v>
      </c>
      <c r="D11" s="44" t="s">
        <v>380</v>
      </c>
      <c r="E11" s="44" t="s">
        <v>381</v>
      </c>
      <c r="F11" s="44" t="s">
        <v>354</v>
      </c>
      <c r="G11" s="285"/>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48" t="s">
        <v>378</v>
      </c>
      <c r="B12" s="48" t="s">
        <v>1142</v>
      </c>
      <c r="C12" s="49">
        <v>0.1875</v>
      </c>
      <c r="D12" s="48" t="s">
        <v>33</v>
      </c>
      <c r="E12" s="48" t="s">
        <v>360</v>
      </c>
      <c r="F12" s="48" t="s">
        <v>1143</v>
      </c>
      <c r="G12" s="286"/>
      <c r="H12" s="50"/>
      <c r="I12" s="51"/>
      <c r="J12" s="51"/>
      <c r="K12" s="51"/>
      <c r="L12" s="51"/>
      <c r="M12" s="51"/>
      <c r="N12" s="51"/>
      <c r="O12" s="52"/>
      <c r="P12" s="51"/>
      <c r="Q12" s="53"/>
      <c r="R12" s="5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95"/>
      <c r="B13" s="296"/>
      <c r="C13" s="296"/>
      <c r="D13" s="296"/>
      <c r="E13" s="296"/>
      <c r="F13" s="296"/>
      <c r="G13" s="289"/>
      <c r="H13" s="297"/>
      <c r="I13" s="297"/>
      <c r="J13" s="297"/>
      <c r="K13" s="297"/>
      <c r="L13" s="297"/>
      <c r="M13" s="297"/>
      <c r="N13" s="297"/>
      <c r="O13" s="298"/>
      <c r="P13" s="297"/>
      <c r="Q13" s="289"/>
      <c r="R13" s="2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82" t="s">
        <v>5</v>
      </c>
      <c r="B14" s="283"/>
      <c r="C14" s="283"/>
      <c r="D14" s="283"/>
      <c r="E14" s="283"/>
      <c r="F14" s="283"/>
      <c r="G14" s="5">
        <v>45989</v>
      </c>
      <c r="H14" s="278" t="s">
        <v>6</v>
      </c>
      <c r="I14" s="279"/>
      <c r="J14" s="279"/>
      <c r="K14" s="279"/>
      <c r="L14" s="279"/>
      <c r="M14" s="279"/>
      <c r="N14" s="279"/>
      <c r="O14" s="279"/>
      <c r="P14" s="279"/>
      <c r="Q14" s="279"/>
      <c r="R14" s="27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55" t="s">
        <v>7</v>
      </c>
      <c r="B15" s="55" t="s">
        <v>8</v>
      </c>
      <c r="C15" s="56" t="s">
        <v>9</v>
      </c>
      <c r="D15" s="55" t="s">
        <v>10</v>
      </c>
      <c r="E15" s="55" t="s">
        <v>11</v>
      </c>
      <c r="F15" s="55" t="s">
        <v>12</v>
      </c>
      <c r="G15" s="57" t="s">
        <v>13</v>
      </c>
      <c r="H15" s="55" t="s">
        <v>14</v>
      </c>
      <c r="I15" s="58" t="s">
        <v>15</v>
      </c>
      <c r="J15" s="59" t="s">
        <v>16</v>
      </c>
      <c r="K15" s="60" t="s">
        <v>17</v>
      </c>
      <c r="L15" s="59" t="s">
        <v>18</v>
      </c>
      <c r="M15" s="59" t="s">
        <v>19</v>
      </c>
      <c r="N15" s="59" t="s">
        <v>20</v>
      </c>
      <c r="O15" s="55" t="s">
        <v>21</v>
      </c>
      <c r="P15" s="56" t="s">
        <v>22</v>
      </c>
      <c r="Q15" s="59" t="s">
        <v>23</v>
      </c>
      <c r="R15" s="55"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8" t="s">
        <v>378</v>
      </c>
      <c r="B16" s="8" t="s">
        <v>1142</v>
      </c>
      <c r="C16" s="9">
        <v>0.1736111111111111</v>
      </c>
      <c r="D16" s="8" t="s">
        <v>380</v>
      </c>
      <c r="E16" s="8" t="s">
        <v>381</v>
      </c>
      <c r="F16" s="8" t="s">
        <v>1144</v>
      </c>
      <c r="G16" s="284"/>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5" t="s">
        <v>378</v>
      </c>
      <c r="B17" s="15" t="s">
        <v>1142</v>
      </c>
      <c r="C17" s="16">
        <v>0.1736111111111111</v>
      </c>
      <c r="D17" s="15" t="s">
        <v>33</v>
      </c>
      <c r="E17" s="15" t="s">
        <v>360</v>
      </c>
      <c r="F17" s="15" t="s">
        <v>658</v>
      </c>
      <c r="G17" s="285"/>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246" t="s">
        <v>35</v>
      </c>
      <c r="B18" s="246" t="s">
        <v>1145</v>
      </c>
      <c r="C18" s="247">
        <v>2.0833333333333329E-2</v>
      </c>
      <c r="D18" s="246" t="s">
        <v>37</v>
      </c>
      <c r="E18" s="246" t="s">
        <v>95</v>
      </c>
      <c r="F18" s="246" t="s">
        <v>1146</v>
      </c>
      <c r="G18" s="286"/>
      <c r="H18" s="248" t="s">
        <v>1147</v>
      </c>
      <c r="I18" s="249">
        <v>0.33929999999999999</v>
      </c>
      <c r="J18" s="250">
        <v>57</v>
      </c>
      <c r="K18" s="251">
        <v>45984</v>
      </c>
      <c r="L18" s="250">
        <v>14</v>
      </c>
      <c r="M18" s="250">
        <v>0</v>
      </c>
      <c r="N18" s="250">
        <v>3</v>
      </c>
      <c r="O18" s="252" t="s">
        <v>571</v>
      </c>
      <c r="P18" s="253">
        <v>2.0833333333333329E-2</v>
      </c>
      <c r="Q18" s="250">
        <v>168</v>
      </c>
      <c r="R18" s="254" t="s">
        <v>1148</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95"/>
      <c r="B19" s="296"/>
      <c r="C19" s="296"/>
      <c r="D19" s="296"/>
      <c r="E19" s="296"/>
      <c r="F19" s="296"/>
      <c r="G19" s="289"/>
      <c r="H19" s="297"/>
      <c r="I19" s="297"/>
      <c r="J19" s="297"/>
      <c r="K19" s="297"/>
      <c r="L19" s="297"/>
      <c r="M19" s="297"/>
      <c r="N19" s="297"/>
      <c r="O19" s="298"/>
      <c r="P19" s="297"/>
      <c r="Q19" s="289"/>
      <c r="R19" s="29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82" t="s">
        <v>5</v>
      </c>
      <c r="B20" s="283"/>
      <c r="C20" s="283"/>
      <c r="D20" s="283"/>
      <c r="E20" s="283"/>
      <c r="F20" s="283"/>
      <c r="G20" s="5">
        <v>45990</v>
      </c>
      <c r="H20" s="278" t="s">
        <v>6</v>
      </c>
      <c r="I20" s="279"/>
      <c r="J20" s="279"/>
      <c r="K20" s="279"/>
      <c r="L20" s="279"/>
      <c r="M20" s="279"/>
      <c r="N20" s="279"/>
      <c r="O20" s="279"/>
      <c r="P20" s="279"/>
      <c r="Q20" s="279"/>
      <c r="R20" s="27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55" t="s">
        <v>7</v>
      </c>
      <c r="B21" s="55" t="s">
        <v>8</v>
      </c>
      <c r="C21" s="56" t="s">
        <v>9</v>
      </c>
      <c r="D21" s="55" t="s">
        <v>10</v>
      </c>
      <c r="E21" s="55" t="s">
        <v>11</v>
      </c>
      <c r="F21" s="55" t="s">
        <v>12</v>
      </c>
      <c r="G21" s="57" t="s">
        <v>13</v>
      </c>
      <c r="H21" s="55" t="s">
        <v>14</v>
      </c>
      <c r="I21" s="58" t="s">
        <v>15</v>
      </c>
      <c r="J21" s="59" t="s">
        <v>16</v>
      </c>
      <c r="K21" s="60" t="s">
        <v>17</v>
      </c>
      <c r="L21" s="59" t="s">
        <v>18</v>
      </c>
      <c r="M21" s="59" t="s">
        <v>19</v>
      </c>
      <c r="N21" s="59" t="s">
        <v>20</v>
      </c>
      <c r="O21" s="55" t="s">
        <v>21</v>
      </c>
      <c r="P21" s="56" t="s">
        <v>22</v>
      </c>
      <c r="Q21" s="59" t="s">
        <v>23</v>
      </c>
      <c r="R21" s="55"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35" t="s">
        <v>333</v>
      </c>
      <c r="B22" s="235" t="s">
        <v>1139</v>
      </c>
      <c r="C22" s="236">
        <v>0.54166666666666663</v>
      </c>
      <c r="D22" s="235" t="s">
        <v>37</v>
      </c>
      <c r="E22" s="235" t="s">
        <v>135</v>
      </c>
      <c r="F22" s="235" t="s">
        <v>1149</v>
      </c>
      <c r="G22" s="308"/>
      <c r="H22" s="50"/>
      <c r="I22" s="51"/>
      <c r="J22" s="51"/>
      <c r="K22" s="51"/>
      <c r="L22" s="51"/>
      <c r="M22" s="51"/>
      <c r="N22" s="51"/>
      <c r="O22" s="52"/>
      <c r="P22" s="51"/>
      <c r="Q22" s="53"/>
      <c r="R22" s="5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95"/>
      <c r="B23" s="296"/>
      <c r="C23" s="296"/>
      <c r="D23" s="296"/>
      <c r="E23" s="296"/>
      <c r="F23" s="296"/>
      <c r="G23" s="289"/>
      <c r="H23" s="297"/>
      <c r="I23" s="297"/>
      <c r="J23" s="297"/>
      <c r="K23" s="297"/>
      <c r="L23" s="297"/>
      <c r="M23" s="297"/>
      <c r="N23" s="297"/>
      <c r="O23" s="298"/>
      <c r="P23" s="297"/>
      <c r="Q23" s="289"/>
      <c r="R23" s="29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82" t="s">
        <v>5</v>
      </c>
      <c r="B24" s="283"/>
      <c r="C24" s="283"/>
      <c r="D24" s="283"/>
      <c r="E24" s="283"/>
      <c r="F24" s="283"/>
      <c r="G24" s="5">
        <v>45991</v>
      </c>
      <c r="H24" s="278" t="s">
        <v>6</v>
      </c>
      <c r="I24" s="279"/>
      <c r="J24" s="279"/>
      <c r="K24" s="279"/>
      <c r="L24" s="279"/>
      <c r="M24" s="279"/>
      <c r="N24" s="279"/>
      <c r="O24" s="279"/>
      <c r="P24" s="279"/>
      <c r="Q24" s="279"/>
      <c r="R24" s="27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55" t="s">
        <v>7</v>
      </c>
      <c r="B25" s="55" t="s">
        <v>8</v>
      </c>
      <c r="C25" s="56" t="s">
        <v>9</v>
      </c>
      <c r="D25" s="55" t="s">
        <v>10</v>
      </c>
      <c r="E25" s="55" t="s">
        <v>11</v>
      </c>
      <c r="F25" s="55" t="s">
        <v>12</v>
      </c>
      <c r="G25" s="57" t="s">
        <v>13</v>
      </c>
      <c r="H25" s="55" t="s">
        <v>14</v>
      </c>
      <c r="I25" s="58" t="s">
        <v>15</v>
      </c>
      <c r="J25" s="59" t="s">
        <v>16</v>
      </c>
      <c r="K25" s="60" t="s">
        <v>17</v>
      </c>
      <c r="L25" s="59" t="s">
        <v>18</v>
      </c>
      <c r="M25" s="59" t="s">
        <v>19</v>
      </c>
      <c r="N25" s="59" t="s">
        <v>20</v>
      </c>
      <c r="O25" s="55" t="s">
        <v>21</v>
      </c>
      <c r="P25" s="56" t="s">
        <v>22</v>
      </c>
      <c r="Q25" s="59" t="s">
        <v>23</v>
      </c>
      <c r="R25" s="55"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169" t="s">
        <v>35</v>
      </c>
      <c r="B26" s="169" t="s">
        <v>1145</v>
      </c>
      <c r="C26" s="170">
        <v>2.0833333333333329E-2</v>
      </c>
      <c r="D26" s="169" t="s">
        <v>37</v>
      </c>
      <c r="E26" s="169" t="s">
        <v>135</v>
      </c>
      <c r="F26" s="169" t="s">
        <v>629</v>
      </c>
      <c r="G26" s="308"/>
      <c r="H26" s="268" t="s">
        <v>1147</v>
      </c>
      <c r="I26" s="277">
        <v>0.27379999999999999</v>
      </c>
      <c r="J26" s="270">
        <v>46</v>
      </c>
      <c r="K26" s="271">
        <v>45984</v>
      </c>
      <c r="L26" s="270">
        <v>11</v>
      </c>
      <c r="M26" s="270">
        <v>0</v>
      </c>
      <c r="N26" s="270">
        <v>2</v>
      </c>
      <c r="O26" s="272" t="s">
        <v>538</v>
      </c>
      <c r="P26" s="273">
        <v>2.0833333333333329E-2</v>
      </c>
      <c r="Q26" s="270">
        <v>168</v>
      </c>
      <c r="R26" s="274" t="s">
        <v>1150</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88"/>
      <c r="B27" s="289"/>
      <c r="C27" s="289"/>
      <c r="D27" s="289"/>
      <c r="E27" s="289"/>
      <c r="F27" s="289"/>
      <c r="G27" s="289"/>
      <c r="H27" s="289"/>
      <c r="I27" s="289"/>
      <c r="J27" s="289"/>
      <c r="K27" s="289"/>
      <c r="L27" s="289"/>
      <c r="M27" s="289"/>
      <c r="N27" s="289"/>
      <c r="O27" s="289"/>
      <c r="P27" s="289"/>
      <c r="Q27" s="289"/>
      <c r="R27" s="29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sheetData>
  <mergeCells count="29">
    <mergeCell ref="A27:R27"/>
    <mergeCell ref="H4:R4"/>
    <mergeCell ref="G22"/>
    <mergeCell ref="A2:F2"/>
    <mergeCell ref="A3:R3"/>
    <mergeCell ref="A14:F14"/>
    <mergeCell ref="G16:G18"/>
    <mergeCell ref="A8:F8"/>
    <mergeCell ref="G2:J2"/>
    <mergeCell ref="A4:F4"/>
    <mergeCell ref="A23:R23"/>
    <mergeCell ref="A20:F20"/>
    <mergeCell ref="A19:R19"/>
    <mergeCell ref="A13:R13"/>
    <mergeCell ref="K2:R2"/>
    <mergeCell ref="G6"/>
    <mergeCell ref="H8:R8"/>
    <mergeCell ref="O1:Q1"/>
    <mergeCell ref="A7:R7"/>
    <mergeCell ref="G26"/>
    <mergeCell ref="H20:R20"/>
    <mergeCell ref="J1:M1"/>
    <mergeCell ref="D1:F1"/>
    <mergeCell ref="G10:G12"/>
    <mergeCell ref="A24:F24"/>
    <mergeCell ref="A1:C1"/>
    <mergeCell ref="G1:H1"/>
    <mergeCell ref="H24:R24"/>
    <mergeCell ref="H14:R1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4"/>
  <sheetViews>
    <sheetView workbookViewId="0">
      <pane ySplit="1" topLeftCell="A2" activePane="bottomLeft" state="frozen"/>
      <selection pane="bottomLeft"/>
    </sheetView>
  </sheetViews>
  <sheetFormatPr defaultRowHeight="14.4" x14ac:dyDescent="0.3"/>
  <cols>
    <col min="1" max="1" width="11"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91" t="s">
        <v>144</v>
      </c>
      <c r="B1" s="91" t="s">
        <v>145</v>
      </c>
      <c r="C1" s="91" t="s">
        <v>146</v>
      </c>
      <c r="D1" s="91" t="s">
        <v>22</v>
      </c>
      <c r="E1" s="91" t="s">
        <v>147</v>
      </c>
      <c r="F1" s="91" t="s">
        <v>148</v>
      </c>
      <c r="G1" s="91" t="s">
        <v>149</v>
      </c>
      <c r="H1" s="91" t="s">
        <v>150</v>
      </c>
      <c r="I1" s="91" t="s">
        <v>151</v>
      </c>
      <c r="J1" s="91" t="s">
        <v>152</v>
      </c>
      <c r="K1" s="91" t="s">
        <v>17</v>
      </c>
      <c r="L1" s="91" t="s">
        <v>19</v>
      </c>
      <c r="M1" s="91" t="s">
        <v>20</v>
      </c>
      <c r="N1" s="91" t="s">
        <v>18</v>
      </c>
      <c r="O1" s="91" t="s">
        <v>21</v>
      </c>
      <c r="P1" s="91" t="s">
        <v>153</v>
      </c>
      <c r="Q1" s="91" t="s">
        <v>154</v>
      </c>
      <c r="R1" s="91" t="s">
        <v>155</v>
      </c>
      <c r="S1" s="91" t="s">
        <v>156</v>
      </c>
      <c r="T1" s="91" t="s">
        <v>157</v>
      </c>
      <c r="U1" s="91" t="s">
        <v>158</v>
      </c>
      <c r="V1" s="91" t="s">
        <v>159</v>
      </c>
      <c r="W1" s="91" t="s">
        <v>160</v>
      </c>
      <c r="X1" s="91" t="s">
        <v>161</v>
      </c>
      <c r="Y1" s="91" t="s">
        <v>162</v>
      </c>
      <c r="Z1" s="91" t="s">
        <v>163</v>
      </c>
      <c r="AA1" s="91" t="s">
        <v>164</v>
      </c>
      <c r="AB1" s="91" t="s">
        <v>165</v>
      </c>
      <c r="AC1" s="91" t="s">
        <v>166</v>
      </c>
      <c r="AD1" s="91" t="s">
        <v>167</v>
      </c>
      <c r="AE1" s="91" t="s">
        <v>168</v>
      </c>
      <c r="AF1" s="91" t="s">
        <v>169</v>
      </c>
      <c r="AG1" s="91" t="s">
        <v>170</v>
      </c>
      <c r="AH1" s="91" t="s">
        <v>171</v>
      </c>
      <c r="AI1" s="91" t="s">
        <v>172</v>
      </c>
    </row>
    <row r="2" spans="1:35" ht="18" x14ac:dyDescent="0.3">
      <c r="A2" s="92" t="s">
        <v>543</v>
      </c>
      <c r="B2" s="93">
        <v>45989</v>
      </c>
      <c r="C2" s="94" t="s">
        <v>1147</v>
      </c>
      <c r="D2" s="95">
        <v>2.0833333333333329E-2</v>
      </c>
      <c r="E2" s="94" t="s">
        <v>1138</v>
      </c>
      <c r="F2" s="94" t="s">
        <v>174</v>
      </c>
      <c r="G2" s="96">
        <v>0.33929999999999999</v>
      </c>
      <c r="H2" s="97">
        <v>168</v>
      </c>
      <c r="I2" s="97">
        <v>57</v>
      </c>
      <c r="J2" s="97">
        <v>0</v>
      </c>
      <c r="K2" s="93">
        <v>45984</v>
      </c>
      <c r="L2" s="97">
        <v>0</v>
      </c>
      <c r="M2" s="97">
        <v>3</v>
      </c>
      <c r="N2" s="97">
        <v>14</v>
      </c>
      <c r="O2" s="94" t="s">
        <v>571</v>
      </c>
      <c r="P2" s="98"/>
      <c r="Q2" s="98"/>
      <c r="R2" s="98"/>
      <c r="S2" s="98"/>
      <c r="T2" s="98"/>
      <c r="U2" s="98"/>
      <c r="V2" s="98"/>
      <c r="W2" s="98"/>
      <c r="X2" s="98"/>
      <c r="Y2" s="97" t="s">
        <v>200</v>
      </c>
      <c r="Z2" s="97" t="s">
        <v>1151</v>
      </c>
      <c r="AA2" s="98"/>
      <c r="AB2" s="97" t="s">
        <v>1152</v>
      </c>
      <c r="AC2" s="97" t="s">
        <v>1153</v>
      </c>
      <c r="AD2" s="98"/>
      <c r="AE2" s="98"/>
      <c r="AF2" s="98"/>
      <c r="AG2" s="98"/>
      <c r="AH2" s="98"/>
      <c r="AI2" s="98"/>
    </row>
    <row r="3" spans="1:35" ht="18" x14ac:dyDescent="0.3">
      <c r="A3" s="99" t="s">
        <v>211</v>
      </c>
      <c r="B3" s="100">
        <v>45991</v>
      </c>
      <c r="C3" s="101" t="s">
        <v>1147</v>
      </c>
      <c r="D3" s="102">
        <v>2.0833333333333329E-2</v>
      </c>
      <c r="E3" s="101" t="s">
        <v>1138</v>
      </c>
      <c r="F3" s="101" t="s">
        <v>174</v>
      </c>
      <c r="G3" s="103">
        <v>0.27379999999999999</v>
      </c>
      <c r="H3" s="104">
        <v>168</v>
      </c>
      <c r="I3" s="104">
        <v>46</v>
      </c>
      <c r="J3" s="104">
        <v>0</v>
      </c>
      <c r="K3" s="100">
        <v>45984</v>
      </c>
      <c r="L3" s="104">
        <v>0</v>
      </c>
      <c r="M3" s="104">
        <v>2</v>
      </c>
      <c r="N3" s="104">
        <v>11</v>
      </c>
      <c r="O3" s="101" t="s">
        <v>538</v>
      </c>
      <c r="P3" s="105"/>
      <c r="Q3" s="105"/>
      <c r="R3" s="105"/>
      <c r="S3" s="105"/>
      <c r="T3" s="105"/>
      <c r="U3" s="105"/>
      <c r="V3" s="105"/>
      <c r="W3" s="105"/>
      <c r="X3" s="105"/>
      <c r="Y3" s="105"/>
      <c r="Z3" s="105"/>
      <c r="AA3" s="105"/>
      <c r="AB3" s="104" t="s">
        <v>511</v>
      </c>
      <c r="AC3" s="104" t="s">
        <v>1062</v>
      </c>
      <c r="AD3" s="104" t="s">
        <v>440</v>
      </c>
      <c r="AE3" s="104" t="s">
        <v>569</v>
      </c>
      <c r="AF3" s="105"/>
      <c r="AG3" s="105"/>
      <c r="AH3" s="105"/>
      <c r="AI3" s="105"/>
    </row>
    <row r="4" spans="1:35" ht="18" x14ac:dyDescent="0.3">
      <c r="A4" s="106" t="s">
        <v>219</v>
      </c>
      <c r="B4" s="107"/>
      <c r="C4" s="108">
        <f>COUNTA(C2:C3)</f>
        <v>2</v>
      </c>
      <c r="D4" s="107"/>
      <c r="E4" s="107"/>
      <c r="F4" s="107"/>
      <c r="G4" s="109">
        <f>AVERAGE(G2:G3)</f>
        <v>0.30654999999999999</v>
      </c>
      <c r="H4" s="110">
        <f>SUM(H2:H3)</f>
        <v>336</v>
      </c>
      <c r="I4" s="110">
        <f>SUM(I2:I3)</f>
        <v>103</v>
      </c>
      <c r="J4" s="110">
        <f>SUM(J2:J3)</f>
        <v>0</v>
      </c>
      <c r="K4" s="107"/>
      <c r="L4" s="110">
        <f>SUM(L2:L3)</f>
        <v>0</v>
      </c>
      <c r="M4" s="110">
        <f>SUM(M2:M3)</f>
        <v>5</v>
      </c>
      <c r="N4" s="110">
        <f>SUM(N2:N3)</f>
        <v>25</v>
      </c>
      <c r="O4" s="107"/>
      <c r="P4" s="110">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10">
        <f t="shared" si="0"/>
        <v>0</v>
      </c>
      <c r="R4" s="110">
        <f t="shared" si="0"/>
        <v>0</v>
      </c>
      <c r="S4" s="110">
        <f t="shared" si="0"/>
        <v>0</v>
      </c>
      <c r="T4" s="110">
        <f t="shared" si="0"/>
        <v>0</v>
      </c>
      <c r="U4" s="110">
        <f t="shared" si="0"/>
        <v>0</v>
      </c>
      <c r="V4" s="110">
        <f t="shared" si="0"/>
        <v>0</v>
      </c>
      <c r="W4" s="110">
        <f t="shared" si="0"/>
        <v>0</v>
      </c>
      <c r="X4" s="110">
        <f t="shared" si="0"/>
        <v>0</v>
      </c>
      <c r="Y4" s="110">
        <f t="shared" si="0"/>
        <v>0</v>
      </c>
      <c r="Z4" s="110">
        <f t="shared" si="0"/>
        <v>0</v>
      </c>
      <c r="AA4" s="110">
        <f t="shared" si="0"/>
        <v>0</v>
      </c>
      <c r="AB4" s="110">
        <f t="shared" si="0"/>
        <v>0</v>
      </c>
      <c r="AC4" s="110">
        <f t="shared" si="0"/>
        <v>0</v>
      </c>
      <c r="AD4" s="110">
        <f t="shared" si="0"/>
        <v>0</v>
      </c>
      <c r="AE4" s="110">
        <f t="shared" si="0"/>
        <v>0</v>
      </c>
      <c r="AF4" s="110">
        <f t="shared" si="0"/>
        <v>0</v>
      </c>
      <c r="AG4" s="110">
        <f t="shared" si="0"/>
        <v>0</v>
      </c>
      <c r="AH4" s="110">
        <f t="shared" si="0"/>
        <v>0</v>
      </c>
      <c r="AI4" s="110">
        <f t="shared" si="0"/>
        <v>0</v>
      </c>
    </row>
  </sheetData>
  <autoFilter ref="A1:AI3" xr:uid="{00000000-0009-0000-0000-000047000000}"/>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10"/>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11" t="s">
        <v>220</v>
      </c>
      <c r="B1" s="111" t="s">
        <v>7</v>
      </c>
      <c r="C1" s="111" t="s">
        <v>8</v>
      </c>
      <c r="D1" s="111" t="s">
        <v>221</v>
      </c>
      <c r="E1" s="111" t="s">
        <v>9</v>
      </c>
      <c r="F1" s="111" t="s">
        <v>10</v>
      </c>
      <c r="G1" s="111" t="s">
        <v>11</v>
      </c>
      <c r="H1" s="111" t="s">
        <v>12</v>
      </c>
    </row>
    <row r="2" spans="1:8" ht="18" x14ac:dyDescent="0.3">
      <c r="A2" s="237">
        <v>45986</v>
      </c>
      <c r="B2" s="195" t="s">
        <v>333</v>
      </c>
      <c r="C2" s="196" t="s">
        <v>1139</v>
      </c>
      <c r="D2" s="195" t="s">
        <v>1138</v>
      </c>
      <c r="E2" s="197">
        <v>1.541666666666667</v>
      </c>
      <c r="F2" s="195" t="s">
        <v>37</v>
      </c>
      <c r="G2" s="198">
        <v>9</v>
      </c>
      <c r="H2" s="238">
        <v>730</v>
      </c>
    </row>
    <row r="3" spans="1:8" ht="18" x14ac:dyDescent="0.3">
      <c r="A3" s="112">
        <v>45988</v>
      </c>
      <c r="B3" s="113" t="s">
        <v>333</v>
      </c>
      <c r="C3" s="114" t="s">
        <v>1139</v>
      </c>
      <c r="D3" s="113" t="s">
        <v>1138</v>
      </c>
      <c r="E3" s="115">
        <v>1.541666666666667</v>
      </c>
      <c r="F3" s="113" t="s">
        <v>37</v>
      </c>
      <c r="G3" s="116">
        <v>6</v>
      </c>
      <c r="H3" s="117">
        <v>558</v>
      </c>
    </row>
    <row r="4" spans="1:8" ht="18" x14ac:dyDescent="0.3">
      <c r="A4" s="136">
        <v>45988</v>
      </c>
      <c r="B4" s="113" t="s">
        <v>378</v>
      </c>
      <c r="C4" s="114" t="s">
        <v>1142</v>
      </c>
      <c r="D4" s="113" t="s">
        <v>1138</v>
      </c>
      <c r="E4" s="115">
        <v>1.1875</v>
      </c>
      <c r="F4" s="113" t="s">
        <v>380</v>
      </c>
      <c r="G4" s="116">
        <v>9</v>
      </c>
      <c r="H4" s="137">
        <v>589</v>
      </c>
    </row>
    <row r="5" spans="1:8" ht="18" x14ac:dyDescent="0.3">
      <c r="A5" s="144">
        <v>45988</v>
      </c>
      <c r="B5" s="145" t="s">
        <v>378</v>
      </c>
      <c r="C5" s="146" t="s">
        <v>1142</v>
      </c>
      <c r="D5" s="145" t="s">
        <v>1138</v>
      </c>
      <c r="E5" s="147">
        <v>1.1875</v>
      </c>
      <c r="F5" s="145" t="s">
        <v>33</v>
      </c>
      <c r="G5" s="148">
        <v>9</v>
      </c>
      <c r="H5" s="192">
        <v>712</v>
      </c>
    </row>
    <row r="6" spans="1:8" ht="18" x14ac:dyDescent="0.3">
      <c r="A6" s="112">
        <v>45989</v>
      </c>
      <c r="B6" s="113" t="s">
        <v>378</v>
      </c>
      <c r="C6" s="114" t="s">
        <v>1142</v>
      </c>
      <c r="D6" s="113" t="s">
        <v>1138</v>
      </c>
      <c r="E6" s="115">
        <v>1.1736111111111109</v>
      </c>
      <c r="F6" s="113" t="s">
        <v>380</v>
      </c>
      <c r="G6" s="116">
        <v>9</v>
      </c>
      <c r="H6" s="117">
        <v>534</v>
      </c>
    </row>
    <row r="7" spans="1:8" ht="18" x14ac:dyDescent="0.3">
      <c r="A7" s="118">
        <v>45989</v>
      </c>
      <c r="B7" s="119" t="s">
        <v>378</v>
      </c>
      <c r="C7" s="120" t="s">
        <v>1142</v>
      </c>
      <c r="D7" s="119" t="s">
        <v>1138</v>
      </c>
      <c r="E7" s="121">
        <v>1.1736111111111109</v>
      </c>
      <c r="F7" s="119" t="s">
        <v>33</v>
      </c>
      <c r="G7" s="122">
        <v>9</v>
      </c>
      <c r="H7" s="123">
        <v>658</v>
      </c>
    </row>
    <row r="8" spans="1:8" ht="18" x14ac:dyDescent="0.3">
      <c r="A8" s="154">
        <v>45989</v>
      </c>
      <c r="B8" s="155" t="s">
        <v>35</v>
      </c>
      <c r="C8" s="156" t="s">
        <v>1145</v>
      </c>
      <c r="D8" s="155" t="s">
        <v>1138</v>
      </c>
      <c r="E8" s="157">
        <v>1.020833333333333</v>
      </c>
      <c r="F8" s="155" t="s">
        <v>37</v>
      </c>
      <c r="G8" s="158">
        <v>2</v>
      </c>
      <c r="H8" s="242">
        <v>578</v>
      </c>
    </row>
    <row r="9" spans="1:8" ht="18" x14ac:dyDescent="0.3">
      <c r="A9" s="237">
        <v>45990</v>
      </c>
      <c r="B9" s="195" t="s">
        <v>333</v>
      </c>
      <c r="C9" s="196" t="s">
        <v>1139</v>
      </c>
      <c r="D9" s="195" t="s">
        <v>1138</v>
      </c>
      <c r="E9" s="197">
        <v>1.541666666666667</v>
      </c>
      <c r="F9" s="195" t="s">
        <v>37</v>
      </c>
      <c r="G9" s="198">
        <v>3</v>
      </c>
      <c r="H9" s="238">
        <v>621</v>
      </c>
    </row>
    <row r="10" spans="1:8" ht="18" x14ac:dyDescent="0.3">
      <c r="A10" s="262">
        <v>45991</v>
      </c>
      <c r="B10" s="155" t="s">
        <v>35</v>
      </c>
      <c r="C10" s="156" t="s">
        <v>1145</v>
      </c>
      <c r="D10" s="155" t="s">
        <v>1138</v>
      </c>
      <c r="E10" s="157">
        <v>1.020833333333333</v>
      </c>
      <c r="F10" s="155" t="s">
        <v>37</v>
      </c>
      <c r="G10" s="158">
        <v>3</v>
      </c>
      <c r="H10" s="263">
        <v>519</v>
      </c>
    </row>
  </sheetData>
  <dataValidations count="2">
    <dataValidation type="custom" allowBlank="1" showInputMessage="1" promptTitle="LOAD FACTOR ANALYSIS" prompt="SM-330_x000d__x000a_LF 33.9%_x000d__x000a_SOLD 57_x000d__x000a_LST-SOLD 23NOV_x000d__x000a_WEEKLY 14_x000d__x000a_TO-DAY NIL_x000d__x000a_Y-DAY 3_x000d__x000a_LOWEST AVAIL X2_x000d__x000a_CAPACITY 168_x000d__x000a_CLASSES S1 &amp; W5 &amp; X16 &amp; +1 more" sqref="A8 B8 C8 D8 E8 F8 G8 H8" xr:uid="{00000000-0002-0000-4800-000000000000}">
      <formula1>TRUE</formula1>
    </dataValidation>
    <dataValidation type="custom" allowBlank="1" showInputMessage="1" promptTitle="LOAD FACTOR ANALYSIS" prompt="SM-330_x000d__x000a_LF 27.4%_x000d__x000a_SOLD 46_x000d__x000a_LST-SOLD 23NOV_x000d__x000a_WEEKLY 11_x000d__x000a_TO-DAY NIL_x000d__x000a_Y-DAY 2_x000d__x000a_LOWEST AVAIL U3_x000d__x000a_CAPACITY 168_x000d__x000a_CLASSES X5 &amp; U31 &amp; O5 &amp; +1 more" sqref="A10 B10 C10 D10 E10 F10 G10 H10" xr:uid="{00000000-0002-0000-4800-000001000000}">
      <formula1>TRUE</formula1>
    </dataValidation>
  </dataValidation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111"/>
  <sheetViews>
    <sheetView workbookViewId="0">
      <pane ySplit="1" topLeftCell="A2" activePane="bottomLeft" state="frozen"/>
      <selection pane="bottomLeft"/>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59" t="s">
        <v>144</v>
      </c>
      <c r="B1" s="159" t="s">
        <v>145</v>
      </c>
      <c r="C1" s="159" t="s">
        <v>146</v>
      </c>
      <c r="D1" s="159" t="s">
        <v>22</v>
      </c>
      <c r="E1" s="159" t="s">
        <v>147</v>
      </c>
      <c r="F1" s="159" t="s">
        <v>148</v>
      </c>
      <c r="G1" s="159" t="s">
        <v>15</v>
      </c>
      <c r="H1" s="159" t="s">
        <v>150</v>
      </c>
      <c r="I1" s="159" t="s">
        <v>151</v>
      </c>
      <c r="J1" s="159" t="s">
        <v>152</v>
      </c>
      <c r="K1" s="159" t="s">
        <v>17</v>
      </c>
      <c r="L1" s="159" t="s">
        <v>19</v>
      </c>
      <c r="M1" s="159" t="s">
        <v>20</v>
      </c>
      <c r="N1" s="159" t="s">
        <v>18</v>
      </c>
      <c r="O1" s="159" t="s">
        <v>21</v>
      </c>
      <c r="P1" s="159" t="s">
        <v>153</v>
      </c>
      <c r="Q1" s="159" t="s">
        <v>154</v>
      </c>
      <c r="R1" s="159" t="s">
        <v>155</v>
      </c>
      <c r="S1" s="159" t="s">
        <v>156</v>
      </c>
      <c r="T1" s="159" t="s">
        <v>157</v>
      </c>
      <c r="U1" s="159" t="s">
        <v>158</v>
      </c>
      <c r="V1" s="159" t="s">
        <v>159</v>
      </c>
      <c r="W1" s="159" t="s">
        <v>160</v>
      </c>
      <c r="X1" s="159" t="s">
        <v>161</v>
      </c>
      <c r="Y1" s="159" t="s">
        <v>162</v>
      </c>
      <c r="Z1" s="159" t="s">
        <v>163</v>
      </c>
      <c r="AA1" s="159" t="s">
        <v>164</v>
      </c>
      <c r="AB1" s="159" t="s">
        <v>165</v>
      </c>
      <c r="AC1" s="159" t="s">
        <v>166</v>
      </c>
      <c r="AD1" s="159" t="s">
        <v>167</v>
      </c>
      <c r="AE1" s="159" t="s">
        <v>168</v>
      </c>
      <c r="AF1" s="159" t="s">
        <v>169</v>
      </c>
      <c r="AG1" s="159" t="s">
        <v>170</v>
      </c>
      <c r="AH1" s="159" t="s">
        <v>171</v>
      </c>
      <c r="AI1" s="159" t="s">
        <v>172</v>
      </c>
    </row>
    <row r="2" spans="1:35" ht="18" x14ac:dyDescent="0.3">
      <c r="A2" s="160" t="s">
        <v>1154</v>
      </c>
      <c r="B2" s="161">
        <v>45987</v>
      </c>
      <c r="C2" s="140" t="s">
        <v>996</v>
      </c>
      <c r="D2" s="162">
        <v>0.86458333333333337</v>
      </c>
      <c r="E2" s="140" t="s">
        <v>987</v>
      </c>
      <c r="F2" s="140" t="s">
        <v>174</v>
      </c>
      <c r="G2" s="163">
        <v>0.17860000000000001</v>
      </c>
      <c r="H2" s="142">
        <v>168</v>
      </c>
      <c r="I2" s="142">
        <v>30</v>
      </c>
      <c r="J2" s="142">
        <v>0</v>
      </c>
      <c r="K2" s="161">
        <v>45981</v>
      </c>
      <c r="L2" s="142">
        <v>0</v>
      </c>
      <c r="M2" s="142">
        <v>0</v>
      </c>
      <c r="N2" s="142">
        <v>8</v>
      </c>
      <c r="O2" s="140" t="s">
        <v>202</v>
      </c>
      <c r="P2" s="139"/>
      <c r="Q2" s="139"/>
      <c r="R2" s="139"/>
      <c r="S2" s="139"/>
      <c r="T2" s="139"/>
      <c r="U2" s="139"/>
      <c r="V2" s="139"/>
      <c r="W2" s="139"/>
      <c r="X2" s="142">
        <v>1</v>
      </c>
      <c r="Y2" s="139"/>
      <c r="Z2" s="139"/>
      <c r="AA2" s="139"/>
      <c r="AB2" s="139"/>
      <c r="AC2" s="139"/>
      <c r="AD2" s="142">
        <v>11</v>
      </c>
      <c r="AE2" s="142">
        <v>18</v>
      </c>
      <c r="AF2" s="139"/>
      <c r="AG2" s="139"/>
      <c r="AH2" s="139"/>
      <c r="AI2" s="139"/>
    </row>
    <row r="3" spans="1:35" ht="18" x14ac:dyDescent="0.3">
      <c r="A3" s="160" t="s">
        <v>223</v>
      </c>
      <c r="B3" s="161">
        <v>45988</v>
      </c>
      <c r="C3" s="140" t="s">
        <v>996</v>
      </c>
      <c r="D3" s="162">
        <v>0.86458333333333337</v>
      </c>
      <c r="E3" s="140" t="s">
        <v>987</v>
      </c>
      <c r="F3" s="140" t="s">
        <v>174</v>
      </c>
      <c r="G3" s="163">
        <v>0.35120000000000001</v>
      </c>
      <c r="H3" s="142">
        <v>168</v>
      </c>
      <c r="I3" s="142">
        <v>59</v>
      </c>
      <c r="J3" s="142">
        <v>0</v>
      </c>
      <c r="K3" s="161">
        <v>45984</v>
      </c>
      <c r="L3" s="142">
        <v>0</v>
      </c>
      <c r="M3" s="142">
        <v>7</v>
      </c>
      <c r="N3" s="142">
        <v>19</v>
      </c>
      <c r="O3" s="140" t="s">
        <v>440</v>
      </c>
      <c r="P3" s="139"/>
      <c r="Q3" s="139"/>
      <c r="R3" s="139"/>
      <c r="S3" s="139"/>
      <c r="T3" s="139"/>
      <c r="U3" s="139"/>
      <c r="V3" s="139"/>
      <c r="W3" s="139"/>
      <c r="X3" s="139"/>
      <c r="Y3" s="139"/>
      <c r="Z3" s="139"/>
      <c r="AA3" s="139"/>
      <c r="AB3" s="142">
        <v>1</v>
      </c>
      <c r="AC3" s="142">
        <v>3</v>
      </c>
      <c r="AD3" s="142">
        <v>37</v>
      </c>
      <c r="AE3" s="142">
        <v>18</v>
      </c>
      <c r="AF3" s="139"/>
      <c r="AG3" s="139"/>
      <c r="AH3" s="139"/>
      <c r="AI3" s="139"/>
    </row>
    <row r="4" spans="1:35" ht="18" x14ac:dyDescent="0.3">
      <c r="A4" s="160" t="s">
        <v>224</v>
      </c>
      <c r="B4" s="161">
        <v>45990</v>
      </c>
      <c r="C4" s="140" t="s">
        <v>996</v>
      </c>
      <c r="D4" s="162">
        <v>0.98958333333333337</v>
      </c>
      <c r="E4" s="140" t="s">
        <v>987</v>
      </c>
      <c r="F4" s="140" t="s">
        <v>174</v>
      </c>
      <c r="G4" s="163">
        <v>0.16669999999999999</v>
      </c>
      <c r="H4" s="142">
        <v>168</v>
      </c>
      <c r="I4" s="142">
        <v>28</v>
      </c>
      <c r="J4" s="142">
        <v>0</v>
      </c>
      <c r="K4" s="161">
        <v>45982</v>
      </c>
      <c r="L4" s="142">
        <v>0</v>
      </c>
      <c r="M4" s="142">
        <v>0</v>
      </c>
      <c r="N4" s="142">
        <v>11</v>
      </c>
      <c r="O4" s="140" t="s">
        <v>202</v>
      </c>
      <c r="P4" s="139"/>
      <c r="Q4" s="139"/>
      <c r="R4" s="139"/>
      <c r="S4" s="139"/>
      <c r="T4" s="139"/>
      <c r="U4" s="139"/>
      <c r="V4" s="139"/>
      <c r="W4" s="139"/>
      <c r="X4" s="139"/>
      <c r="Y4" s="139"/>
      <c r="Z4" s="139"/>
      <c r="AA4" s="139"/>
      <c r="AB4" s="139"/>
      <c r="AC4" s="139"/>
      <c r="AD4" s="142">
        <v>13</v>
      </c>
      <c r="AE4" s="142">
        <v>15</v>
      </c>
      <c r="AF4" s="139"/>
      <c r="AG4" s="139"/>
      <c r="AH4" s="139"/>
      <c r="AI4" s="139"/>
    </row>
    <row r="5" spans="1:35" ht="18" x14ac:dyDescent="0.3">
      <c r="A5" s="160" t="s">
        <v>1155</v>
      </c>
      <c r="B5" s="161">
        <v>45989</v>
      </c>
      <c r="C5" s="140" t="s">
        <v>1011</v>
      </c>
      <c r="D5" s="162">
        <v>0.51736111111111105</v>
      </c>
      <c r="E5" s="140" t="s">
        <v>1009</v>
      </c>
      <c r="F5" s="140" t="s">
        <v>174</v>
      </c>
      <c r="G5" s="163">
        <v>0.4405</v>
      </c>
      <c r="H5" s="142">
        <v>168</v>
      </c>
      <c r="I5" s="142">
        <v>74</v>
      </c>
      <c r="J5" s="142">
        <v>0</v>
      </c>
      <c r="K5" s="161">
        <v>45984</v>
      </c>
      <c r="L5" s="142">
        <v>0</v>
      </c>
      <c r="M5" s="142">
        <v>10</v>
      </c>
      <c r="N5" s="142">
        <v>46</v>
      </c>
      <c r="O5" s="140" t="s">
        <v>317</v>
      </c>
      <c r="P5" s="139"/>
      <c r="Q5" s="139"/>
      <c r="R5" s="139"/>
      <c r="S5" s="139"/>
      <c r="T5" s="139"/>
      <c r="U5" s="139"/>
      <c r="V5" s="139"/>
      <c r="W5" s="139"/>
      <c r="X5" s="139"/>
      <c r="Y5" s="139"/>
      <c r="Z5" s="139"/>
      <c r="AA5" s="139"/>
      <c r="AB5" s="139"/>
      <c r="AC5" s="142">
        <v>3</v>
      </c>
      <c r="AD5" s="142">
        <v>61</v>
      </c>
      <c r="AE5" s="142">
        <v>10</v>
      </c>
      <c r="AF5" s="139"/>
      <c r="AG5" s="139"/>
      <c r="AH5" s="139"/>
      <c r="AI5" s="139"/>
    </row>
    <row r="6" spans="1:35" ht="18" x14ac:dyDescent="0.3">
      <c r="A6" s="160" t="s">
        <v>1155</v>
      </c>
      <c r="B6" s="161">
        <v>45989</v>
      </c>
      <c r="C6" s="140" t="s">
        <v>1147</v>
      </c>
      <c r="D6" s="162">
        <v>2.0833333333333329E-2</v>
      </c>
      <c r="E6" s="140" t="s">
        <v>1138</v>
      </c>
      <c r="F6" s="140" t="s">
        <v>174</v>
      </c>
      <c r="G6" s="163">
        <v>0.33929999999999999</v>
      </c>
      <c r="H6" s="142">
        <v>168</v>
      </c>
      <c r="I6" s="142">
        <v>57</v>
      </c>
      <c r="J6" s="142">
        <v>0</v>
      </c>
      <c r="K6" s="161">
        <v>45984</v>
      </c>
      <c r="L6" s="142">
        <v>0</v>
      </c>
      <c r="M6" s="142">
        <v>3</v>
      </c>
      <c r="N6" s="142">
        <v>14</v>
      </c>
      <c r="O6" s="140" t="s">
        <v>571</v>
      </c>
      <c r="P6" s="139"/>
      <c r="Q6" s="139"/>
      <c r="R6" s="139"/>
      <c r="S6" s="139"/>
      <c r="T6" s="139"/>
      <c r="U6" s="139"/>
      <c r="V6" s="139"/>
      <c r="W6" s="139"/>
      <c r="X6" s="139"/>
      <c r="Y6" s="142">
        <v>1</v>
      </c>
      <c r="Z6" s="142">
        <v>5</v>
      </c>
      <c r="AA6" s="139"/>
      <c r="AB6" s="142">
        <v>16</v>
      </c>
      <c r="AC6" s="142">
        <v>35</v>
      </c>
      <c r="AD6" s="139"/>
      <c r="AE6" s="139"/>
      <c r="AF6" s="139"/>
      <c r="AG6" s="139"/>
      <c r="AH6" s="139"/>
      <c r="AI6" s="139"/>
    </row>
    <row r="7" spans="1:35" ht="18" x14ac:dyDescent="0.3">
      <c r="A7" s="160" t="s">
        <v>225</v>
      </c>
      <c r="B7" s="161">
        <v>45991</v>
      </c>
      <c r="C7" s="140" t="s">
        <v>1147</v>
      </c>
      <c r="D7" s="162">
        <v>2.0833333333333329E-2</v>
      </c>
      <c r="E7" s="140" t="s">
        <v>1138</v>
      </c>
      <c r="F7" s="140" t="s">
        <v>174</v>
      </c>
      <c r="G7" s="163">
        <v>0.27379999999999999</v>
      </c>
      <c r="H7" s="142">
        <v>168</v>
      </c>
      <c r="I7" s="142">
        <v>46</v>
      </c>
      <c r="J7" s="142">
        <v>0</v>
      </c>
      <c r="K7" s="161">
        <v>45984</v>
      </c>
      <c r="L7" s="142">
        <v>0</v>
      </c>
      <c r="M7" s="142">
        <v>2</v>
      </c>
      <c r="N7" s="142">
        <v>11</v>
      </c>
      <c r="O7" s="140" t="s">
        <v>538</v>
      </c>
      <c r="P7" s="139"/>
      <c r="Q7" s="139"/>
      <c r="R7" s="139"/>
      <c r="S7" s="139"/>
      <c r="T7" s="139"/>
      <c r="U7" s="139"/>
      <c r="V7" s="139"/>
      <c r="W7" s="139"/>
      <c r="X7" s="139"/>
      <c r="Y7" s="139"/>
      <c r="Z7" s="139"/>
      <c r="AA7" s="139"/>
      <c r="AB7" s="142">
        <v>5</v>
      </c>
      <c r="AC7" s="142">
        <v>31</v>
      </c>
      <c r="AD7" s="142">
        <v>5</v>
      </c>
      <c r="AE7" s="142">
        <v>5</v>
      </c>
      <c r="AF7" s="139"/>
      <c r="AG7" s="139"/>
      <c r="AH7" s="139"/>
      <c r="AI7" s="139"/>
    </row>
    <row r="8" spans="1:35" ht="18" x14ac:dyDescent="0.3">
      <c r="A8" s="160" t="s">
        <v>223</v>
      </c>
      <c r="B8" s="161">
        <v>45988</v>
      </c>
      <c r="C8" s="140" t="s">
        <v>724</v>
      </c>
      <c r="D8" s="162">
        <v>8.3333333333333329E-2</v>
      </c>
      <c r="E8" s="140" t="s">
        <v>703</v>
      </c>
      <c r="F8" s="140" t="s">
        <v>174</v>
      </c>
      <c r="G8" s="163">
        <v>0.1726</v>
      </c>
      <c r="H8" s="142">
        <v>168</v>
      </c>
      <c r="I8" s="142">
        <v>29</v>
      </c>
      <c r="J8" s="142">
        <v>0</v>
      </c>
      <c r="K8" s="161">
        <v>45985</v>
      </c>
      <c r="L8" s="142">
        <v>1</v>
      </c>
      <c r="M8" s="142">
        <v>3</v>
      </c>
      <c r="N8" s="142">
        <v>10</v>
      </c>
      <c r="O8" s="140" t="s">
        <v>432</v>
      </c>
      <c r="P8" s="139"/>
      <c r="Q8" s="139"/>
      <c r="R8" s="139"/>
      <c r="S8" s="139"/>
      <c r="T8" s="139"/>
      <c r="U8" s="139"/>
      <c r="V8" s="139"/>
      <c r="W8" s="139"/>
      <c r="X8" s="139"/>
      <c r="Y8" s="142">
        <v>1</v>
      </c>
      <c r="Z8" s="139"/>
      <c r="AA8" s="139"/>
      <c r="AB8" s="139"/>
      <c r="AC8" s="142">
        <v>6</v>
      </c>
      <c r="AD8" s="142">
        <v>2</v>
      </c>
      <c r="AE8" s="142">
        <v>20</v>
      </c>
      <c r="AF8" s="139"/>
      <c r="AG8" s="139"/>
      <c r="AH8" s="139"/>
      <c r="AI8" s="139"/>
    </row>
    <row r="9" spans="1:35" ht="18" x14ac:dyDescent="0.3">
      <c r="A9" s="160" t="s">
        <v>222</v>
      </c>
      <c r="B9" s="161">
        <v>45986</v>
      </c>
      <c r="C9" s="140" t="s">
        <v>321</v>
      </c>
      <c r="D9" s="162">
        <v>0.93402777777777779</v>
      </c>
      <c r="E9" s="140" t="s">
        <v>303</v>
      </c>
      <c r="F9" s="140" t="s">
        <v>174</v>
      </c>
      <c r="G9" s="163">
        <v>0.79330000000000001</v>
      </c>
      <c r="H9" s="142">
        <v>179</v>
      </c>
      <c r="I9" s="142">
        <v>142</v>
      </c>
      <c r="J9" s="142">
        <v>86</v>
      </c>
      <c r="K9" s="161">
        <v>45984</v>
      </c>
      <c r="L9" s="142">
        <v>0</v>
      </c>
      <c r="M9" s="142">
        <v>2</v>
      </c>
      <c r="N9" s="142">
        <v>30</v>
      </c>
      <c r="O9" s="140" t="s">
        <v>322</v>
      </c>
      <c r="P9" s="139"/>
      <c r="Q9" s="139"/>
      <c r="R9" s="139"/>
      <c r="S9" s="139"/>
      <c r="T9" s="139"/>
      <c r="U9" s="139"/>
      <c r="V9" s="139"/>
      <c r="W9" s="139"/>
      <c r="X9" s="139"/>
      <c r="Y9" s="142">
        <v>2</v>
      </c>
      <c r="Z9" s="139"/>
      <c r="AA9" s="139"/>
      <c r="AB9" s="142">
        <v>4</v>
      </c>
      <c r="AC9" s="142">
        <v>7</v>
      </c>
      <c r="AD9" s="142">
        <v>27</v>
      </c>
      <c r="AE9" s="142">
        <v>15</v>
      </c>
      <c r="AF9" s="139"/>
      <c r="AG9" s="139"/>
      <c r="AH9" s="142">
        <v>87</v>
      </c>
      <c r="AI9" s="139"/>
    </row>
    <row r="10" spans="1:35" ht="18" x14ac:dyDescent="0.3">
      <c r="A10" s="160" t="s">
        <v>223</v>
      </c>
      <c r="B10" s="161">
        <v>45988</v>
      </c>
      <c r="C10" s="140" t="s">
        <v>321</v>
      </c>
      <c r="D10" s="162">
        <v>4.8611111111111112E-2</v>
      </c>
      <c r="E10" s="140" t="s">
        <v>303</v>
      </c>
      <c r="F10" s="140" t="s">
        <v>174</v>
      </c>
      <c r="G10" s="163">
        <v>0.50280000000000002</v>
      </c>
      <c r="H10" s="142">
        <v>179</v>
      </c>
      <c r="I10" s="142">
        <v>90</v>
      </c>
      <c r="J10" s="142">
        <v>84</v>
      </c>
      <c r="K10" s="161">
        <v>45984</v>
      </c>
      <c r="L10" s="142">
        <v>0</v>
      </c>
      <c r="M10" s="142">
        <v>1</v>
      </c>
      <c r="N10" s="142">
        <v>6</v>
      </c>
      <c r="O10" s="140" t="s">
        <v>202</v>
      </c>
      <c r="P10" s="139"/>
      <c r="Q10" s="139"/>
      <c r="R10" s="139"/>
      <c r="S10" s="139"/>
      <c r="T10" s="139"/>
      <c r="U10" s="139"/>
      <c r="V10" s="139"/>
      <c r="W10" s="139"/>
      <c r="X10" s="139"/>
      <c r="Y10" s="139"/>
      <c r="Z10" s="139"/>
      <c r="AA10" s="139"/>
      <c r="AB10" s="142">
        <v>1</v>
      </c>
      <c r="AC10" s="142">
        <v>1</v>
      </c>
      <c r="AD10" s="142">
        <v>4</v>
      </c>
      <c r="AE10" s="139"/>
      <c r="AF10" s="139"/>
      <c r="AG10" s="139"/>
      <c r="AH10" s="142">
        <v>84</v>
      </c>
      <c r="AI10" s="139"/>
    </row>
    <row r="11" spans="1:35" ht="18" x14ac:dyDescent="0.3">
      <c r="A11" s="160" t="s">
        <v>1155</v>
      </c>
      <c r="B11" s="161">
        <v>45989</v>
      </c>
      <c r="C11" s="140" t="s">
        <v>321</v>
      </c>
      <c r="D11" s="162">
        <v>0.1145833333333333</v>
      </c>
      <c r="E11" s="140" t="s">
        <v>303</v>
      </c>
      <c r="F11" s="140" t="s">
        <v>174</v>
      </c>
      <c r="G11" s="163">
        <v>0.35749999999999998</v>
      </c>
      <c r="H11" s="142">
        <v>179</v>
      </c>
      <c r="I11" s="142">
        <v>64</v>
      </c>
      <c r="J11" s="142">
        <v>0</v>
      </c>
      <c r="K11" s="161">
        <v>45984</v>
      </c>
      <c r="L11" s="142">
        <v>0</v>
      </c>
      <c r="M11" s="142">
        <v>8</v>
      </c>
      <c r="N11" s="142">
        <v>35</v>
      </c>
      <c r="O11" s="140" t="s">
        <v>432</v>
      </c>
      <c r="P11" s="139"/>
      <c r="Q11" s="142">
        <v>1</v>
      </c>
      <c r="R11" s="139"/>
      <c r="S11" s="139"/>
      <c r="T11" s="139"/>
      <c r="U11" s="139"/>
      <c r="V11" s="139"/>
      <c r="W11" s="139"/>
      <c r="X11" s="139"/>
      <c r="Y11" s="139"/>
      <c r="Z11" s="139"/>
      <c r="AA11" s="139"/>
      <c r="AB11" s="139"/>
      <c r="AC11" s="142">
        <v>4</v>
      </c>
      <c r="AD11" s="142">
        <v>9</v>
      </c>
      <c r="AE11" s="142">
        <v>50</v>
      </c>
      <c r="AF11" s="139"/>
      <c r="AG11" s="139"/>
      <c r="AH11" s="139"/>
      <c r="AI11" s="139"/>
    </row>
    <row r="12" spans="1:35" ht="18" x14ac:dyDescent="0.3">
      <c r="A12" s="160" t="s">
        <v>225</v>
      </c>
      <c r="B12" s="161">
        <v>45991</v>
      </c>
      <c r="C12" s="140" t="s">
        <v>321</v>
      </c>
      <c r="D12" s="162">
        <v>8.3333333333333329E-2</v>
      </c>
      <c r="E12" s="140" t="s">
        <v>303</v>
      </c>
      <c r="F12" s="140" t="s">
        <v>174</v>
      </c>
      <c r="G12" s="163">
        <v>0.67600000000000005</v>
      </c>
      <c r="H12" s="142">
        <v>179</v>
      </c>
      <c r="I12" s="142">
        <v>121</v>
      </c>
      <c r="J12" s="142">
        <v>95</v>
      </c>
      <c r="K12" s="161">
        <v>45985</v>
      </c>
      <c r="L12" s="142">
        <v>2</v>
      </c>
      <c r="M12" s="142">
        <v>2</v>
      </c>
      <c r="N12" s="142">
        <v>10</v>
      </c>
      <c r="O12" s="140" t="s">
        <v>202</v>
      </c>
      <c r="P12" s="139"/>
      <c r="Q12" s="139"/>
      <c r="R12" s="139"/>
      <c r="S12" s="139"/>
      <c r="T12" s="139"/>
      <c r="U12" s="139"/>
      <c r="V12" s="139"/>
      <c r="W12" s="139"/>
      <c r="X12" s="139"/>
      <c r="Y12" s="142">
        <v>2</v>
      </c>
      <c r="Z12" s="142">
        <v>2</v>
      </c>
      <c r="AA12" s="139"/>
      <c r="AB12" s="142">
        <v>3</v>
      </c>
      <c r="AC12" s="142">
        <v>10</v>
      </c>
      <c r="AD12" s="142">
        <v>8</v>
      </c>
      <c r="AE12" s="142">
        <v>1</v>
      </c>
      <c r="AF12" s="139"/>
      <c r="AG12" s="139"/>
      <c r="AH12" s="142">
        <v>95</v>
      </c>
      <c r="AI12" s="139"/>
    </row>
    <row r="13" spans="1:35" ht="18" x14ac:dyDescent="0.3">
      <c r="A13" s="160" t="s">
        <v>223</v>
      </c>
      <c r="B13" s="161">
        <v>45988</v>
      </c>
      <c r="C13" s="140" t="s">
        <v>1112</v>
      </c>
      <c r="D13" s="162">
        <v>0.79861111111111116</v>
      </c>
      <c r="E13" s="140" t="s">
        <v>1102</v>
      </c>
      <c r="F13" s="140" t="s">
        <v>174</v>
      </c>
      <c r="G13" s="163">
        <v>0.38100000000000001</v>
      </c>
      <c r="H13" s="142">
        <v>168</v>
      </c>
      <c r="I13" s="142">
        <v>64</v>
      </c>
      <c r="J13" s="142">
        <v>0</v>
      </c>
      <c r="K13" s="161">
        <v>45984</v>
      </c>
      <c r="L13" s="142">
        <v>0</v>
      </c>
      <c r="M13" s="142">
        <v>3</v>
      </c>
      <c r="N13" s="142">
        <v>26</v>
      </c>
      <c r="O13" s="140" t="s">
        <v>202</v>
      </c>
      <c r="P13" s="139"/>
      <c r="Q13" s="139"/>
      <c r="R13" s="139"/>
      <c r="S13" s="139"/>
      <c r="T13" s="139"/>
      <c r="U13" s="139"/>
      <c r="V13" s="139"/>
      <c r="W13" s="139"/>
      <c r="X13" s="139"/>
      <c r="Y13" s="142">
        <v>2</v>
      </c>
      <c r="Z13" s="142">
        <v>2</v>
      </c>
      <c r="AA13" s="139"/>
      <c r="AB13" s="139"/>
      <c r="AC13" s="139"/>
      <c r="AD13" s="142">
        <v>14</v>
      </c>
      <c r="AE13" s="142">
        <v>46</v>
      </c>
      <c r="AF13" s="139"/>
      <c r="AG13" s="139"/>
      <c r="AH13" s="139"/>
      <c r="AI13" s="139"/>
    </row>
    <row r="14" spans="1:35" ht="18" x14ac:dyDescent="0.3">
      <c r="A14" s="160" t="s">
        <v>224</v>
      </c>
      <c r="B14" s="161">
        <v>45990</v>
      </c>
      <c r="C14" s="140" t="s">
        <v>1112</v>
      </c>
      <c r="D14" s="162">
        <v>6.9444444444444447E-4</v>
      </c>
      <c r="E14" s="140" t="s">
        <v>1102</v>
      </c>
      <c r="F14" s="140" t="s">
        <v>174</v>
      </c>
      <c r="G14" s="163">
        <v>0.1071</v>
      </c>
      <c r="H14" s="142">
        <v>168</v>
      </c>
      <c r="I14" s="142">
        <v>18</v>
      </c>
      <c r="J14" s="142">
        <v>0</v>
      </c>
      <c r="K14" s="161">
        <v>45982</v>
      </c>
      <c r="L14" s="142">
        <v>0</v>
      </c>
      <c r="M14" s="142">
        <v>0</v>
      </c>
      <c r="N14" s="142">
        <v>2</v>
      </c>
      <c r="O14" s="140" t="s">
        <v>202</v>
      </c>
      <c r="P14" s="139"/>
      <c r="Q14" s="139"/>
      <c r="R14" s="139"/>
      <c r="S14" s="139"/>
      <c r="T14" s="139"/>
      <c r="U14" s="139"/>
      <c r="V14" s="139"/>
      <c r="W14" s="139"/>
      <c r="X14" s="139"/>
      <c r="Y14" s="142">
        <v>2</v>
      </c>
      <c r="Z14" s="142">
        <v>4</v>
      </c>
      <c r="AA14" s="139"/>
      <c r="AB14" s="139"/>
      <c r="AC14" s="139"/>
      <c r="AD14" s="142">
        <v>12</v>
      </c>
      <c r="AE14" s="139"/>
      <c r="AF14" s="139"/>
      <c r="AG14" s="139"/>
      <c r="AH14" s="139"/>
      <c r="AI14" s="139"/>
    </row>
    <row r="15" spans="1:35" ht="18" x14ac:dyDescent="0.3">
      <c r="A15" s="160" t="s">
        <v>225</v>
      </c>
      <c r="B15" s="161">
        <v>45991</v>
      </c>
      <c r="C15" s="140" t="s">
        <v>1112</v>
      </c>
      <c r="D15" s="162">
        <v>0.79861111111111116</v>
      </c>
      <c r="E15" s="140" t="s">
        <v>1102</v>
      </c>
      <c r="F15" s="140" t="s">
        <v>174</v>
      </c>
      <c r="G15" s="163">
        <v>0.45829999999999999</v>
      </c>
      <c r="H15" s="142">
        <v>168</v>
      </c>
      <c r="I15" s="142">
        <v>77</v>
      </c>
      <c r="J15" s="142">
        <v>0</v>
      </c>
      <c r="K15" s="161">
        <v>45984</v>
      </c>
      <c r="L15" s="142">
        <v>0</v>
      </c>
      <c r="M15" s="142">
        <v>1</v>
      </c>
      <c r="N15" s="142">
        <v>11</v>
      </c>
      <c r="O15" s="140" t="s">
        <v>442</v>
      </c>
      <c r="P15" s="139"/>
      <c r="Q15" s="139"/>
      <c r="R15" s="139"/>
      <c r="S15" s="139"/>
      <c r="T15" s="139"/>
      <c r="U15" s="139"/>
      <c r="V15" s="139"/>
      <c r="W15" s="139"/>
      <c r="X15" s="139"/>
      <c r="Y15" s="142">
        <v>8</v>
      </c>
      <c r="Z15" s="142">
        <v>4</v>
      </c>
      <c r="AA15" s="139"/>
      <c r="AB15" s="139"/>
      <c r="AC15" s="139"/>
      <c r="AD15" s="142">
        <v>65</v>
      </c>
      <c r="AE15" s="139"/>
      <c r="AF15" s="139"/>
      <c r="AG15" s="139"/>
      <c r="AH15" s="139"/>
      <c r="AI15" s="139"/>
    </row>
    <row r="16" spans="1:35" ht="18" x14ac:dyDescent="0.3">
      <c r="A16" s="160" t="s">
        <v>222</v>
      </c>
      <c r="B16" s="161">
        <v>45986</v>
      </c>
      <c r="C16" s="140" t="s">
        <v>760</v>
      </c>
      <c r="D16" s="162">
        <v>0.41666666666666669</v>
      </c>
      <c r="E16" s="140" t="s">
        <v>757</v>
      </c>
      <c r="F16" s="140" t="s">
        <v>174</v>
      </c>
      <c r="G16" s="163">
        <v>1.0713999999999999</v>
      </c>
      <c r="H16" s="142">
        <v>168</v>
      </c>
      <c r="I16" s="142">
        <v>180</v>
      </c>
      <c r="J16" s="142">
        <v>180</v>
      </c>
      <c r="K16" s="161">
        <v>45978</v>
      </c>
      <c r="L16" s="142">
        <v>0</v>
      </c>
      <c r="M16" s="142">
        <v>0</v>
      </c>
      <c r="N16" s="142">
        <v>6</v>
      </c>
      <c r="O16" s="140" t="s">
        <v>133</v>
      </c>
      <c r="P16" s="139"/>
      <c r="Q16" s="139"/>
      <c r="R16" s="139"/>
      <c r="S16" s="139"/>
      <c r="T16" s="139"/>
      <c r="U16" s="139"/>
      <c r="V16" s="139"/>
      <c r="W16" s="139"/>
      <c r="X16" s="139"/>
      <c r="Y16" s="139"/>
      <c r="Z16" s="139"/>
      <c r="AA16" s="139"/>
      <c r="AB16" s="142">
        <v>45</v>
      </c>
      <c r="AC16" s="142">
        <v>135</v>
      </c>
      <c r="AD16" s="139"/>
      <c r="AE16" s="139"/>
      <c r="AF16" s="139"/>
      <c r="AG16" s="139"/>
      <c r="AH16" s="139"/>
      <c r="AI16" s="139"/>
    </row>
    <row r="17" spans="1:35" ht="18" x14ac:dyDescent="0.3">
      <c r="A17" s="160" t="s">
        <v>223</v>
      </c>
      <c r="B17" s="161">
        <v>45988</v>
      </c>
      <c r="C17" s="140" t="s">
        <v>431</v>
      </c>
      <c r="D17" s="162">
        <v>0.36458333333333331</v>
      </c>
      <c r="E17" s="140" t="s">
        <v>303</v>
      </c>
      <c r="F17" s="140" t="s">
        <v>174</v>
      </c>
      <c r="G17" s="163">
        <v>0.32400000000000001</v>
      </c>
      <c r="H17" s="142">
        <v>179</v>
      </c>
      <c r="I17" s="142">
        <v>58</v>
      </c>
      <c r="J17" s="142">
        <v>0</v>
      </c>
      <c r="K17" s="161">
        <v>45985</v>
      </c>
      <c r="L17" s="142">
        <v>2</v>
      </c>
      <c r="M17" s="142">
        <v>4</v>
      </c>
      <c r="N17" s="142">
        <v>36</v>
      </c>
      <c r="O17" s="140" t="s">
        <v>432</v>
      </c>
      <c r="P17" s="139"/>
      <c r="Q17" s="139"/>
      <c r="R17" s="139"/>
      <c r="S17" s="139"/>
      <c r="T17" s="139"/>
      <c r="U17" s="139"/>
      <c r="V17" s="139"/>
      <c r="W17" s="139"/>
      <c r="X17" s="139"/>
      <c r="Y17" s="142">
        <v>1</v>
      </c>
      <c r="Z17" s="139"/>
      <c r="AA17" s="139"/>
      <c r="AB17" s="139"/>
      <c r="AC17" s="139"/>
      <c r="AD17" s="142">
        <v>6</v>
      </c>
      <c r="AE17" s="142">
        <v>51</v>
      </c>
      <c r="AF17" s="139"/>
      <c r="AG17" s="139"/>
      <c r="AH17" s="139"/>
      <c r="AI17" s="139"/>
    </row>
    <row r="18" spans="1:35" ht="18" x14ac:dyDescent="0.3">
      <c r="A18" s="160" t="s">
        <v>225</v>
      </c>
      <c r="B18" s="161">
        <v>45991</v>
      </c>
      <c r="C18" s="140" t="s">
        <v>431</v>
      </c>
      <c r="D18" s="162">
        <v>0.33333333333333331</v>
      </c>
      <c r="E18" s="140" t="s">
        <v>303</v>
      </c>
      <c r="F18" s="140" t="s">
        <v>174</v>
      </c>
      <c r="G18" s="163">
        <v>0.625</v>
      </c>
      <c r="H18" s="142">
        <v>168</v>
      </c>
      <c r="I18" s="142">
        <v>105</v>
      </c>
      <c r="J18" s="142">
        <v>83</v>
      </c>
      <c r="K18" s="161">
        <v>45984</v>
      </c>
      <c r="L18" s="142">
        <v>0</v>
      </c>
      <c r="M18" s="142">
        <v>3</v>
      </c>
      <c r="N18" s="142">
        <v>6</v>
      </c>
      <c r="O18" s="140" t="s">
        <v>202</v>
      </c>
      <c r="P18" s="139"/>
      <c r="Q18" s="139"/>
      <c r="R18" s="139"/>
      <c r="S18" s="139"/>
      <c r="T18" s="139"/>
      <c r="U18" s="139"/>
      <c r="V18" s="139"/>
      <c r="W18" s="139"/>
      <c r="X18" s="139"/>
      <c r="Y18" s="139"/>
      <c r="Z18" s="139"/>
      <c r="AA18" s="139"/>
      <c r="AB18" s="139"/>
      <c r="AC18" s="142">
        <v>4</v>
      </c>
      <c r="AD18" s="142">
        <v>13</v>
      </c>
      <c r="AE18" s="142">
        <v>5</v>
      </c>
      <c r="AF18" s="139"/>
      <c r="AG18" s="139"/>
      <c r="AH18" s="142">
        <v>83</v>
      </c>
      <c r="AI18" s="139"/>
    </row>
    <row r="19" spans="1:35" ht="18" x14ac:dyDescent="0.3">
      <c r="A19" s="160" t="s">
        <v>222</v>
      </c>
      <c r="B19" s="161">
        <v>45986</v>
      </c>
      <c r="C19" s="140" t="s">
        <v>937</v>
      </c>
      <c r="D19" s="162">
        <v>0.27083333333333331</v>
      </c>
      <c r="E19" s="140" t="s">
        <v>930</v>
      </c>
      <c r="F19" s="140" t="s">
        <v>174</v>
      </c>
      <c r="G19" s="163">
        <v>0.42259999999999998</v>
      </c>
      <c r="H19" s="142">
        <v>168</v>
      </c>
      <c r="I19" s="142">
        <v>71</v>
      </c>
      <c r="J19" s="142">
        <v>0</v>
      </c>
      <c r="K19" s="161">
        <v>45984</v>
      </c>
      <c r="L19" s="142">
        <v>0</v>
      </c>
      <c r="M19" s="142">
        <v>3</v>
      </c>
      <c r="N19" s="142">
        <v>31</v>
      </c>
      <c r="O19" s="140" t="s">
        <v>574</v>
      </c>
      <c r="P19" s="139"/>
      <c r="Q19" s="139"/>
      <c r="R19" s="139"/>
      <c r="S19" s="139"/>
      <c r="T19" s="139"/>
      <c r="U19" s="139"/>
      <c r="V19" s="139"/>
      <c r="W19" s="139"/>
      <c r="X19" s="139"/>
      <c r="Y19" s="142">
        <v>8</v>
      </c>
      <c r="Z19" s="142">
        <v>4</v>
      </c>
      <c r="AA19" s="139"/>
      <c r="AB19" s="142">
        <v>1</v>
      </c>
      <c r="AC19" s="142">
        <v>2</v>
      </c>
      <c r="AD19" s="142">
        <v>8</v>
      </c>
      <c r="AE19" s="142">
        <v>48</v>
      </c>
      <c r="AF19" s="139"/>
      <c r="AG19" s="139"/>
      <c r="AH19" s="139"/>
      <c r="AI19" s="139"/>
    </row>
    <row r="20" spans="1:35" ht="18" x14ac:dyDescent="0.3">
      <c r="A20" s="160" t="s">
        <v>223</v>
      </c>
      <c r="B20" s="161">
        <v>45988</v>
      </c>
      <c r="C20" s="140" t="s">
        <v>937</v>
      </c>
      <c r="D20" s="162">
        <v>0.92361111111111116</v>
      </c>
      <c r="E20" s="140" t="s">
        <v>930</v>
      </c>
      <c r="F20" s="140" t="s">
        <v>174</v>
      </c>
      <c r="G20" s="163">
        <v>0.27379999999999999</v>
      </c>
      <c r="H20" s="142">
        <v>168</v>
      </c>
      <c r="I20" s="142">
        <v>46</v>
      </c>
      <c r="J20" s="142">
        <v>0</v>
      </c>
      <c r="K20" s="161">
        <v>45984</v>
      </c>
      <c r="L20" s="142">
        <v>0</v>
      </c>
      <c r="M20" s="142">
        <v>5</v>
      </c>
      <c r="N20" s="142">
        <v>18</v>
      </c>
      <c r="O20" s="140" t="s">
        <v>432</v>
      </c>
      <c r="P20" s="139"/>
      <c r="Q20" s="139"/>
      <c r="R20" s="139"/>
      <c r="S20" s="139"/>
      <c r="T20" s="139"/>
      <c r="U20" s="139"/>
      <c r="V20" s="139"/>
      <c r="W20" s="142">
        <v>1</v>
      </c>
      <c r="X20" s="139"/>
      <c r="Y20" s="142">
        <v>2</v>
      </c>
      <c r="Z20" s="142">
        <v>4</v>
      </c>
      <c r="AA20" s="139"/>
      <c r="AB20" s="142">
        <v>1</v>
      </c>
      <c r="AC20" s="142">
        <v>4</v>
      </c>
      <c r="AD20" s="142">
        <v>1</v>
      </c>
      <c r="AE20" s="142">
        <v>33</v>
      </c>
      <c r="AF20" s="139"/>
      <c r="AG20" s="139"/>
      <c r="AH20" s="139"/>
      <c r="AI20" s="139"/>
    </row>
    <row r="21" spans="1:35" ht="18" x14ac:dyDescent="0.3">
      <c r="A21" s="160" t="s">
        <v>1155</v>
      </c>
      <c r="B21" s="161">
        <v>45989</v>
      </c>
      <c r="C21" s="140" t="s">
        <v>937</v>
      </c>
      <c r="D21" s="162">
        <v>0.57986111111111105</v>
      </c>
      <c r="E21" s="140" t="s">
        <v>930</v>
      </c>
      <c r="F21" s="140" t="s">
        <v>174</v>
      </c>
      <c r="G21" s="163">
        <v>0.33329999999999999</v>
      </c>
      <c r="H21" s="142">
        <v>168</v>
      </c>
      <c r="I21" s="142">
        <v>56</v>
      </c>
      <c r="J21" s="142">
        <v>0</v>
      </c>
      <c r="K21" s="161">
        <v>45984</v>
      </c>
      <c r="L21" s="142">
        <v>0</v>
      </c>
      <c r="M21" s="142">
        <v>5</v>
      </c>
      <c r="N21" s="142">
        <v>20</v>
      </c>
      <c r="O21" s="140" t="s">
        <v>432</v>
      </c>
      <c r="P21" s="139"/>
      <c r="Q21" s="139"/>
      <c r="R21" s="139"/>
      <c r="S21" s="139"/>
      <c r="T21" s="139"/>
      <c r="U21" s="139"/>
      <c r="V21" s="139"/>
      <c r="W21" s="139"/>
      <c r="X21" s="142">
        <v>3</v>
      </c>
      <c r="Y21" s="142">
        <v>10</v>
      </c>
      <c r="Z21" s="142">
        <v>1</v>
      </c>
      <c r="AA21" s="139"/>
      <c r="AB21" s="139"/>
      <c r="AC21" s="139"/>
      <c r="AD21" s="142">
        <v>7</v>
      </c>
      <c r="AE21" s="142">
        <v>35</v>
      </c>
      <c r="AF21" s="139"/>
      <c r="AG21" s="139"/>
      <c r="AH21" s="139"/>
      <c r="AI21" s="139"/>
    </row>
    <row r="22" spans="1:35" ht="18" x14ac:dyDescent="0.3">
      <c r="A22" s="160" t="s">
        <v>224</v>
      </c>
      <c r="B22" s="161">
        <v>45990</v>
      </c>
      <c r="C22" s="140" t="s">
        <v>937</v>
      </c>
      <c r="D22" s="162">
        <v>0.92361111111111116</v>
      </c>
      <c r="E22" s="140" t="s">
        <v>930</v>
      </c>
      <c r="F22" s="140" t="s">
        <v>174</v>
      </c>
      <c r="G22" s="163">
        <v>0.1845</v>
      </c>
      <c r="H22" s="142">
        <v>168</v>
      </c>
      <c r="I22" s="142">
        <v>31</v>
      </c>
      <c r="J22" s="142">
        <v>0</v>
      </c>
      <c r="K22" s="161">
        <v>45984</v>
      </c>
      <c r="L22" s="142">
        <v>0</v>
      </c>
      <c r="M22" s="142">
        <v>1</v>
      </c>
      <c r="N22" s="142">
        <v>2</v>
      </c>
      <c r="O22" s="140" t="s">
        <v>432</v>
      </c>
      <c r="P22" s="139"/>
      <c r="Q22" s="139"/>
      <c r="R22" s="139"/>
      <c r="S22" s="139"/>
      <c r="T22" s="139"/>
      <c r="U22" s="139"/>
      <c r="V22" s="139"/>
      <c r="W22" s="142">
        <v>2</v>
      </c>
      <c r="X22" s="142">
        <v>1</v>
      </c>
      <c r="Y22" s="142">
        <v>7</v>
      </c>
      <c r="Z22" s="142">
        <v>6</v>
      </c>
      <c r="AA22" s="139"/>
      <c r="AB22" s="139"/>
      <c r="AC22" s="142">
        <v>1</v>
      </c>
      <c r="AD22" s="139"/>
      <c r="AE22" s="142">
        <v>14</v>
      </c>
      <c r="AF22" s="139"/>
      <c r="AG22" s="139"/>
      <c r="AH22" s="139"/>
      <c r="AI22" s="139"/>
    </row>
    <row r="23" spans="1:35" ht="18" x14ac:dyDescent="0.3">
      <c r="A23" s="160" t="s">
        <v>1154</v>
      </c>
      <c r="B23" s="161">
        <v>45987</v>
      </c>
      <c r="C23" s="140" t="s">
        <v>1125</v>
      </c>
      <c r="D23" s="162">
        <v>2.0833333333333329E-2</v>
      </c>
      <c r="E23" s="140" t="s">
        <v>1122</v>
      </c>
      <c r="F23" s="140" t="s">
        <v>174</v>
      </c>
      <c r="G23" s="163">
        <v>0.55359999999999998</v>
      </c>
      <c r="H23" s="142">
        <v>168</v>
      </c>
      <c r="I23" s="142">
        <v>93</v>
      </c>
      <c r="J23" s="142">
        <v>0</v>
      </c>
      <c r="K23" s="161">
        <v>45984</v>
      </c>
      <c r="L23" s="142">
        <v>0</v>
      </c>
      <c r="M23" s="142">
        <v>11</v>
      </c>
      <c r="N23" s="142">
        <v>60</v>
      </c>
      <c r="O23" s="140" t="s">
        <v>322</v>
      </c>
      <c r="P23" s="139"/>
      <c r="Q23" s="139"/>
      <c r="R23" s="139"/>
      <c r="S23" s="139"/>
      <c r="T23" s="139"/>
      <c r="U23" s="139"/>
      <c r="V23" s="139"/>
      <c r="W23" s="139"/>
      <c r="X23" s="139"/>
      <c r="Y23" s="139"/>
      <c r="Z23" s="142">
        <v>1</v>
      </c>
      <c r="AA23" s="139"/>
      <c r="AB23" s="142">
        <v>3</v>
      </c>
      <c r="AC23" s="142">
        <v>21</v>
      </c>
      <c r="AD23" s="142">
        <v>68</v>
      </c>
      <c r="AE23" s="139"/>
      <c r="AF23" s="139"/>
      <c r="AG23" s="139"/>
      <c r="AH23" s="139"/>
      <c r="AI23" s="139"/>
    </row>
    <row r="24" spans="1:35" ht="18" x14ac:dyDescent="0.3">
      <c r="A24" s="160" t="s">
        <v>224</v>
      </c>
      <c r="B24" s="161">
        <v>45990</v>
      </c>
      <c r="C24" s="140" t="s">
        <v>1125</v>
      </c>
      <c r="D24" s="162">
        <v>0.85416666666666663</v>
      </c>
      <c r="E24" s="140" t="s">
        <v>1122</v>
      </c>
      <c r="F24" s="140" t="s">
        <v>174</v>
      </c>
      <c r="G24" s="163">
        <v>0.3095</v>
      </c>
      <c r="H24" s="142">
        <v>168</v>
      </c>
      <c r="I24" s="142">
        <v>52</v>
      </c>
      <c r="J24" s="142">
        <v>0</v>
      </c>
      <c r="K24" s="161">
        <v>45984</v>
      </c>
      <c r="L24" s="142">
        <v>0</v>
      </c>
      <c r="M24" s="142">
        <v>2</v>
      </c>
      <c r="N24" s="142">
        <v>18</v>
      </c>
      <c r="O24" s="140" t="s">
        <v>285</v>
      </c>
      <c r="P24" s="139"/>
      <c r="Q24" s="139"/>
      <c r="R24" s="139"/>
      <c r="S24" s="139"/>
      <c r="T24" s="139"/>
      <c r="U24" s="139"/>
      <c r="V24" s="139"/>
      <c r="W24" s="139"/>
      <c r="X24" s="139"/>
      <c r="Y24" s="139"/>
      <c r="Z24" s="142">
        <v>1</v>
      </c>
      <c r="AA24" s="139"/>
      <c r="AB24" s="142">
        <v>1</v>
      </c>
      <c r="AC24" s="142">
        <v>20</v>
      </c>
      <c r="AD24" s="142">
        <v>30</v>
      </c>
      <c r="AE24" s="139"/>
      <c r="AF24" s="139"/>
      <c r="AG24" s="139"/>
      <c r="AH24" s="139"/>
      <c r="AI24" s="139"/>
    </row>
    <row r="25" spans="1:35" ht="18" x14ac:dyDescent="0.3">
      <c r="A25" s="160" t="s">
        <v>1155</v>
      </c>
      <c r="B25" s="161">
        <v>45989</v>
      </c>
      <c r="C25" s="140" t="s">
        <v>976</v>
      </c>
      <c r="D25" s="162">
        <v>0.29166666666666669</v>
      </c>
      <c r="E25" s="140" t="s">
        <v>973</v>
      </c>
      <c r="F25" s="140" t="s">
        <v>174</v>
      </c>
      <c r="G25" s="163">
        <v>0.45829999999999999</v>
      </c>
      <c r="H25" s="142">
        <v>168</v>
      </c>
      <c r="I25" s="142">
        <v>77</v>
      </c>
      <c r="J25" s="142">
        <v>0</v>
      </c>
      <c r="K25" s="161">
        <v>45984</v>
      </c>
      <c r="L25" s="142">
        <v>0</v>
      </c>
      <c r="M25" s="142">
        <v>3</v>
      </c>
      <c r="N25" s="142">
        <v>29</v>
      </c>
      <c r="O25" s="140" t="s">
        <v>531</v>
      </c>
      <c r="P25" s="139"/>
      <c r="Q25" s="139"/>
      <c r="R25" s="139"/>
      <c r="S25" s="139"/>
      <c r="T25" s="139"/>
      <c r="U25" s="139"/>
      <c r="V25" s="139"/>
      <c r="W25" s="139"/>
      <c r="X25" s="139"/>
      <c r="Y25" s="142">
        <v>2</v>
      </c>
      <c r="Z25" s="142">
        <v>2</v>
      </c>
      <c r="AA25" s="142">
        <v>1</v>
      </c>
      <c r="AB25" s="142">
        <v>3</v>
      </c>
      <c r="AC25" s="142">
        <v>41</v>
      </c>
      <c r="AD25" s="142">
        <v>18</v>
      </c>
      <c r="AE25" s="142">
        <v>10</v>
      </c>
      <c r="AF25" s="139"/>
      <c r="AG25" s="139"/>
      <c r="AH25" s="139"/>
      <c r="AI25" s="139"/>
    </row>
    <row r="26" spans="1:35" ht="18" x14ac:dyDescent="0.3">
      <c r="A26" s="160" t="s">
        <v>222</v>
      </c>
      <c r="B26" s="161">
        <v>45986</v>
      </c>
      <c r="C26" s="140" t="s">
        <v>1046</v>
      </c>
      <c r="D26" s="162">
        <v>0.99305555555555547</v>
      </c>
      <c r="E26" s="140" t="s">
        <v>1041</v>
      </c>
      <c r="F26" s="140" t="s">
        <v>174</v>
      </c>
      <c r="G26" s="163">
        <v>0.96650000000000003</v>
      </c>
      <c r="H26" s="142">
        <v>179</v>
      </c>
      <c r="I26" s="142">
        <v>173</v>
      </c>
      <c r="J26" s="142">
        <v>158</v>
      </c>
      <c r="K26" s="161">
        <v>45984</v>
      </c>
      <c r="L26" s="142">
        <v>0</v>
      </c>
      <c r="M26" s="142">
        <v>4</v>
      </c>
      <c r="N26" s="142">
        <v>6</v>
      </c>
      <c r="O26" s="140" t="s">
        <v>1047</v>
      </c>
      <c r="P26" s="139"/>
      <c r="Q26" s="139"/>
      <c r="R26" s="139"/>
      <c r="S26" s="139"/>
      <c r="T26" s="139"/>
      <c r="U26" s="139"/>
      <c r="V26" s="139"/>
      <c r="W26" s="142">
        <v>2</v>
      </c>
      <c r="X26" s="139"/>
      <c r="Y26" s="142">
        <v>7</v>
      </c>
      <c r="Z26" s="139"/>
      <c r="AA26" s="139"/>
      <c r="AB26" s="142">
        <v>5</v>
      </c>
      <c r="AC26" s="139"/>
      <c r="AD26" s="139"/>
      <c r="AE26" s="139"/>
      <c r="AF26" s="139"/>
      <c r="AG26" s="139"/>
      <c r="AH26" s="142">
        <v>159</v>
      </c>
      <c r="AI26" s="139"/>
    </row>
    <row r="27" spans="1:35" ht="18" x14ac:dyDescent="0.3">
      <c r="A27" s="160" t="s">
        <v>1154</v>
      </c>
      <c r="B27" s="161">
        <v>45987</v>
      </c>
      <c r="C27" s="140" t="s">
        <v>1046</v>
      </c>
      <c r="D27" s="162">
        <v>0.98611111111111116</v>
      </c>
      <c r="E27" s="140" t="s">
        <v>1041</v>
      </c>
      <c r="F27" s="140" t="s">
        <v>174</v>
      </c>
      <c r="G27" s="163">
        <v>0.87150000000000005</v>
      </c>
      <c r="H27" s="142">
        <v>179</v>
      </c>
      <c r="I27" s="142">
        <v>156</v>
      </c>
      <c r="J27" s="142">
        <v>117</v>
      </c>
      <c r="K27" s="161">
        <v>45984</v>
      </c>
      <c r="L27" s="142">
        <v>0</v>
      </c>
      <c r="M27" s="142">
        <v>3</v>
      </c>
      <c r="N27" s="142">
        <v>12</v>
      </c>
      <c r="O27" s="140" t="s">
        <v>181</v>
      </c>
      <c r="P27" s="139"/>
      <c r="Q27" s="139"/>
      <c r="R27" s="139"/>
      <c r="S27" s="139"/>
      <c r="T27" s="139"/>
      <c r="U27" s="139"/>
      <c r="V27" s="139"/>
      <c r="W27" s="139"/>
      <c r="X27" s="139"/>
      <c r="Y27" s="142">
        <v>4</v>
      </c>
      <c r="Z27" s="142">
        <v>1</v>
      </c>
      <c r="AA27" s="142">
        <v>12</v>
      </c>
      <c r="AB27" s="142">
        <v>3</v>
      </c>
      <c r="AC27" s="142">
        <v>4</v>
      </c>
      <c r="AD27" s="142">
        <v>1</v>
      </c>
      <c r="AE27" s="142">
        <v>14</v>
      </c>
      <c r="AF27" s="139"/>
      <c r="AG27" s="139"/>
      <c r="AH27" s="142">
        <v>117</v>
      </c>
      <c r="AI27" s="139"/>
    </row>
    <row r="28" spans="1:35" ht="18" x14ac:dyDescent="0.3">
      <c r="A28" s="160" t="s">
        <v>223</v>
      </c>
      <c r="B28" s="161">
        <v>45988</v>
      </c>
      <c r="C28" s="140" t="s">
        <v>1046</v>
      </c>
      <c r="D28" s="162">
        <v>0.59722222222222221</v>
      </c>
      <c r="E28" s="140" t="s">
        <v>1041</v>
      </c>
      <c r="F28" s="140" t="s">
        <v>174</v>
      </c>
      <c r="G28" s="163">
        <v>0.96650000000000003</v>
      </c>
      <c r="H28" s="142">
        <v>179</v>
      </c>
      <c r="I28" s="142">
        <v>173</v>
      </c>
      <c r="J28" s="142">
        <v>137</v>
      </c>
      <c r="K28" s="161">
        <v>45984</v>
      </c>
      <c r="L28" s="142">
        <v>0</v>
      </c>
      <c r="M28" s="142">
        <v>1</v>
      </c>
      <c r="N28" s="142">
        <v>5</v>
      </c>
      <c r="O28" s="140" t="s">
        <v>1052</v>
      </c>
      <c r="P28" s="139"/>
      <c r="Q28" s="139"/>
      <c r="R28" s="139"/>
      <c r="S28" s="139"/>
      <c r="T28" s="139"/>
      <c r="U28" s="142">
        <v>4</v>
      </c>
      <c r="V28" s="142">
        <v>4</v>
      </c>
      <c r="W28" s="139"/>
      <c r="X28" s="139"/>
      <c r="Y28" s="139"/>
      <c r="Z28" s="142">
        <v>6</v>
      </c>
      <c r="AA28" s="142">
        <v>1</v>
      </c>
      <c r="AB28" s="142">
        <v>21</v>
      </c>
      <c r="AC28" s="139"/>
      <c r="AD28" s="139"/>
      <c r="AE28" s="139"/>
      <c r="AF28" s="139"/>
      <c r="AG28" s="139"/>
      <c r="AH28" s="142">
        <v>137</v>
      </c>
      <c r="AI28" s="139"/>
    </row>
    <row r="29" spans="1:35" ht="18" x14ac:dyDescent="0.3">
      <c r="A29" s="160" t="s">
        <v>1155</v>
      </c>
      <c r="B29" s="161">
        <v>45989</v>
      </c>
      <c r="C29" s="140" t="s">
        <v>1046</v>
      </c>
      <c r="D29" s="162">
        <v>0.3263888888888889</v>
      </c>
      <c r="E29" s="140" t="s">
        <v>1041</v>
      </c>
      <c r="F29" s="140" t="s">
        <v>174</v>
      </c>
      <c r="G29" s="163">
        <v>0.85470000000000002</v>
      </c>
      <c r="H29" s="142">
        <v>179</v>
      </c>
      <c r="I29" s="142">
        <v>153</v>
      </c>
      <c r="J29" s="142">
        <v>40</v>
      </c>
      <c r="K29" s="161">
        <v>45984</v>
      </c>
      <c r="L29" s="142">
        <v>0</v>
      </c>
      <c r="M29" s="142">
        <v>4</v>
      </c>
      <c r="N29" s="142">
        <v>29</v>
      </c>
      <c r="O29" s="140" t="s">
        <v>563</v>
      </c>
      <c r="P29" s="139"/>
      <c r="Q29" s="139"/>
      <c r="R29" s="139"/>
      <c r="S29" s="139"/>
      <c r="T29" s="139"/>
      <c r="U29" s="139"/>
      <c r="V29" s="142">
        <v>2</v>
      </c>
      <c r="W29" s="139"/>
      <c r="X29" s="139"/>
      <c r="Y29" s="142">
        <v>1</v>
      </c>
      <c r="Z29" s="142">
        <v>8</v>
      </c>
      <c r="AA29" s="142">
        <v>24</v>
      </c>
      <c r="AB29" s="142">
        <v>10</v>
      </c>
      <c r="AC29" s="142">
        <v>31</v>
      </c>
      <c r="AD29" s="142">
        <v>9</v>
      </c>
      <c r="AE29" s="142">
        <v>28</v>
      </c>
      <c r="AF29" s="139"/>
      <c r="AG29" s="139"/>
      <c r="AH29" s="142">
        <v>40</v>
      </c>
      <c r="AI29" s="139"/>
    </row>
    <row r="30" spans="1:35" ht="18" x14ac:dyDescent="0.3">
      <c r="A30" s="160" t="s">
        <v>224</v>
      </c>
      <c r="B30" s="161">
        <v>45990</v>
      </c>
      <c r="C30" s="140" t="s">
        <v>1046</v>
      </c>
      <c r="D30" s="162">
        <v>0.28472222222222221</v>
      </c>
      <c r="E30" s="140" t="s">
        <v>1041</v>
      </c>
      <c r="F30" s="140" t="s">
        <v>174</v>
      </c>
      <c r="G30" s="163">
        <v>0.96089999999999998</v>
      </c>
      <c r="H30" s="142">
        <v>179</v>
      </c>
      <c r="I30" s="142">
        <v>172</v>
      </c>
      <c r="J30" s="142">
        <v>137</v>
      </c>
      <c r="K30" s="161">
        <v>45984</v>
      </c>
      <c r="L30" s="142">
        <v>0</v>
      </c>
      <c r="M30" s="142">
        <v>1</v>
      </c>
      <c r="N30" s="142">
        <v>11</v>
      </c>
      <c r="O30" s="140" t="s">
        <v>679</v>
      </c>
      <c r="P30" s="142">
        <v>1</v>
      </c>
      <c r="Q30" s="139"/>
      <c r="R30" s="139"/>
      <c r="S30" s="139"/>
      <c r="T30" s="139"/>
      <c r="U30" s="139"/>
      <c r="V30" s="139"/>
      <c r="W30" s="142">
        <v>3</v>
      </c>
      <c r="X30" s="142">
        <v>12</v>
      </c>
      <c r="Y30" s="139"/>
      <c r="Z30" s="142">
        <v>1</v>
      </c>
      <c r="AA30" s="139"/>
      <c r="AB30" s="142">
        <v>7</v>
      </c>
      <c r="AC30" s="142">
        <v>1</v>
      </c>
      <c r="AD30" s="142">
        <v>6</v>
      </c>
      <c r="AE30" s="142">
        <v>4</v>
      </c>
      <c r="AF30" s="139"/>
      <c r="AG30" s="139"/>
      <c r="AH30" s="142">
        <v>137</v>
      </c>
      <c r="AI30" s="139"/>
    </row>
    <row r="31" spans="1:35" ht="18" x14ac:dyDescent="0.3">
      <c r="A31" s="160" t="s">
        <v>225</v>
      </c>
      <c r="B31" s="161">
        <v>45991</v>
      </c>
      <c r="C31" s="140" t="s">
        <v>1046</v>
      </c>
      <c r="D31" s="162">
        <v>0.375</v>
      </c>
      <c r="E31" s="140" t="s">
        <v>1041</v>
      </c>
      <c r="F31" s="140" t="s">
        <v>174</v>
      </c>
      <c r="G31" s="163">
        <v>0.96650000000000003</v>
      </c>
      <c r="H31" s="142">
        <v>179</v>
      </c>
      <c r="I31" s="142">
        <v>173</v>
      </c>
      <c r="J31" s="142">
        <v>89</v>
      </c>
      <c r="K31" s="161">
        <v>45981</v>
      </c>
      <c r="L31" s="142">
        <v>0</v>
      </c>
      <c r="M31" s="142">
        <v>0</v>
      </c>
      <c r="N31" s="142">
        <v>14</v>
      </c>
      <c r="O31" s="140" t="s">
        <v>133</v>
      </c>
      <c r="P31" s="139"/>
      <c r="Q31" s="139"/>
      <c r="R31" s="139"/>
      <c r="S31" s="139"/>
      <c r="T31" s="139"/>
      <c r="U31" s="139"/>
      <c r="V31" s="139"/>
      <c r="W31" s="139"/>
      <c r="X31" s="139"/>
      <c r="Y31" s="142">
        <v>2</v>
      </c>
      <c r="Z31" s="142">
        <v>2</v>
      </c>
      <c r="AA31" s="142">
        <v>6</v>
      </c>
      <c r="AB31" s="142">
        <v>7</v>
      </c>
      <c r="AC31" s="142">
        <v>18</v>
      </c>
      <c r="AD31" s="142">
        <v>20</v>
      </c>
      <c r="AE31" s="142">
        <v>29</v>
      </c>
      <c r="AF31" s="139"/>
      <c r="AG31" s="139"/>
      <c r="AH31" s="142">
        <v>89</v>
      </c>
      <c r="AI31" s="139"/>
    </row>
    <row r="32" spans="1:35" ht="18" x14ac:dyDescent="0.3">
      <c r="A32" s="160" t="s">
        <v>1155</v>
      </c>
      <c r="B32" s="161">
        <v>45989</v>
      </c>
      <c r="C32" s="140" t="s">
        <v>1080</v>
      </c>
      <c r="D32" s="162">
        <v>3.472222222222222E-3</v>
      </c>
      <c r="E32" s="140" t="s">
        <v>1068</v>
      </c>
      <c r="F32" s="140" t="s">
        <v>174</v>
      </c>
      <c r="G32" s="163">
        <v>0.5655</v>
      </c>
      <c r="H32" s="142">
        <v>168</v>
      </c>
      <c r="I32" s="142">
        <v>95</v>
      </c>
      <c r="J32" s="142">
        <v>0</v>
      </c>
      <c r="K32" s="161">
        <v>45985</v>
      </c>
      <c r="L32" s="142">
        <v>4</v>
      </c>
      <c r="M32" s="142">
        <v>16</v>
      </c>
      <c r="N32" s="142">
        <v>51</v>
      </c>
      <c r="O32" s="140" t="s">
        <v>491</v>
      </c>
      <c r="P32" s="139"/>
      <c r="Q32" s="139"/>
      <c r="R32" s="139"/>
      <c r="S32" s="139"/>
      <c r="T32" s="139"/>
      <c r="U32" s="139"/>
      <c r="V32" s="139"/>
      <c r="W32" s="139"/>
      <c r="X32" s="139"/>
      <c r="Y32" s="139"/>
      <c r="Z32" s="142">
        <v>6</v>
      </c>
      <c r="AA32" s="142">
        <v>16</v>
      </c>
      <c r="AB32" s="142">
        <v>55</v>
      </c>
      <c r="AC32" s="142">
        <v>9</v>
      </c>
      <c r="AD32" s="142">
        <v>9</v>
      </c>
      <c r="AE32" s="139"/>
      <c r="AF32" s="139"/>
      <c r="AG32" s="139"/>
      <c r="AH32" s="139"/>
      <c r="AI32" s="139"/>
    </row>
    <row r="33" spans="1:35" ht="18" x14ac:dyDescent="0.3">
      <c r="A33" s="160" t="s">
        <v>225</v>
      </c>
      <c r="B33" s="161">
        <v>45991</v>
      </c>
      <c r="C33" s="140" t="s">
        <v>1080</v>
      </c>
      <c r="D33" s="162">
        <v>3.472222222222222E-3</v>
      </c>
      <c r="E33" s="140" t="s">
        <v>1068</v>
      </c>
      <c r="F33" s="140" t="s">
        <v>174</v>
      </c>
      <c r="G33" s="163">
        <v>0.38100000000000001</v>
      </c>
      <c r="H33" s="142">
        <v>168</v>
      </c>
      <c r="I33" s="142">
        <v>64</v>
      </c>
      <c r="J33" s="142">
        <v>0</v>
      </c>
      <c r="K33" s="161">
        <v>45984</v>
      </c>
      <c r="L33" s="142">
        <v>0</v>
      </c>
      <c r="M33" s="142">
        <v>3</v>
      </c>
      <c r="N33" s="142">
        <v>21</v>
      </c>
      <c r="O33" s="140" t="s">
        <v>285</v>
      </c>
      <c r="P33" s="139"/>
      <c r="Q33" s="139"/>
      <c r="R33" s="139"/>
      <c r="S33" s="139"/>
      <c r="T33" s="139"/>
      <c r="U33" s="139"/>
      <c r="V33" s="139"/>
      <c r="W33" s="139"/>
      <c r="X33" s="139"/>
      <c r="Y33" s="142">
        <v>1</v>
      </c>
      <c r="Z33" s="142">
        <v>2</v>
      </c>
      <c r="AA33" s="142">
        <v>1</v>
      </c>
      <c r="AB33" s="142">
        <v>38</v>
      </c>
      <c r="AC33" s="142">
        <v>5</v>
      </c>
      <c r="AD33" s="142">
        <v>9</v>
      </c>
      <c r="AE33" s="142">
        <v>8</v>
      </c>
      <c r="AF33" s="139"/>
      <c r="AG33" s="139"/>
      <c r="AH33" s="139"/>
      <c r="AI33" s="139"/>
    </row>
    <row r="34" spans="1:35" ht="18" x14ac:dyDescent="0.3">
      <c r="A34" s="160" t="s">
        <v>1155</v>
      </c>
      <c r="B34" s="161">
        <v>45989</v>
      </c>
      <c r="C34" s="140" t="s">
        <v>1094</v>
      </c>
      <c r="D34" s="162">
        <v>0.76041666666666663</v>
      </c>
      <c r="E34" s="140" t="s">
        <v>1092</v>
      </c>
      <c r="F34" s="140" t="s">
        <v>174</v>
      </c>
      <c r="G34" s="163">
        <v>0.3155</v>
      </c>
      <c r="H34" s="142">
        <v>168</v>
      </c>
      <c r="I34" s="142">
        <v>53</v>
      </c>
      <c r="J34" s="142">
        <v>0</v>
      </c>
      <c r="K34" s="161">
        <v>45984</v>
      </c>
      <c r="L34" s="142">
        <v>0</v>
      </c>
      <c r="M34" s="142">
        <v>4</v>
      </c>
      <c r="N34" s="142">
        <v>16</v>
      </c>
      <c r="O34" s="140" t="s">
        <v>1095</v>
      </c>
      <c r="P34" s="139"/>
      <c r="Q34" s="139"/>
      <c r="R34" s="139"/>
      <c r="S34" s="139"/>
      <c r="T34" s="139"/>
      <c r="U34" s="139"/>
      <c r="V34" s="139"/>
      <c r="W34" s="142">
        <v>3</v>
      </c>
      <c r="X34" s="142">
        <v>26</v>
      </c>
      <c r="Y34" s="142">
        <v>14</v>
      </c>
      <c r="Z34" s="142">
        <v>10</v>
      </c>
      <c r="AA34" s="139"/>
      <c r="AB34" s="139"/>
      <c r="AC34" s="139"/>
      <c r="AD34" s="139"/>
      <c r="AE34" s="139"/>
      <c r="AF34" s="139"/>
      <c r="AG34" s="139"/>
      <c r="AH34" s="139"/>
      <c r="AI34" s="139"/>
    </row>
    <row r="35" spans="1:35" ht="18" x14ac:dyDescent="0.3">
      <c r="A35" s="160" t="s">
        <v>223</v>
      </c>
      <c r="B35" s="161">
        <v>45988</v>
      </c>
      <c r="C35" s="140" t="s">
        <v>1076</v>
      </c>
      <c r="D35" s="162">
        <v>4.5138888888888888E-2</v>
      </c>
      <c r="E35" s="140" t="s">
        <v>1068</v>
      </c>
      <c r="F35" s="140" t="s">
        <v>174</v>
      </c>
      <c r="G35" s="163">
        <v>0.53569999999999995</v>
      </c>
      <c r="H35" s="142">
        <v>168</v>
      </c>
      <c r="I35" s="142">
        <v>90</v>
      </c>
      <c r="J35" s="142">
        <v>0</v>
      </c>
      <c r="K35" s="161">
        <v>45985</v>
      </c>
      <c r="L35" s="142">
        <v>1</v>
      </c>
      <c r="M35" s="142">
        <v>6</v>
      </c>
      <c r="N35" s="142">
        <v>53</v>
      </c>
      <c r="O35" s="140" t="s">
        <v>693</v>
      </c>
      <c r="P35" s="139"/>
      <c r="Q35" s="139"/>
      <c r="R35" s="139"/>
      <c r="S35" s="139"/>
      <c r="T35" s="139"/>
      <c r="U35" s="139"/>
      <c r="V35" s="139"/>
      <c r="W35" s="139"/>
      <c r="X35" s="139"/>
      <c r="Y35" s="142">
        <v>4</v>
      </c>
      <c r="Z35" s="142">
        <v>9</v>
      </c>
      <c r="AA35" s="142">
        <v>9</v>
      </c>
      <c r="AB35" s="142">
        <v>67</v>
      </c>
      <c r="AC35" s="139"/>
      <c r="AD35" s="142">
        <v>1</v>
      </c>
      <c r="AE35" s="139"/>
      <c r="AF35" s="139"/>
      <c r="AG35" s="139"/>
      <c r="AH35" s="139"/>
      <c r="AI35" s="139"/>
    </row>
    <row r="36" spans="1:35" ht="18" x14ac:dyDescent="0.3">
      <c r="A36" s="160" t="s">
        <v>223</v>
      </c>
      <c r="B36" s="161">
        <v>45988</v>
      </c>
      <c r="C36" s="140" t="s">
        <v>435</v>
      </c>
      <c r="D36" s="162">
        <v>0.25347222222222221</v>
      </c>
      <c r="E36" s="140" t="s">
        <v>303</v>
      </c>
      <c r="F36" s="140" t="s">
        <v>174</v>
      </c>
      <c r="G36" s="163">
        <v>0.3911</v>
      </c>
      <c r="H36" s="142">
        <v>179</v>
      </c>
      <c r="I36" s="142">
        <v>70</v>
      </c>
      <c r="J36" s="142">
        <v>29</v>
      </c>
      <c r="K36" s="161">
        <v>45984</v>
      </c>
      <c r="L36" s="142">
        <v>0</v>
      </c>
      <c r="M36" s="142">
        <v>11</v>
      </c>
      <c r="N36" s="142">
        <v>33</v>
      </c>
      <c r="O36" s="140" t="s">
        <v>436</v>
      </c>
      <c r="P36" s="139"/>
      <c r="Q36" s="139"/>
      <c r="R36" s="139"/>
      <c r="S36" s="139"/>
      <c r="T36" s="139"/>
      <c r="U36" s="139"/>
      <c r="V36" s="139"/>
      <c r="W36" s="139"/>
      <c r="X36" s="139"/>
      <c r="Y36" s="139"/>
      <c r="Z36" s="139"/>
      <c r="AA36" s="139"/>
      <c r="AB36" s="139"/>
      <c r="AC36" s="139"/>
      <c r="AD36" s="139"/>
      <c r="AE36" s="142">
        <v>41</v>
      </c>
      <c r="AF36" s="142">
        <v>28</v>
      </c>
      <c r="AG36" s="139"/>
      <c r="AH36" s="139"/>
      <c r="AI36" s="142">
        <v>1</v>
      </c>
    </row>
    <row r="37" spans="1:35" ht="18" x14ac:dyDescent="0.3">
      <c r="A37" s="160" t="s">
        <v>224</v>
      </c>
      <c r="B37" s="161">
        <v>45990</v>
      </c>
      <c r="C37" s="140" t="s">
        <v>435</v>
      </c>
      <c r="D37" s="162">
        <v>0.2361111111111111</v>
      </c>
      <c r="E37" s="140" t="s">
        <v>303</v>
      </c>
      <c r="F37" s="140" t="s">
        <v>174</v>
      </c>
      <c r="G37" s="163">
        <v>0.82679999999999998</v>
      </c>
      <c r="H37" s="142">
        <v>179</v>
      </c>
      <c r="I37" s="142">
        <v>148</v>
      </c>
      <c r="J37" s="142">
        <v>73</v>
      </c>
      <c r="K37" s="161">
        <v>45984</v>
      </c>
      <c r="L37" s="142">
        <v>0</v>
      </c>
      <c r="M37" s="142">
        <v>14</v>
      </c>
      <c r="N37" s="142">
        <v>95</v>
      </c>
      <c r="O37" s="140" t="s">
        <v>194</v>
      </c>
      <c r="P37" s="139"/>
      <c r="Q37" s="139"/>
      <c r="R37" s="139"/>
      <c r="S37" s="139"/>
      <c r="T37" s="139"/>
      <c r="U37" s="139"/>
      <c r="V37" s="139"/>
      <c r="W37" s="139"/>
      <c r="X37" s="139"/>
      <c r="Y37" s="142">
        <v>2</v>
      </c>
      <c r="Z37" s="142">
        <v>1</v>
      </c>
      <c r="AA37" s="139"/>
      <c r="AB37" s="142">
        <v>3</v>
      </c>
      <c r="AC37" s="142">
        <v>2</v>
      </c>
      <c r="AD37" s="142">
        <v>42</v>
      </c>
      <c r="AE37" s="142">
        <v>25</v>
      </c>
      <c r="AF37" s="139"/>
      <c r="AG37" s="139"/>
      <c r="AH37" s="142">
        <v>73</v>
      </c>
      <c r="AI37" s="139"/>
    </row>
    <row r="38" spans="1:35" ht="18" x14ac:dyDescent="0.3">
      <c r="A38" s="160" t="s">
        <v>222</v>
      </c>
      <c r="B38" s="161">
        <v>45986</v>
      </c>
      <c r="C38" s="140" t="s">
        <v>597</v>
      </c>
      <c r="D38" s="162">
        <v>0.70833333333333337</v>
      </c>
      <c r="E38" s="140" t="s">
        <v>577</v>
      </c>
      <c r="F38" s="140" t="s">
        <v>174</v>
      </c>
      <c r="G38" s="163">
        <v>1</v>
      </c>
      <c r="H38" s="142">
        <v>179</v>
      </c>
      <c r="I38" s="142">
        <v>179</v>
      </c>
      <c r="J38" s="142">
        <v>159</v>
      </c>
      <c r="K38" s="161">
        <v>45985</v>
      </c>
      <c r="L38" s="142">
        <v>3</v>
      </c>
      <c r="M38" s="142">
        <v>0</v>
      </c>
      <c r="N38" s="142">
        <v>8</v>
      </c>
      <c r="O38" s="140" t="s">
        <v>133</v>
      </c>
      <c r="P38" s="139"/>
      <c r="Q38" s="139"/>
      <c r="R38" s="139"/>
      <c r="S38" s="139"/>
      <c r="T38" s="142">
        <v>3</v>
      </c>
      <c r="U38" s="139"/>
      <c r="V38" s="139"/>
      <c r="W38" s="142">
        <v>5</v>
      </c>
      <c r="X38" s="139"/>
      <c r="Y38" s="142">
        <v>1</v>
      </c>
      <c r="Z38" s="139"/>
      <c r="AA38" s="139"/>
      <c r="AB38" s="142">
        <v>11</v>
      </c>
      <c r="AC38" s="139"/>
      <c r="AD38" s="139"/>
      <c r="AE38" s="139"/>
      <c r="AF38" s="139"/>
      <c r="AG38" s="139"/>
      <c r="AH38" s="142">
        <v>159</v>
      </c>
      <c r="AI38" s="139"/>
    </row>
    <row r="39" spans="1:35" ht="18" x14ac:dyDescent="0.3">
      <c r="A39" s="160" t="s">
        <v>1154</v>
      </c>
      <c r="B39" s="161">
        <v>45987</v>
      </c>
      <c r="C39" s="140" t="s">
        <v>597</v>
      </c>
      <c r="D39" s="162">
        <v>0.65625</v>
      </c>
      <c r="E39" s="140" t="s">
        <v>577</v>
      </c>
      <c r="F39" s="140" t="s">
        <v>174</v>
      </c>
      <c r="G39" s="163">
        <v>1</v>
      </c>
      <c r="H39" s="142">
        <v>179</v>
      </c>
      <c r="I39" s="142">
        <v>179</v>
      </c>
      <c r="J39" s="142">
        <v>126</v>
      </c>
      <c r="K39" s="161">
        <v>45979</v>
      </c>
      <c r="L39" s="142">
        <v>0</v>
      </c>
      <c r="M39" s="142">
        <v>0</v>
      </c>
      <c r="N39" s="142">
        <v>12</v>
      </c>
      <c r="O39" s="140" t="s">
        <v>133</v>
      </c>
      <c r="P39" s="139"/>
      <c r="Q39" s="139"/>
      <c r="R39" s="139"/>
      <c r="S39" s="139"/>
      <c r="T39" s="139"/>
      <c r="U39" s="139"/>
      <c r="V39" s="139"/>
      <c r="W39" s="139"/>
      <c r="X39" s="142">
        <v>4</v>
      </c>
      <c r="Y39" s="142">
        <v>5</v>
      </c>
      <c r="Z39" s="142">
        <v>10</v>
      </c>
      <c r="AA39" s="139"/>
      <c r="AB39" s="142">
        <v>7</v>
      </c>
      <c r="AC39" s="142">
        <v>8</v>
      </c>
      <c r="AD39" s="142">
        <v>10</v>
      </c>
      <c r="AE39" s="142">
        <v>9</v>
      </c>
      <c r="AF39" s="139"/>
      <c r="AG39" s="139"/>
      <c r="AH39" s="142">
        <v>126</v>
      </c>
      <c r="AI39" s="139"/>
    </row>
    <row r="40" spans="1:35" ht="18" x14ac:dyDescent="0.3">
      <c r="A40" s="160" t="s">
        <v>223</v>
      </c>
      <c r="B40" s="161">
        <v>45988</v>
      </c>
      <c r="C40" s="140" t="s">
        <v>597</v>
      </c>
      <c r="D40" s="162">
        <v>0.27430555555555552</v>
      </c>
      <c r="E40" s="140" t="s">
        <v>577</v>
      </c>
      <c r="F40" s="140" t="s">
        <v>174</v>
      </c>
      <c r="G40" s="163">
        <v>1</v>
      </c>
      <c r="H40" s="142">
        <v>179</v>
      </c>
      <c r="I40" s="142">
        <v>179</v>
      </c>
      <c r="J40" s="142">
        <v>170</v>
      </c>
      <c r="K40" s="161">
        <v>45985</v>
      </c>
      <c r="L40" s="142">
        <v>4</v>
      </c>
      <c r="M40" s="142">
        <v>0</v>
      </c>
      <c r="N40" s="142">
        <v>7</v>
      </c>
      <c r="O40" s="140" t="s">
        <v>133</v>
      </c>
      <c r="P40" s="139"/>
      <c r="Q40" s="139"/>
      <c r="R40" s="139"/>
      <c r="S40" s="139"/>
      <c r="T40" s="139"/>
      <c r="U40" s="139"/>
      <c r="V40" s="139"/>
      <c r="W40" s="142">
        <v>7</v>
      </c>
      <c r="X40" s="139"/>
      <c r="Y40" s="142">
        <v>1</v>
      </c>
      <c r="Z40" s="139"/>
      <c r="AA40" s="139"/>
      <c r="AB40" s="142">
        <v>1</v>
      </c>
      <c r="AC40" s="139"/>
      <c r="AD40" s="139"/>
      <c r="AE40" s="139"/>
      <c r="AF40" s="139"/>
      <c r="AG40" s="139"/>
      <c r="AH40" s="142">
        <v>170</v>
      </c>
      <c r="AI40" s="139"/>
    </row>
    <row r="41" spans="1:35" ht="18" x14ac:dyDescent="0.3">
      <c r="A41" s="160" t="s">
        <v>1155</v>
      </c>
      <c r="B41" s="161">
        <v>45989</v>
      </c>
      <c r="C41" s="140" t="s">
        <v>597</v>
      </c>
      <c r="D41" s="162">
        <v>0.41666666666666669</v>
      </c>
      <c r="E41" s="140" t="s">
        <v>577</v>
      </c>
      <c r="F41" s="140" t="s">
        <v>174</v>
      </c>
      <c r="G41" s="163">
        <v>0.66669999999999996</v>
      </c>
      <c r="H41" s="142">
        <v>168</v>
      </c>
      <c r="I41" s="142">
        <v>112</v>
      </c>
      <c r="J41" s="142">
        <v>0</v>
      </c>
      <c r="K41" s="161">
        <v>45984</v>
      </c>
      <c r="L41" s="142">
        <v>0</v>
      </c>
      <c r="M41" s="142">
        <v>17</v>
      </c>
      <c r="N41" s="142">
        <v>68</v>
      </c>
      <c r="O41" s="140" t="s">
        <v>650</v>
      </c>
      <c r="P41" s="139"/>
      <c r="Q41" s="139"/>
      <c r="R41" s="139"/>
      <c r="S41" s="139"/>
      <c r="T41" s="139"/>
      <c r="U41" s="139"/>
      <c r="V41" s="139"/>
      <c r="W41" s="142">
        <v>2</v>
      </c>
      <c r="X41" s="142">
        <v>15</v>
      </c>
      <c r="Y41" s="142">
        <v>15</v>
      </c>
      <c r="Z41" s="142">
        <v>21</v>
      </c>
      <c r="AA41" s="142">
        <v>17</v>
      </c>
      <c r="AB41" s="142">
        <v>27</v>
      </c>
      <c r="AC41" s="142">
        <v>15</v>
      </c>
      <c r="AD41" s="139"/>
      <c r="AE41" s="139"/>
      <c r="AF41" s="139"/>
      <c r="AG41" s="139"/>
      <c r="AH41" s="139"/>
      <c r="AI41" s="139"/>
    </row>
    <row r="42" spans="1:35" ht="18" x14ac:dyDescent="0.3">
      <c r="A42" s="160" t="s">
        <v>224</v>
      </c>
      <c r="B42" s="161">
        <v>45990</v>
      </c>
      <c r="C42" s="140" t="s">
        <v>597</v>
      </c>
      <c r="D42" s="162">
        <v>0.79166666666666663</v>
      </c>
      <c r="E42" s="140" t="s">
        <v>577</v>
      </c>
      <c r="F42" s="140" t="s">
        <v>174</v>
      </c>
      <c r="G42" s="163">
        <v>1</v>
      </c>
      <c r="H42" s="142">
        <v>168</v>
      </c>
      <c r="I42" s="142">
        <v>168</v>
      </c>
      <c r="J42" s="142">
        <v>119</v>
      </c>
      <c r="K42" s="161">
        <v>45985</v>
      </c>
      <c r="L42" s="142">
        <v>8</v>
      </c>
      <c r="M42" s="142">
        <v>0</v>
      </c>
      <c r="N42" s="142">
        <v>8</v>
      </c>
      <c r="O42" s="140" t="s">
        <v>133</v>
      </c>
      <c r="P42" s="139"/>
      <c r="Q42" s="139"/>
      <c r="R42" s="139"/>
      <c r="S42" s="139"/>
      <c r="T42" s="139"/>
      <c r="U42" s="139"/>
      <c r="V42" s="139"/>
      <c r="W42" s="139"/>
      <c r="X42" s="142">
        <v>10</v>
      </c>
      <c r="Y42" s="142">
        <v>11</v>
      </c>
      <c r="Z42" s="139"/>
      <c r="AA42" s="139"/>
      <c r="AB42" s="142">
        <v>7</v>
      </c>
      <c r="AC42" s="142">
        <v>7</v>
      </c>
      <c r="AD42" s="142">
        <v>6</v>
      </c>
      <c r="AE42" s="142">
        <v>8</v>
      </c>
      <c r="AF42" s="139"/>
      <c r="AG42" s="139"/>
      <c r="AH42" s="142">
        <v>119</v>
      </c>
      <c r="AI42" s="139"/>
    </row>
    <row r="43" spans="1:35" ht="18" x14ac:dyDescent="0.3">
      <c r="A43" s="160" t="s">
        <v>225</v>
      </c>
      <c r="B43" s="161">
        <v>45991</v>
      </c>
      <c r="C43" s="140" t="s">
        <v>597</v>
      </c>
      <c r="D43" s="162">
        <v>0.6875</v>
      </c>
      <c r="E43" s="140" t="s">
        <v>577</v>
      </c>
      <c r="F43" s="140" t="s">
        <v>174</v>
      </c>
      <c r="G43" s="163">
        <v>1</v>
      </c>
      <c r="H43" s="142">
        <v>168</v>
      </c>
      <c r="I43" s="142">
        <v>168</v>
      </c>
      <c r="J43" s="142">
        <v>138</v>
      </c>
      <c r="K43" s="161">
        <v>45983</v>
      </c>
      <c r="L43" s="142">
        <v>0</v>
      </c>
      <c r="M43" s="142">
        <v>0</v>
      </c>
      <c r="N43" s="142">
        <v>7</v>
      </c>
      <c r="O43" s="140" t="s">
        <v>133</v>
      </c>
      <c r="P43" s="139"/>
      <c r="Q43" s="139"/>
      <c r="R43" s="139"/>
      <c r="S43" s="139"/>
      <c r="T43" s="139"/>
      <c r="U43" s="139"/>
      <c r="V43" s="139"/>
      <c r="W43" s="139"/>
      <c r="X43" s="142">
        <v>1</v>
      </c>
      <c r="Y43" s="142">
        <v>4</v>
      </c>
      <c r="Z43" s="142">
        <v>6</v>
      </c>
      <c r="AA43" s="142">
        <v>7</v>
      </c>
      <c r="AB43" s="142">
        <v>10</v>
      </c>
      <c r="AC43" s="139"/>
      <c r="AD43" s="139"/>
      <c r="AE43" s="139"/>
      <c r="AF43" s="139"/>
      <c r="AG43" s="139"/>
      <c r="AH43" s="142">
        <v>138</v>
      </c>
      <c r="AI43" s="142">
        <v>2</v>
      </c>
    </row>
    <row r="44" spans="1:35" ht="18" x14ac:dyDescent="0.3">
      <c r="A44" s="160" t="s">
        <v>222</v>
      </c>
      <c r="B44" s="161">
        <v>45986</v>
      </c>
      <c r="C44" s="140" t="s">
        <v>706</v>
      </c>
      <c r="D44" s="162">
        <v>0.32291666666666669</v>
      </c>
      <c r="E44" s="140" t="s">
        <v>703</v>
      </c>
      <c r="F44" s="140" t="s">
        <v>174</v>
      </c>
      <c r="G44" s="163">
        <v>0.9385</v>
      </c>
      <c r="H44" s="142">
        <v>179</v>
      </c>
      <c r="I44" s="142">
        <v>168</v>
      </c>
      <c r="J44" s="142">
        <v>155</v>
      </c>
      <c r="K44" s="161">
        <v>45984</v>
      </c>
      <c r="L44" s="142">
        <v>0</v>
      </c>
      <c r="M44" s="142">
        <v>1</v>
      </c>
      <c r="N44" s="142">
        <v>1</v>
      </c>
      <c r="O44" s="140" t="s">
        <v>707</v>
      </c>
      <c r="P44" s="139"/>
      <c r="Q44" s="139"/>
      <c r="R44" s="139"/>
      <c r="S44" s="139"/>
      <c r="T44" s="139"/>
      <c r="U44" s="139"/>
      <c r="V44" s="139"/>
      <c r="W44" s="139"/>
      <c r="X44" s="139"/>
      <c r="Y44" s="142">
        <v>4</v>
      </c>
      <c r="Z44" s="139"/>
      <c r="AA44" s="142">
        <v>1</v>
      </c>
      <c r="AB44" s="139"/>
      <c r="AC44" s="142">
        <v>8</v>
      </c>
      <c r="AD44" s="139"/>
      <c r="AE44" s="139"/>
      <c r="AF44" s="139"/>
      <c r="AG44" s="139"/>
      <c r="AH44" s="142">
        <v>155</v>
      </c>
      <c r="AI44" s="139"/>
    </row>
    <row r="45" spans="1:35" ht="18" x14ac:dyDescent="0.3">
      <c r="A45" s="160" t="s">
        <v>1154</v>
      </c>
      <c r="B45" s="161">
        <v>45987</v>
      </c>
      <c r="C45" s="140" t="s">
        <v>706</v>
      </c>
      <c r="D45" s="162">
        <v>0.2673611111111111</v>
      </c>
      <c r="E45" s="140" t="s">
        <v>703</v>
      </c>
      <c r="F45" s="140" t="s">
        <v>174</v>
      </c>
      <c r="G45" s="163">
        <v>0.72070000000000001</v>
      </c>
      <c r="H45" s="142">
        <v>179</v>
      </c>
      <c r="I45" s="142">
        <v>129</v>
      </c>
      <c r="J45" s="142">
        <v>84</v>
      </c>
      <c r="K45" s="161">
        <v>45984</v>
      </c>
      <c r="L45" s="142">
        <v>0</v>
      </c>
      <c r="M45" s="142">
        <v>5</v>
      </c>
      <c r="N45" s="142">
        <v>22</v>
      </c>
      <c r="O45" s="140" t="s">
        <v>194</v>
      </c>
      <c r="P45" s="139"/>
      <c r="Q45" s="139"/>
      <c r="R45" s="139"/>
      <c r="S45" s="139"/>
      <c r="T45" s="139"/>
      <c r="U45" s="139"/>
      <c r="V45" s="139"/>
      <c r="W45" s="139"/>
      <c r="X45" s="139"/>
      <c r="Y45" s="139"/>
      <c r="Z45" s="139"/>
      <c r="AA45" s="139"/>
      <c r="AB45" s="139"/>
      <c r="AC45" s="142">
        <v>3</v>
      </c>
      <c r="AD45" s="142">
        <v>12</v>
      </c>
      <c r="AE45" s="142">
        <v>30</v>
      </c>
      <c r="AF45" s="142">
        <v>43</v>
      </c>
      <c r="AG45" s="139"/>
      <c r="AH45" s="142">
        <v>41</v>
      </c>
      <c r="AI45" s="139"/>
    </row>
    <row r="46" spans="1:35" ht="18" x14ac:dyDescent="0.3">
      <c r="A46" s="160" t="s">
        <v>223</v>
      </c>
      <c r="B46" s="161">
        <v>45988</v>
      </c>
      <c r="C46" s="140" t="s">
        <v>706</v>
      </c>
      <c r="D46" s="162">
        <v>0.48958333333333331</v>
      </c>
      <c r="E46" s="140" t="s">
        <v>703</v>
      </c>
      <c r="F46" s="140" t="s">
        <v>174</v>
      </c>
      <c r="G46" s="163">
        <v>0.78569999999999995</v>
      </c>
      <c r="H46" s="142">
        <v>168</v>
      </c>
      <c r="I46" s="142">
        <v>132</v>
      </c>
      <c r="J46" s="142">
        <v>96</v>
      </c>
      <c r="K46" s="161">
        <v>45984</v>
      </c>
      <c r="L46" s="142">
        <v>0</v>
      </c>
      <c r="M46" s="142">
        <v>8</v>
      </c>
      <c r="N46" s="142">
        <v>23</v>
      </c>
      <c r="O46" s="140" t="s">
        <v>322</v>
      </c>
      <c r="P46" s="139"/>
      <c r="Q46" s="139"/>
      <c r="R46" s="139"/>
      <c r="S46" s="139"/>
      <c r="T46" s="139"/>
      <c r="U46" s="139"/>
      <c r="V46" s="139"/>
      <c r="W46" s="139"/>
      <c r="X46" s="139"/>
      <c r="Y46" s="139"/>
      <c r="Z46" s="139"/>
      <c r="AA46" s="139"/>
      <c r="AB46" s="139"/>
      <c r="AC46" s="142">
        <v>1</v>
      </c>
      <c r="AD46" s="142">
        <v>12</v>
      </c>
      <c r="AE46" s="142">
        <v>23</v>
      </c>
      <c r="AF46" s="142">
        <v>1</v>
      </c>
      <c r="AG46" s="139"/>
      <c r="AH46" s="142">
        <v>95</v>
      </c>
      <c r="AI46" s="139"/>
    </row>
    <row r="47" spans="1:35" ht="18" x14ac:dyDescent="0.3">
      <c r="A47" s="160" t="s">
        <v>222</v>
      </c>
      <c r="B47" s="161">
        <v>45986</v>
      </c>
      <c r="C47" s="140" t="s">
        <v>710</v>
      </c>
      <c r="D47" s="162">
        <v>0.95138888888888884</v>
      </c>
      <c r="E47" s="140" t="s">
        <v>703</v>
      </c>
      <c r="F47" s="140" t="s">
        <v>174</v>
      </c>
      <c r="G47" s="163">
        <v>0.96089999999999998</v>
      </c>
      <c r="H47" s="142">
        <v>179</v>
      </c>
      <c r="I47" s="142">
        <v>172</v>
      </c>
      <c r="J47" s="142">
        <v>164</v>
      </c>
      <c r="K47" s="161">
        <v>45973</v>
      </c>
      <c r="L47" s="142">
        <v>0</v>
      </c>
      <c r="M47" s="142">
        <v>0</v>
      </c>
      <c r="N47" s="142">
        <v>0</v>
      </c>
      <c r="O47" s="140" t="s">
        <v>685</v>
      </c>
      <c r="P47" s="139"/>
      <c r="Q47" s="139"/>
      <c r="R47" s="139"/>
      <c r="S47" s="139"/>
      <c r="T47" s="139"/>
      <c r="U47" s="139"/>
      <c r="V47" s="139"/>
      <c r="W47" s="142">
        <v>1</v>
      </c>
      <c r="X47" s="139"/>
      <c r="Y47" s="142">
        <v>1</v>
      </c>
      <c r="Z47" s="139"/>
      <c r="AA47" s="139"/>
      <c r="AB47" s="142">
        <v>3</v>
      </c>
      <c r="AC47" s="139"/>
      <c r="AD47" s="139"/>
      <c r="AE47" s="142">
        <v>3</v>
      </c>
      <c r="AF47" s="139"/>
      <c r="AG47" s="139"/>
      <c r="AH47" s="142">
        <v>164</v>
      </c>
      <c r="AI47" s="139"/>
    </row>
    <row r="48" spans="1:35" ht="18" x14ac:dyDescent="0.3">
      <c r="A48" s="160" t="s">
        <v>223</v>
      </c>
      <c r="B48" s="161">
        <v>45988</v>
      </c>
      <c r="C48" s="140" t="s">
        <v>710</v>
      </c>
      <c r="D48" s="162">
        <v>0.70833333333333337</v>
      </c>
      <c r="E48" s="140" t="s">
        <v>703</v>
      </c>
      <c r="F48" s="140" t="s">
        <v>174</v>
      </c>
      <c r="G48" s="163">
        <v>0.57540000000000002</v>
      </c>
      <c r="H48" s="142">
        <v>179</v>
      </c>
      <c r="I48" s="142">
        <v>103</v>
      </c>
      <c r="J48" s="142">
        <v>44</v>
      </c>
      <c r="K48" s="161">
        <v>45984</v>
      </c>
      <c r="L48" s="142">
        <v>0</v>
      </c>
      <c r="M48" s="142">
        <v>7</v>
      </c>
      <c r="N48" s="142">
        <v>39</v>
      </c>
      <c r="O48" s="140" t="s">
        <v>218</v>
      </c>
      <c r="P48" s="139"/>
      <c r="Q48" s="139"/>
      <c r="R48" s="139"/>
      <c r="S48" s="139"/>
      <c r="T48" s="139"/>
      <c r="U48" s="139"/>
      <c r="V48" s="139"/>
      <c r="W48" s="139"/>
      <c r="X48" s="139"/>
      <c r="Y48" s="139"/>
      <c r="Z48" s="139"/>
      <c r="AA48" s="142">
        <v>2</v>
      </c>
      <c r="AB48" s="142">
        <v>2</v>
      </c>
      <c r="AC48" s="142">
        <v>9</v>
      </c>
      <c r="AD48" s="142">
        <v>11</v>
      </c>
      <c r="AE48" s="142">
        <v>35</v>
      </c>
      <c r="AF48" s="139"/>
      <c r="AG48" s="139"/>
      <c r="AH48" s="142">
        <v>44</v>
      </c>
      <c r="AI48" s="139"/>
    </row>
    <row r="49" spans="1:35" ht="18" x14ac:dyDescent="0.3">
      <c r="A49" s="160" t="s">
        <v>224</v>
      </c>
      <c r="B49" s="161">
        <v>45990</v>
      </c>
      <c r="C49" s="140" t="s">
        <v>710</v>
      </c>
      <c r="D49" s="162">
        <v>0.6875</v>
      </c>
      <c r="E49" s="140" t="s">
        <v>703</v>
      </c>
      <c r="F49" s="140" t="s">
        <v>174</v>
      </c>
      <c r="G49" s="163">
        <v>0.94640000000000002</v>
      </c>
      <c r="H49" s="142">
        <v>168</v>
      </c>
      <c r="I49" s="142">
        <v>159</v>
      </c>
      <c r="J49" s="142">
        <v>135</v>
      </c>
      <c r="K49" s="161">
        <v>45984</v>
      </c>
      <c r="L49" s="142">
        <v>0</v>
      </c>
      <c r="M49" s="142">
        <v>2</v>
      </c>
      <c r="N49" s="142">
        <v>9</v>
      </c>
      <c r="O49" s="140" t="s">
        <v>285</v>
      </c>
      <c r="P49" s="139"/>
      <c r="Q49" s="139"/>
      <c r="R49" s="139"/>
      <c r="S49" s="139"/>
      <c r="T49" s="139"/>
      <c r="U49" s="139"/>
      <c r="V49" s="139"/>
      <c r="W49" s="139"/>
      <c r="X49" s="139"/>
      <c r="Y49" s="142">
        <v>1</v>
      </c>
      <c r="Z49" s="142">
        <v>1</v>
      </c>
      <c r="AA49" s="142">
        <v>2</v>
      </c>
      <c r="AB49" s="142">
        <v>4</v>
      </c>
      <c r="AC49" s="142">
        <v>12</v>
      </c>
      <c r="AD49" s="139"/>
      <c r="AE49" s="142">
        <v>4</v>
      </c>
      <c r="AF49" s="139"/>
      <c r="AG49" s="139"/>
      <c r="AH49" s="142">
        <v>135</v>
      </c>
      <c r="AI49" s="139"/>
    </row>
    <row r="50" spans="1:35" ht="18" x14ac:dyDescent="0.3">
      <c r="A50" s="160" t="s">
        <v>225</v>
      </c>
      <c r="B50" s="161">
        <v>45991</v>
      </c>
      <c r="C50" s="140" t="s">
        <v>710</v>
      </c>
      <c r="D50" s="162">
        <v>0.85069444444444453</v>
      </c>
      <c r="E50" s="140" t="s">
        <v>703</v>
      </c>
      <c r="F50" s="140" t="s">
        <v>174</v>
      </c>
      <c r="G50" s="163">
        <v>0.63100000000000001</v>
      </c>
      <c r="H50" s="142">
        <v>168</v>
      </c>
      <c r="I50" s="142">
        <v>106</v>
      </c>
      <c r="J50" s="142">
        <v>45</v>
      </c>
      <c r="K50" s="161">
        <v>45984</v>
      </c>
      <c r="L50" s="142">
        <v>0</v>
      </c>
      <c r="M50" s="142">
        <v>7</v>
      </c>
      <c r="N50" s="142">
        <v>38</v>
      </c>
      <c r="O50" s="140" t="s">
        <v>531</v>
      </c>
      <c r="P50" s="139"/>
      <c r="Q50" s="139"/>
      <c r="R50" s="139"/>
      <c r="S50" s="139"/>
      <c r="T50" s="139"/>
      <c r="U50" s="139"/>
      <c r="V50" s="139"/>
      <c r="W50" s="139"/>
      <c r="X50" s="139"/>
      <c r="Y50" s="142">
        <v>1</v>
      </c>
      <c r="Z50" s="142">
        <v>2</v>
      </c>
      <c r="AA50" s="139"/>
      <c r="AB50" s="142">
        <v>5</v>
      </c>
      <c r="AC50" s="142">
        <v>8</v>
      </c>
      <c r="AD50" s="142">
        <v>9</v>
      </c>
      <c r="AE50" s="142">
        <v>36</v>
      </c>
      <c r="AF50" s="142">
        <v>45</v>
      </c>
      <c r="AG50" s="139"/>
      <c r="AH50" s="139"/>
      <c r="AI50" s="139"/>
    </row>
    <row r="51" spans="1:35" ht="18" x14ac:dyDescent="0.3">
      <c r="A51" s="160" t="s">
        <v>1154</v>
      </c>
      <c r="B51" s="161">
        <v>45987</v>
      </c>
      <c r="C51" s="140" t="s">
        <v>619</v>
      </c>
      <c r="D51" s="162">
        <v>0.71875</v>
      </c>
      <c r="E51" s="140" t="s">
        <v>577</v>
      </c>
      <c r="F51" s="140" t="s">
        <v>174</v>
      </c>
      <c r="G51" s="163">
        <v>1</v>
      </c>
      <c r="H51" s="142">
        <v>179</v>
      </c>
      <c r="I51" s="142">
        <v>179</v>
      </c>
      <c r="J51" s="142">
        <v>129</v>
      </c>
      <c r="K51" s="161">
        <v>45982</v>
      </c>
      <c r="L51" s="142">
        <v>0</v>
      </c>
      <c r="M51" s="142">
        <v>0</v>
      </c>
      <c r="N51" s="142">
        <v>15</v>
      </c>
      <c r="O51" s="140" t="s">
        <v>133</v>
      </c>
      <c r="P51" s="139"/>
      <c r="Q51" s="139"/>
      <c r="R51" s="139"/>
      <c r="S51" s="139"/>
      <c r="T51" s="139"/>
      <c r="U51" s="139"/>
      <c r="V51" s="139"/>
      <c r="W51" s="139"/>
      <c r="X51" s="139"/>
      <c r="Y51" s="142">
        <v>9</v>
      </c>
      <c r="Z51" s="142">
        <v>15</v>
      </c>
      <c r="AA51" s="139"/>
      <c r="AB51" s="142">
        <v>7</v>
      </c>
      <c r="AC51" s="142">
        <v>6</v>
      </c>
      <c r="AD51" s="142">
        <v>7</v>
      </c>
      <c r="AE51" s="142">
        <v>6</v>
      </c>
      <c r="AF51" s="139"/>
      <c r="AG51" s="139"/>
      <c r="AH51" s="142">
        <v>129</v>
      </c>
      <c r="AI51" s="139"/>
    </row>
    <row r="52" spans="1:35" ht="18" x14ac:dyDescent="0.3">
      <c r="A52" s="160" t="s">
        <v>224</v>
      </c>
      <c r="B52" s="161">
        <v>45990</v>
      </c>
      <c r="C52" s="140" t="s">
        <v>619</v>
      </c>
      <c r="D52" s="162">
        <v>0.45833333333333331</v>
      </c>
      <c r="E52" s="140" t="s">
        <v>577</v>
      </c>
      <c r="F52" s="140" t="s">
        <v>174</v>
      </c>
      <c r="G52" s="163">
        <v>1</v>
      </c>
      <c r="H52" s="142">
        <v>168</v>
      </c>
      <c r="I52" s="142">
        <v>168</v>
      </c>
      <c r="J52" s="142">
        <v>138</v>
      </c>
      <c r="K52" s="161">
        <v>45985</v>
      </c>
      <c r="L52" s="142">
        <v>4</v>
      </c>
      <c r="M52" s="142">
        <v>0</v>
      </c>
      <c r="N52" s="142">
        <v>5</v>
      </c>
      <c r="O52" s="140" t="s">
        <v>133</v>
      </c>
      <c r="P52" s="139"/>
      <c r="Q52" s="139"/>
      <c r="R52" s="139"/>
      <c r="S52" s="139"/>
      <c r="T52" s="139"/>
      <c r="U52" s="139"/>
      <c r="V52" s="139"/>
      <c r="W52" s="139"/>
      <c r="X52" s="142">
        <v>8</v>
      </c>
      <c r="Y52" s="142">
        <v>3</v>
      </c>
      <c r="Z52" s="139"/>
      <c r="AA52" s="142">
        <v>1</v>
      </c>
      <c r="AB52" s="142">
        <v>17</v>
      </c>
      <c r="AC52" s="139"/>
      <c r="AD52" s="139"/>
      <c r="AE52" s="139"/>
      <c r="AF52" s="139"/>
      <c r="AG52" s="139"/>
      <c r="AH52" s="142">
        <v>139</v>
      </c>
      <c r="AI52" s="139"/>
    </row>
    <row r="53" spans="1:35" ht="18" x14ac:dyDescent="0.3">
      <c r="A53" s="160" t="s">
        <v>225</v>
      </c>
      <c r="B53" s="161">
        <v>45991</v>
      </c>
      <c r="C53" s="140" t="s">
        <v>619</v>
      </c>
      <c r="D53" s="162">
        <v>0.48958333333333331</v>
      </c>
      <c r="E53" s="140" t="s">
        <v>577</v>
      </c>
      <c r="F53" s="140" t="s">
        <v>174</v>
      </c>
      <c r="G53" s="163">
        <v>0.99399999999999999</v>
      </c>
      <c r="H53" s="142">
        <v>168</v>
      </c>
      <c r="I53" s="142">
        <v>167</v>
      </c>
      <c r="J53" s="142">
        <v>137</v>
      </c>
      <c r="K53" s="161">
        <v>45983</v>
      </c>
      <c r="L53" s="142">
        <v>0</v>
      </c>
      <c r="M53" s="142">
        <v>0</v>
      </c>
      <c r="N53" s="142">
        <v>1</v>
      </c>
      <c r="O53" s="140" t="s">
        <v>549</v>
      </c>
      <c r="P53" s="139"/>
      <c r="Q53" s="139"/>
      <c r="R53" s="139"/>
      <c r="S53" s="139"/>
      <c r="T53" s="139"/>
      <c r="U53" s="139"/>
      <c r="V53" s="139"/>
      <c r="W53" s="139"/>
      <c r="X53" s="142">
        <v>1</v>
      </c>
      <c r="Y53" s="142">
        <v>1</v>
      </c>
      <c r="Z53" s="139"/>
      <c r="AA53" s="139"/>
      <c r="AB53" s="142">
        <v>4</v>
      </c>
      <c r="AC53" s="142">
        <v>7</v>
      </c>
      <c r="AD53" s="142">
        <v>8</v>
      </c>
      <c r="AE53" s="142">
        <v>8</v>
      </c>
      <c r="AF53" s="139"/>
      <c r="AG53" s="139"/>
      <c r="AH53" s="142">
        <v>137</v>
      </c>
      <c r="AI53" s="142">
        <v>1</v>
      </c>
    </row>
    <row r="54" spans="1:35" ht="18" x14ac:dyDescent="0.3">
      <c r="A54" s="160" t="s">
        <v>222</v>
      </c>
      <c r="B54" s="161">
        <v>45986</v>
      </c>
      <c r="C54" s="140" t="s">
        <v>326</v>
      </c>
      <c r="D54" s="162">
        <v>0.72916666666666663</v>
      </c>
      <c r="E54" s="140" t="s">
        <v>303</v>
      </c>
      <c r="F54" s="140" t="s">
        <v>174</v>
      </c>
      <c r="G54" s="163">
        <v>0.92179999999999995</v>
      </c>
      <c r="H54" s="142">
        <v>179</v>
      </c>
      <c r="I54" s="142">
        <v>165</v>
      </c>
      <c r="J54" s="142">
        <v>116</v>
      </c>
      <c r="K54" s="161">
        <v>45984</v>
      </c>
      <c r="L54" s="142">
        <v>0</v>
      </c>
      <c r="M54" s="142">
        <v>3</v>
      </c>
      <c r="N54" s="142">
        <v>12</v>
      </c>
      <c r="O54" s="140" t="s">
        <v>327</v>
      </c>
      <c r="P54" s="139"/>
      <c r="Q54" s="139"/>
      <c r="R54" s="139"/>
      <c r="S54" s="139"/>
      <c r="T54" s="139"/>
      <c r="U54" s="139"/>
      <c r="V54" s="139"/>
      <c r="W54" s="139"/>
      <c r="X54" s="139"/>
      <c r="Y54" s="142">
        <v>1</v>
      </c>
      <c r="Z54" s="142">
        <v>2</v>
      </c>
      <c r="AA54" s="139"/>
      <c r="AB54" s="142">
        <v>5</v>
      </c>
      <c r="AC54" s="142">
        <v>18</v>
      </c>
      <c r="AD54" s="142">
        <v>14</v>
      </c>
      <c r="AE54" s="142">
        <v>9</v>
      </c>
      <c r="AF54" s="139"/>
      <c r="AG54" s="139"/>
      <c r="AH54" s="142">
        <v>116</v>
      </c>
      <c r="AI54" s="139"/>
    </row>
    <row r="55" spans="1:35" ht="18" x14ac:dyDescent="0.3">
      <c r="A55" s="160" t="s">
        <v>1154</v>
      </c>
      <c r="B55" s="161">
        <v>45987</v>
      </c>
      <c r="C55" s="140" t="s">
        <v>326</v>
      </c>
      <c r="D55" s="162">
        <v>0.52083333333333337</v>
      </c>
      <c r="E55" s="140" t="s">
        <v>303</v>
      </c>
      <c r="F55" s="140" t="s">
        <v>174</v>
      </c>
      <c r="G55" s="163">
        <v>0.81559999999999999</v>
      </c>
      <c r="H55" s="142">
        <v>179</v>
      </c>
      <c r="I55" s="142">
        <v>146</v>
      </c>
      <c r="J55" s="142">
        <v>48</v>
      </c>
      <c r="K55" s="161">
        <v>45985</v>
      </c>
      <c r="L55" s="142">
        <v>1</v>
      </c>
      <c r="M55" s="142">
        <v>9</v>
      </c>
      <c r="N55" s="142">
        <v>54</v>
      </c>
      <c r="O55" s="140" t="s">
        <v>202</v>
      </c>
      <c r="P55" s="139"/>
      <c r="Q55" s="139"/>
      <c r="R55" s="139"/>
      <c r="S55" s="139"/>
      <c r="T55" s="139"/>
      <c r="U55" s="139"/>
      <c r="V55" s="139"/>
      <c r="W55" s="139"/>
      <c r="X55" s="139"/>
      <c r="Y55" s="142">
        <v>5</v>
      </c>
      <c r="Z55" s="142">
        <v>1</v>
      </c>
      <c r="AA55" s="139"/>
      <c r="AB55" s="139"/>
      <c r="AC55" s="142">
        <v>7</v>
      </c>
      <c r="AD55" s="142">
        <v>25</v>
      </c>
      <c r="AE55" s="142">
        <v>60</v>
      </c>
      <c r="AF55" s="139"/>
      <c r="AG55" s="139"/>
      <c r="AH55" s="142">
        <v>48</v>
      </c>
      <c r="AI55" s="139"/>
    </row>
    <row r="56" spans="1:35" ht="18" x14ac:dyDescent="0.3">
      <c r="A56" s="160" t="s">
        <v>1155</v>
      </c>
      <c r="B56" s="161">
        <v>45989</v>
      </c>
      <c r="C56" s="140" t="s">
        <v>326</v>
      </c>
      <c r="D56" s="162">
        <v>0.9375</v>
      </c>
      <c r="E56" s="140" t="s">
        <v>303</v>
      </c>
      <c r="F56" s="140" t="s">
        <v>174</v>
      </c>
      <c r="G56" s="163">
        <v>0.9385</v>
      </c>
      <c r="H56" s="142">
        <v>179</v>
      </c>
      <c r="I56" s="142">
        <v>168</v>
      </c>
      <c r="J56" s="142">
        <v>114</v>
      </c>
      <c r="K56" s="161">
        <v>45984</v>
      </c>
      <c r="L56" s="142">
        <v>0</v>
      </c>
      <c r="M56" s="142">
        <v>2</v>
      </c>
      <c r="N56" s="142">
        <v>8</v>
      </c>
      <c r="O56" s="140" t="s">
        <v>133</v>
      </c>
      <c r="P56" s="139"/>
      <c r="Q56" s="139"/>
      <c r="R56" s="139"/>
      <c r="S56" s="139"/>
      <c r="T56" s="139"/>
      <c r="U56" s="139"/>
      <c r="V56" s="139"/>
      <c r="W56" s="139"/>
      <c r="X56" s="139"/>
      <c r="Y56" s="142">
        <v>5</v>
      </c>
      <c r="Z56" s="142">
        <v>3</v>
      </c>
      <c r="AA56" s="139"/>
      <c r="AB56" s="139"/>
      <c r="AC56" s="142">
        <v>16</v>
      </c>
      <c r="AD56" s="142">
        <v>20</v>
      </c>
      <c r="AE56" s="142">
        <v>10</v>
      </c>
      <c r="AF56" s="139"/>
      <c r="AG56" s="139"/>
      <c r="AH56" s="142">
        <v>114</v>
      </c>
      <c r="AI56" s="139"/>
    </row>
    <row r="57" spans="1:35" ht="18" x14ac:dyDescent="0.3">
      <c r="A57" s="160" t="s">
        <v>225</v>
      </c>
      <c r="B57" s="161">
        <v>45991</v>
      </c>
      <c r="C57" s="140" t="s">
        <v>326</v>
      </c>
      <c r="D57" s="162">
        <v>0.51041666666666663</v>
      </c>
      <c r="E57" s="140" t="s">
        <v>303</v>
      </c>
      <c r="F57" s="140" t="s">
        <v>174</v>
      </c>
      <c r="G57" s="163">
        <v>0.93300000000000005</v>
      </c>
      <c r="H57" s="142">
        <v>179</v>
      </c>
      <c r="I57" s="142">
        <v>167</v>
      </c>
      <c r="J57" s="142">
        <v>157</v>
      </c>
      <c r="K57" s="161">
        <v>45983</v>
      </c>
      <c r="L57" s="142">
        <v>0</v>
      </c>
      <c r="M57" s="142">
        <v>0</v>
      </c>
      <c r="N57" s="142">
        <v>5</v>
      </c>
      <c r="O57" s="140" t="s">
        <v>491</v>
      </c>
      <c r="P57" s="139"/>
      <c r="Q57" s="139"/>
      <c r="R57" s="139"/>
      <c r="S57" s="139"/>
      <c r="T57" s="139"/>
      <c r="U57" s="139"/>
      <c r="V57" s="139"/>
      <c r="W57" s="139"/>
      <c r="X57" s="139"/>
      <c r="Y57" s="139"/>
      <c r="Z57" s="139"/>
      <c r="AA57" s="139"/>
      <c r="AB57" s="142">
        <v>2</v>
      </c>
      <c r="AC57" s="139"/>
      <c r="AD57" s="142">
        <v>3</v>
      </c>
      <c r="AE57" s="142">
        <v>5</v>
      </c>
      <c r="AF57" s="139"/>
      <c r="AG57" s="139"/>
      <c r="AH57" s="142">
        <v>157</v>
      </c>
      <c r="AI57" s="139"/>
    </row>
    <row r="58" spans="1:35" ht="18" x14ac:dyDescent="0.3">
      <c r="A58" s="160" t="s">
        <v>1154</v>
      </c>
      <c r="B58" s="161">
        <v>45987</v>
      </c>
      <c r="C58" s="140" t="s">
        <v>842</v>
      </c>
      <c r="D58" s="162">
        <v>0.61111111111111105</v>
      </c>
      <c r="E58" s="140" t="s">
        <v>786</v>
      </c>
      <c r="F58" s="140" t="s">
        <v>174</v>
      </c>
      <c r="G58" s="163">
        <v>0.69640000000000002</v>
      </c>
      <c r="H58" s="142">
        <v>168</v>
      </c>
      <c r="I58" s="142">
        <v>117</v>
      </c>
      <c r="J58" s="142">
        <v>0</v>
      </c>
      <c r="K58" s="161">
        <v>45984</v>
      </c>
      <c r="L58" s="142">
        <v>0</v>
      </c>
      <c r="M58" s="142">
        <v>16</v>
      </c>
      <c r="N58" s="142">
        <v>65</v>
      </c>
      <c r="O58" s="140" t="s">
        <v>322</v>
      </c>
      <c r="P58" s="139"/>
      <c r="Q58" s="139"/>
      <c r="R58" s="139"/>
      <c r="S58" s="139"/>
      <c r="T58" s="139"/>
      <c r="U58" s="139"/>
      <c r="V58" s="139"/>
      <c r="W58" s="139"/>
      <c r="X58" s="139"/>
      <c r="Y58" s="139"/>
      <c r="Z58" s="139"/>
      <c r="AA58" s="139"/>
      <c r="AB58" s="139"/>
      <c r="AC58" s="142">
        <v>3</v>
      </c>
      <c r="AD58" s="142">
        <v>56</v>
      </c>
      <c r="AE58" s="142">
        <v>58</v>
      </c>
      <c r="AF58" s="139"/>
      <c r="AG58" s="139"/>
      <c r="AH58" s="139"/>
      <c r="AI58" s="139"/>
    </row>
    <row r="59" spans="1:35" ht="18" x14ac:dyDescent="0.3">
      <c r="A59" s="160" t="s">
        <v>223</v>
      </c>
      <c r="B59" s="161">
        <v>45988</v>
      </c>
      <c r="C59" s="140" t="s">
        <v>842</v>
      </c>
      <c r="D59" s="162">
        <v>0.61111111111111105</v>
      </c>
      <c r="E59" s="140" t="s">
        <v>786</v>
      </c>
      <c r="F59" s="140" t="s">
        <v>174</v>
      </c>
      <c r="G59" s="163">
        <v>0.61899999999999999</v>
      </c>
      <c r="H59" s="142">
        <v>168</v>
      </c>
      <c r="I59" s="142">
        <v>104</v>
      </c>
      <c r="J59" s="142">
        <v>0</v>
      </c>
      <c r="K59" s="161">
        <v>45984</v>
      </c>
      <c r="L59" s="142">
        <v>0</v>
      </c>
      <c r="M59" s="142">
        <v>5</v>
      </c>
      <c r="N59" s="142">
        <v>24</v>
      </c>
      <c r="O59" s="140" t="s">
        <v>193</v>
      </c>
      <c r="P59" s="139"/>
      <c r="Q59" s="139"/>
      <c r="R59" s="139"/>
      <c r="S59" s="139"/>
      <c r="T59" s="139"/>
      <c r="U59" s="142">
        <v>2</v>
      </c>
      <c r="V59" s="139"/>
      <c r="W59" s="139"/>
      <c r="X59" s="139"/>
      <c r="Y59" s="142">
        <v>2</v>
      </c>
      <c r="Z59" s="142">
        <v>3</v>
      </c>
      <c r="AA59" s="139"/>
      <c r="AB59" s="142">
        <v>3</v>
      </c>
      <c r="AC59" s="142">
        <v>24</v>
      </c>
      <c r="AD59" s="142">
        <v>10</v>
      </c>
      <c r="AE59" s="142">
        <v>60</v>
      </c>
      <c r="AF59" s="139"/>
      <c r="AG59" s="139"/>
      <c r="AH59" s="139"/>
      <c r="AI59" s="139"/>
    </row>
    <row r="60" spans="1:35" ht="18" x14ac:dyDescent="0.3">
      <c r="A60" s="160" t="s">
        <v>1155</v>
      </c>
      <c r="B60" s="161">
        <v>45989</v>
      </c>
      <c r="C60" s="140" t="s">
        <v>842</v>
      </c>
      <c r="D60" s="162">
        <v>0.60416666666666663</v>
      </c>
      <c r="E60" s="140" t="s">
        <v>786</v>
      </c>
      <c r="F60" s="140" t="s">
        <v>174</v>
      </c>
      <c r="G60" s="163">
        <v>0.55359999999999998</v>
      </c>
      <c r="H60" s="142">
        <v>168</v>
      </c>
      <c r="I60" s="142">
        <v>93</v>
      </c>
      <c r="J60" s="142">
        <v>0</v>
      </c>
      <c r="K60" s="161">
        <v>45984</v>
      </c>
      <c r="L60" s="142">
        <v>0</v>
      </c>
      <c r="M60" s="142">
        <v>6</v>
      </c>
      <c r="N60" s="142">
        <v>32</v>
      </c>
      <c r="O60" s="140" t="s">
        <v>202</v>
      </c>
      <c r="P60" s="139"/>
      <c r="Q60" s="139"/>
      <c r="R60" s="139"/>
      <c r="S60" s="139"/>
      <c r="T60" s="139"/>
      <c r="U60" s="142">
        <v>1</v>
      </c>
      <c r="V60" s="139"/>
      <c r="W60" s="139"/>
      <c r="X60" s="139"/>
      <c r="Y60" s="142">
        <v>1</v>
      </c>
      <c r="Z60" s="139"/>
      <c r="AA60" s="139"/>
      <c r="AB60" s="139"/>
      <c r="AC60" s="142">
        <v>3</v>
      </c>
      <c r="AD60" s="142">
        <v>38</v>
      </c>
      <c r="AE60" s="142">
        <v>50</v>
      </c>
      <c r="AF60" s="139"/>
      <c r="AG60" s="139"/>
      <c r="AH60" s="139"/>
      <c r="AI60" s="139"/>
    </row>
    <row r="61" spans="1:35" ht="18" x14ac:dyDescent="0.3">
      <c r="A61" s="160" t="s">
        <v>224</v>
      </c>
      <c r="B61" s="161">
        <v>45990</v>
      </c>
      <c r="C61" s="140" t="s">
        <v>842</v>
      </c>
      <c r="D61" s="162">
        <v>0.61111111111111105</v>
      </c>
      <c r="E61" s="140" t="s">
        <v>786</v>
      </c>
      <c r="F61" s="140" t="s">
        <v>174</v>
      </c>
      <c r="G61" s="163">
        <v>0.54169999999999996</v>
      </c>
      <c r="H61" s="142">
        <v>168</v>
      </c>
      <c r="I61" s="142">
        <v>91</v>
      </c>
      <c r="J61" s="142">
        <v>0</v>
      </c>
      <c r="K61" s="161">
        <v>45984</v>
      </c>
      <c r="L61" s="142">
        <v>0</v>
      </c>
      <c r="M61" s="142">
        <v>4</v>
      </c>
      <c r="N61" s="142">
        <v>32</v>
      </c>
      <c r="O61" s="140" t="s">
        <v>202</v>
      </c>
      <c r="P61" s="139"/>
      <c r="Q61" s="139"/>
      <c r="R61" s="139"/>
      <c r="S61" s="139"/>
      <c r="T61" s="139"/>
      <c r="U61" s="142">
        <v>1</v>
      </c>
      <c r="V61" s="139"/>
      <c r="W61" s="139"/>
      <c r="X61" s="139"/>
      <c r="Y61" s="142">
        <v>1</v>
      </c>
      <c r="Z61" s="142">
        <v>1</v>
      </c>
      <c r="AA61" s="139"/>
      <c r="AB61" s="139"/>
      <c r="AC61" s="142">
        <v>2</v>
      </c>
      <c r="AD61" s="142">
        <v>26</v>
      </c>
      <c r="AE61" s="142">
        <v>60</v>
      </c>
      <c r="AF61" s="139"/>
      <c r="AG61" s="139"/>
      <c r="AH61" s="139"/>
      <c r="AI61" s="139"/>
    </row>
    <row r="62" spans="1:35" ht="18" x14ac:dyDescent="0.3">
      <c r="A62" s="160" t="s">
        <v>225</v>
      </c>
      <c r="B62" s="161">
        <v>45991</v>
      </c>
      <c r="C62" s="140" t="s">
        <v>842</v>
      </c>
      <c r="D62" s="162">
        <v>0.625</v>
      </c>
      <c r="E62" s="140" t="s">
        <v>786</v>
      </c>
      <c r="F62" s="140" t="s">
        <v>174</v>
      </c>
      <c r="G62" s="163">
        <v>0.48809999999999998</v>
      </c>
      <c r="H62" s="142">
        <v>168</v>
      </c>
      <c r="I62" s="142">
        <v>82</v>
      </c>
      <c r="J62" s="142">
        <v>0</v>
      </c>
      <c r="K62" s="161">
        <v>45984</v>
      </c>
      <c r="L62" s="142">
        <v>0</v>
      </c>
      <c r="M62" s="142">
        <v>8</v>
      </c>
      <c r="N62" s="142">
        <v>19</v>
      </c>
      <c r="O62" s="140" t="s">
        <v>202</v>
      </c>
      <c r="P62" s="139"/>
      <c r="Q62" s="139"/>
      <c r="R62" s="139"/>
      <c r="S62" s="139"/>
      <c r="T62" s="139"/>
      <c r="U62" s="142">
        <v>1</v>
      </c>
      <c r="V62" s="139"/>
      <c r="W62" s="139"/>
      <c r="X62" s="139"/>
      <c r="Y62" s="142">
        <v>1</v>
      </c>
      <c r="Z62" s="142">
        <v>1</v>
      </c>
      <c r="AA62" s="139"/>
      <c r="AB62" s="139"/>
      <c r="AC62" s="142">
        <v>1</v>
      </c>
      <c r="AD62" s="142">
        <v>28</v>
      </c>
      <c r="AE62" s="142">
        <v>50</v>
      </c>
      <c r="AF62" s="139"/>
      <c r="AG62" s="139"/>
      <c r="AH62" s="139"/>
      <c r="AI62" s="139"/>
    </row>
    <row r="63" spans="1:35" ht="18" x14ac:dyDescent="0.3">
      <c r="A63" s="160" t="s">
        <v>222</v>
      </c>
      <c r="B63" s="161">
        <v>45986</v>
      </c>
      <c r="C63" s="140" t="s">
        <v>901</v>
      </c>
      <c r="D63" s="162">
        <v>0.61458333333333337</v>
      </c>
      <c r="E63" s="140" t="s">
        <v>898</v>
      </c>
      <c r="F63" s="140" t="s">
        <v>174</v>
      </c>
      <c r="G63" s="163">
        <v>0.58930000000000005</v>
      </c>
      <c r="H63" s="142">
        <v>168</v>
      </c>
      <c r="I63" s="142">
        <v>99</v>
      </c>
      <c r="J63" s="142">
        <v>0</v>
      </c>
      <c r="K63" s="161">
        <v>45984</v>
      </c>
      <c r="L63" s="142">
        <v>0</v>
      </c>
      <c r="M63" s="142">
        <v>11</v>
      </c>
      <c r="N63" s="142">
        <v>42</v>
      </c>
      <c r="O63" s="140" t="s">
        <v>322</v>
      </c>
      <c r="P63" s="139"/>
      <c r="Q63" s="139"/>
      <c r="R63" s="139"/>
      <c r="S63" s="139"/>
      <c r="T63" s="139"/>
      <c r="U63" s="139"/>
      <c r="V63" s="139"/>
      <c r="W63" s="139"/>
      <c r="X63" s="139"/>
      <c r="Y63" s="142">
        <v>3</v>
      </c>
      <c r="Z63" s="142">
        <v>2</v>
      </c>
      <c r="AA63" s="142">
        <v>2</v>
      </c>
      <c r="AB63" s="142">
        <v>2</v>
      </c>
      <c r="AC63" s="142">
        <v>25</v>
      </c>
      <c r="AD63" s="142">
        <v>45</v>
      </c>
      <c r="AE63" s="142">
        <v>20</v>
      </c>
      <c r="AF63" s="139"/>
      <c r="AG63" s="139"/>
      <c r="AH63" s="139"/>
      <c r="AI63" s="139"/>
    </row>
    <row r="64" spans="1:35" ht="18" x14ac:dyDescent="0.3">
      <c r="A64" s="160" t="s">
        <v>225</v>
      </c>
      <c r="B64" s="161">
        <v>45991</v>
      </c>
      <c r="C64" s="140" t="s">
        <v>901</v>
      </c>
      <c r="D64" s="162">
        <v>0.61111111111111105</v>
      </c>
      <c r="E64" s="140" t="s">
        <v>898</v>
      </c>
      <c r="F64" s="140" t="s">
        <v>174</v>
      </c>
      <c r="G64" s="163">
        <v>0.52980000000000005</v>
      </c>
      <c r="H64" s="142">
        <v>168</v>
      </c>
      <c r="I64" s="142">
        <v>89</v>
      </c>
      <c r="J64" s="142">
        <v>0</v>
      </c>
      <c r="K64" s="161">
        <v>45984</v>
      </c>
      <c r="L64" s="142">
        <v>0</v>
      </c>
      <c r="M64" s="142">
        <v>2</v>
      </c>
      <c r="N64" s="142">
        <v>17</v>
      </c>
      <c r="O64" s="140" t="s">
        <v>322</v>
      </c>
      <c r="P64" s="139"/>
      <c r="Q64" s="139"/>
      <c r="R64" s="139"/>
      <c r="S64" s="139"/>
      <c r="T64" s="139"/>
      <c r="U64" s="139"/>
      <c r="V64" s="139"/>
      <c r="W64" s="139"/>
      <c r="X64" s="139"/>
      <c r="Y64" s="142">
        <v>5</v>
      </c>
      <c r="Z64" s="142">
        <v>3</v>
      </c>
      <c r="AA64" s="139"/>
      <c r="AB64" s="142">
        <v>9</v>
      </c>
      <c r="AC64" s="142">
        <v>22</v>
      </c>
      <c r="AD64" s="142">
        <v>49</v>
      </c>
      <c r="AE64" s="142">
        <v>1</v>
      </c>
      <c r="AF64" s="139"/>
      <c r="AG64" s="139"/>
      <c r="AH64" s="139"/>
      <c r="AI64" s="139"/>
    </row>
    <row r="65" spans="1:35" ht="18" x14ac:dyDescent="0.3">
      <c r="A65" s="160" t="s">
        <v>1154</v>
      </c>
      <c r="B65" s="161">
        <v>45987</v>
      </c>
      <c r="C65" s="140" t="s">
        <v>914</v>
      </c>
      <c r="D65" s="162">
        <v>0.59027777777777779</v>
      </c>
      <c r="E65" s="140" t="s">
        <v>898</v>
      </c>
      <c r="F65" s="140" t="s">
        <v>174</v>
      </c>
      <c r="G65" s="163">
        <v>0.5655</v>
      </c>
      <c r="H65" s="142">
        <v>168</v>
      </c>
      <c r="I65" s="142">
        <v>95</v>
      </c>
      <c r="J65" s="142">
        <v>0</v>
      </c>
      <c r="K65" s="161">
        <v>45984</v>
      </c>
      <c r="L65" s="142">
        <v>0</v>
      </c>
      <c r="M65" s="142">
        <v>3</v>
      </c>
      <c r="N65" s="142">
        <v>33</v>
      </c>
      <c r="O65" s="140" t="s">
        <v>322</v>
      </c>
      <c r="P65" s="139"/>
      <c r="Q65" s="139"/>
      <c r="R65" s="139"/>
      <c r="S65" s="139"/>
      <c r="T65" s="139"/>
      <c r="U65" s="139"/>
      <c r="V65" s="139"/>
      <c r="W65" s="139"/>
      <c r="X65" s="139"/>
      <c r="Y65" s="142">
        <v>5</v>
      </c>
      <c r="Z65" s="142">
        <v>4</v>
      </c>
      <c r="AA65" s="142">
        <v>1</v>
      </c>
      <c r="AB65" s="139"/>
      <c r="AC65" s="142">
        <v>7</v>
      </c>
      <c r="AD65" s="142">
        <v>66</v>
      </c>
      <c r="AE65" s="142">
        <v>12</v>
      </c>
      <c r="AF65" s="139"/>
      <c r="AG65" s="139"/>
      <c r="AH65" s="139"/>
      <c r="AI65" s="139"/>
    </row>
    <row r="66" spans="1:35" ht="18" x14ac:dyDescent="0.3">
      <c r="A66" s="160" t="s">
        <v>222</v>
      </c>
      <c r="B66" s="161">
        <v>45986</v>
      </c>
      <c r="C66" s="140" t="s">
        <v>807</v>
      </c>
      <c r="D66" s="162">
        <v>0.91319444444444453</v>
      </c>
      <c r="E66" s="140" t="s">
        <v>786</v>
      </c>
      <c r="F66" s="140" t="s">
        <v>174</v>
      </c>
      <c r="G66" s="163">
        <v>0.80359999999999998</v>
      </c>
      <c r="H66" s="142">
        <v>168</v>
      </c>
      <c r="I66" s="142">
        <v>135</v>
      </c>
      <c r="J66" s="142">
        <v>0</v>
      </c>
      <c r="K66" s="161">
        <v>45984</v>
      </c>
      <c r="L66" s="142">
        <v>0</v>
      </c>
      <c r="M66" s="142">
        <v>16</v>
      </c>
      <c r="N66" s="142">
        <v>63</v>
      </c>
      <c r="O66" s="140" t="s">
        <v>201</v>
      </c>
      <c r="P66" s="139"/>
      <c r="Q66" s="139"/>
      <c r="R66" s="139"/>
      <c r="S66" s="139"/>
      <c r="T66" s="139"/>
      <c r="U66" s="139"/>
      <c r="V66" s="139"/>
      <c r="W66" s="139"/>
      <c r="X66" s="139"/>
      <c r="Y66" s="142">
        <v>1</v>
      </c>
      <c r="Z66" s="139"/>
      <c r="AA66" s="139"/>
      <c r="AB66" s="139"/>
      <c r="AC66" s="142">
        <v>4</v>
      </c>
      <c r="AD66" s="142">
        <v>52</v>
      </c>
      <c r="AE66" s="142">
        <v>78</v>
      </c>
      <c r="AF66" s="139"/>
      <c r="AG66" s="139"/>
      <c r="AH66" s="139"/>
      <c r="AI66" s="139"/>
    </row>
    <row r="67" spans="1:35" ht="18" x14ac:dyDescent="0.3">
      <c r="A67" s="160" t="s">
        <v>1154</v>
      </c>
      <c r="B67" s="161">
        <v>45987</v>
      </c>
      <c r="C67" s="140" t="s">
        <v>807</v>
      </c>
      <c r="D67" s="162">
        <v>0.92361111111111116</v>
      </c>
      <c r="E67" s="140" t="s">
        <v>786</v>
      </c>
      <c r="F67" s="140" t="s">
        <v>174</v>
      </c>
      <c r="G67" s="163">
        <v>0.58930000000000005</v>
      </c>
      <c r="H67" s="142">
        <v>168</v>
      </c>
      <c r="I67" s="142">
        <v>99</v>
      </c>
      <c r="J67" s="142">
        <v>0</v>
      </c>
      <c r="K67" s="161">
        <v>45984</v>
      </c>
      <c r="L67" s="142">
        <v>0</v>
      </c>
      <c r="M67" s="142">
        <v>6</v>
      </c>
      <c r="N67" s="142">
        <v>68</v>
      </c>
      <c r="O67" s="140" t="s">
        <v>202</v>
      </c>
      <c r="P67" s="139"/>
      <c r="Q67" s="139"/>
      <c r="R67" s="139"/>
      <c r="S67" s="139"/>
      <c r="T67" s="142">
        <v>2</v>
      </c>
      <c r="U67" s="142">
        <v>1</v>
      </c>
      <c r="V67" s="139"/>
      <c r="W67" s="139"/>
      <c r="X67" s="139"/>
      <c r="Y67" s="142">
        <v>1</v>
      </c>
      <c r="Z67" s="142">
        <v>1</v>
      </c>
      <c r="AA67" s="139"/>
      <c r="AB67" s="139"/>
      <c r="AC67" s="139"/>
      <c r="AD67" s="142">
        <v>14</v>
      </c>
      <c r="AE67" s="142">
        <v>80</v>
      </c>
      <c r="AF67" s="139"/>
      <c r="AG67" s="139"/>
      <c r="AH67" s="139"/>
      <c r="AI67" s="139"/>
    </row>
    <row r="68" spans="1:35" ht="18" x14ac:dyDescent="0.3">
      <c r="A68" s="160" t="s">
        <v>1155</v>
      </c>
      <c r="B68" s="161">
        <v>45989</v>
      </c>
      <c r="C68" s="140" t="s">
        <v>807</v>
      </c>
      <c r="D68" s="162">
        <v>0.92361111111111116</v>
      </c>
      <c r="E68" s="140" t="s">
        <v>786</v>
      </c>
      <c r="F68" s="140" t="s">
        <v>174</v>
      </c>
      <c r="G68" s="163">
        <v>0.45240000000000002</v>
      </c>
      <c r="H68" s="142">
        <v>168</v>
      </c>
      <c r="I68" s="142">
        <v>76</v>
      </c>
      <c r="J68" s="142">
        <v>0</v>
      </c>
      <c r="K68" s="161">
        <v>45984</v>
      </c>
      <c r="L68" s="142">
        <v>0</v>
      </c>
      <c r="M68" s="142">
        <v>4</v>
      </c>
      <c r="N68" s="142">
        <v>46</v>
      </c>
      <c r="O68" s="140" t="s">
        <v>194</v>
      </c>
      <c r="P68" s="139"/>
      <c r="Q68" s="139"/>
      <c r="R68" s="139"/>
      <c r="S68" s="139"/>
      <c r="T68" s="139"/>
      <c r="U68" s="139"/>
      <c r="V68" s="139"/>
      <c r="W68" s="139"/>
      <c r="X68" s="139"/>
      <c r="Y68" s="139"/>
      <c r="Z68" s="142">
        <v>4</v>
      </c>
      <c r="AA68" s="139"/>
      <c r="AB68" s="139"/>
      <c r="AC68" s="139"/>
      <c r="AD68" s="142">
        <v>2</v>
      </c>
      <c r="AE68" s="142">
        <v>70</v>
      </c>
      <c r="AF68" s="139"/>
      <c r="AG68" s="139"/>
      <c r="AH68" s="139"/>
      <c r="AI68" s="139"/>
    </row>
    <row r="69" spans="1:35" ht="18" x14ac:dyDescent="0.3">
      <c r="A69" s="160" t="s">
        <v>222</v>
      </c>
      <c r="B69" s="161">
        <v>45986</v>
      </c>
      <c r="C69" s="140" t="s">
        <v>311</v>
      </c>
      <c r="D69" s="162">
        <v>0.22916666666666671</v>
      </c>
      <c r="E69" s="140" t="s">
        <v>303</v>
      </c>
      <c r="F69" s="140" t="s">
        <v>174</v>
      </c>
      <c r="G69" s="163">
        <v>0.68720000000000003</v>
      </c>
      <c r="H69" s="142">
        <v>179</v>
      </c>
      <c r="I69" s="142">
        <v>123</v>
      </c>
      <c r="J69" s="142">
        <v>0</v>
      </c>
      <c r="K69" s="161">
        <v>45984</v>
      </c>
      <c r="L69" s="142">
        <v>0</v>
      </c>
      <c r="M69" s="142">
        <v>39</v>
      </c>
      <c r="N69" s="142">
        <v>77</v>
      </c>
      <c r="O69" s="140" t="s">
        <v>312</v>
      </c>
      <c r="P69" s="139"/>
      <c r="Q69" s="139"/>
      <c r="R69" s="139"/>
      <c r="S69" s="139"/>
      <c r="T69" s="139"/>
      <c r="U69" s="139"/>
      <c r="V69" s="139"/>
      <c r="W69" s="139"/>
      <c r="X69" s="139"/>
      <c r="Y69" s="142">
        <v>13</v>
      </c>
      <c r="Z69" s="139"/>
      <c r="AA69" s="139"/>
      <c r="AB69" s="142">
        <v>3</v>
      </c>
      <c r="AC69" s="142">
        <v>14</v>
      </c>
      <c r="AD69" s="142">
        <v>34</v>
      </c>
      <c r="AE69" s="142">
        <v>59</v>
      </c>
      <c r="AF69" s="139"/>
      <c r="AG69" s="139"/>
      <c r="AH69" s="139"/>
      <c r="AI69" s="139"/>
    </row>
    <row r="70" spans="1:35" ht="18" x14ac:dyDescent="0.3">
      <c r="A70" s="160" t="s">
        <v>223</v>
      </c>
      <c r="B70" s="161">
        <v>45988</v>
      </c>
      <c r="C70" s="140" t="s">
        <v>311</v>
      </c>
      <c r="D70" s="162">
        <v>0.1145833333333333</v>
      </c>
      <c r="E70" s="140" t="s">
        <v>303</v>
      </c>
      <c r="F70" s="140" t="s">
        <v>174</v>
      </c>
      <c r="G70" s="163">
        <v>0.29609999999999997</v>
      </c>
      <c r="H70" s="142">
        <v>179</v>
      </c>
      <c r="I70" s="142">
        <v>53</v>
      </c>
      <c r="J70" s="142">
        <v>0</v>
      </c>
      <c r="K70" s="161">
        <v>45984</v>
      </c>
      <c r="L70" s="142">
        <v>0</v>
      </c>
      <c r="M70" s="142">
        <v>1</v>
      </c>
      <c r="N70" s="142">
        <v>24</v>
      </c>
      <c r="O70" s="140" t="s">
        <v>202</v>
      </c>
      <c r="P70" s="139"/>
      <c r="Q70" s="139"/>
      <c r="R70" s="139"/>
      <c r="S70" s="139"/>
      <c r="T70" s="139"/>
      <c r="U70" s="139"/>
      <c r="V70" s="139"/>
      <c r="W70" s="139"/>
      <c r="X70" s="139"/>
      <c r="Y70" s="142">
        <v>5</v>
      </c>
      <c r="Z70" s="139"/>
      <c r="AA70" s="139"/>
      <c r="AB70" s="139"/>
      <c r="AC70" s="142">
        <v>4</v>
      </c>
      <c r="AD70" s="142">
        <v>14</v>
      </c>
      <c r="AE70" s="142">
        <v>30</v>
      </c>
      <c r="AF70" s="139"/>
      <c r="AG70" s="139"/>
      <c r="AH70" s="139"/>
      <c r="AI70" s="139"/>
    </row>
    <row r="71" spans="1:35" ht="18" x14ac:dyDescent="0.3">
      <c r="A71" s="160" t="s">
        <v>1155</v>
      </c>
      <c r="B71" s="161">
        <v>45989</v>
      </c>
      <c r="C71" s="140" t="s">
        <v>311</v>
      </c>
      <c r="D71" s="162">
        <v>0.73611111111111116</v>
      </c>
      <c r="E71" s="140" t="s">
        <v>303</v>
      </c>
      <c r="F71" s="140" t="s">
        <v>174</v>
      </c>
      <c r="G71" s="163">
        <v>0.56979999999999997</v>
      </c>
      <c r="H71" s="142">
        <v>179</v>
      </c>
      <c r="I71" s="142">
        <v>102</v>
      </c>
      <c r="J71" s="142">
        <v>2</v>
      </c>
      <c r="K71" s="161">
        <v>45984</v>
      </c>
      <c r="L71" s="142">
        <v>0</v>
      </c>
      <c r="M71" s="142">
        <v>6</v>
      </c>
      <c r="N71" s="142">
        <v>63</v>
      </c>
      <c r="O71" s="140" t="s">
        <v>463</v>
      </c>
      <c r="P71" s="139"/>
      <c r="Q71" s="139"/>
      <c r="R71" s="139"/>
      <c r="S71" s="139"/>
      <c r="T71" s="139"/>
      <c r="U71" s="139"/>
      <c r="V71" s="139"/>
      <c r="W71" s="139"/>
      <c r="X71" s="139"/>
      <c r="Y71" s="142">
        <v>4</v>
      </c>
      <c r="Z71" s="139"/>
      <c r="AA71" s="139"/>
      <c r="AB71" s="139"/>
      <c r="AC71" s="142">
        <v>12</v>
      </c>
      <c r="AD71" s="142">
        <v>46</v>
      </c>
      <c r="AE71" s="142">
        <v>36</v>
      </c>
      <c r="AF71" s="139"/>
      <c r="AG71" s="139"/>
      <c r="AH71" s="142">
        <v>2</v>
      </c>
      <c r="AI71" s="142">
        <v>2</v>
      </c>
    </row>
    <row r="72" spans="1:35" ht="18" x14ac:dyDescent="0.3">
      <c r="A72" s="160" t="s">
        <v>1154</v>
      </c>
      <c r="B72" s="161">
        <v>45987</v>
      </c>
      <c r="C72" s="140" t="s">
        <v>616</v>
      </c>
      <c r="D72" s="162">
        <v>0.40972222222222232</v>
      </c>
      <c r="E72" s="140" t="s">
        <v>577</v>
      </c>
      <c r="F72" s="140" t="s">
        <v>174</v>
      </c>
      <c r="G72" s="163">
        <v>1</v>
      </c>
      <c r="H72" s="142">
        <v>179</v>
      </c>
      <c r="I72" s="142">
        <v>179</v>
      </c>
      <c r="J72" s="142">
        <v>159</v>
      </c>
      <c r="K72" s="161">
        <v>45985</v>
      </c>
      <c r="L72" s="142">
        <v>5</v>
      </c>
      <c r="M72" s="142">
        <v>0</v>
      </c>
      <c r="N72" s="142">
        <v>16</v>
      </c>
      <c r="O72" s="140" t="s">
        <v>133</v>
      </c>
      <c r="P72" s="139"/>
      <c r="Q72" s="139"/>
      <c r="R72" s="139"/>
      <c r="S72" s="139"/>
      <c r="T72" s="139"/>
      <c r="U72" s="142">
        <v>5</v>
      </c>
      <c r="V72" s="139"/>
      <c r="W72" s="142">
        <v>5</v>
      </c>
      <c r="X72" s="142">
        <v>5</v>
      </c>
      <c r="Y72" s="142">
        <v>3</v>
      </c>
      <c r="Z72" s="139"/>
      <c r="AA72" s="139"/>
      <c r="AB72" s="142">
        <v>2</v>
      </c>
      <c r="AC72" s="139"/>
      <c r="AD72" s="139"/>
      <c r="AE72" s="139"/>
      <c r="AF72" s="139"/>
      <c r="AG72" s="139"/>
      <c r="AH72" s="142">
        <v>159</v>
      </c>
      <c r="AI72" s="139"/>
    </row>
    <row r="73" spans="1:35" ht="18" x14ac:dyDescent="0.3">
      <c r="A73" s="160" t="s">
        <v>222</v>
      </c>
      <c r="B73" s="161">
        <v>45986</v>
      </c>
      <c r="C73" s="140" t="s">
        <v>316</v>
      </c>
      <c r="D73" s="162">
        <v>0.96875</v>
      </c>
      <c r="E73" s="140" t="s">
        <v>303</v>
      </c>
      <c r="F73" s="140" t="s">
        <v>174</v>
      </c>
      <c r="G73" s="163">
        <v>0.70389999999999997</v>
      </c>
      <c r="H73" s="142">
        <v>179</v>
      </c>
      <c r="I73" s="142">
        <v>126</v>
      </c>
      <c r="J73" s="142">
        <v>46</v>
      </c>
      <c r="K73" s="161">
        <v>45984</v>
      </c>
      <c r="L73" s="142">
        <v>0</v>
      </c>
      <c r="M73" s="142">
        <v>3</v>
      </c>
      <c r="N73" s="142">
        <v>39</v>
      </c>
      <c r="O73" s="140" t="s">
        <v>317</v>
      </c>
      <c r="P73" s="139"/>
      <c r="Q73" s="139"/>
      <c r="R73" s="139"/>
      <c r="S73" s="139"/>
      <c r="T73" s="139"/>
      <c r="U73" s="139"/>
      <c r="V73" s="139"/>
      <c r="W73" s="139"/>
      <c r="X73" s="139"/>
      <c r="Y73" s="139"/>
      <c r="Z73" s="139"/>
      <c r="AA73" s="139"/>
      <c r="AB73" s="142">
        <v>1</v>
      </c>
      <c r="AC73" s="142">
        <v>11</v>
      </c>
      <c r="AD73" s="142">
        <v>39</v>
      </c>
      <c r="AE73" s="142">
        <v>29</v>
      </c>
      <c r="AF73" s="139"/>
      <c r="AG73" s="139"/>
      <c r="AH73" s="142">
        <v>46</v>
      </c>
      <c r="AI73" s="139"/>
    </row>
    <row r="74" spans="1:35" ht="18" x14ac:dyDescent="0.3">
      <c r="A74" s="160" t="s">
        <v>1154</v>
      </c>
      <c r="B74" s="161">
        <v>45987</v>
      </c>
      <c r="C74" s="140" t="s">
        <v>316</v>
      </c>
      <c r="D74" s="162">
        <v>0.51736111111111105</v>
      </c>
      <c r="E74" s="140" t="s">
        <v>303</v>
      </c>
      <c r="F74" s="140" t="s">
        <v>174</v>
      </c>
      <c r="G74" s="163">
        <v>0.51400000000000001</v>
      </c>
      <c r="H74" s="142">
        <v>179</v>
      </c>
      <c r="I74" s="142">
        <v>92</v>
      </c>
      <c r="J74" s="142">
        <v>0</v>
      </c>
      <c r="K74" s="161">
        <v>45984</v>
      </c>
      <c r="L74" s="142">
        <v>0</v>
      </c>
      <c r="M74" s="142">
        <v>2</v>
      </c>
      <c r="N74" s="142">
        <v>53</v>
      </c>
      <c r="O74" s="140" t="s">
        <v>202</v>
      </c>
      <c r="P74" s="139"/>
      <c r="Q74" s="139"/>
      <c r="R74" s="139"/>
      <c r="S74" s="139"/>
      <c r="T74" s="139"/>
      <c r="U74" s="139"/>
      <c r="V74" s="139"/>
      <c r="W74" s="139"/>
      <c r="X74" s="139"/>
      <c r="Y74" s="139"/>
      <c r="Z74" s="139"/>
      <c r="AA74" s="139"/>
      <c r="AB74" s="139"/>
      <c r="AC74" s="142">
        <v>2</v>
      </c>
      <c r="AD74" s="142">
        <v>26</v>
      </c>
      <c r="AE74" s="142">
        <v>64</v>
      </c>
      <c r="AF74" s="139"/>
      <c r="AG74" s="139"/>
      <c r="AH74" s="139"/>
      <c r="AI74" s="139"/>
    </row>
    <row r="75" spans="1:35" ht="18" x14ac:dyDescent="0.3">
      <c r="A75" s="160" t="s">
        <v>223</v>
      </c>
      <c r="B75" s="161">
        <v>45988</v>
      </c>
      <c r="C75" s="140" t="s">
        <v>316</v>
      </c>
      <c r="D75" s="162">
        <v>0.33333333333333331</v>
      </c>
      <c r="E75" s="140" t="s">
        <v>303</v>
      </c>
      <c r="F75" s="140" t="s">
        <v>174</v>
      </c>
      <c r="G75" s="163">
        <v>0.81010000000000004</v>
      </c>
      <c r="H75" s="142">
        <v>179</v>
      </c>
      <c r="I75" s="142">
        <v>145</v>
      </c>
      <c r="J75" s="142">
        <v>132</v>
      </c>
      <c r="K75" s="161">
        <v>45982</v>
      </c>
      <c r="L75" s="142">
        <v>0</v>
      </c>
      <c r="M75" s="142">
        <v>0</v>
      </c>
      <c r="N75" s="142">
        <v>2</v>
      </c>
      <c r="O75" s="140" t="s">
        <v>440</v>
      </c>
      <c r="P75" s="139"/>
      <c r="Q75" s="139"/>
      <c r="R75" s="139"/>
      <c r="S75" s="139"/>
      <c r="T75" s="139"/>
      <c r="U75" s="139"/>
      <c r="V75" s="139"/>
      <c r="W75" s="139"/>
      <c r="X75" s="139"/>
      <c r="Y75" s="142">
        <v>1</v>
      </c>
      <c r="Z75" s="139"/>
      <c r="AA75" s="139"/>
      <c r="AB75" s="139"/>
      <c r="AC75" s="139"/>
      <c r="AD75" s="142">
        <v>2</v>
      </c>
      <c r="AE75" s="142">
        <v>10</v>
      </c>
      <c r="AF75" s="139"/>
      <c r="AG75" s="139"/>
      <c r="AH75" s="142">
        <v>132</v>
      </c>
      <c r="AI75" s="139"/>
    </row>
    <row r="76" spans="1:35" ht="18" x14ac:dyDescent="0.3">
      <c r="A76" s="160" t="s">
        <v>1155</v>
      </c>
      <c r="B76" s="161">
        <v>45989</v>
      </c>
      <c r="C76" s="140" t="s">
        <v>316</v>
      </c>
      <c r="D76" s="162">
        <v>0.31944444444444448</v>
      </c>
      <c r="E76" s="140" t="s">
        <v>303</v>
      </c>
      <c r="F76" s="140" t="s">
        <v>174</v>
      </c>
      <c r="G76" s="163">
        <v>0.35199999999999998</v>
      </c>
      <c r="H76" s="142">
        <v>179</v>
      </c>
      <c r="I76" s="142">
        <v>63</v>
      </c>
      <c r="J76" s="142">
        <v>1</v>
      </c>
      <c r="K76" s="161">
        <v>45984</v>
      </c>
      <c r="L76" s="142">
        <v>0</v>
      </c>
      <c r="M76" s="142">
        <v>5</v>
      </c>
      <c r="N76" s="142">
        <v>33</v>
      </c>
      <c r="O76" s="140" t="s">
        <v>432</v>
      </c>
      <c r="P76" s="139"/>
      <c r="Q76" s="139"/>
      <c r="R76" s="139"/>
      <c r="S76" s="139"/>
      <c r="T76" s="139"/>
      <c r="U76" s="139"/>
      <c r="V76" s="139"/>
      <c r="W76" s="139"/>
      <c r="X76" s="139"/>
      <c r="Y76" s="142">
        <v>3</v>
      </c>
      <c r="Z76" s="139"/>
      <c r="AA76" s="139"/>
      <c r="AB76" s="139"/>
      <c r="AC76" s="139"/>
      <c r="AD76" s="142">
        <v>9</v>
      </c>
      <c r="AE76" s="142">
        <v>50</v>
      </c>
      <c r="AF76" s="139"/>
      <c r="AG76" s="139"/>
      <c r="AH76" s="142">
        <v>1</v>
      </c>
      <c r="AI76" s="139"/>
    </row>
    <row r="77" spans="1:35" ht="18" x14ac:dyDescent="0.3">
      <c r="A77" s="160" t="s">
        <v>224</v>
      </c>
      <c r="B77" s="161">
        <v>45990</v>
      </c>
      <c r="C77" s="140" t="s">
        <v>316</v>
      </c>
      <c r="D77" s="162">
        <v>0.33333333333333331</v>
      </c>
      <c r="E77" s="140" t="s">
        <v>303</v>
      </c>
      <c r="F77" s="140" t="s">
        <v>174</v>
      </c>
      <c r="G77" s="163">
        <v>0.91620000000000001</v>
      </c>
      <c r="H77" s="142">
        <v>179</v>
      </c>
      <c r="I77" s="142">
        <v>164</v>
      </c>
      <c r="J77" s="142">
        <v>98</v>
      </c>
      <c r="K77" s="161">
        <v>45984</v>
      </c>
      <c r="L77" s="142">
        <v>0</v>
      </c>
      <c r="M77" s="142">
        <v>9</v>
      </c>
      <c r="N77" s="142">
        <v>34</v>
      </c>
      <c r="O77" s="140" t="s">
        <v>463</v>
      </c>
      <c r="P77" s="139"/>
      <c r="Q77" s="139"/>
      <c r="R77" s="139"/>
      <c r="S77" s="139"/>
      <c r="T77" s="139"/>
      <c r="U77" s="139"/>
      <c r="V77" s="139"/>
      <c r="W77" s="139"/>
      <c r="X77" s="139"/>
      <c r="Y77" s="142">
        <v>3</v>
      </c>
      <c r="Z77" s="139"/>
      <c r="AA77" s="139"/>
      <c r="AB77" s="142">
        <v>1</v>
      </c>
      <c r="AC77" s="142">
        <v>10</v>
      </c>
      <c r="AD77" s="142">
        <v>27</v>
      </c>
      <c r="AE77" s="142">
        <v>25</v>
      </c>
      <c r="AF77" s="142">
        <v>3</v>
      </c>
      <c r="AG77" s="139"/>
      <c r="AH77" s="142">
        <v>95</v>
      </c>
      <c r="AI77" s="139"/>
    </row>
    <row r="78" spans="1:35" ht="18" x14ac:dyDescent="0.3">
      <c r="A78" s="160" t="s">
        <v>225</v>
      </c>
      <c r="B78" s="161">
        <v>45991</v>
      </c>
      <c r="C78" s="140" t="s">
        <v>316</v>
      </c>
      <c r="D78" s="162">
        <v>0.31944444444444448</v>
      </c>
      <c r="E78" s="140" t="s">
        <v>303</v>
      </c>
      <c r="F78" s="140" t="s">
        <v>174</v>
      </c>
      <c r="G78" s="163">
        <v>0.76539999999999997</v>
      </c>
      <c r="H78" s="142">
        <v>179</v>
      </c>
      <c r="I78" s="142">
        <v>137</v>
      </c>
      <c r="J78" s="142">
        <v>47</v>
      </c>
      <c r="K78" s="161">
        <v>45984</v>
      </c>
      <c r="L78" s="142">
        <v>0</v>
      </c>
      <c r="M78" s="142">
        <v>1</v>
      </c>
      <c r="N78" s="142">
        <v>59</v>
      </c>
      <c r="O78" s="140" t="s">
        <v>488</v>
      </c>
      <c r="P78" s="139"/>
      <c r="Q78" s="139"/>
      <c r="R78" s="139"/>
      <c r="S78" s="139"/>
      <c r="T78" s="139"/>
      <c r="U78" s="139"/>
      <c r="V78" s="139"/>
      <c r="W78" s="139"/>
      <c r="X78" s="139"/>
      <c r="Y78" s="142">
        <v>2</v>
      </c>
      <c r="Z78" s="139"/>
      <c r="AA78" s="139"/>
      <c r="AB78" s="139"/>
      <c r="AC78" s="142">
        <v>4</v>
      </c>
      <c r="AD78" s="142">
        <v>29</v>
      </c>
      <c r="AE78" s="142">
        <v>55</v>
      </c>
      <c r="AF78" s="139"/>
      <c r="AG78" s="139"/>
      <c r="AH78" s="142">
        <v>47</v>
      </c>
      <c r="AI78" s="139"/>
    </row>
    <row r="79" spans="1:35" ht="18" x14ac:dyDescent="0.3">
      <c r="A79" s="160" t="s">
        <v>222</v>
      </c>
      <c r="B79" s="161">
        <v>45986</v>
      </c>
      <c r="C79" s="140" t="s">
        <v>331</v>
      </c>
      <c r="D79" s="162">
        <v>0.61458333333333337</v>
      </c>
      <c r="E79" s="140" t="s">
        <v>303</v>
      </c>
      <c r="F79" s="140" t="s">
        <v>174</v>
      </c>
      <c r="G79" s="163">
        <v>0.9385</v>
      </c>
      <c r="H79" s="142">
        <v>179</v>
      </c>
      <c r="I79" s="142">
        <v>168</v>
      </c>
      <c r="J79" s="142">
        <v>82</v>
      </c>
      <c r="K79" s="161">
        <v>45984</v>
      </c>
      <c r="L79" s="142">
        <v>0</v>
      </c>
      <c r="M79" s="142">
        <v>4</v>
      </c>
      <c r="N79" s="142">
        <v>48</v>
      </c>
      <c r="O79" s="140" t="s">
        <v>133</v>
      </c>
      <c r="P79" s="139"/>
      <c r="Q79" s="139"/>
      <c r="R79" s="139"/>
      <c r="S79" s="139"/>
      <c r="T79" s="139"/>
      <c r="U79" s="139"/>
      <c r="V79" s="139"/>
      <c r="W79" s="139"/>
      <c r="X79" s="139"/>
      <c r="Y79" s="142">
        <v>5</v>
      </c>
      <c r="Z79" s="139"/>
      <c r="AA79" s="139"/>
      <c r="AB79" s="142">
        <v>7</v>
      </c>
      <c r="AC79" s="142">
        <v>24</v>
      </c>
      <c r="AD79" s="142">
        <v>35</v>
      </c>
      <c r="AE79" s="142">
        <v>15</v>
      </c>
      <c r="AF79" s="139"/>
      <c r="AG79" s="139"/>
      <c r="AH79" s="142">
        <v>82</v>
      </c>
      <c r="AI79" s="139"/>
    </row>
    <row r="80" spans="1:35" ht="18" x14ac:dyDescent="0.3">
      <c r="A80" s="160" t="s">
        <v>1154</v>
      </c>
      <c r="B80" s="161">
        <v>45987</v>
      </c>
      <c r="C80" s="140" t="s">
        <v>331</v>
      </c>
      <c r="D80" s="162">
        <v>0.61458333333333337</v>
      </c>
      <c r="E80" s="140" t="s">
        <v>303</v>
      </c>
      <c r="F80" s="140" t="s">
        <v>174</v>
      </c>
      <c r="G80" s="163">
        <v>0.73740000000000006</v>
      </c>
      <c r="H80" s="142">
        <v>179</v>
      </c>
      <c r="I80" s="142">
        <v>132</v>
      </c>
      <c r="J80" s="142">
        <v>45</v>
      </c>
      <c r="K80" s="161">
        <v>45985</v>
      </c>
      <c r="L80" s="142">
        <v>2</v>
      </c>
      <c r="M80" s="142">
        <v>7</v>
      </c>
      <c r="N80" s="142">
        <v>34</v>
      </c>
      <c r="O80" s="140" t="s">
        <v>414</v>
      </c>
      <c r="P80" s="139"/>
      <c r="Q80" s="139"/>
      <c r="R80" s="139"/>
      <c r="S80" s="139"/>
      <c r="T80" s="139"/>
      <c r="U80" s="139"/>
      <c r="V80" s="139"/>
      <c r="W80" s="139"/>
      <c r="X80" s="139"/>
      <c r="Y80" s="142">
        <v>2</v>
      </c>
      <c r="Z80" s="139"/>
      <c r="AA80" s="139"/>
      <c r="AB80" s="142">
        <v>4</v>
      </c>
      <c r="AC80" s="142">
        <v>18</v>
      </c>
      <c r="AD80" s="142">
        <v>36</v>
      </c>
      <c r="AE80" s="142">
        <v>25</v>
      </c>
      <c r="AF80" s="139"/>
      <c r="AG80" s="139"/>
      <c r="AH80" s="142">
        <v>45</v>
      </c>
      <c r="AI80" s="142">
        <v>2</v>
      </c>
    </row>
    <row r="81" spans="1:35" ht="18" x14ac:dyDescent="0.3">
      <c r="A81" s="160" t="s">
        <v>223</v>
      </c>
      <c r="B81" s="161">
        <v>45988</v>
      </c>
      <c r="C81" s="140" t="s">
        <v>331</v>
      </c>
      <c r="D81" s="162">
        <v>0.58333333333333337</v>
      </c>
      <c r="E81" s="140" t="s">
        <v>303</v>
      </c>
      <c r="F81" s="140" t="s">
        <v>174</v>
      </c>
      <c r="G81" s="163">
        <v>0.96650000000000003</v>
      </c>
      <c r="H81" s="142">
        <v>179</v>
      </c>
      <c r="I81" s="142">
        <v>173</v>
      </c>
      <c r="J81" s="142">
        <v>89</v>
      </c>
      <c r="K81" s="161">
        <v>45984</v>
      </c>
      <c r="L81" s="142">
        <v>0</v>
      </c>
      <c r="M81" s="142">
        <v>16</v>
      </c>
      <c r="N81" s="142">
        <v>54</v>
      </c>
      <c r="O81" s="140" t="s">
        <v>442</v>
      </c>
      <c r="P81" s="139"/>
      <c r="Q81" s="139"/>
      <c r="R81" s="139"/>
      <c r="S81" s="139"/>
      <c r="T81" s="139"/>
      <c r="U81" s="139"/>
      <c r="V81" s="139"/>
      <c r="W81" s="139"/>
      <c r="X81" s="139"/>
      <c r="Y81" s="142">
        <v>4</v>
      </c>
      <c r="Z81" s="139"/>
      <c r="AA81" s="139"/>
      <c r="AB81" s="139"/>
      <c r="AC81" s="142">
        <v>3</v>
      </c>
      <c r="AD81" s="142">
        <v>22</v>
      </c>
      <c r="AE81" s="142">
        <v>55</v>
      </c>
      <c r="AF81" s="139"/>
      <c r="AG81" s="139"/>
      <c r="AH81" s="142">
        <v>89</v>
      </c>
      <c r="AI81" s="139"/>
    </row>
    <row r="82" spans="1:35" ht="18" x14ac:dyDescent="0.3">
      <c r="A82" s="160" t="s">
        <v>1155</v>
      </c>
      <c r="B82" s="161">
        <v>45989</v>
      </c>
      <c r="C82" s="140" t="s">
        <v>331</v>
      </c>
      <c r="D82" s="162">
        <v>0.45833333333333331</v>
      </c>
      <c r="E82" s="140" t="s">
        <v>303</v>
      </c>
      <c r="F82" s="140" t="s">
        <v>174</v>
      </c>
      <c r="G82" s="163">
        <v>0.55310000000000004</v>
      </c>
      <c r="H82" s="142">
        <v>179</v>
      </c>
      <c r="I82" s="142">
        <v>99</v>
      </c>
      <c r="J82" s="142">
        <v>39</v>
      </c>
      <c r="K82" s="161">
        <v>45985</v>
      </c>
      <c r="L82" s="142">
        <v>1</v>
      </c>
      <c r="M82" s="142">
        <v>14</v>
      </c>
      <c r="N82" s="142">
        <v>46</v>
      </c>
      <c r="O82" s="140" t="s">
        <v>176</v>
      </c>
      <c r="P82" s="139"/>
      <c r="Q82" s="139"/>
      <c r="R82" s="139"/>
      <c r="S82" s="139"/>
      <c r="T82" s="139"/>
      <c r="U82" s="139"/>
      <c r="V82" s="139"/>
      <c r="W82" s="139"/>
      <c r="X82" s="139"/>
      <c r="Y82" s="142">
        <v>1</v>
      </c>
      <c r="Z82" s="139"/>
      <c r="AA82" s="139"/>
      <c r="AB82" s="139"/>
      <c r="AC82" s="139"/>
      <c r="AD82" s="142">
        <v>18</v>
      </c>
      <c r="AE82" s="142">
        <v>41</v>
      </c>
      <c r="AF82" s="139"/>
      <c r="AG82" s="139"/>
      <c r="AH82" s="142">
        <v>39</v>
      </c>
      <c r="AI82" s="139"/>
    </row>
    <row r="83" spans="1:35" ht="18" x14ac:dyDescent="0.3">
      <c r="A83" s="160" t="s">
        <v>224</v>
      </c>
      <c r="B83" s="161">
        <v>45990</v>
      </c>
      <c r="C83" s="140" t="s">
        <v>331</v>
      </c>
      <c r="D83" s="162">
        <v>0.68055555555555547</v>
      </c>
      <c r="E83" s="140" t="s">
        <v>303</v>
      </c>
      <c r="F83" s="140" t="s">
        <v>174</v>
      </c>
      <c r="G83" s="163">
        <v>0.90500000000000003</v>
      </c>
      <c r="H83" s="142">
        <v>179</v>
      </c>
      <c r="I83" s="142">
        <v>162</v>
      </c>
      <c r="J83" s="142">
        <v>107</v>
      </c>
      <c r="K83" s="161">
        <v>45984</v>
      </c>
      <c r="L83" s="142">
        <v>0</v>
      </c>
      <c r="M83" s="142">
        <v>7</v>
      </c>
      <c r="N83" s="142">
        <v>45</v>
      </c>
      <c r="O83" s="140" t="s">
        <v>201</v>
      </c>
      <c r="P83" s="139"/>
      <c r="Q83" s="139"/>
      <c r="R83" s="139"/>
      <c r="S83" s="139"/>
      <c r="T83" s="139"/>
      <c r="U83" s="139"/>
      <c r="V83" s="139"/>
      <c r="W83" s="139"/>
      <c r="X83" s="139"/>
      <c r="Y83" s="142">
        <v>1</v>
      </c>
      <c r="Z83" s="139"/>
      <c r="AA83" s="142">
        <v>9</v>
      </c>
      <c r="AB83" s="142">
        <v>9</v>
      </c>
      <c r="AC83" s="142">
        <v>11</v>
      </c>
      <c r="AD83" s="142">
        <v>20</v>
      </c>
      <c r="AE83" s="139"/>
      <c r="AF83" s="139"/>
      <c r="AG83" s="139"/>
      <c r="AH83" s="142">
        <v>102</v>
      </c>
      <c r="AI83" s="142">
        <v>10</v>
      </c>
    </row>
    <row r="84" spans="1:35" ht="18" x14ac:dyDescent="0.3">
      <c r="A84" s="160" t="s">
        <v>225</v>
      </c>
      <c r="B84" s="161">
        <v>45991</v>
      </c>
      <c r="C84" s="140" t="s">
        <v>331</v>
      </c>
      <c r="D84" s="162">
        <v>0.63194444444444442</v>
      </c>
      <c r="E84" s="140" t="s">
        <v>303</v>
      </c>
      <c r="F84" s="140" t="s">
        <v>174</v>
      </c>
      <c r="G84" s="163">
        <v>0.96650000000000003</v>
      </c>
      <c r="H84" s="142">
        <v>179</v>
      </c>
      <c r="I84" s="142">
        <v>173</v>
      </c>
      <c r="J84" s="142">
        <v>135</v>
      </c>
      <c r="K84" s="161">
        <v>45982</v>
      </c>
      <c r="L84" s="142">
        <v>0</v>
      </c>
      <c r="M84" s="142">
        <v>0</v>
      </c>
      <c r="N84" s="142">
        <v>3</v>
      </c>
      <c r="O84" s="140" t="s">
        <v>133</v>
      </c>
      <c r="P84" s="139"/>
      <c r="Q84" s="139"/>
      <c r="R84" s="139"/>
      <c r="S84" s="139"/>
      <c r="T84" s="139"/>
      <c r="U84" s="142">
        <v>1</v>
      </c>
      <c r="V84" s="139"/>
      <c r="W84" s="139"/>
      <c r="X84" s="139"/>
      <c r="Y84" s="142">
        <v>4</v>
      </c>
      <c r="Z84" s="139"/>
      <c r="AA84" s="139"/>
      <c r="AB84" s="142">
        <v>7</v>
      </c>
      <c r="AC84" s="142">
        <v>8</v>
      </c>
      <c r="AD84" s="142">
        <v>8</v>
      </c>
      <c r="AE84" s="142">
        <v>8</v>
      </c>
      <c r="AF84" s="142">
        <v>43</v>
      </c>
      <c r="AG84" s="139"/>
      <c r="AH84" s="142">
        <v>92</v>
      </c>
      <c r="AI84" s="142">
        <v>2</v>
      </c>
    </row>
    <row r="85" spans="1:35" ht="18" x14ac:dyDescent="0.3">
      <c r="A85" s="160" t="s">
        <v>222</v>
      </c>
      <c r="B85" s="161">
        <v>45986</v>
      </c>
      <c r="C85" s="140" t="s">
        <v>329</v>
      </c>
      <c r="D85" s="162">
        <v>0.55902777777777779</v>
      </c>
      <c r="E85" s="140" t="s">
        <v>303</v>
      </c>
      <c r="F85" s="140" t="s">
        <v>174</v>
      </c>
      <c r="G85" s="163">
        <v>0.9385</v>
      </c>
      <c r="H85" s="142">
        <v>179</v>
      </c>
      <c r="I85" s="142">
        <v>168</v>
      </c>
      <c r="J85" s="142">
        <v>117</v>
      </c>
      <c r="K85" s="161">
        <v>45979</v>
      </c>
      <c r="L85" s="142">
        <v>0</v>
      </c>
      <c r="M85" s="142">
        <v>0</v>
      </c>
      <c r="N85" s="142">
        <v>12</v>
      </c>
      <c r="O85" s="140" t="s">
        <v>133</v>
      </c>
      <c r="P85" s="139"/>
      <c r="Q85" s="139"/>
      <c r="R85" s="139"/>
      <c r="S85" s="139"/>
      <c r="T85" s="139"/>
      <c r="U85" s="139"/>
      <c r="V85" s="139"/>
      <c r="W85" s="139"/>
      <c r="X85" s="139"/>
      <c r="Y85" s="142">
        <v>2</v>
      </c>
      <c r="Z85" s="139"/>
      <c r="AA85" s="139"/>
      <c r="AB85" s="142">
        <v>1</v>
      </c>
      <c r="AC85" s="142">
        <v>15</v>
      </c>
      <c r="AD85" s="142">
        <v>15</v>
      </c>
      <c r="AE85" s="142">
        <v>15</v>
      </c>
      <c r="AF85" s="139"/>
      <c r="AG85" s="139"/>
      <c r="AH85" s="142">
        <v>117</v>
      </c>
      <c r="AI85" s="142">
        <v>3</v>
      </c>
    </row>
    <row r="86" spans="1:35" ht="18" x14ac:dyDescent="0.3">
      <c r="A86" s="160" t="s">
        <v>223</v>
      </c>
      <c r="B86" s="161">
        <v>45988</v>
      </c>
      <c r="C86" s="140" t="s">
        <v>329</v>
      </c>
      <c r="D86" s="162">
        <v>0.73958333333333337</v>
      </c>
      <c r="E86" s="140" t="s">
        <v>303</v>
      </c>
      <c r="F86" s="140" t="s">
        <v>174</v>
      </c>
      <c r="G86" s="163">
        <v>0.70389999999999997</v>
      </c>
      <c r="H86" s="142">
        <v>179</v>
      </c>
      <c r="I86" s="142">
        <v>126</v>
      </c>
      <c r="J86" s="142">
        <v>44</v>
      </c>
      <c r="K86" s="161">
        <v>45984</v>
      </c>
      <c r="L86" s="142">
        <v>0</v>
      </c>
      <c r="M86" s="142">
        <v>2</v>
      </c>
      <c r="N86" s="142">
        <v>53</v>
      </c>
      <c r="O86" s="140" t="s">
        <v>322</v>
      </c>
      <c r="P86" s="139"/>
      <c r="Q86" s="139"/>
      <c r="R86" s="139"/>
      <c r="S86" s="139"/>
      <c r="T86" s="139"/>
      <c r="U86" s="139"/>
      <c r="V86" s="139"/>
      <c r="W86" s="139"/>
      <c r="X86" s="139"/>
      <c r="Y86" s="142">
        <v>1</v>
      </c>
      <c r="Z86" s="139"/>
      <c r="AA86" s="139"/>
      <c r="AB86" s="139"/>
      <c r="AC86" s="142">
        <v>4</v>
      </c>
      <c r="AD86" s="142">
        <v>30</v>
      </c>
      <c r="AE86" s="142">
        <v>45</v>
      </c>
      <c r="AF86" s="142">
        <v>44</v>
      </c>
      <c r="AG86" s="139"/>
      <c r="AH86" s="139"/>
      <c r="AI86" s="142">
        <v>2</v>
      </c>
    </row>
    <row r="87" spans="1:35" ht="18" x14ac:dyDescent="0.3">
      <c r="A87" s="160" t="s">
        <v>1155</v>
      </c>
      <c r="B87" s="161">
        <v>45989</v>
      </c>
      <c r="C87" s="140" t="s">
        <v>329</v>
      </c>
      <c r="D87" s="162">
        <v>0.61458333333333337</v>
      </c>
      <c r="E87" s="140" t="s">
        <v>303</v>
      </c>
      <c r="F87" s="140" t="s">
        <v>174</v>
      </c>
      <c r="G87" s="163">
        <v>0.78210000000000002</v>
      </c>
      <c r="H87" s="142">
        <v>179</v>
      </c>
      <c r="I87" s="142">
        <v>140</v>
      </c>
      <c r="J87" s="142">
        <v>68</v>
      </c>
      <c r="K87" s="161">
        <v>45985</v>
      </c>
      <c r="L87" s="142">
        <v>1</v>
      </c>
      <c r="M87" s="142">
        <v>8</v>
      </c>
      <c r="N87" s="142">
        <v>48</v>
      </c>
      <c r="O87" s="140" t="s">
        <v>202</v>
      </c>
      <c r="P87" s="139"/>
      <c r="Q87" s="139"/>
      <c r="R87" s="139"/>
      <c r="S87" s="139"/>
      <c r="T87" s="139"/>
      <c r="U87" s="139"/>
      <c r="V87" s="139"/>
      <c r="W87" s="142">
        <v>1</v>
      </c>
      <c r="X87" s="142">
        <v>1</v>
      </c>
      <c r="Y87" s="142">
        <v>1</v>
      </c>
      <c r="Z87" s="139"/>
      <c r="AA87" s="139"/>
      <c r="AB87" s="139"/>
      <c r="AC87" s="142">
        <v>3</v>
      </c>
      <c r="AD87" s="142">
        <v>41</v>
      </c>
      <c r="AE87" s="142">
        <v>25</v>
      </c>
      <c r="AF87" s="139"/>
      <c r="AG87" s="139"/>
      <c r="AH87" s="142">
        <v>68</v>
      </c>
      <c r="AI87" s="139"/>
    </row>
    <row r="88" spans="1:35" ht="18" x14ac:dyDescent="0.3">
      <c r="A88" s="160" t="s">
        <v>222</v>
      </c>
      <c r="B88" s="161">
        <v>45986</v>
      </c>
      <c r="C88" s="140" t="s">
        <v>758</v>
      </c>
      <c r="D88" s="162">
        <v>0.1145833333333333</v>
      </c>
      <c r="E88" s="140" t="s">
        <v>757</v>
      </c>
      <c r="F88" s="140" t="s">
        <v>174</v>
      </c>
      <c r="G88" s="163">
        <v>1.0713999999999999</v>
      </c>
      <c r="H88" s="142">
        <v>168</v>
      </c>
      <c r="I88" s="142">
        <v>180</v>
      </c>
      <c r="J88" s="142">
        <v>180</v>
      </c>
      <c r="K88" s="161">
        <v>45978</v>
      </c>
      <c r="L88" s="142">
        <v>0</v>
      </c>
      <c r="M88" s="142">
        <v>0</v>
      </c>
      <c r="N88" s="142">
        <v>8</v>
      </c>
      <c r="O88" s="140" t="s">
        <v>133</v>
      </c>
      <c r="P88" s="139"/>
      <c r="Q88" s="139"/>
      <c r="R88" s="139"/>
      <c r="S88" s="139"/>
      <c r="T88" s="139"/>
      <c r="U88" s="139"/>
      <c r="V88" s="139"/>
      <c r="W88" s="139"/>
      <c r="X88" s="139"/>
      <c r="Y88" s="139"/>
      <c r="Z88" s="139"/>
      <c r="AA88" s="139"/>
      <c r="AB88" s="142">
        <v>83</v>
      </c>
      <c r="AC88" s="142">
        <v>97</v>
      </c>
      <c r="AD88" s="139"/>
      <c r="AE88" s="139"/>
      <c r="AF88" s="139"/>
      <c r="AG88" s="139"/>
      <c r="AH88" s="139"/>
      <c r="AI88" s="139"/>
    </row>
    <row r="89" spans="1:35" ht="18" x14ac:dyDescent="0.3">
      <c r="A89" s="160" t="s">
        <v>222</v>
      </c>
      <c r="B89" s="161">
        <v>45986</v>
      </c>
      <c r="C89" s="140" t="s">
        <v>764</v>
      </c>
      <c r="D89" s="162">
        <v>0.79166666666666663</v>
      </c>
      <c r="E89" s="140" t="s">
        <v>757</v>
      </c>
      <c r="F89" s="140" t="s">
        <v>174</v>
      </c>
      <c r="G89" s="163">
        <v>1.0713999999999999</v>
      </c>
      <c r="H89" s="142">
        <v>168</v>
      </c>
      <c r="I89" s="142">
        <v>180</v>
      </c>
      <c r="J89" s="142">
        <v>180</v>
      </c>
      <c r="K89" s="161">
        <v>45971</v>
      </c>
      <c r="L89" s="142">
        <v>0</v>
      </c>
      <c r="M89" s="142">
        <v>0</v>
      </c>
      <c r="N89" s="142">
        <v>0</v>
      </c>
      <c r="O89" s="140" t="s">
        <v>133</v>
      </c>
      <c r="P89" s="139"/>
      <c r="Q89" s="139"/>
      <c r="R89" s="139"/>
      <c r="S89" s="139"/>
      <c r="T89" s="139"/>
      <c r="U89" s="139"/>
      <c r="V89" s="139"/>
      <c r="W89" s="139"/>
      <c r="X89" s="139"/>
      <c r="Y89" s="139"/>
      <c r="Z89" s="139"/>
      <c r="AA89" s="139"/>
      <c r="AB89" s="142">
        <v>45</v>
      </c>
      <c r="AC89" s="142">
        <v>135</v>
      </c>
      <c r="AD89" s="139"/>
      <c r="AE89" s="139"/>
      <c r="AF89" s="139"/>
      <c r="AG89" s="139"/>
      <c r="AH89" s="139"/>
      <c r="AI89" s="139"/>
    </row>
    <row r="90" spans="1:35" ht="18" x14ac:dyDescent="0.3">
      <c r="A90" s="160" t="s">
        <v>222</v>
      </c>
      <c r="B90" s="161">
        <v>45986</v>
      </c>
      <c r="C90" s="140" t="s">
        <v>228</v>
      </c>
      <c r="D90" s="162">
        <v>0.3263888888888889</v>
      </c>
      <c r="E90" s="140" t="s">
        <v>226</v>
      </c>
      <c r="F90" s="140" t="s">
        <v>174</v>
      </c>
      <c r="G90" s="163">
        <v>0.99439999999999995</v>
      </c>
      <c r="H90" s="142">
        <v>179</v>
      </c>
      <c r="I90" s="142">
        <v>178</v>
      </c>
      <c r="J90" s="142">
        <v>153</v>
      </c>
      <c r="K90" s="161">
        <v>45984</v>
      </c>
      <c r="L90" s="142">
        <v>0</v>
      </c>
      <c r="M90" s="142">
        <v>2</v>
      </c>
      <c r="N90" s="142">
        <v>15</v>
      </c>
      <c r="O90" s="140" t="s">
        <v>229</v>
      </c>
      <c r="P90" s="139"/>
      <c r="Q90" s="142">
        <v>1</v>
      </c>
      <c r="R90" s="139"/>
      <c r="S90" s="142">
        <v>1</v>
      </c>
      <c r="T90" s="142">
        <v>3</v>
      </c>
      <c r="U90" s="142">
        <v>4</v>
      </c>
      <c r="V90" s="142">
        <v>2</v>
      </c>
      <c r="W90" s="142">
        <v>6</v>
      </c>
      <c r="X90" s="139"/>
      <c r="Y90" s="139"/>
      <c r="Z90" s="139"/>
      <c r="AA90" s="139"/>
      <c r="AB90" s="142">
        <v>8</v>
      </c>
      <c r="AC90" s="139"/>
      <c r="AD90" s="139"/>
      <c r="AE90" s="139"/>
      <c r="AF90" s="139"/>
      <c r="AG90" s="139"/>
      <c r="AH90" s="142">
        <v>153</v>
      </c>
      <c r="AI90" s="139"/>
    </row>
    <row r="91" spans="1:35" ht="18" x14ac:dyDescent="0.3">
      <c r="A91" s="160" t="s">
        <v>1154</v>
      </c>
      <c r="B91" s="161">
        <v>45987</v>
      </c>
      <c r="C91" s="140" t="s">
        <v>228</v>
      </c>
      <c r="D91" s="162">
        <v>0.94444444444444453</v>
      </c>
      <c r="E91" s="140" t="s">
        <v>226</v>
      </c>
      <c r="F91" s="140" t="s">
        <v>174</v>
      </c>
      <c r="G91" s="163">
        <v>0.94410000000000005</v>
      </c>
      <c r="H91" s="142">
        <v>179</v>
      </c>
      <c r="I91" s="142">
        <v>169</v>
      </c>
      <c r="J91" s="142">
        <v>135</v>
      </c>
      <c r="K91" s="161">
        <v>45981</v>
      </c>
      <c r="L91" s="142">
        <v>0</v>
      </c>
      <c r="M91" s="142">
        <v>0</v>
      </c>
      <c r="N91" s="142">
        <v>2</v>
      </c>
      <c r="O91" s="140" t="s">
        <v>243</v>
      </c>
      <c r="P91" s="139"/>
      <c r="Q91" s="139"/>
      <c r="R91" s="139"/>
      <c r="S91" s="139"/>
      <c r="T91" s="142">
        <v>3</v>
      </c>
      <c r="U91" s="139"/>
      <c r="V91" s="139"/>
      <c r="W91" s="139"/>
      <c r="X91" s="139"/>
      <c r="Y91" s="142">
        <v>2</v>
      </c>
      <c r="Z91" s="139"/>
      <c r="AA91" s="139"/>
      <c r="AB91" s="142">
        <v>7</v>
      </c>
      <c r="AC91" s="142">
        <v>8</v>
      </c>
      <c r="AD91" s="142">
        <v>8</v>
      </c>
      <c r="AE91" s="142">
        <v>6</v>
      </c>
      <c r="AF91" s="139"/>
      <c r="AG91" s="139"/>
      <c r="AH91" s="142">
        <v>135</v>
      </c>
      <c r="AI91" s="139"/>
    </row>
    <row r="92" spans="1:35" ht="18" x14ac:dyDescent="0.3">
      <c r="A92" s="160" t="s">
        <v>223</v>
      </c>
      <c r="B92" s="161">
        <v>45988</v>
      </c>
      <c r="C92" s="140" t="s">
        <v>228</v>
      </c>
      <c r="D92" s="162">
        <v>0.64583333333333337</v>
      </c>
      <c r="E92" s="140" t="s">
        <v>226</v>
      </c>
      <c r="F92" s="140" t="s">
        <v>174</v>
      </c>
      <c r="G92" s="163">
        <v>0.97770000000000001</v>
      </c>
      <c r="H92" s="142">
        <v>179</v>
      </c>
      <c r="I92" s="142">
        <v>175</v>
      </c>
      <c r="J92" s="142">
        <v>121</v>
      </c>
      <c r="K92" s="161">
        <v>45981</v>
      </c>
      <c r="L92" s="142">
        <v>0</v>
      </c>
      <c r="M92" s="142">
        <v>0</v>
      </c>
      <c r="N92" s="142">
        <v>4</v>
      </c>
      <c r="O92" s="140" t="s">
        <v>251</v>
      </c>
      <c r="P92" s="139"/>
      <c r="Q92" s="139"/>
      <c r="R92" s="139"/>
      <c r="S92" s="139"/>
      <c r="T92" s="139"/>
      <c r="U92" s="139"/>
      <c r="V92" s="142">
        <v>1</v>
      </c>
      <c r="W92" s="142">
        <v>6</v>
      </c>
      <c r="X92" s="139"/>
      <c r="Y92" s="142">
        <v>29</v>
      </c>
      <c r="Z92" s="139"/>
      <c r="AA92" s="142">
        <v>8</v>
      </c>
      <c r="AB92" s="142">
        <v>10</v>
      </c>
      <c r="AC92" s="139"/>
      <c r="AD92" s="139"/>
      <c r="AE92" s="139"/>
      <c r="AF92" s="139"/>
      <c r="AG92" s="139"/>
      <c r="AH92" s="142">
        <v>121</v>
      </c>
      <c r="AI92" s="139"/>
    </row>
    <row r="93" spans="1:35" ht="18" x14ac:dyDescent="0.3">
      <c r="A93" s="160" t="s">
        <v>225</v>
      </c>
      <c r="B93" s="161">
        <v>45991</v>
      </c>
      <c r="C93" s="140" t="s">
        <v>228</v>
      </c>
      <c r="D93" s="162">
        <v>0.40277777777777768</v>
      </c>
      <c r="E93" s="140" t="s">
        <v>226</v>
      </c>
      <c r="F93" s="140" t="s">
        <v>174</v>
      </c>
      <c r="G93" s="163">
        <v>0.94969999999999999</v>
      </c>
      <c r="H93" s="142">
        <v>179</v>
      </c>
      <c r="I93" s="142">
        <v>170</v>
      </c>
      <c r="J93" s="142">
        <v>144</v>
      </c>
      <c r="K93" s="161">
        <v>45981</v>
      </c>
      <c r="L93" s="142">
        <v>0</v>
      </c>
      <c r="M93" s="142">
        <v>0</v>
      </c>
      <c r="N93" s="142">
        <v>5</v>
      </c>
      <c r="O93" s="140" t="s">
        <v>262</v>
      </c>
      <c r="P93" s="139"/>
      <c r="Q93" s="139"/>
      <c r="R93" s="139"/>
      <c r="S93" s="142">
        <v>3</v>
      </c>
      <c r="T93" s="139"/>
      <c r="U93" s="139"/>
      <c r="V93" s="139"/>
      <c r="W93" s="139"/>
      <c r="X93" s="139"/>
      <c r="Y93" s="142">
        <v>14</v>
      </c>
      <c r="Z93" s="139"/>
      <c r="AA93" s="139"/>
      <c r="AB93" s="142">
        <v>9</v>
      </c>
      <c r="AC93" s="139"/>
      <c r="AD93" s="139"/>
      <c r="AE93" s="139"/>
      <c r="AF93" s="139"/>
      <c r="AG93" s="139"/>
      <c r="AH93" s="142">
        <v>144</v>
      </c>
      <c r="AI93" s="139"/>
    </row>
    <row r="94" spans="1:35" ht="18" x14ac:dyDescent="0.3">
      <c r="A94" s="160" t="s">
        <v>222</v>
      </c>
      <c r="B94" s="161">
        <v>45986</v>
      </c>
      <c r="C94" s="140" t="s">
        <v>40</v>
      </c>
      <c r="D94" s="162">
        <v>0.27777777777777779</v>
      </c>
      <c r="E94" s="140" t="s">
        <v>1</v>
      </c>
      <c r="F94" s="140" t="s">
        <v>174</v>
      </c>
      <c r="G94" s="163">
        <v>0.5655</v>
      </c>
      <c r="H94" s="142">
        <v>168</v>
      </c>
      <c r="I94" s="142">
        <v>95</v>
      </c>
      <c r="J94" s="142">
        <v>0</v>
      </c>
      <c r="K94" s="161">
        <v>45984</v>
      </c>
      <c r="L94" s="142">
        <v>0</v>
      </c>
      <c r="M94" s="142">
        <v>3</v>
      </c>
      <c r="N94" s="142">
        <v>13</v>
      </c>
      <c r="O94" s="140" t="s">
        <v>41</v>
      </c>
      <c r="P94" s="139"/>
      <c r="Q94" s="139"/>
      <c r="R94" s="139"/>
      <c r="S94" s="139"/>
      <c r="T94" s="139"/>
      <c r="U94" s="139"/>
      <c r="V94" s="139"/>
      <c r="W94" s="142">
        <v>4</v>
      </c>
      <c r="X94" s="142">
        <v>19</v>
      </c>
      <c r="Y94" s="142">
        <v>9</v>
      </c>
      <c r="Z94" s="142">
        <v>13</v>
      </c>
      <c r="AA94" s="142">
        <v>10</v>
      </c>
      <c r="AB94" s="142">
        <v>10</v>
      </c>
      <c r="AC94" s="142">
        <v>10</v>
      </c>
      <c r="AD94" s="142">
        <v>10</v>
      </c>
      <c r="AE94" s="142">
        <v>10</v>
      </c>
      <c r="AF94" s="139"/>
      <c r="AG94" s="139"/>
      <c r="AH94" s="139"/>
      <c r="AI94" s="139"/>
    </row>
    <row r="95" spans="1:35" ht="18" x14ac:dyDescent="0.3">
      <c r="A95" s="160" t="s">
        <v>224</v>
      </c>
      <c r="B95" s="161">
        <v>45990</v>
      </c>
      <c r="C95" s="140" t="s">
        <v>40</v>
      </c>
      <c r="D95" s="162">
        <v>0.95486111111111116</v>
      </c>
      <c r="E95" s="140" t="s">
        <v>288</v>
      </c>
      <c r="F95" s="140" t="s">
        <v>174</v>
      </c>
      <c r="G95" s="163">
        <v>0.57740000000000002</v>
      </c>
      <c r="H95" s="142">
        <v>168</v>
      </c>
      <c r="I95" s="142">
        <v>97</v>
      </c>
      <c r="J95" s="142">
        <v>0</v>
      </c>
      <c r="K95" s="161">
        <v>45985</v>
      </c>
      <c r="L95" s="142">
        <v>1</v>
      </c>
      <c r="M95" s="142">
        <v>2</v>
      </c>
      <c r="N95" s="142">
        <v>43</v>
      </c>
      <c r="O95" s="140" t="s">
        <v>285</v>
      </c>
      <c r="P95" s="139"/>
      <c r="Q95" s="139"/>
      <c r="R95" s="139"/>
      <c r="S95" s="139"/>
      <c r="T95" s="139"/>
      <c r="U95" s="139"/>
      <c r="V95" s="139"/>
      <c r="W95" s="139"/>
      <c r="X95" s="139"/>
      <c r="Y95" s="142">
        <v>8</v>
      </c>
      <c r="Z95" s="139"/>
      <c r="AA95" s="139"/>
      <c r="AB95" s="142">
        <v>9</v>
      </c>
      <c r="AC95" s="142">
        <v>32</v>
      </c>
      <c r="AD95" s="142">
        <v>30</v>
      </c>
      <c r="AE95" s="142">
        <v>18</v>
      </c>
      <c r="AF95" s="139"/>
      <c r="AG95" s="139"/>
      <c r="AH95" s="139"/>
      <c r="AI95" s="139"/>
    </row>
    <row r="96" spans="1:35" ht="18" x14ac:dyDescent="0.3">
      <c r="A96" s="160" t="s">
        <v>1154</v>
      </c>
      <c r="B96" s="161">
        <v>45987</v>
      </c>
      <c r="C96" s="140" t="s">
        <v>291</v>
      </c>
      <c r="D96" s="162">
        <v>0.61805555555555558</v>
      </c>
      <c r="E96" s="140" t="s">
        <v>288</v>
      </c>
      <c r="F96" s="140" t="s">
        <v>174</v>
      </c>
      <c r="G96" s="163">
        <v>0.84519999999999995</v>
      </c>
      <c r="H96" s="142">
        <v>168</v>
      </c>
      <c r="I96" s="142">
        <v>142</v>
      </c>
      <c r="J96" s="142">
        <v>50</v>
      </c>
      <c r="K96" s="161">
        <v>45984</v>
      </c>
      <c r="L96" s="142">
        <v>0</v>
      </c>
      <c r="M96" s="142">
        <v>5</v>
      </c>
      <c r="N96" s="142">
        <v>39</v>
      </c>
      <c r="O96" s="140" t="s">
        <v>216</v>
      </c>
      <c r="P96" s="139"/>
      <c r="Q96" s="139"/>
      <c r="R96" s="139"/>
      <c r="S96" s="139"/>
      <c r="T96" s="139"/>
      <c r="U96" s="139"/>
      <c r="V96" s="139"/>
      <c r="W96" s="139"/>
      <c r="X96" s="139"/>
      <c r="Y96" s="142">
        <v>11</v>
      </c>
      <c r="Z96" s="139"/>
      <c r="AA96" s="139"/>
      <c r="AB96" s="142">
        <v>11</v>
      </c>
      <c r="AC96" s="142">
        <v>20</v>
      </c>
      <c r="AD96" s="142">
        <v>25</v>
      </c>
      <c r="AE96" s="142">
        <v>25</v>
      </c>
      <c r="AF96" s="139"/>
      <c r="AG96" s="139"/>
      <c r="AH96" s="142">
        <v>50</v>
      </c>
      <c r="AI96" s="139"/>
    </row>
    <row r="97" spans="1:35" ht="18" x14ac:dyDescent="0.3">
      <c r="A97" s="160" t="s">
        <v>1154</v>
      </c>
      <c r="B97" s="161">
        <v>45987</v>
      </c>
      <c r="C97" s="140" t="s">
        <v>720</v>
      </c>
      <c r="D97" s="162">
        <v>0.33333333333333331</v>
      </c>
      <c r="E97" s="140" t="s">
        <v>703</v>
      </c>
      <c r="F97" s="140" t="s">
        <v>174</v>
      </c>
      <c r="G97" s="163">
        <v>0.96430000000000005</v>
      </c>
      <c r="H97" s="142">
        <v>168</v>
      </c>
      <c r="I97" s="142">
        <v>162</v>
      </c>
      <c r="J97" s="142">
        <v>108</v>
      </c>
      <c r="K97" s="161">
        <v>45985</v>
      </c>
      <c r="L97" s="142">
        <v>1</v>
      </c>
      <c r="M97" s="142">
        <v>7</v>
      </c>
      <c r="N97" s="142">
        <v>24</v>
      </c>
      <c r="O97" s="140" t="s">
        <v>488</v>
      </c>
      <c r="P97" s="139"/>
      <c r="Q97" s="139"/>
      <c r="R97" s="139"/>
      <c r="S97" s="139"/>
      <c r="T97" s="139"/>
      <c r="U97" s="139"/>
      <c r="V97" s="139"/>
      <c r="W97" s="139"/>
      <c r="X97" s="139"/>
      <c r="Y97" s="142">
        <v>4</v>
      </c>
      <c r="Z97" s="139"/>
      <c r="AA97" s="139"/>
      <c r="AB97" s="139"/>
      <c r="AC97" s="142">
        <v>7</v>
      </c>
      <c r="AD97" s="142">
        <v>13</v>
      </c>
      <c r="AE97" s="142">
        <v>30</v>
      </c>
      <c r="AF97" s="142">
        <v>30</v>
      </c>
      <c r="AG97" s="139"/>
      <c r="AH97" s="142">
        <v>78</v>
      </c>
      <c r="AI97" s="139"/>
    </row>
    <row r="98" spans="1:35" ht="18" x14ac:dyDescent="0.3">
      <c r="A98" s="160" t="s">
        <v>1155</v>
      </c>
      <c r="B98" s="161">
        <v>45989</v>
      </c>
      <c r="C98" s="140" t="s">
        <v>720</v>
      </c>
      <c r="D98" s="162">
        <v>0.29166666666666669</v>
      </c>
      <c r="E98" s="140" t="s">
        <v>703</v>
      </c>
      <c r="F98" s="140" t="s">
        <v>174</v>
      </c>
      <c r="G98" s="163">
        <v>0.59519999999999995</v>
      </c>
      <c r="H98" s="142">
        <v>168</v>
      </c>
      <c r="I98" s="142">
        <v>100</v>
      </c>
      <c r="J98" s="142">
        <v>2</v>
      </c>
      <c r="K98" s="161">
        <v>45984</v>
      </c>
      <c r="L98" s="142">
        <v>0</v>
      </c>
      <c r="M98" s="142">
        <v>8</v>
      </c>
      <c r="N98" s="142">
        <v>43</v>
      </c>
      <c r="O98" s="140" t="s">
        <v>522</v>
      </c>
      <c r="P98" s="139"/>
      <c r="Q98" s="139"/>
      <c r="R98" s="139"/>
      <c r="S98" s="139"/>
      <c r="T98" s="139"/>
      <c r="U98" s="139"/>
      <c r="V98" s="139"/>
      <c r="W98" s="139"/>
      <c r="X98" s="139"/>
      <c r="Y98" s="142">
        <v>3</v>
      </c>
      <c r="Z98" s="142">
        <v>1</v>
      </c>
      <c r="AA98" s="139"/>
      <c r="AB98" s="142">
        <v>6</v>
      </c>
      <c r="AC98" s="142">
        <v>13</v>
      </c>
      <c r="AD98" s="142">
        <v>26</v>
      </c>
      <c r="AE98" s="142">
        <v>49</v>
      </c>
      <c r="AF98" s="139"/>
      <c r="AG98" s="139"/>
      <c r="AH98" s="142">
        <v>2</v>
      </c>
      <c r="AI98" s="139"/>
    </row>
    <row r="99" spans="1:35" ht="18" x14ac:dyDescent="0.3">
      <c r="A99" s="160" t="s">
        <v>224</v>
      </c>
      <c r="B99" s="161">
        <v>45990</v>
      </c>
      <c r="C99" s="140" t="s">
        <v>720</v>
      </c>
      <c r="D99" s="162">
        <v>0.30208333333333331</v>
      </c>
      <c r="E99" s="140" t="s">
        <v>703</v>
      </c>
      <c r="F99" s="140" t="s">
        <v>174</v>
      </c>
      <c r="G99" s="163">
        <v>0.77380000000000004</v>
      </c>
      <c r="H99" s="142">
        <v>168</v>
      </c>
      <c r="I99" s="142">
        <v>130</v>
      </c>
      <c r="J99" s="142">
        <v>95</v>
      </c>
      <c r="K99" s="161">
        <v>45984</v>
      </c>
      <c r="L99" s="142">
        <v>0</v>
      </c>
      <c r="M99" s="142">
        <v>4</v>
      </c>
      <c r="N99" s="142">
        <v>13</v>
      </c>
      <c r="O99" s="140" t="s">
        <v>276</v>
      </c>
      <c r="P99" s="139"/>
      <c r="Q99" s="139"/>
      <c r="R99" s="139"/>
      <c r="S99" s="139"/>
      <c r="T99" s="139"/>
      <c r="U99" s="139"/>
      <c r="V99" s="139"/>
      <c r="W99" s="139"/>
      <c r="X99" s="139"/>
      <c r="Y99" s="142">
        <v>8</v>
      </c>
      <c r="Z99" s="142">
        <v>1</v>
      </c>
      <c r="AA99" s="139"/>
      <c r="AB99" s="142">
        <v>12</v>
      </c>
      <c r="AC99" s="142">
        <v>8</v>
      </c>
      <c r="AD99" s="142">
        <v>2</v>
      </c>
      <c r="AE99" s="142">
        <v>4</v>
      </c>
      <c r="AF99" s="139"/>
      <c r="AG99" s="139"/>
      <c r="AH99" s="142">
        <v>95</v>
      </c>
      <c r="AI99" s="139"/>
    </row>
    <row r="100" spans="1:35" ht="18" x14ac:dyDescent="0.3">
      <c r="A100" s="160" t="s">
        <v>225</v>
      </c>
      <c r="B100" s="161">
        <v>45991</v>
      </c>
      <c r="C100" s="140" t="s">
        <v>720</v>
      </c>
      <c r="D100" s="162">
        <v>0.76736111111111116</v>
      </c>
      <c r="E100" s="140" t="s">
        <v>703</v>
      </c>
      <c r="F100" s="140" t="s">
        <v>174</v>
      </c>
      <c r="G100" s="163">
        <v>0.80359999999999998</v>
      </c>
      <c r="H100" s="142">
        <v>168</v>
      </c>
      <c r="I100" s="142">
        <v>135</v>
      </c>
      <c r="J100" s="142">
        <v>75</v>
      </c>
      <c r="K100" s="161">
        <v>45984</v>
      </c>
      <c r="L100" s="142">
        <v>0</v>
      </c>
      <c r="M100" s="142">
        <v>11</v>
      </c>
      <c r="N100" s="142">
        <v>29</v>
      </c>
      <c r="O100" s="140" t="s">
        <v>488</v>
      </c>
      <c r="P100" s="139"/>
      <c r="Q100" s="139"/>
      <c r="R100" s="139"/>
      <c r="S100" s="139"/>
      <c r="T100" s="139"/>
      <c r="U100" s="139"/>
      <c r="V100" s="139"/>
      <c r="W100" s="139"/>
      <c r="X100" s="139"/>
      <c r="Y100" s="142">
        <v>7</v>
      </c>
      <c r="Z100" s="139"/>
      <c r="AA100" s="139"/>
      <c r="AB100" s="142">
        <v>4</v>
      </c>
      <c r="AC100" s="142">
        <v>14</v>
      </c>
      <c r="AD100" s="142">
        <v>15</v>
      </c>
      <c r="AE100" s="142">
        <v>20</v>
      </c>
      <c r="AF100" s="139"/>
      <c r="AG100" s="139"/>
      <c r="AH100" s="142">
        <v>75</v>
      </c>
      <c r="AI100" s="139"/>
    </row>
    <row r="101" spans="1:35" ht="18" x14ac:dyDescent="0.3">
      <c r="A101" s="160" t="s">
        <v>222</v>
      </c>
      <c r="B101" s="161">
        <v>45986</v>
      </c>
      <c r="C101" s="140" t="s">
        <v>52</v>
      </c>
      <c r="D101" s="162">
        <v>0.97916666666666663</v>
      </c>
      <c r="E101" s="140" t="s">
        <v>1</v>
      </c>
      <c r="F101" s="140" t="s">
        <v>174</v>
      </c>
      <c r="G101" s="163">
        <v>0.98880000000000001</v>
      </c>
      <c r="H101" s="142">
        <v>179</v>
      </c>
      <c r="I101" s="142">
        <v>177</v>
      </c>
      <c r="J101" s="142">
        <v>122</v>
      </c>
      <c r="K101" s="161">
        <v>45980</v>
      </c>
      <c r="L101" s="142">
        <v>0</v>
      </c>
      <c r="M101" s="142">
        <v>0</v>
      </c>
      <c r="N101" s="142">
        <v>1</v>
      </c>
      <c r="O101" s="140" t="s">
        <v>53</v>
      </c>
      <c r="P101" s="139"/>
      <c r="Q101" s="139"/>
      <c r="R101" s="139"/>
      <c r="S101" s="139"/>
      <c r="T101" s="142">
        <v>2</v>
      </c>
      <c r="U101" s="142">
        <v>5</v>
      </c>
      <c r="V101" s="142">
        <v>4</v>
      </c>
      <c r="W101" s="139"/>
      <c r="X101" s="139"/>
      <c r="Y101" s="142">
        <v>11</v>
      </c>
      <c r="Z101" s="139"/>
      <c r="AA101" s="139"/>
      <c r="AB101" s="142">
        <v>3</v>
      </c>
      <c r="AC101" s="142">
        <v>5</v>
      </c>
      <c r="AD101" s="142">
        <v>8</v>
      </c>
      <c r="AE101" s="142">
        <v>17</v>
      </c>
      <c r="AF101" s="139"/>
      <c r="AG101" s="139"/>
      <c r="AH101" s="142">
        <v>122</v>
      </c>
      <c r="AI101" s="139"/>
    </row>
    <row r="102" spans="1:35" ht="18" x14ac:dyDescent="0.3">
      <c r="A102" s="160" t="s">
        <v>223</v>
      </c>
      <c r="B102" s="161">
        <v>45988</v>
      </c>
      <c r="C102" s="140" t="s">
        <v>52</v>
      </c>
      <c r="D102" s="162">
        <v>0.53819444444444442</v>
      </c>
      <c r="E102" s="140" t="s">
        <v>1</v>
      </c>
      <c r="F102" s="140" t="s">
        <v>174</v>
      </c>
      <c r="G102" s="163">
        <v>0.98280000000000001</v>
      </c>
      <c r="H102" s="142">
        <v>174</v>
      </c>
      <c r="I102" s="142">
        <v>171</v>
      </c>
      <c r="J102" s="142">
        <v>128</v>
      </c>
      <c r="K102" s="161">
        <v>45981</v>
      </c>
      <c r="L102" s="142">
        <v>0</v>
      </c>
      <c r="M102" s="142">
        <v>0</v>
      </c>
      <c r="N102" s="142">
        <v>4</v>
      </c>
      <c r="O102" s="140" t="s">
        <v>120</v>
      </c>
      <c r="P102" s="139"/>
      <c r="Q102" s="139"/>
      <c r="R102" s="139"/>
      <c r="S102" s="139"/>
      <c r="T102" s="139"/>
      <c r="U102" s="139"/>
      <c r="V102" s="142">
        <v>7</v>
      </c>
      <c r="W102" s="142">
        <v>2</v>
      </c>
      <c r="X102" s="139"/>
      <c r="Y102" s="142">
        <v>1</v>
      </c>
      <c r="Z102" s="139"/>
      <c r="AA102" s="139"/>
      <c r="AB102" s="139"/>
      <c r="AC102" s="142">
        <v>6</v>
      </c>
      <c r="AD102" s="142">
        <v>9</v>
      </c>
      <c r="AE102" s="142">
        <v>17</v>
      </c>
      <c r="AF102" s="139"/>
      <c r="AG102" s="139"/>
      <c r="AH102" s="142">
        <v>128</v>
      </c>
      <c r="AI102" s="142">
        <v>1</v>
      </c>
    </row>
    <row r="103" spans="1:35" ht="18" x14ac:dyDescent="0.3">
      <c r="A103" s="160" t="s">
        <v>224</v>
      </c>
      <c r="B103" s="161">
        <v>45990</v>
      </c>
      <c r="C103" s="140" t="s">
        <v>52</v>
      </c>
      <c r="D103" s="162">
        <v>0.39583333333333331</v>
      </c>
      <c r="E103" s="140" t="s">
        <v>1</v>
      </c>
      <c r="F103" s="140" t="s">
        <v>174</v>
      </c>
      <c r="G103" s="163">
        <v>1.0298</v>
      </c>
      <c r="H103" s="142">
        <v>168</v>
      </c>
      <c r="I103" s="142">
        <v>173</v>
      </c>
      <c r="J103" s="142">
        <v>131</v>
      </c>
      <c r="K103" s="161">
        <v>45970</v>
      </c>
      <c r="L103" s="142">
        <v>0</v>
      </c>
      <c r="M103" s="142">
        <v>0</v>
      </c>
      <c r="N103" s="142">
        <v>0</v>
      </c>
      <c r="O103" s="140" t="s">
        <v>133</v>
      </c>
      <c r="P103" s="139"/>
      <c r="Q103" s="139"/>
      <c r="R103" s="139"/>
      <c r="S103" s="139"/>
      <c r="T103" s="139"/>
      <c r="U103" s="139"/>
      <c r="V103" s="139"/>
      <c r="W103" s="139"/>
      <c r="X103" s="142">
        <v>2</v>
      </c>
      <c r="Y103" s="142">
        <v>12</v>
      </c>
      <c r="Z103" s="139"/>
      <c r="AA103" s="139"/>
      <c r="AB103" s="139"/>
      <c r="AC103" s="139"/>
      <c r="AD103" s="139"/>
      <c r="AE103" s="142">
        <v>22</v>
      </c>
      <c r="AF103" s="139"/>
      <c r="AG103" s="139"/>
      <c r="AH103" s="142">
        <v>133</v>
      </c>
      <c r="AI103" s="142">
        <v>4</v>
      </c>
    </row>
    <row r="104" spans="1:35" ht="18" x14ac:dyDescent="0.3">
      <c r="A104" s="160" t="s">
        <v>225</v>
      </c>
      <c r="B104" s="161">
        <v>45991</v>
      </c>
      <c r="C104" s="140" t="s">
        <v>52</v>
      </c>
      <c r="D104" s="162">
        <v>0.90277777777777779</v>
      </c>
      <c r="E104" s="140" t="s">
        <v>1</v>
      </c>
      <c r="F104" s="140" t="s">
        <v>174</v>
      </c>
      <c r="G104" s="163">
        <v>0.96550000000000002</v>
      </c>
      <c r="H104" s="142">
        <v>174</v>
      </c>
      <c r="I104" s="142">
        <v>168</v>
      </c>
      <c r="J104" s="142">
        <v>133</v>
      </c>
      <c r="K104" s="161">
        <v>45975</v>
      </c>
      <c r="L104" s="142">
        <v>0</v>
      </c>
      <c r="M104" s="142">
        <v>0</v>
      </c>
      <c r="N104" s="142">
        <v>0</v>
      </c>
      <c r="O104" s="140" t="s">
        <v>141</v>
      </c>
      <c r="P104" s="139"/>
      <c r="Q104" s="139"/>
      <c r="R104" s="139"/>
      <c r="S104" s="139"/>
      <c r="T104" s="139"/>
      <c r="U104" s="139"/>
      <c r="V104" s="139"/>
      <c r="W104" s="142">
        <v>4</v>
      </c>
      <c r="X104" s="142">
        <v>3</v>
      </c>
      <c r="Y104" s="142">
        <v>4</v>
      </c>
      <c r="Z104" s="142">
        <v>4</v>
      </c>
      <c r="AA104" s="142">
        <v>4</v>
      </c>
      <c r="AB104" s="142">
        <v>4</v>
      </c>
      <c r="AC104" s="142">
        <v>4</v>
      </c>
      <c r="AD104" s="142">
        <v>4</v>
      </c>
      <c r="AE104" s="142">
        <v>4</v>
      </c>
      <c r="AF104" s="139"/>
      <c r="AG104" s="139"/>
      <c r="AH104" s="142">
        <v>133</v>
      </c>
      <c r="AI104" s="139"/>
    </row>
    <row r="105" spans="1:35" ht="18" x14ac:dyDescent="0.3">
      <c r="A105" s="160" t="s">
        <v>222</v>
      </c>
      <c r="B105" s="161">
        <v>45986</v>
      </c>
      <c r="C105" s="140" t="s">
        <v>46</v>
      </c>
      <c r="D105" s="162">
        <v>4.8611111111111112E-2</v>
      </c>
      <c r="E105" s="140" t="s">
        <v>1</v>
      </c>
      <c r="F105" s="140" t="s">
        <v>174</v>
      </c>
      <c r="G105" s="163">
        <v>0.91059999999999997</v>
      </c>
      <c r="H105" s="142">
        <v>179</v>
      </c>
      <c r="I105" s="142">
        <v>163</v>
      </c>
      <c r="J105" s="142">
        <v>158</v>
      </c>
      <c r="K105" s="161">
        <v>45965</v>
      </c>
      <c r="L105" s="142">
        <v>0</v>
      </c>
      <c r="M105" s="142">
        <v>0</v>
      </c>
      <c r="N105" s="142">
        <v>0</v>
      </c>
      <c r="O105" s="140" t="s">
        <v>47</v>
      </c>
      <c r="P105" s="139"/>
      <c r="Q105" s="139"/>
      <c r="R105" s="139"/>
      <c r="S105" s="139"/>
      <c r="T105" s="139"/>
      <c r="U105" s="139"/>
      <c r="V105" s="139"/>
      <c r="W105" s="142">
        <v>1</v>
      </c>
      <c r="X105" s="139"/>
      <c r="Y105" s="139"/>
      <c r="Z105" s="139"/>
      <c r="AA105" s="139"/>
      <c r="AB105" s="139"/>
      <c r="AC105" s="139"/>
      <c r="AD105" s="139"/>
      <c r="AE105" s="142">
        <v>4</v>
      </c>
      <c r="AF105" s="142">
        <v>44</v>
      </c>
      <c r="AG105" s="139"/>
      <c r="AH105" s="142">
        <v>114</v>
      </c>
      <c r="AI105" s="139"/>
    </row>
    <row r="106" spans="1:35" ht="18" x14ac:dyDescent="0.3">
      <c r="A106" s="160" t="s">
        <v>222</v>
      </c>
      <c r="B106" s="161">
        <v>45986</v>
      </c>
      <c r="C106" s="140" t="s">
        <v>762</v>
      </c>
      <c r="D106" s="162">
        <v>0.6875</v>
      </c>
      <c r="E106" s="140" t="s">
        <v>757</v>
      </c>
      <c r="F106" s="140" t="s">
        <v>174</v>
      </c>
      <c r="G106" s="163">
        <v>1.0713999999999999</v>
      </c>
      <c r="H106" s="142">
        <v>168</v>
      </c>
      <c r="I106" s="142">
        <v>180</v>
      </c>
      <c r="J106" s="142">
        <v>180</v>
      </c>
      <c r="K106" s="161">
        <v>45972</v>
      </c>
      <c r="L106" s="142">
        <v>0</v>
      </c>
      <c r="M106" s="142">
        <v>0</v>
      </c>
      <c r="N106" s="142">
        <v>0</v>
      </c>
      <c r="O106" s="140" t="s">
        <v>133</v>
      </c>
      <c r="P106" s="139"/>
      <c r="Q106" s="139"/>
      <c r="R106" s="139"/>
      <c r="S106" s="139"/>
      <c r="T106" s="139"/>
      <c r="U106" s="139"/>
      <c r="V106" s="139"/>
      <c r="W106" s="139"/>
      <c r="X106" s="139"/>
      <c r="Y106" s="139"/>
      <c r="Z106" s="139"/>
      <c r="AA106" s="139"/>
      <c r="AB106" s="142">
        <v>1</v>
      </c>
      <c r="AC106" s="142">
        <v>179</v>
      </c>
      <c r="AD106" s="139"/>
      <c r="AE106" s="139"/>
      <c r="AF106" s="139"/>
      <c r="AG106" s="139"/>
      <c r="AH106" s="139"/>
      <c r="AI106" s="139"/>
    </row>
    <row r="107" spans="1:35" ht="18" x14ac:dyDescent="0.3">
      <c r="A107" s="160" t="s">
        <v>222</v>
      </c>
      <c r="B107" s="161">
        <v>45986</v>
      </c>
      <c r="C107" s="140" t="s">
        <v>1021</v>
      </c>
      <c r="D107" s="162">
        <v>0.45833333333333331</v>
      </c>
      <c r="E107" s="140" t="s">
        <v>1018</v>
      </c>
      <c r="F107" s="140" t="s">
        <v>174</v>
      </c>
      <c r="G107" s="163">
        <v>0.91669999999999996</v>
      </c>
      <c r="H107" s="142">
        <v>168</v>
      </c>
      <c r="I107" s="142">
        <v>154</v>
      </c>
      <c r="J107" s="142">
        <v>0</v>
      </c>
      <c r="K107" s="161">
        <v>45985</v>
      </c>
      <c r="L107" s="142">
        <v>2</v>
      </c>
      <c r="M107" s="142">
        <v>21</v>
      </c>
      <c r="N107" s="142">
        <v>93</v>
      </c>
      <c r="O107" s="140" t="s">
        <v>41</v>
      </c>
      <c r="P107" s="139"/>
      <c r="Q107" s="139"/>
      <c r="R107" s="139"/>
      <c r="S107" s="139"/>
      <c r="T107" s="139"/>
      <c r="U107" s="139"/>
      <c r="V107" s="139"/>
      <c r="W107" s="139"/>
      <c r="X107" s="142">
        <v>1</v>
      </c>
      <c r="Y107" s="142">
        <v>1</v>
      </c>
      <c r="Z107" s="142">
        <v>4</v>
      </c>
      <c r="AA107" s="142">
        <v>20</v>
      </c>
      <c r="AB107" s="142">
        <v>48</v>
      </c>
      <c r="AC107" s="142">
        <v>20</v>
      </c>
      <c r="AD107" s="142">
        <v>25</v>
      </c>
      <c r="AE107" s="142">
        <v>35</v>
      </c>
      <c r="AF107" s="139"/>
      <c r="AG107" s="139"/>
      <c r="AH107" s="139"/>
      <c r="AI107" s="139"/>
    </row>
    <row r="108" spans="1:35" ht="18" x14ac:dyDescent="0.3">
      <c r="A108" s="160" t="s">
        <v>223</v>
      </c>
      <c r="B108" s="161">
        <v>45988</v>
      </c>
      <c r="C108" s="140" t="s">
        <v>1021</v>
      </c>
      <c r="D108" s="162">
        <v>0.91319444444444453</v>
      </c>
      <c r="E108" s="140" t="s">
        <v>1018</v>
      </c>
      <c r="F108" s="140" t="s">
        <v>174</v>
      </c>
      <c r="G108" s="163">
        <v>0.47020000000000001</v>
      </c>
      <c r="H108" s="142">
        <v>168</v>
      </c>
      <c r="I108" s="142">
        <v>79</v>
      </c>
      <c r="J108" s="142">
        <v>0</v>
      </c>
      <c r="K108" s="161">
        <v>45984</v>
      </c>
      <c r="L108" s="142">
        <v>0</v>
      </c>
      <c r="M108" s="142">
        <v>7</v>
      </c>
      <c r="N108" s="142">
        <v>54</v>
      </c>
      <c r="O108" s="140" t="s">
        <v>202</v>
      </c>
      <c r="P108" s="139"/>
      <c r="Q108" s="139"/>
      <c r="R108" s="139"/>
      <c r="S108" s="139"/>
      <c r="T108" s="139"/>
      <c r="U108" s="139"/>
      <c r="V108" s="139"/>
      <c r="W108" s="139"/>
      <c r="X108" s="139"/>
      <c r="Y108" s="142">
        <v>1</v>
      </c>
      <c r="Z108" s="139"/>
      <c r="AA108" s="142">
        <v>4</v>
      </c>
      <c r="AB108" s="142">
        <v>1</v>
      </c>
      <c r="AC108" s="139"/>
      <c r="AD108" s="142">
        <v>36</v>
      </c>
      <c r="AE108" s="142">
        <v>37</v>
      </c>
      <c r="AF108" s="139"/>
      <c r="AG108" s="139"/>
      <c r="AH108" s="139"/>
      <c r="AI108" s="139"/>
    </row>
    <row r="109" spans="1:35" ht="18" x14ac:dyDescent="0.3">
      <c r="A109" s="160" t="s">
        <v>224</v>
      </c>
      <c r="B109" s="161">
        <v>45990</v>
      </c>
      <c r="C109" s="140" t="s">
        <v>1021</v>
      </c>
      <c r="D109" s="162">
        <v>0.86458333333333337</v>
      </c>
      <c r="E109" s="140" t="s">
        <v>1018</v>
      </c>
      <c r="F109" s="140" t="s">
        <v>174</v>
      </c>
      <c r="G109" s="163">
        <v>0.3095</v>
      </c>
      <c r="H109" s="142">
        <v>168</v>
      </c>
      <c r="I109" s="142">
        <v>52</v>
      </c>
      <c r="J109" s="142">
        <v>0</v>
      </c>
      <c r="K109" s="161">
        <v>45985</v>
      </c>
      <c r="L109" s="142">
        <v>1</v>
      </c>
      <c r="M109" s="142">
        <v>3</v>
      </c>
      <c r="N109" s="142">
        <v>31</v>
      </c>
      <c r="O109" s="140" t="s">
        <v>202</v>
      </c>
      <c r="P109" s="139"/>
      <c r="Q109" s="139"/>
      <c r="R109" s="139"/>
      <c r="S109" s="139"/>
      <c r="T109" s="139"/>
      <c r="U109" s="139"/>
      <c r="V109" s="139"/>
      <c r="W109" s="139"/>
      <c r="X109" s="139"/>
      <c r="Y109" s="139"/>
      <c r="Z109" s="142">
        <v>1</v>
      </c>
      <c r="AA109" s="139"/>
      <c r="AB109" s="139"/>
      <c r="AC109" s="139"/>
      <c r="AD109" s="142">
        <v>50</v>
      </c>
      <c r="AE109" s="142">
        <v>1</v>
      </c>
      <c r="AF109" s="139"/>
      <c r="AG109" s="139"/>
      <c r="AH109" s="139"/>
      <c r="AI109" s="139"/>
    </row>
    <row r="110" spans="1:35" ht="18" x14ac:dyDescent="0.3">
      <c r="A110" s="160" t="s">
        <v>1155</v>
      </c>
      <c r="B110" s="161">
        <v>45989</v>
      </c>
      <c r="C110" s="140" t="s">
        <v>1036</v>
      </c>
      <c r="D110" s="162">
        <v>0.63541666666666663</v>
      </c>
      <c r="E110" s="140" t="s">
        <v>1033</v>
      </c>
      <c r="F110" s="140" t="s">
        <v>174</v>
      </c>
      <c r="G110" s="163">
        <v>0.5655</v>
      </c>
      <c r="H110" s="142">
        <v>168</v>
      </c>
      <c r="I110" s="142">
        <v>95</v>
      </c>
      <c r="J110" s="142">
        <v>0</v>
      </c>
      <c r="K110" s="161">
        <v>45984</v>
      </c>
      <c r="L110" s="142">
        <v>0</v>
      </c>
      <c r="M110" s="142">
        <v>6</v>
      </c>
      <c r="N110" s="142">
        <v>61</v>
      </c>
      <c r="O110" s="140" t="s">
        <v>271</v>
      </c>
      <c r="P110" s="139"/>
      <c r="Q110" s="139"/>
      <c r="R110" s="139"/>
      <c r="S110" s="139"/>
      <c r="T110" s="139"/>
      <c r="U110" s="139"/>
      <c r="V110" s="139"/>
      <c r="W110" s="139"/>
      <c r="X110" s="139"/>
      <c r="Y110" s="139"/>
      <c r="Z110" s="139"/>
      <c r="AA110" s="139"/>
      <c r="AB110" s="142">
        <v>5</v>
      </c>
      <c r="AC110" s="142">
        <v>40</v>
      </c>
      <c r="AD110" s="142">
        <v>49</v>
      </c>
      <c r="AE110" s="142">
        <v>1</v>
      </c>
      <c r="AF110" s="139"/>
      <c r="AG110" s="139"/>
      <c r="AH110" s="139"/>
      <c r="AI110" s="139"/>
    </row>
    <row r="111" spans="1:35" x14ac:dyDescent="0.3">
      <c r="A111" s="164" t="s">
        <v>219</v>
      </c>
      <c r="B111" s="165"/>
      <c r="C111" s="166">
        <f>COUNTA(C2:C110)</f>
        <v>109</v>
      </c>
      <c r="D111" s="165"/>
      <c r="E111" s="165"/>
      <c r="F111" s="165"/>
      <c r="G111" s="167">
        <f>AVERAGE(G2:G110)</f>
        <v>0.69783944954128441</v>
      </c>
      <c r="H111" s="168">
        <f>SUM(H2:H110)</f>
        <v>18874</v>
      </c>
      <c r="I111" s="168">
        <f>SUM(I2:I110)</f>
        <v>13232</v>
      </c>
      <c r="J111" s="168">
        <f>SUM(J2:J110)</f>
        <v>6888</v>
      </c>
      <c r="K111" s="165"/>
      <c r="L111" s="168">
        <f>SUM(L2:L110)</f>
        <v>44</v>
      </c>
      <c r="M111" s="168">
        <f>SUM(M2:M110)</f>
        <v>491</v>
      </c>
      <c r="N111" s="168">
        <f>SUM(N2:N110)</f>
        <v>2819</v>
      </c>
      <c r="O111" s="165"/>
      <c r="P111" s="168">
        <f t="shared" ref="P111:AI111" si="0">SUM(P2:P110)</f>
        <v>1</v>
      </c>
      <c r="Q111" s="168">
        <f t="shared" si="0"/>
        <v>2</v>
      </c>
      <c r="R111" s="168">
        <f t="shared" si="0"/>
        <v>0</v>
      </c>
      <c r="S111" s="168">
        <f t="shared" si="0"/>
        <v>4</v>
      </c>
      <c r="T111" s="168">
        <f t="shared" si="0"/>
        <v>13</v>
      </c>
      <c r="U111" s="168">
        <f t="shared" si="0"/>
        <v>25</v>
      </c>
      <c r="V111" s="168">
        <f t="shared" si="0"/>
        <v>20</v>
      </c>
      <c r="W111" s="168">
        <f t="shared" si="0"/>
        <v>55</v>
      </c>
      <c r="X111" s="168">
        <f t="shared" si="0"/>
        <v>113</v>
      </c>
      <c r="Y111" s="168">
        <f t="shared" si="0"/>
        <v>351</v>
      </c>
      <c r="Z111" s="168">
        <f t="shared" si="0"/>
        <v>186</v>
      </c>
      <c r="AA111" s="168">
        <f t="shared" si="0"/>
        <v>158</v>
      </c>
      <c r="AB111" s="168">
        <f t="shared" si="0"/>
        <v>737</v>
      </c>
      <c r="AC111" s="168">
        <f t="shared" si="0"/>
        <v>1355</v>
      </c>
      <c r="AD111" s="168">
        <f t="shared" si="0"/>
        <v>1800</v>
      </c>
      <c r="AE111" s="168">
        <f t="shared" si="0"/>
        <v>2215</v>
      </c>
      <c r="AF111" s="168">
        <f t="shared" si="0"/>
        <v>281</v>
      </c>
      <c r="AG111" s="168">
        <f t="shared" si="0"/>
        <v>0</v>
      </c>
      <c r="AH111" s="168">
        <f t="shared" si="0"/>
        <v>5886</v>
      </c>
      <c r="AI111" s="168">
        <f t="shared" si="0"/>
        <v>30</v>
      </c>
    </row>
  </sheetData>
  <autoFilter ref="A1:AI110"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MED-CAI</vt:lpstr>
      <vt:lpstr>MED-CAI LF LEGACY</vt:lpstr>
      <vt:lpstr>MED-CAI — FOCUS MODE</vt:lpstr>
      <vt:lpstr>LF_ALL_ROUTES</vt:lpstr>
      <vt:lpstr>MED-HBE</vt:lpstr>
      <vt:lpstr>MED-HBE LF LEGACY</vt:lpstr>
      <vt:lpstr>MED-HBE — FOCUS MODE</vt:lpstr>
      <vt:lpstr>MED-ATZ</vt:lpstr>
      <vt:lpstr>MED-ATZ LF LEGACY</vt:lpstr>
      <vt:lpstr>MED-ATZ — FOCUS MODE</vt:lpstr>
      <vt:lpstr>JED-CAI</vt:lpstr>
      <vt:lpstr>JED-CAI LF LEGACY</vt:lpstr>
      <vt:lpstr>JED-CAI — FOCUS MODE</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RUH-ATZ</vt:lpstr>
      <vt:lpstr>RUH-ATZ LF LEGACY</vt:lpstr>
      <vt:lpstr>RUH-ATZ — FOCUS MODE</vt:lpstr>
      <vt:lpstr>DMM-CAI</vt:lpstr>
      <vt:lpstr>DMM-CAI LF LEGACY</vt:lpstr>
      <vt:lpstr>DMM-CAI — FOCUS MODE</vt:lpstr>
      <vt:lpstr>DMM-ATZ</vt:lpstr>
      <vt:lpstr>DMM-ATZ LF LEGACY</vt:lpstr>
      <vt:lpstr>DMM-ATZ — FOCUS MODE</vt:lpstr>
      <vt:lpstr>TUU-CAI</vt:lpstr>
      <vt:lpstr>TUU-CAI LF LEGACY</vt:lpstr>
      <vt:lpstr>TUU-CAI — FOCUS MODE</vt:lpstr>
      <vt:lpstr>TUU-ATZ</vt:lpstr>
      <vt:lpstr>TUU-ATZ LF LEGACY</vt:lpstr>
      <vt:lpstr>TUU-ATZ — FOCUS MODE</vt:lpstr>
      <vt:lpstr>AJF-CAI</vt:lpstr>
      <vt:lpstr>AJF-CAI LF LEGACY</vt:lpstr>
      <vt:lpstr>AJF-CAI — FOCUS MODE</vt:lpstr>
      <vt:lpstr>AJF-ATZ</vt:lpstr>
      <vt:lpstr>AJF-ATZ LF LEGACY</vt:lpstr>
      <vt:lpstr>AJF-ATZ — FOCUS MODE</vt:lpstr>
      <vt:lpstr>YNB-CAI</vt:lpstr>
      <vt:lpstr>YNB-CAI LF LEGACY</vt:lpstr>
      <vt:lpstr>YNB-CAI — FOCUS MODE</vt:lpstr>
      <vt:lpstr>AHB-CAI</vt:lpstr>
      <vt:lpstr>AHB-CAI LF LEGACY</vt:lpstr>
      <vt:lpstr>AHB-CAI — FOCUS MODE</vt:lpstr>
      <vt:lpstr>AHB-ATZ</vt:lpstr>
      <vt:lpstr>AHB-ATZ LF LEGACY</vt:lpstr>
      <vt:lpstr>AHB-ATZ — FOCUS MODE</vt:lpstr>
      <vt:lpstr>ELQ-CAI</vt:lpstr>
      <vt:lpstr>ELQ-CAI LF LEGACY</vt:lpstr>
      <vt:lpstr>ELQ-CAI — FOCUS MODE</vt:lpstr>
      <vt:lpstr>ELQ-ATZ</vt:lpstr>
      <vt:lpstr>ELQ-ATZ LF LEGACY</vt:lpstr>
      <vt:lpstr>ELQ-ATZ — FOCUS MODE</vt:lpstr>
      <vt:lpstr>GIZ-CAI</vt:lpstr>
      <vt:lpstr>GIZ-CAI LF LEGACY</vt:lpstr>
      <vt:lpstr>GIZ-CAI — FOCUS MODE</vt:lpstr>
      <vt:lpstr>LF_ALL_ROUTES1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2025-11-24T05:38:50Z</dcterms:created>
  <dcterms:modified xsi:type="dcterms:W3CDTF">2025-11-24T05:39:07Z</dcterms:modified>
</cp:coreProperties>
</file>