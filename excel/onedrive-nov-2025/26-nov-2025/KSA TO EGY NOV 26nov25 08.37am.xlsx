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BIG_DATA\big_data_ksa_oct_9225\9225_OUTPUT\"/>
    </mc:Choice>
  </mc:AlternateContent>
  <xr:revisionPtr revIDLastSave="0" documentId="13_ncr:1_{FFCBFD20-F130-4EFA-A092-B60BEF6F61AE}" xr6:coauthVersionLast="47" xr6:coauthVersionMax="47" xr10:uidLastSave="{00000000-0000-0000-0000-000000000000}"/>
  <bookViews>
    <workbookView xWindow="-108" yWindow="-108" windowWidth="23256" windowHeight="12456" firstSheet="68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5" r:id="rId4"/>
    <sheet name="MED-HBE LF LEGACY" sheetId="6" r:id="rId5"/>
    <sheet name="MED-HBE — FOCUS MODE" sheetId="7" r:id="rId6"/>
    <sheet name="MED-ATZ" sheetId="8" r:id="rId7"/>
    <sheet name="MED-ATZ LF LEGACY" sheetId="9" r:id="rId8"/>
    <sheet name="MED-ATZ — FOCUS MODE" sheetId="10" r:id="rId9"/>
    <sheet name="JED-CAI" sheetId="11" r:id="rId10"/>
    <sheet name="JED-CAI LF LEGACY" sheetId="12" r:id="rId11"/>
    <sheet name="JED-CAI — FOCUS MODE" sheetId="13" r:id="rId12"/>
    <sheet name="JED-HBE" sheetId="14" r:id="rId13"/>
    <sheet name="JED-HBE LF LEGACY" sheetId="15" r:id="rId14"/>
    <sheet name="JED-HBE — FOCUS MODE" sheetId="16" r:id="rId15"/>
    <sheet name="JED-ATZ" sheetId="17" r:id="rId16"/>
    <sheet name="JED-ATZ LF LEGACY" sheetId="18" r:id="rId17"/>
    <sheet name="JED-ATZ — FOCUS MODE" sheetId="19" r:id="rId18"/>
    <sheet name="JED-LXR" sheetId="20" r:id="rId19"/>
    <sheet name="JED-LXR LF LEGACY" sheetId="21" r:id="rId20"/>
    <sheet name="JED-LXR — FOCUS MODE" sheetId="22" r:id="rId21"/>
    <sheet name="JED-ASW" sheetId="23" r:id="rId22"/>
    <sheet name="JED-ASW LF LEGACY" sheetId="24" r:id="rId23"/>
    <sheet name="JED-ASW — FOCUS MODE" sheetId="25" r:id="rId24"/>
    <sheet name="JED-SSH" sheetId="26" r:id="rId25"/>
    <sheet name="JED-SSH LF LEGACY" sheetId="27" r:id="rId26"/>
    <sheet name="JED-SSH — FOCUS MODE" sheetId="28" r:id="rId27"/>
    <sheet name="JED-HRG" sheetId="29" r:id="rId28"/>
    <sheet name="JED-HRG LF LEGACY" sheetId="30" r:id="rId29"/>
    <sheet name="JED-HRG — FOCUS MODE" sheetId="31" r:id="rId30"/>
    <sheet name="RUH-CAI" sheetId="32" r:id="rId31"/>
    <sheet name="RUH-CAI LF LEGACY" sheetId="33" r:id="rId32"/>
    <sheet name="RUH-CAI — FOCUS MODE" sheetId="34" r:id="rId33"/>
    <sheet name="RUH-ATZ" sheetId="35" r:id="rId34"/>
    <sheet name="RUH-ATZ LF LEGACY" sheetId="36" r:id="rId35"/>
    <sheet name="RUH-ATZ — FOCUS MODE" sheetId="37" r:id="rId36"/>
    <sheet name="DMM-CAI" sheetId="38" r:id="rId37"/>
    <sheet name="DMM-CAI LF LEGACY" sheetId="39" r:id="rId38"/>
    <sheet name="DMM-CAI — FOCUS MODE" sheetId="40" r:id="rId39"/>
    <sheet name="DMM-ATZ" sheetId="41" r:id="rId40"/>
    <sheet name="DMM-ATZ LF LEGACY" sheetId="42" r:id="rId41"/>
    <sheet name="DMM-ATZ — FOCUS MODE" sheetId="43" r:id="rId42"/>
    <sheet name="TUU-CAI" sheetId="44" r:id="rId43"/>
    <sheet name="TUU-CAI LF LEGACY" sheetId="45" r:id="rId44"/>
    <sheet name="TUU-CAI — FOCUS MODE" sheetId="46" r:id="rId45"/>
    <sheet name="TUU-ATZ" sheetId="47" r:id="rId46"/>
    <sheet name="TUU-ATZ LF LEGACY" sheetId="48" r:id="rId47"/>
    <sheet name="TUU-ATZ — FOCUS MODE" sheetId="49" r:id="rId48"/>
    <sheet name="AJF-CAI" sheetId="50" r:id="rId49"/>
    <sheet name="AJF-CAI LF LEGACY" sheetId="51" r:id="rId50"/>
    <sheet name="AJF-CAI — FOCUS MODE" sheetId="52" r:id="rId51"/>
    <sheet name="AJF-ATZ" sheetId="53" r:id="rId52"/>
    <sheet name="AJF-ATZ LF LEGACY" sheetId="54" r:id="rId53"/>
    <sheet name="AJF-ATZ — FOCUS MODE" sheetId="55" r:id="rId54"/>
    <sheet name="YNB-CAI" sheetId="56" r:id="rId55"/>
    <sheet name="YNB-CAI LF LEGACY" sheetId="57" r:id="rId56"/>
    <sheet name="YNB-CAI — FOCUS MODE" sheetId="58" r:id="rId57"/>
    <sheet name="AHB-CAI" sheetId="59" r:id="rId58"/>
    <sheet name="AHB-CAI LF LEGACY" sheetId="60" r:id="rId59"/>
    <sheet name="AHB-CAI — FOCUS MODE" sheetId="61" r:id="rId60"/>
    <sheet name="AHB-ATZ" sheetId="62" r:id="rId61"/>
    <sheet name="AHB-ATZ LF LEGACY" sheetId="63" r:id="rId62"/>
    <sheet name="AHB-ATZ — FOCUS MODE" sheetId="64" r:id="rId63"/>
    <sheet name="ELQ-CAI" sheetId="65" r:id="rId64"/>
    <sheet name="ELQ-CAI LF LEGACY" sheetId="66" r:id="rId65"/>
    <sheet name="ELQ-CAI — FOCUS MODE" sheetId="67" r:id="rId66"/>
    <sheet name="ELQ-ATZ" sheetId="68" r:id="rId67"/>
    <sheet name="ELQ-ATZ LF LEGACY" sheetId="69" r:id="rId68"/>
    <sheet name="ELQ-ATZ — FOCUS MODE" sheetId="70" r:id="rId69"/>
    <sheet name="GIZ-CAI" sheetId="71" r:id="rId70"/>
    <sheet name="GIZ-CAI LF LEGACY" sheetId="72" r:id="rId71"/>
    <sheet name="GIZ-CAI — FOCUS MODE" sheetId="73" r:id="rId72"/>
    <sheet name="LF_ALL_ROUTES1" sheetId="74" r:id="rId73"/>
  </sheets>
  <definedNames>
    <definedName name="_xlnm._FilterDatabase" localSheetId="61" hidden="1">'AHB-ATZ LF LEGACY'!$A$1:$AI$2</definedName>
    <definedName name="_xlnm._FilterDatabase" localSheetId="58" hidden="1">'AHB-CAI LF LEGACY'!$A$1:$AI$4</definedName>
    <definedName name="_xlnm._FilterDatabase" localSheetId="52" hidden="1">'AJF-ATZ LF LEGACY'!$A$1:$AI$2</definedName>
    <definedName name="_xlnm._FilterDatabase" localSheetId="49" hidden="1">'AJF-CAI LF LEGACY'!$A$1:$AI$3</definedName>
    <definedName name="_xlnm._FilterDatabase" localSheetId="40" hidden="1">'DMM-ATZ LF LEGACY'!$A$1:$AI$2</definedName>
    <definedName name="_xlnm._FilterDatabase" localSheetId="37" hidden="1">'DMM-CAI LF LEGACY'!$A$1:$AI$4</definedName>
    <definedName name="_xlnm._FilterDatabase" localSheetId="67" hidden="1">'ELQ-ATZ LF LEGACY'!$A$1:$AI$2</definedName>
    <definedName name="_xlnm._FilterDatabase" localSheetId="64" hidden="1">'ELQ-CAI LF LEGACY'!$A$1:$AI$4</definedName>
    <definedName name="_xlnm._FilterDatabase" localSheetId="70" hidden="1">'GIZ-CAI LF LEGACY'!$A$1:$AI$3</definedName>
    <definedName name="_xlnm._FilterDatabase" localSheetId="16" hidden="1">'JED-ATZ LF LEGACY'!$A$1:$AI$9</definedName>
    <definedName name="_xlnm._FilterDatabase" localSheetId="10" hidden="1">'JED-CAI LF LEGACY'!$A$1:$AI$22</definedName>
    <definedName name="_xlnm._FilterDatabase" localSheetId="13" hidden="1">'JED-HBE LF LEGACY'!$A$1:$AI$7</definedName>
    <definedName name="_xlnm._FilterDatabase" localSheetId="72" hidden="1">LF_ALL_ROUTES1!$A$1:$AI$72</definedName>
    <definedName name="_xlnm._FilterDatabase" localSheetId="7" hidden="1">'MED-ATZ LF LEGACY'!$A$1:$AI$2</definedName>
    <definedName name="_xlnm._FilterDatabase" localSheetId="1" hidden="1">'MED-CAI LF LEGACY'!$A$1:$AI$4</definedName>
    <definedName name="_xlnm._FilterDatabase" localSheetId="4" hidden="1">'MED-HBE LF LEGACY'!$A$1:$AI$3</definedName>
    <definedName name="_xlnm._FilterDatabase" localSheetId="34" hidden="1">'RUH-ATZ LF LEGACY'!$A$1:$AI$2</definedName>
    <definedName name="_xlnm._FilterDatabase" localSheetId="31" hidden="1">'RUH-CAI LF LEGACY'!$A$1:$AI$6</definedName>
    <definedName name="_xlnm._FilterDatabase" localSheetId="46" hidden="1">'TUU-ATZ LF LEGACY'!$A$1:$AI$2</definedName>
    <definedName name="_xlnm._FilterDatabase" localSheetId="43" hidden="1">'TUU-CAI LF LEGACY'!$A$1:$AI$3</definedName>
    <definedName name="_xlnm._FilterDatabase" localSheetId="55" hidden="1">'YNB-CAI LF LEGACY'!$A$1:$AI$5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73" i="74" l="1"/>
  <c r="AH73" i="74"/>
  <c r="AG73" i="74"/>
  <c r="AF73" i="74"/>
  <c r="AE73" i="74"/>
  <c r="AD73" i="74"/>
  <c r="AC73" i="74"/>
  <c r="AB73" i="74"/>
  <c r="AA73" i="74"/>
  <c r="Z73" i="74"/>
  <c r="Y73" i="74"/>
  <c r="X73" i="74"/>
  <c r="W73" i="74"/>
  <c r="V73" i="74"/>
  <c r="U73" i="74"/>
  <c r="T73" i="74"/>
  <c r="S73" i="74"/>
  <c r="R73" i="74"/>
  <c r="Q73" i="74"/>
  <c r="P73" i="74"/>
  <c r="N73" i="74"/>
  <c r="M73" i="74"/>
  <c r="L73" i="74"/>
  <c r="J73" i="74"/>
  <c r="I73" i="74"/>
  <c r="H73" i="74"/>
  <c r="G73" i="74"/>
  <c r="C73" i="74"/>
  <c r="AI4" i="72"/>
  <c r="AH4" i="72"/>
  <c r="AG4" i="72"/>
  <c r="AF4" i="72"/>
  <c r="AE4" i="72"/>
  <c r="AD4" i="72"/>
  <c r="AC4" i="72"/>
  <c r="AB4" i="72"/>
  <c r="AA4" i="72"/>
  <c r="Z4" i="72"/>
  <c r="Y4" i="72"/>
  <c r="X4" i="72"/>
  <c r="W4" i="72"/>
  <c r="V4" i="72"/>
  <c r="U4" i="72"/>
  <c r="T4" i="72"/>
  <c r="S4" i="72"/>
  <c r="R4" i="72"/>
  <c r="Q4" i="72"/>
  <c r="P4" i="72"/>
  <c r="N4" i="72"/>
  <c r="M4" i="72"/>
  <c r="L4" i="72"/>
  <c r="J4" i="72"/>
  <c r="I4" i="72"/>
  <c r="H4" i="72"/>
  <c r="G4" i="72"/>
  <c r="C4" i="72"/>
  <c r="AI3" i="69"/>
  <c r="AH3" i="69"/>
  <c r="AG3" i="69"/>
  <c r="AF3" i="69"/>
  <c r="AE3" i="69"/>
  <c r="AD3" i="69"/>
  <c r="AC3" i="69"/>
  <c r="AB3" i="69"/>
  <c r="AA3" i="69"/>
  <c r="Z3" i="69"/>
  <c r="Y3" i="69"/>
  <c r="X3" i="69"/>
  <c r="W3" i="69"/>
  <c r="V3" i="69"/>
  <c r="U3" i="69"/>
  <c r="T3" i="69"/>
  <c r="S3" i="69"/>
  <c r="R3" i="69"/>
  <c r="Q3" i="69"/>
  <c r="P3" i="69"/>
  <c r="N3" i="69"/>
  <c r="M3" i="69"/>
  <c r="L3" i="69"/>
  <c r="J3" i="69"/>
  <c r="I3" i="69"/>
  <c r="H3" i="69"/>
  <c r="G3" i="69"/>
  <c r="C3" i="69"/>
  <c r="AI5" i="66"/>
  <c r="AH5" i="66"/>
  <c r="AG5" i="66"/>
  <c r="AF5" i="66"/>
  <c r="AE5" i="66"/>
  <c r="AD5" i="66"/>
  <c r="AC5" i="66"/>
  <c r="AB5" i="66"/>
  <c r="AA5" i="66"/>
  <c r="Z5" i="66"/>
  <c r="Y5" i="66"/>
  <c r="X5" i="66"/>
  <c r="W5" i="66"/>
  <c r="V5" i="66"/>
  <c r="U5" i="66"/>
  <c r="T5" i="66"/>
  <c r="S5" i="66"/>
  <c r="R5" i="66"/>
  <c r="Q5" i="66"/>
  <c r="P5" i="66"/>
  <c r="N5" i="66"/>
  <c r="M5" i="66"/>
  <c r="L5" i="66"/>
  <c r="J5" i="66"/>
  <c r="I5" i="66"/>
  <c r="H5" i="66"/>
  <c r="G5" i="66"/>
  <c r="C5" i="66"/>
  <c r="AI3" i="63"/>
  <c r="AH3" i="63"/>
  <c r="AG3" i="63"/>
  <c r="AF3" i="63"/>
  <c r="AE3" i="63"/>
  <c r="AD3" i="63"/>
  <c r="AC3" i="63"/>
  <c r="AB3" i="63"/>
  <c r="AA3" i="63"/>
  <c r="Z3" i="63"/>
  <c r="Y3" i="63"/>
  <c r="X3" i="63"/>
  <c r="W3" i="63"/>
  <c r="V3" i="63"/>
  <c r="U3" i="63"/>
  <c r="T3" i="63"/>
  <c r="S3" i="63"/>
  <c r="R3" i="63"/>
  <c r="Q3" i="63"/>
  <c r="P3" i="63"/>
  <c r="N3" i="63"/>
  <c r="M3" i="63"/>
  <c r="L3" i="63"/>
  <c r="J3" i="63"/>
  <c r="I3" i="63"/>
  <c r="H3" i="63"/>
  <c r="G3" i="63"/>
  <c r="C3" i="63"/>
  <c r="AI5" i="60"/>
  <c r="AH5" i="60"/>
  <c r="AG5" i="60"/>
  <c r="AF5" i="60"/>
  <c r="AE5" i="60"/>
  <c r="AD5" i="60"/>
  <c r="AC5" i="60"/>
  <c r="AB5" i="60"/>
  <c r="AA5" i="60"/>
  <c r="Z5" i="60"/>
  <c r="Y5" i="60"/>
  <c r="X5" i="60"/>
  <c r="W5" i="60"/>
  <c r="V5" i="60"/>
  <c r="U5" i="60"/>
  <c r="T5" i="60"/>
  <c r="S5" i="60"/>
  <c r="R5" i="60"/>
  <c r="Q5" i="60"/>
  <c r="P5" i="60"/>
  <c r="N5" i="60"/>
  <c r="M5" i="60"/>
  <c r="L5" i="60"/>
  <c r="J5" i="60"/>
  <c r="I5" i="60"/>
  <c r="H5" i="60"/>
  <c r="G5" i="60"/>
  <c r="C5" i="60"/>
  <c r="AI6" i="57"/>
  <c r="AH6" i="57"/>
  <c r="AG6" i="57"/>
  <c r="AF6" i="57"/>
  <c r="AE6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N6" i="57"/>
  <c r="M6" i="57"/>
  <c r="L6" i="57"/>
  <c r="J6" i="57"/>
  <c r="I6" i="57"/>
  <c r="H6" i="57"/>
  <c r="G6" i="57"/>
  <c r="C6" i="57"/>
  <c r="AI3" i="54"/>
  <c r="AH3" i="54"/>
  <c r="AG3" i="54"/>
  <c r="AF3" i="54"/>
  <c r="AE3" i="54"/>
  <c r="AD3" i="54"/>
  <c r="AC3" i="54"/>
  <c r="AB3" i="54"/>
  <c r="AA3" i="54"/>
  <c r="Z3" i="54"/>
  <c r="Y3" i="54"/>
  <c r="X3" i="54"/>
  <c r="W3" i="54"/>
  <c r="V3" i="54"/>
  <c r="U3" i="54"/>
  <c r="T3" i="54"/>
  <c r="S3" i="54"/>
  <c r="R3" i="54"/>
  <c r="Q3" i="54"/>
  <c r="P3" i="54"/>
  <c r="N3" i="54"/>
  <c r="M3" i="54"/>
  <c r="L3" i="54"/>
  <c r="J3" i="54"/>
  <c r="I3" i="54"/>
  <c r="H3" i="54"/>
  <c r="G3" i="54"/>
  <c r="C3" i="54"/>
  <c r="AI4" i="51"/>
  <c r="AH4" i="51"/>
  <c r="AG4" i="51"/>
  <c r="AF4" i="51"/>
  <c r="AE4" i="51"/>
  <c r="AD4" i="51"/>
  <c r="AC4" i="51"/>
  <c r="AB4" i="51"/>
  <c r="AA4" i="51"/>
  <c r="Z4" i="51"/>
  <c r="Y4" i="51"/>
  <c r="X4" i="51"/>
  <c r="W4" i="51"/>
  <c r="V4" i="51"/>
  <c r="U4" i="51"/>
  <c r="T4" i="51"/>
  <c r="S4" i="51"/>
  <c r="R4" i="51"/>
  <c r="Q4" i="51"/>
  <c r="P4" i="51"/>
  <c r="N4" i="51"/>
  <c r="M4" i="51"/>
  <c r="L4" i="51"/>
  <c r="J4" i="51"/>
  <c r="I4" i="51"/>
  <c r="H4" i="51"/>
  <c r="G4" i="51"/>
  <c r="C4" i="51"/>
  <c r="AI3" i="48"/>
  <c r="AH3" i="48"/>
  <c r="AG3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N3" i="48"/>
  <c r="M3" i="48"/>
  <c r="L3" i="48"/>
  <c r="J3" i="48"/>
  <c r="I3" i="48"/>
  <c r="H3" i="48"/>
  <c r="G3" i="48"/>
  <c r="C3" i="48"/>
  <c r="AI4" i="4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N4" i="45"/>
  <c r="M4" i="45"/>
  <c r="L4" i="45"/>
  <c r="J4" i="45"/>
  <c r="I4" i="45"/>
  <c r="H4" i="45"/>
  <c r="G4" i="45"/>
  <c r="C4" i="45"/>
  <c r="AI3" i="42"/>
  <c r="AH3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N3" i="42"/>
  <c r="M3" i="42"/>
  <c r="L3" i="42"/>
  <c r="J3" i="42"/>
  <c r="I3" i="42"/>
  <c r="H3" i="42"/>
  <c r="G3" i="42"/>
  <c r="C3" i="42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N5" i="39"/>
  <c r="M5" i="39"/>
  <c r="L5" i="39"/>
  <c r="J5" i="39"/>
  <c r="I5" i="39"/>
  <c r="H5" i="39"/>
  <c r="G5" i="39"/>
  <c r="C5" i="39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N3" i="36"/>
  <c r="M3" i="36"/>
  <c r="L3" i="36"/>
  <c r="J3" i="36"/>
  <c r="I3" i="36"/>
  <c r="H3" i="36"/>
  <c r="G3" i="36"/>
  <c r="C3" i="36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N7" i="33"/>
  <c r="M7" i="33"/>
  <c r="L7" i="33"/>
  <c r="J7" i="33"/>
  <c r="I7" i="33"/>
  <c r="H7" i="33"/>
  <c r="G7" i="33"/>
  <c r="C7" i="33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N10" i="18"/>
  <c r="M10" i="18"/>
  <c r="L10" i="18"/>
  <c r="J10" i="18"/>
  <c r="I10" i="18"/>
  <c r="H10" i="18"/>
  <c r="G10" i="18"/>
  <c r="C10" i="18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N8" i="15"/>
  <c r="M8" i="15"/>
  <c r="L8" i="15"/>
  <c r="J8" i="15"/>
  <c r="I8" i="15"/>
  <c r="H8" i="15"/>
  <c r="G8" i="15"/>
  <c r="C8" i="15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N23" i="12"/>
  <c r="M23" i="12"/>
  <c r="L23" i="12"/>
  <c r="J23" i="12"/>
  <c r="I23" i="12"/>
  <c r="H23" i="12"/>
  <c r="G23" i="12"/>
  <c r="C23" i="12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N3" i="9"/>
  <c r="M3" i="9"/>
  <c r="L3" i="9"/>
  <c r="J3" i="9"/>
  <c r="I3" i="9"/>
  <c r="H3" i="9"/>
  <c r="G3" i="9"/>
  <c r="C3" i="9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N4" i="6"/>
  <c r="M4" i="6"/>
  <c r="L4" i="6"/>
  <c r="J4" i="6"/>
  <c r="I4" i="6"/>
  <c r="H4" i="6"/>
  <c r="G4" i="6"/>
  <c r="C4" i="6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N5" i="2"/>
  <c r="M5" i="2"/>
  <c r="L5" i="2"/>
  <c r="J5" i="2"/>
  <c r="I5" i="2"/>
  <c r="H5" i="2"/>
  <c r="G5" i="2"/>
  <c r="C5" i="2"/>
</calcChain>
</file>

<file path=xl/sharedStrings.xml><?xml version="1.0" encoding="utf-8"?>
<sst xmlns="http://schemas.openxmlformats.org/spreadsheetml/2006/main" count="12347" uniqueCount="947">
  <si>
    <t>COMPREHENSIVE REPORT</t>
  </si>
  <si>
    <t>MED-CAI</t>
  </si>
  <si>
    <t>FROM</t>
  </si>
  <si>
    <t>TO</t>
  </si>
  <si>
    <t>THIS REPORT GENERATED AT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</si>
  <si>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</si>
  <si>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</si>
  <si>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</si>
  <si>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</si>
  <si>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</si>
  <si>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</si>
  <si>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</si>
  <si>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</si>
  <si>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</si>
  <si>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</si>
  <si>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</si>
  <si>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</si>
  <si>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</si>
  <si>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</si>
  <si>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</si>
  <si>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</si>
  <si>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</si>
  <si>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</si>
  <si>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</si>
  <si>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</si>
  <si>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</si>
  <si>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</si>
  <si>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</si>
  <si>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  <family val="2"/>
      </rPr>
      <t>16</t>
    </r>
    <r>
      <rPr>
        <b/>
        <i/>
        <sz val="10"/>
        <color rgb="FFBC0000"/>
        <rFont val="Calibri"/>
        <family val="2"/>
      </rPr>
      <t xml:space="preserve"> FOR SAME CLASS</t>
    </r>
  </si>
  <si>
    <t>559 SAR</t>
  </si>
  <si>
    <t>Cabin: 10 KG / Check-in: 25 KG</t>
  </si>
  <si>
    <r>
      <rPr>
        <i/>
        <sz val="14"/>
        <rFont val="Calibri"/>
        <family val="2"/>
      </rPr>
      <t>16</t>
    </r>
    <r>
      <rPr>
        <i/>
        <sz val="10"/>
        <rFont val="Calibri"/>
        <family val="2"/>
      </rPr>
      <t xml:space="preserve"> FOR SAME CLASS</t>
    </r>
  </si>
  <si>
    <t>709 SAR</t>
  </si>
  <si>
    <t>Cabin: 10 KG / Check-in: 2 x 40 KG</t>
  </si>
  <si>
    <t>1,099 SAR</t>
  </si>
  <si>
    <t>EgyptAir</t>
  </si>
  <si>
    <t>MS-694</t>
  </si>
  <si>
    <t>Cabin: 7 KG | Check-in: 2 PIECE</t>
  </si>
  <si>
    <r>
      <rPr>
        <b/>
        <i/>
        <sz val="14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</si>
  <si>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623 SAR</t>
  </si>
  <si>
    <t>MS-640</t>
  </si>
  <si>
    <r>
      <rPr>
        <b/>
        <i/>
        <sz val="14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</si>
  <si>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757 SAR</t>
  </si>
  <si>
    <t>MS-676</t>
  </si>
  <si>
    <t>962 SAR</t>
  </si>
  <si>
    <t>MS-696</t>
  </si>
  <si>
    <t>1,654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</si>
  <si>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</si>
  <si>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</si>
  <si>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</si>
  <si>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</si>
  <si>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</si>
  <si>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t>Cabin: 7 KG / Check-in: 30 KG</t>
  </si>
  <si>
    <r>
      <rPr>
        <i/>
        <sz val="14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</si>
  <si>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739 SAR</t>
  </si>
  <si>
    <t>Cabin: 7 KG / Check-in: 2 x 40 KG</t>
  </si>
  <si>
    <t>829 SAR</t>
  </si>
  <si>
    <t>XY-576</t>
  </si>
  <si>
    <r>
      <rPr>
        <b/>
        <i/>
        <sz val="14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</si>
  <si>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1,299 SAR</t>
  </si>
  <si>
    <r>
      <rPr>
        <i/>
        <sz val="14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</si>
  <si>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1,399 SAR</t>
  </si>
  <si>
    <t>1,489 SAR</t>
  </si>
  <si>
    <t>Saudia</t>
  </si>
  <si>
    <t>SV-319</t>
  </si>
  <si>
    <t>Cabin: 7 KG / Check-in: 23 KG</t>
  </si>
  <si>
    <t>1,385 SAR</t>
  </si>
  <si>
    <t>Cabin: 7 KG / Check-in: 2 x 46 KG</t>
  </si>
  <si>
    <r>
      <rPr>
        <i/>
        <sz val="14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</si>
  <si>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1,525 SAR</t>
  </si>
  <si>
    <t>SV-381</t>
  </si>
  <si>
    <t>SV-391</t>
  </si>
  <si>
    <r>
      <rPr>
        <b/>
        <i/>
        <sz val="14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</si>
  <si>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</si>
  <si>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SV-6903</t>
  </si>
  <si>
    <t>1,651 SAR</t>
  </si>
  <si>
    <t>Air Cairo</t>
  </si>
  <si>
    <t>SM-494</t>
  </si>
  <si>
    <t>Cabin: 7 KG | Check-in: 40 KG</t>
  </si>
  <si>
    <r>
      <rPr>
        <b/>
        <i/>
        <sz val="14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</si>
  <si>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1,472 SAR</t>
  </si>
  <si>
    <t>SM494</t>
  </si>
  <si>
    <t>B4</t>
  </si>
  <si>
    <t>V7 &amp; L2 &amp; S1 &amp; U6 &amp; O9 &amp; I17 &amp; P128 &amp; N1</t>
  </si>
  <si>
    <r>
      <rPr>
        <b/>
        <i/>
        <sz val="14"/>
        <color rgb="FFBC0000"/>
        <rFont val="Calibri"/>
        <family val="2"/>
      </rPr>
      <t>20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</si>
  <si>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20</t>
    </r>
    <r>
      <rPr>
        <i/>
        <sz val="10"/>
        <rFont val="Calibri"/>
        <family val="2"/>
      </rPr>
      <t xml:space="preserve"> FOR SAME CLASS</t>
    </r>
  </si>
  <si>
    <r>
      <rPr>
        <b/>
        <i/>
        <sz val="14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</si>
  <si>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749 SAR</t>
  </si>
  <si>
    <r>
      <rPr>
        <i/>
        <sz val="14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</si>
  <si>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849 SAR</t>
  </si>
  <si>
    <t>939 SAR</t>
  </si>
  <si>
    <t>866 SAR</t>
  </si>
  <si>
    <r>
      <rPr>
        <b/>
        <i/>
        <sz val="14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</si>
  <si>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1,121 SAR</t>
  </si>
  <si>
    <r>
      <rPr>
        <b/>
        <i/>
        <sz val="14"/>
        <color rgb="FFBC0000"/>
        <rFont val="Calibri"/>
        <family val="2"/>
      </rPr>
      <t>13</t>
    </r>
    <r>
      <rPr>
        <b/>
        <i/>
        <sz val="10"/>
        <color rgb="FFBC0000"/>
        <rFont val="Calibri"/>
        <family val="2"/>
      </rPr>
      <t xml:space="preserve"> FOR SAME CLASS</t>
    </r>
  </si>
  <si>
    <t>619 SAR</t>
  </si>
  <si>
    <r>
      <rPr>
        <i/>
        <sz val="14"/>
        <rFont val="Calibri"/>
        <family val="2"/>
      </rPr>
      <t>13</t>
    </r>
    <r>
      <rPr>
        <i/>
        <sz val="10"/>
        <rFont val="Calibri"/>
        <family val="2"/>
      </rPr>
      <t xml:space="preserve"> FOR SAME CLASS</t>
    </r>
  </si>
  <si>
    <t>769 SAR</t>
  </si>
  <si>
    <t>1,059 SAR</t>
  </si>
  <si>
    <t>1,159 SAR</t>
  </si>
  <si>
    <t>1,249 SAR</t>
  </si>
  <si>
    <t>1,868 SAR</t>
  </si>
  <si>
    <t>2,009 SAR</t>
  </si>
  <si>
    <r>
      <rPr>
        <b/>
        <i/>
        <sz val="14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</si>
  <si>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</si>
  <si>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20KG + 7KG CABIN</t>
  </si>
  <si>
    <t>FULLY BOOKED</t>
  </si>
  <si>
    <t>CLOSED</t>
  </si>
  <si>
    <t>G2 &amp; S12 &amp; I22 &amp; P133 &amp; N4</t>
  </si>
  <si>
    <r>
      <rPr>
        <b/>
        <i/>
        <sz val="14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</si>
  <si>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799 SAR</t>
  </si>
  <si>
    <r>
      <rPr>
        <i/>
        <sz val="14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</si>
  <si>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949 SAR</t>
  </si>
  <si>
    <r>
      <rPr>
        <b/>
        <i/>
        <sz val="14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</si>
  <si>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889 SAR</t>
  </si>
  <si>
    <r>
      <rPr>
        <i/>
        <sz val="14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</si>
  <si>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989 SAR</t>
  </si>
  <si>
    <t>1,079 SAR</t>
  </si>
  <si>
    <t>1,298 SAR</t>
  </si>
  <si>
    <t>M5</t>
  </si>
  <si>
    <t>L4 &amp; G3 &amp; S4 &amp; W4 &amp; T4 &amp; X4 &amp; U4 &amp; O4 &amp; I4 &amp; P133</t>
  </si>
  <si>
    <r>
      <rPr>
        <b/>
        <i/>
        <sz val="14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</si>
  <si>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2,232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</si>
  <si>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</si>
  <si>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</si>
  <si>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</si>
  <si>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</si>
  <si>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</si>
  <si>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</si>
  <si>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</si>
  <si>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</si>
  <si>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</si>
  <si>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</si>
  <si>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</si>
  <si>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</si>
  <si>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</si>
  <si>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</si>
  <si>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</si>
  <si>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</si>
  <si>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</si>
  <si>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</si>
  <si>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</si>
  <si>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</si>
  <si>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</si>
  <si>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</si>
  <si>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</si>
  <si>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</si>
  <si>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</si>
  <si>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</si>
  <si>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</si>
  <si>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</si>
  <si>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</si>
  <si>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</si>
  <si>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</si>
  <si>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V7</t>
  </si>
  <si>
    <t>L2</t>
  </si>
  <si>
    <t>S1</t>
  </si>
  <si>
    <t>U6</t>
  </si>
  <si>
    <t>O9</t>
  </si>
  <si>
    <t>I17</t>
  </si>
  <si>
    <t>P128</t>
  </si>
  <si>
    <t>N1</t>
  </si>
  <si>
    <t>SATURDAY</t>
  </si>
  <si>
    <t>G2</t>
  </si>
  <si>
    <t>S12</t>
  </si>
  <si>
    <t>I22</t>
  </si>
  <si>
    <t>P133</t>
  </si>
  <si>
    <t>N4</t>
  </si>
  <si>
    <t>SUNDAY</t>
  </si>
  <si>
    <t>L4</t>
  </si>
  <si>
    <t>G3</t>
  </si>
  <si>
    <t>S4</t>
  </si>
  <si>
    <t>W4</t>
  </si>
  <si>
    <t>T4</t>
  </si>
  <si>
    <t>X4</t>
  </si>
  <si>
    <t>U4</t>
  </si>
  <si>
    <t>O4</t>
  </si>
  <si>
    <t>I4</t>
  </si>
  <si>
    <t>TOTAL</t>
  </si>
  <si>
    <t>DATE</t>
  </si>
  <si>
    <t>ROUTE</t>
  </si>
  <si>
    <t>THU</t>
  </si>
  <si>
    <t>SAT</t>
  </si>
  <si>
    <t>SUN</t>
  </si>
  <si>
    <t>MED-HBE</t>
  </si>
  <si>
    <t>MS-680</t>
  </si>
  <si>
    <t>941 SAR</t>
  </si>
  <si>
    <t>SM-486</t>
  </si>
  <si>
    <t>SM486</t>
  </si>
  <si>
    <t>M4</t>
  </si>
  <si>
    <t>V1 &amp; L6 &amp; S29 &amp; T8 &amp; X10 &amp; P121</t>
  </si>
  <si>
    <t>Indirect competition route MED – CAI - diversion ratio &amp; passenger leakage</t>
  </si>
  <si>
    <t>10:05</t>
  </si>
  <si>
    <t>16 FOR SAME CLASS</t>
  </si>
  <si>
    <t>05:20</t>
  </si>
  <si>
    <t>+9 FOR SAME CLASS</t>
  </si>
  <si>
    <t>08:30</t>
  </si>
  <si>
    <t>1 FOR SAME CLASS</t>
  </si>
  <si>
    <t>11:50</t>
  </si>
  <si>
    <t>02:35</t>
  </si>
  <si>
    <t>18:10</t>
  </si>
  <si>
    <t>4 FOR SAME CLASS</t>
  </si>
  <si>
    <r>
      <rPr>
        <b/>
        <i/>
        <sz val="14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</si>
  <si>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1,417 SAR</t>
  </si>
  <si>
    <t>20 FOR SAME CLASS</t>
  </si>
  <si>
    <t>7 FOR SAME CLASS</t>
  </si>
  <si>
    <t>14:30</t>
  </si>
  <si>
    <t>B7</t>
  </si>
  <si>
    <t>H3 &amp; S14 &amp; X9 &amp; E1 &amp; P145</t>
  </si>
  <si>
    <t>9 FOR SAME CLASS</t>
  </si>
  <si>
    <t>5 FOR SAME CLASS</t>
  </si>
  <si>
    <t>21:40</t>
  </si>
  <si>
    <t>8 FOR SAME CLASS</t>
  </si>
  <si>
    <t>19:05</t>
  </si>
  <si>
    <t>V1</t>
  </si>
  <si>
    <t>L6</t>
  </si>
  <si>
    <t>S29</t>
  </si>
  <si>
    <t>T8</t>
  </si>
  <si>
    <t>X10</t>
  </si>
  <si>
    <t>P121</t>
  </si>
  <si>
    <t>H3</t>
  </si>
  <si>
    <t>S14</t>
  </si>
  <si>
    <t>X9</t>
  </si>
  <si>
    <t>E1</t>
  </si>
  <si>
    <t>P145</t>
  </si>
  <si>
    <t>MED-CAI AS ALTERNATIVE ROUTE</t>
  </si>
  <si>
    <t>MED-ATZ</t>
  </si>
  <si>
    <t>SM-488</t>
  </si>
  <si>
    <t>500 SAR</t>
  </si>
  <si>
    <t>SM488</t>
  </si>
  <si>
    <t>X5</t>
  </si>
  <si>
    <t>S8 &amp; X15 &amp; U32 &amp; O30 &amp; I18</t>
  </si>
  <si>
    <t>13 FOR SAME CLASS</t>
  </si>
  <si>
    <t>S8</t>
  </si>
  <si>
    <t>X15</t>
  </si>
  <si>
    <t>U32</t>
  </si>
  <si>
    <t>O30</t>
  </si>
  <si>
    <t>I18</t>
  </si>
  <si>
    <t>JED-CAI</t>
  </si>
  <si>
    <t>F3-753</t>
  </si>
  <si>
    <r>
      <rPr>
        <b/>
        <i/>
        <sz val="14"/>
        <color rgb="FFBC0000"/>
        <rFont val="Calibri"/>
        <family val="2"/>
      </rPr>
      <t>23</t>
    </r>
    <r>
      <rPr>
        <b/>
        <i/>
        <sz val="10"/>
        <color rgb="FFBC0000"/>
        <rFont val="Calibri"/>
        <family val="2"/>
      </rPr>
      <t xml:space="preserve"> FOR SAME CLASS</t>
    </r>
  </si>
  <si>
    <t>359 SAR</t>
  </si>
  <si>
    <r>
      <rPr>
        <i/>
        <sz val="14"/>
        <rFont val="Calibri"/>
        <family val="2"/>
      </rPr>
      <t>23</t>
    </r>
    <r>
      <rPr>
        <i/>
        <sz val="10"/>
        <rFont val="Calibri"/>
        <family val="2"/>
      </rPr>
      <t xml:space="preserve"> FOR SAME CLASS</t>
    </r>
  </si>
  <si>
    <t>509 SAR</t>
  </si>
  <si>
    <t>F3-755</t>
  </si>
  <si>
    <r>
      <rPr>
        <b/>
        <i/>
        <sz val="14"/>
        <rFont val="Calibri"/>
        <family val="2"/>
      </rPr>
      <t>17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</si>
  <si>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17</t>
    </r>
    <r>
      <rPr>
        <i/>
        <sz val="10"/>
        <rFont val="Calibri"/>
        <family val="2"/>
      </rPr>
      <t xml:space="preserve"> FOR SAME CLASS</t>
    </r>
  </si>
  <si>
    <t>F3-763</t>
  </si>
  <si>
    <r>
      <rPr>
        <b/>
        <i/>
        <sz val="14"/>
        <rFont val="Calibri"/>
        <family val="2"/>
      </rPr>
      <t>15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</si>
  <si>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15</t>
    </r>
    <r>
      <rPr>
        <i/>
        <sz val="10"/>
        <rFont val="Calibri"/>
        <family val="2"/>
      </rPr>
      <t xml:space="preserve"> FOR SAME CLASS</t>
    </r>
  </si>
  <si>
    <t>F3-761</t>
  </si>
  <si>
    <r>
      <rPr>
        <b/>
        <i/>
        <sz val="14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</si>
  <si>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t>389 SAR</t>
  </si>
  <si>
    <r>
      <rPr>
        <i/>
        <sz val="14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</si>
  <si>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539 SAR</t>
  </si>
  <si>
    <t>XY-565</t>
  </si>
  <si>
    <t>369 SAR</t>
  </si>
  <si>
    <t>469 SAR</t>
  </si>
  <si>
    <t>XY-577</t>
  </si>
  <si>
    <r>
      <rPr>
        <b/>
        <i/>
        <sz val="14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</si>
  <si>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</si>
  <si>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XY-567</t>
  </si>
  <si>
    <r>
      <rPr>
        <b/>
        <i/>
        <sz val="14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</si>
  <si>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409 SAR</t>
  </si>
  <si>
    <t>599 SAR</t>
  </si>
  <si>
    <t>XY-571</t>
  </si>
  <si>
    <t>XY-573</t>
  </si>
  <si>
    <t>XY-583</t>
  </si>
  <si>
    <t>XY-569</t>
  </si>
  <si>
    <t>449 SAR</t>
  </si>
  <si>
    <t>549 SAR</t>
  </si>
  <si>
    <t>XY-589</t>
  </si>
  <si>
    <t>Nesma Airlines</t>
  </si>
  <si>
    <t>NE-171</t>
  </si>
  <si>
    <t>Cabin: 7 KG | Check-in: 30 KG</t>
  </si>
  <si>
    <t>400 SAR</t>
  </si>
  <si>
    <t>NE-173</t>
  </si>
  <si>
    <t>SM-424</t>
  </si>
  <si>
    <t>401 SAR</t>
  </si>
  <si>
    <t>SM424</t>
  </si>
  <si>
    <t>I9</t>
  </si>
  <si>
    <t>X1 &amp; U1 &amp; O4 &amp; I3 &amp; P84</t>
  </si>
  <si>
    <t>SM-432</t>
  </si>
  <si>
    <t>SM432</t>
  </si>
  <si>
    <t>S1 &amp; O6 &amp; I77</t>
  </si>
  <si>
    <t>SM-450</t>
  </si>
  <si>
    <t>SM450</t>
  </si>
  <si>
    <t>I43 &amp; E28 &amp; N1</t>
  </si>
  <si>
    <t>SM-472</t>
  </si>
  <si>
    <t>SM472</t>
  </si>
  <si>
    <t>S1 &amp; U4 &amp; O16 &amp; I31</t>
  </si>
  <si>
    <t>SM-476</t>
  </si>
  <si>
    <t>SM476</t>
  </si>
  <si>
    <t>S1 &amp; O3 &amp; I11 &amp; P132</t>
  </si>
  <si>
    <t>SM-480</t>
  </si>
  <si>
    <t>436 SAR</t>
  </si>
  <si>
    <t>SM480</t>
  </si>
  <si>
    <t>S1 &amp; U14 &amp; O34 &amp; I45 &amp; E44 &amp; N2</t>
  </si>
  <si>
    <t>SM478</t>
  </si>
  <si>
    <t>S4 &amp; U6 &amp; O25 &amp; I55 &amp; P89</t>
  </si>
  <si>
    <t>Nile Air</t>
  </si>
  <si>
    <t>NP-128</t>
  </si>
  <si>
    <t>Air Arabia Egypt</t>
  </si>
  <si>
    <t>E5-328</t>
  </si>
  <si>
    <t>Cabin: 10 KG / Check-in: 30 KG</t>
  </si>
  <si>
    <t>492 SAR</t>
  </si>
  <si>
    <t>615 SAR</t>
  </si>
  <si>
    <t>MS-644</t>
  </si>
  <si>
    <t>Cabin: 7 KG | Check-in: 1 PIECE</t>
  </si>
  <si>
    <t>503 SAR</t>
  </si>
  <si>
    <t>MS-662</t>
  </si>
  <si>
    <t>MS-664</t>
  </si>
  <si>
    <t>MS-666</t>
  </si>
  <si>
    <t>MS-668</t>
  </si>
  <si>
    <t>MS-670</t>
  </si>
  <si>
    <t>MS-674</t>
  </si>
  <si>
    <t>MS-672</t>
  </si>
  <si>
    <t>673 SAR</t>
  </si>
  <si>
    <t>SV-335</t>
  </si>
  <si>
    <t>678 SAR</t>
  </si>
  <si>
    <t>723 SAR</t>
  </si>
  <si>
    <t>SV-383</t>
  </si>
  <si>
    <t>SV-301</t>
  </si>
  <si>
    <t>935 SAR</t>
  </si>
  <si>
    <t>980 SAR</t>
  </si>
  <si>
    <t>SV-309</t>
  </si>
  <si>
    <t>SV-6664</t>
  </si>
  <si>
    <t>1,178 SAR</t>
  </si>
  <si>
    <t>SV-6891</t>
  </si>
  <si>
    <t>SV-6893</t>
  </si>
  <si>
    <t>SV-303</t>
  </si>
  <si>
    <t>1,225 SAR</t>
  </si>
  <si>
    <t>1,270 SAR</t>
  </si>
  <si>
    <t>SV-6895</t>
  </si>
  <si>
    <t>1,228 SAR</t>
  </si>
  <si>
    <t>SV-387</t>
  </si>
  <si>
    <t>1,276 SAR</t>
  </si>
  <si>
    <t>1,321 SAR</t>
  </si>
  <si>
    <t>SV-389</t>
  </si>
  <si>
    <t>1,860 SAR</t>
  </si>
  <si>
    <t>1,905 SAR</t>
  </si>
  <si>
    <t>SV-305</t>
  </si>
  <si>
    <t>2,005 SAR</t>
  </si>
  <si>
    <t>2,050 SAR</t>
  </si>
  <si>
    <r>
      <rPr>
        <b/>
        <i/>
        <sz val="14"/>
        <rFont val="Calibri"/>
        <family val="2"/>
      </rPr>
      <t>20</t>
    </r>
    <r>
      <rPr>
        <b/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</si>
  <si>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24</t>
    </r>
    <r>
      <rPr>
        <b/>
        <i/>
        <sz val="10"/>
        <rFont val="Calibri"/>
        <family val="2"/>
      </rPr>
      <t xml:space="preserve"> FOR SAME CLASS</t>
    </r>
  </si>
  <si>
    <t>419 SAR</t>
  </si>
  <si>
    <r>
      <rPr>
        <i/>
        <sz val="14"/>
        <rFont val="Calibri"/>
        <family val="2"/>
      </rPr>
      <t>24</t>
    </r>
    <r>
      <rPr>
        <i/>
        <sz val="10"/>
        <rFont val="Calibri"/>
        <family val="2"/>
      </rPr>
      <t xml:space="preserve"> FOR SAME CLASS</t>
    </r>
  </si>
  <si>
    <t>569 SAR</t>
  </si>
  <si>
    <r>
      <rPr>
        <b/>
        <i/>
        <sz val="14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</si>
  <si>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</si>
  <si>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</si>
  <si>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O1</t>
  </si>
  <si>
    <t>B1 &amp; X1 &amp; U4 &amp; O11 &amp; I68</t>
  </si>
  <si>
    <t>SM-478</t>
  </si>
  <si>
    <t>O2</t>
  </si>
  <si>
    <t>O23 &amp; I45 &amp; P39</t>
  </si>
  <si>
    <t>L1 &amp; G1 &amp; S1 &amp; U3 &amp; O46 &amp; I25 &amp; P68</t>
  </si>
  <si>
    <t>471 SAR</t>
  </si>
  <si>
    <t>U3</t>
  </si>
  <si>
    <t>S4 &amp; X2 &amp; U14 &amp; O47 &amp; I36 &amp; P2 &amp; N3</t>
  </si>
  <si>
    <t>U9</t>
  </si>
  <si>
    <t>S3 &amp; O10 &amp; I74 &amp; P1</t>
  </si>
  <si>
    <t>SM460</t>
  </si>
  <si>
    <t>S5 &amp; W3 &amp; U16 &amp; O20 &amp; I10 &amp; P114</t>
  </si>
  <si>
    <t>E5-322</t>
  </si>
  <si>
    <t>456 SAR</t>
  </si>
  <si>
    <t>579 SAR</t>
  </si>
  <si>
    <t>1,349 SAR</t>
  </si>
  <si>
    <t>NP-228</t>
  </si>
  <si>
    <t>310 SAR</t>
  </si>
  <si>
    <r>
      <rPr>
        <b/>
        <i/>
        <sz val="14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</si>
  <si>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489 SAR</t>
  </si>
  <si>
    <t>589 SAR</t>
  </si>
  <si>
    <t>679 SAR</t>
  </si>
  <si>
    <t>O3</t>
  </si>
  <si>
    <t>S2 &amp; W1 &amp; X3 &amp; U2 &amp; O47 &amp; I25 &amp; P74</t>
  </si>
  <si>
    <t>S3 &amp; X1 &amp; U10 &amp; O28 &amp; I25 &amp; E3 &amp; P95</t>
  </si>
  <si>
    <t>S1 &amp; T9 &amp; X11 &amp; U15 &amp; O20 &amp; P102 &amp; N10</t>
  </si>
  <si>
    <t>E5-362</t>
  </si>
  <si>
    <t>441 SAR</t>
  </si>
  <si>
    <t>564 SAR</t>
  </si>
  <si>
    <t>507 SAR</t>
  </si>
  <si>
    <t>842 SAR</t>
  </si>
  <si>
    <t>1,728 SAR</t>
  </si>
  <si>
    <t>1,773 SAR</t>
  </si>
  <si>
    <t>NE-177</t>
  </si>
  <si>
    <t>745 SAR</t>
  </si>
  <si>
    <r>
      <rPr>
        <b/>
        <i/>
        <sz val="14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</si>
  <si>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430 SAR</t>
  </si>
  <si>
    <t>553 SAR</t>
  </si>
  <si>
    <t>S2 &amp; W2 &amp; X3 &amp; U10 &amp; O16 &amp; I1 &amp; P95</t>
  </si>
  <si>
    <t>U4 &amp; O19 &amp; I5 &amp; P83</t>
  </si>
  <si>
    <t>S3 &amp; U4 &amp; O34 &amp; I55 &amp; P47</t>
  </si>
  <si>
    <t>X3 &amp; O3 &amp; I5 &amp; P157</t>
  </si>
  <si>
    <t>K1 &amp; S4 &amp; X7 &amp; U8 &amp; O8 &amp; I8 &amp; E43 &amp; P92 &amp; N2</t>
  </si>
  <si>
    <t>846 SAR</t>
  </si>
  <si>
    <t>X1</t>
  </si>
  <si>
    <t>U1</t>
  </si>
  <si>
    <t>I3</t>
  </si>
  <si>
    <t>P84</t>
  </si>
  <si>
    <t>O16</t>
  </si>
  <si>
    <t>I31</t>
  </si>
  <si>
    <t>I43</t>
  </si>
  <si>
    <t>E28</t>
  </si>
  <si>
    <t>I11</t>
  </si>
  <si>
    <t>P132</t>
  </si>
  <si>
    <t>O6</t>
  </si>
  <si>
    <t>I77</t>
  </si>
  <si>
    <t>O25</t>
  </si>
  <si>
    <t>I55</t>
  </si>
  <si>
    <t>P89</t>
  </si>
  <si>
    <t>U14</t>
  </si>
  <si>
    <t>O34</t>
  </si>
  <si>
    <t>I45</t>
  </si>
  <si>
    <t>E44</t>
  </si>
  <si>
    <t>N2</t>
  </si>
  <si>
    <t>FRIDAY</t>
  </si>
  <si>
    <t>B1</t>
  </si>
  <si>
    <t>O11</t>
  </si>
  <si>
    <t>I68</t>
  </si>
  <si>
    <t>S3</t>
  </si>
  <si>
    <t>O10</t>
  </si>
  <si>
    <t>I74</t>
  </si>
  <si>
    <t>P1</t>
  </si>
  <si>
    <t>O23</t>
  </si>
  <si>
    <t>P39</t>
  </si>
  <si>
    <t>L1</t>
  </si>
  <si>
    <t>G1</t>
  </si>
  <si>
    <t>O46</t>
  </si>
  <si>
    <t>I25</t>
  </si>
  <si>
    <t>P68</t>
  </si>
  <si>
    <t>X2</t>
  </si>
  <si>
    <t>O47</t>
  </si>
  <si>
    <t>I36</t>
  </si>
  <si>
    <t>P2</t>
  </si>
  <si>
    <t>N3</t>
  </si>
  <si>
    <t>S5</t>
  </si>
  <si>
    <t>W3</t>
  </si>
  <si>
    <t>U16</t>
  </si>
  <si>
    <t>O20</t>
  </si>
  <si>
    <t>I10</t>
  </si>
  <si>
    <t>P114</t>
  </si>
  <si>
    <t>S2</t>
  </si>
  <si>
    <t>W1</t>
  </si>
  <si>
    <t>X3</t>
  </si>
  <si>
    <t>U2</t>
  </si>
  <si>
    <t>P74</t>
  </si>
  <si>
    <t>U10</t>
  </si>
  <si>
    <t>O28</t>
  </si>
  <si>
    <t>E3</t>
  </si>
  <si>
    <t>P95</t>
  </si>
  <si>
    <t>T9</t>
  </si>
  <si>
    <t>X11</t>
  </si>
  <si>
    <t>U15</t>
  </si>
  <si>
    <t>P102</t>
  </si>
  <si>
    <t>N10</t>
  </si>
  <si>
    <t>W2</t>
  </si>
  <si>
    <t>I1</t>
  </si>
  <si>
    <t>P47</t>
  </si>
  <si>
    <t>O19</t>
  </si>
  <si>
    <t>I5</t>
  </si>
  <si>
    <t>P83</t>
  </si>
  <si>
    <t>P157</t>
  </si>
  <si>
    <t>K1</t>
  </si>
  <si>
    <t>X7</t>
  </si>
  <si>
    <t>U8</t>
  </si>
  <si>
    <t>O8</t>
  </si>
  <si>
    <t>I8</t>
  </si>
  <si>
    <t>E43</t>
  </si>
  <si>
    <t>P92</t>
  </si>
  <si>
    <t>JED-HBE</t>
  </si>
  <si>
    <t>E5-326</t>
  </si>
  <si>
    <t>Cabin: 10 KG</t>
  </si>
  <si>
    <t>530 SAR</t>
  </si>
  <si>
    <t>Cabin: 10 KG / Check-in: 20 KG</t>
  </si>
  <si>
    <t>584 SAR</t>
  </si>
  <si>
    <t>653 SAR</t>
  </si>
  <si>
    <t>E5-394</t>
  </si>
  <si>
    <t>598 SAR</t>
  </si>
  <si>
    <t>664 SAR</t>
  </si>
  <si>
    <t>721 SAR</t>
  </si>
  <si>
    <t>SM-452</t>
  </si>
  <si>
    <t>856 SAR</t>
  </si>
  <si>
    <t>SM452</t>
  </si>
  <si>
    <t>L3 &amp; S1 &amp; X1 &amp; P170</t>
  </si>
  <si>
    <t>SV-331</t>
  </si>
  <si>
    <t>Cabin: 7 KG</t>
  </si>
  <si>
    <t>865 SAR</t>
  </si>
  <si>
    <t>1,040 SAR</t>
  </si>
  <si>
    <t>1,112 SAR</t>
  </si>
  <si>
    <t>SV-411</t>
  </si>
  <si>
    <t>1,272 SAR</t>
  </si>
  <si>
    <t>1,400 SAR</t>
  </si>
  <si>
    <t>Indirect competition route JED – CAI - diversion ratio &amp; passenger leakage</t>
  </si>
  <si>
    <t>07:15</t>
  </si>
  <si>
    <t>23 FOR SAME CLASS</t>
  </si>
  <si>
    <t>03:05</t>
  </si>
  <si>
    <t>17 FOR SAME CLASS</t>
  </si>
  <si>
    <t>21:20</t>
  </si>
  <si>
    <t>15 FOR SAME CLASS</t>
  </si>
  <si>
    <t>06:10</t>
  </si>
  <si>
    <t>09:30</t>
  </si>
  <si>
    <t>6 FOR SAME CLASS</t>
  </si>
  <si>
    <t>18:55</t>
  </si>
  <si>
    <t>11 FOR SAME CLASS</t>
  </si>
  <si>
    <t>07:00</t>
  </si>
  <si>
    <t>14:15</t>
  </si>
  <si>
    <t>01:10</t>
  </si>
  <si>
    <t>08:45</t>
  </si>
  <si>
    <t>SEATS AVAILABLE</t>
  </si>
  <si>
    <t>L5</t>
  </si>
  <si>
    <t>L10 &amp; G15 &amp; S15 &amp; W21 &amp; T17 &amp; X27 &amp; U15</t>
  </si>
  <si>
    <t>16:00</t>
  </si>
  <si>
    <t>15:30</t>
  </si>
  <si>
    <t>12:25</t>
  </si>
  <si>
    <t>20:30</t>
  </si>
  <si>
    <t>19:10</t>
  </si>
  <si>
    <t>3 FOR SAME CLASS</t>
  </si>
  <si>
    <t>F3-773</t>
  </si>
  <si>
    <t>Hand baggage only</t>
  </si>
  <si>
    <t>629 SAR</t>
  </si>
  <si>
    <t>688 SAR</t>
  </si>
  <si>
    <t>712 SAR</t>
  </si>
  <si>
    <t>Cabin: 10 KG / Check-in: 32 KG</t>
  </si>
  <si>
    <t>879 SAR</t>
  </si>
  <si>
    <r>
      <rPr>
        <b/>
        <i/>
        <sz val="14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</si>
  <si>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781 SAR</t>
  </si>
  <si>
    <t>G8 &amp; S11 &amp; X7 &amp; U7 &amp; O6 &amp; I8 &amp; P119</t>
  </si>
  <si>
    <t>SM-458</t>
  </si>
  <si>
    <t>SM458</t>
  </si>
  <si>
    <t>G7 &amp; S3 &amp; T1 &amp; X17 &amp; P139</t>
  </si>
  <si>
    <t>2,044 SAR</t>
  </si>
  <si>
    <t>2,172 SAR</t>
  </si>
  <si>
    <t>05:15</t>
  </si>
  <si>
    <t>06:30</t>
  </si>
  <si>
    <t>774 SAR</t>
  </si>
  <si>
    <t>902 SAR</t>
  </si>
  <si>
    <t>2,275 SAR</t>
  </si>
  <si>
    <t>2,403 SAR</t>
  </si>
  <si>
    <t>G1 &amp; S1 &amp; X4 &amp; U7 &amp; O8 &amp; I8 &amp; E1 &amp; P137 &amp; N1</t>
  </si>
  <si>
    <t>G1 &amp; S4 &amp; W6 &amp; T7 &amp; X10 &amp; P138 &amp; N2</t>
  </si>
  <si>
    <t>2 FOR SAME CLASS</t>
  </si>
  <si>
    <t>06:35</t>
  </si>
  <si>
    <t>09:10</t>
  </si>
  <si>
    <t>09:20</t>
  </si>
  <si>
    <t>02:00</t>
  </si>
  <si>
    <t>08:00</t>
  </si>
  <si>
    <t>07:40</t>
  </si>
  <si>
    <t>L3</t>
  </si>
  <si>
    <t>P170</t>
  </si>
  <si>
    <t>L10</t>
  </si>
  <si>
    <t>G15</t>
  </si>
  <si>
    <t>S15</t>
  </si>
  <si>
    <t>W21</t>
  </si>
  <si>
    <t>T17</t>
  </si>
  <si>
    <t>X27</t>
  </si>
  <si>
    <t>G7</t>
  </si>
  <si>
    <t>T1</t>
  </si>
  <si>
    <t>X17</t>
  </si>
  <si>
    <t>P139</t>
  </si>
  <si>
    <t>G8</t>
  </si>
  <si>
    <t>S11</t>
  </si>
  <si>
    <t>U7</t>
  </si>
  <si>
    <t>P119</t>
  </si>
  <si>
    <t>P137</t>
  </si>
  <si>
    <t>W6</t>
  </si>
  <si>
    <t>T7</t>
  </si>
  <si>
    <t>P138</t>
  </si>
  <si>
    <t>JED-CAI AS ALTERNATIVE ROUTE</t>
  </si>
  <si>
    <t>JED-ATZ</t>
  </si>
  <si>
    <t>SM-422</t>
  </si>
  <si>
    <t>SM422</t>
  </si>
  <si>
    <t>S1 &amp; U8 &amp; O11 &amp; I45</t>
  </si>
  <si>
    <t>SM-454</t>
  </si>
  <si>
    <t>SM454</t>
  </si>
  <si>
    <t>U3 &amp; O19 &amp; I25 &amp; P95</t>
  </si>
  <si>
    <t>SM-456</t>
  </si>
  <si>
    <t>SM456</t>
  </si>
  <si>
    <t>T2 &amp; X5 &amp; U16 &amp; O15 &amp; I35 &amp; P44</t>
  </si>
  <si>
    <t>MS-8224</t>
  </si>
  <si>
    <t>640 SAR</t>
  </si>
  <si>
    <t>SM-492</t>
  </si>
  <si>
    <t>526 SAR</t>
  </si>
  <si>
    <t>SM492</t>
  </si>
  <si>
    <t>S3 &amp; W1 &amp; X12 &amp; U15 &amp; O26 &amp; I49 &amp; P2</t>
  </si>
  <si>
    <t>S8 &amp; W4 &amp; X13 &amp; U15 &amp; O2 &amp; I4 &amp; P95</t>
  </si>
  <si>
    <t>X8</t>
  </si>
  <si>
    <t>S1 &amp; W1 &amp; T2 &amp; X5 &amp; U12 &amp; I4 &amp; P135</t>
  </si>
  <si>
    <t>F3-777</t>
  </si>
  <si>
    <t>329 SAR</t>
  </si>
  <si>
    <t>388 SAR</t>
  </si>
  <si>
    <t>412 SAR</t>
  </si>
  <si>
    <t>S1 &amp; W2 &amp; X5 &amp; U9 &amp; O9 &amp; I36 &amp; E45</t>
  </si>
  <si>
    <t>X6</t>
  </si>
  <si>
    <t>S6 &amp; X9 &amp; U19 &amp; O21 &amp; I20 &amp; P75</t>
  </si>
  <si>
    <t>T2</t>
  </si>
  <si>
    <t>O15</t>
  </si>
  <si>
    <t>I35</t>
  </si>
  <si>
    <t>P44</t>
  </si>
  <si>
    <t>X12</t>
  </si>
  <si>
    <t>O26</t>
  </si>
  <si>
    <t>I49</t>
  </si>
  <si>
    <t>X13</t>
  </si>
  <si>
    <t>U12</t>
  </si>
  <si>
    <t>P135</t>
  </si>
  <si>
    <t>S6</t>
  </si>
  <si>
    <t>U19</t>
  </si>
  <si>
    <t>O21</t>
  </si>
  <si>
    <t>I20</t>
  </si>
  <si>
    <t>P75</t>
  </si>
  <si>
    <t>E45</t>
  </si>
  <si>
    <t>JED-LXR</t>
  </si>
  <si>
    <t>NE-676</t>
  </si>
  <si>
    <t>JED-ASW</t>
  </si>
  <si>
    <t>JED-SSH</t>
  </si>
  <si>
    <t>SV-325</t>
  </si>
  <si>
    <t>1,267 SAR</t>
  </si>
  <si>
    <t>1,395 SAR</t>
  </si>
  <si>
    <t>551 SAR</t>
  </si>
  <si>
    <t>901 SAR</t>
  </si>
  <si>
    <t>756 SAR</t>
  </si>
  <si>
    <t>1,034 SAR</t>
  </si>
  <si>
    <t>1,106 SAR</t>
  </si>
  <si>
    <t>JED-HRG</t>
  </si>
  <si>
    <t>NP-428</t>
  </si>
  <si>
    <t>364 SAR</t>
  </si>
  <si>
    <t>RUH-CAI</t>
  </si>
  <si>
    <t>F3-605</t>
  </si>
  <si>
    <t>309 SAR</t>
  </si>
  <si>
    <t>459 SAR</t>
  </si>
  <si>
    <t>899 SAR</t>
  </si>
  <si>
    <t>F3-607</t>
  </si>
  <si>
    <r>
      <rPr>
        <b/>
        <i/>
        <sz val="14"/>
        <rFont val="Calibri"/>
        <family val="2"/>
      </rPr>
      <t>13</t>
    </r>
    <r>
      <rPr>
        <b/>
        <i/>
        <sz val="10"/>
        <rFont val="Calibri"/>
        <family val="2"/>
      </rPr>
      <t xml:space="preserve"> FOR SAME CLASS</t>
    </r>
  </si>
  <si>
    <t>F3-611</t>
  </si>
  <si>
    <t>429 SAR</t>
  </si>
  <si>
    <t>1,999 SAR</t>
  </si>
  <si>
    <t>F3-615</t>
  </si>
  <si>
    <t>XY-263</t>
  </si>
  <si>
    <t>519 SAR</t>
  </si>
  <si>
    <t>XY-267</t>
  </si>
  <si>
    <t>XY-269</t>
  </si>
  <si>
    <t>XY-273</t>
  </si>
  <si>
    <t>XY-275</t>
  </si>
  <si>
    <t>XY-265</t>
  </si>
  <si>
    <t>XY-271</t>
  </si>
  <si>
    <t>NE-165</t>
  </si>
  <si>
    <t>350 SAR</t>
  </si>
  <si>
    <t>NP-152</t>
  </si>
  <si>
    <t>357 SAR</t>
  </si>
  <si>
    <t>NP-252</t>
  </si>
  <si>
    <t>SM-462</t>
  </si>
  <si>
    <t>397 SAR</t>
  </si>
  <si>
    <t>SM462</t>
  </si>
  <si>
    <t>K2 &amp; S2 &amp; W3 &amp; X6 &amp; U32 &amp; O10 &amp; I59</t>
  </si>
  <si>
    <t>E5-411</t>
  </si>
  <si>
    <t>417 SAR</t>
  </si>
  <si>
    <t>540 SAR</t>
  </si>
  <si>
    <t>MS-652</t>
  </si>
  <si>
    <t>597 SAR</t>
  </si>
  <si>
    <t>MS-650</t>
  </si>
  <si>
    <t>601 SAR</t>
  </si>
  <si>
    <t>MS-648</t>
  </si>
  <si>
    <t>841 SAR</t>
  </si>
  <si>
    <t>SV-311</t>
  </si>
  <si>
    <t>SV-313</t>
  </si>
  <si>
    <t>999 SAR</t>
  </si>
  <si>
    <t>1,049 SAR</t>
  </si>
  <si>
    <t>SV-417</t>
  </si>
  <si>
    <t>SV-6676</t>
  </si>
  <si>
    <t>1,161 SAR</t>
  </si>
  <si>
    <t>SV-6749</t>
  </si>
  <si>
    <t>1,529 SAR</t>
  </si>
  <si>
    <t>SV-6595</t>
  </si>
  <si>
    <t>1,717 SAR</t>
  </si>
  <si>
    <t>SV-321</t>
  </si>
  <si>
    <t>2,405 SAR</t>
  </si>
  <si>
    <t>2,533 SAR</t>
  </si>
  <si>
    <t>259 SAR</t>
  </si>
  <si>
    <r>
      <rPr>
        <b/>
        <i/>
        <sz val="14"/>
        <rFont val="Calibri"/>
        <family val="2"/>
      </rPr>
      <t>18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</si>
  <si>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</si>
  <si>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t>339 SAR</t>
  </si>
  <si>
    <t>NE-161</t>
  </si>
  <si>
    <t>355 SAR</t>
  </si>
  <si>
    <t>K1 &amp; S1 &amp; T3 &amp; U3 &amp; O51 &amp; I50</t>
  </si>
  <si>
    <t>SM-470</t>
  </si>
  <si>
    <t>SM470</t>
  </si>
  <si>
    <t>W4 &amp; O10 &amp; I70</t>
  </si>
  <si>
    <t>437 SAR</t>
  </si>
  <si>
    <t>527 SAR</t>
  </si>
  <si>
    <t>824 SAR</t>
  </si>
  <si>
    <t>1,090 SAR</t>
  </si>
  <si>
    <t>1,218 SAR</t>
  </si>
  <si>
    <t>1,268 SAR</t>
  </si>
  <si>
    <t>1,396 SAR</t>
  </si>
  <si>
    <r>
      <rPr>
        <b/>
        <i/>
        <sz val="14"/>
        <color rgb="FFBC0000"/>
        <rFont val="Calibri"/>
        <family val="2"/>
      </rPr>
      <t>21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</si>
  <si>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21</t>
    </r>
    <r>
      <rPr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</si>
  <si>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42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</si>
  <si>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42</t>
    </r>
    <r>
      <rPr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</si>
  <si>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33</t>
    </r>
    <r>
      <rPr>
        <b/>
        <i/>
        <sz val="1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</si>
  <si>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33</t>
    </r>
    <r>
      <rPr>
        <i/>
        <sz val="10"/>
        <rFont val="Calibri"/>
        <family val="2"/>
      </rPr>
      <t xml:space="preserve"> FOR SAME CLASS</t>
    </r>
  </si>
  <si>
    <t>289 SAR</t>
  </si>
  <si>
    <t>479 SAR</t>
  </si>
  <si>
    <t>348 SAR</t>
  </si>
  <si>
    <t>354 SAR</t>
  </si>
  <si>
    <t>K1 &amp; S2 &amp; W1 &amp; U2 &amp; O43 &amp; I60</t>
  </si>
  <si>
    <t>NP-154</t>
  </si>
  <si>
    <t>NP-352</t>
  </si>
  <si>
    <t>661 SAR</t>
  </si>
  <si>
    <t>711 SAR</t>
  </si>
  <si>
    <t>Cabin: 0 KG | Check-in: 15 KG</t>
  </si>
  <si>
    <r>
      <rPr>
        <b/>
        <i/>
        <sz val="14"/>
        <color rgb="FFBC0000"/>
        <rFont val="Calibri"/>
        <family val="2"/>
      </rPr>
      <t>50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</si>
  <si>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19</t>
    </r>
    <r>
      <rPr>
        <b/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</si>
  <si>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41</t>
    </r>
    <r>
      <rPr>
        <b/>
        <i/>
        <sz val="10"/>
        <rFont val="Calibri"/>
        <family val="2"/>
      </rPr>
      <t xml:space="preserve"> FOR SAME CLASS</t>
    </r>
  </si>
  <si>
    <r>
      <rPr>
        <b/>
        <i/>
        <sz val="14"/>
        <rFont val="Calibri"/>
        <family val="2"/>
      </rPr>
      <t>26</t>
    </r>
    <r>
      <rPr>
        <b/>
        <i/>
        <sz val="10"/>
        <rFont val="Calibri"/>
        <family val="2"/>
      </rPr>
      <t xml:space="preserve"> FOR SAME CLASS</t>
    </r>
  </si>
  <si>
    <t>Cabin: 7 KG | Check-in: 20 KG</t>
  </si>
  <si>
    <t>NE-163</t>
  </si>
  <si>
    <t>K1 &amp; S1 &amp; W1 &amp; U1 &amp; O38 &amp; I50</t>
  </si>
  <si>
    <t>NP-354</t>
  </si>
  <si>
    <t>495 SAR</t>
  </si>
  <si>
    <t>545 SAR</t>
  </si>
  <si>
    <t>SV-323</t>
  </si>
  <si>
    <t>K2</t>
  </si>
  <si>
    <t>I59</t>
  </si>
  <si>
    <t>T3</t>
  </si>
  <si>
    <t>O51</t>
  </si>
  <si>
    <t>I50</t>
  </si>
  <si>
    <t>I70</t>
  </si>
  <si>
    <t>O43</t>
  </si>
  <si>
    <t>I60</t>
  </si>
  <si>
    <t>O38</t>
  </si>
  <si>
    <t>RUH-ATZ</t>
  </si>
  <si>
    <t>SM-464</t>
  </si>
  <si>
    <t>596 SAR</t>
  </si>
  <si>
    <t>SM464</t>
  </si>
  <si>
    <t>S5 &amp; W3 &amp; X9 &amp; U31 &amp; O49 &amp; I1</t>
  </si>
  <si>
    <t>MS-8246</t>
  </si>
  <si>
    <t>778 SAR</t>
  </si>
  <si>
    <t>Indirect competition route RUH – CAI - diversion ratio &amp; passenger leakage</t>
  </si>
  <si>
    <t>10:45</t>
  </si>
  <si>
    <t>50 FOR SAME CLASS</t>
  </si>
  <si>
    <t>12:00</t>
  </si>
  <si>
    <t>19 FOR SAME CLASS</t>
  </si>
  <si>
    <t>18:15</t>
  </si>
  <si>
    <t>41 FOR SAME CLASS</t>
  </si>
  <si>
    <t>19:35</t>
  </si>
  <si>
    <t>26 FOR SAME CLASS</t>
  </si>
  <si>
    <t>07:20</t>
  </si>
  <si>
    <t>16:30</t>
  </si>
  <si>
    <t>13:35</t>
  </si>
  <si>
    <t>19:50</t>
  </si>
  <si>
    <t>10:15</t>
  </si>
  <si>
    <t>U31</t>
  </si>
  <si>
    <t>O49</t>
  </si>
  <si>
    <t>RUH-CAI AS ALTERNATIVE ROUTE</t>
  </si>
  <si>
    <t>DMM-CAI</t>
  </si>
  <si>
    <t>F3-911</t>
  </si>
  <si>
    <t>XY-854</t>
  </si>
  <si>
    <t>349 SAR</t>
  </si>
  <si>
    <t>XY-894</t>
  </si>
  <si>
    <t>439 SAR</t>
  </si>
  <si>
    <t>NE-153</t>
  </si>
  <si>
    <t>371 SAR</t>
  </si>
  <si>
    <t>NE-155</t>
  </si>
  <si>
    <t>NP-132</t>
  </si>
  <si>
    <t>379 SAR</t>
  </si>
  <si>
    <t>NP-332</t>
  </si>
  <si>
    <t>MS-684</t>
  </si>
  <si>
    <t>415 SAR</t>
  </si>
  <si>
    <t>MS-682</t>
  </si>
  <si>
    <t>MS-688</t>
  </si>
  <si>
    <t>SM-434</t>
  </si>
  <si>
    <t>446 SAR</t>
  </si>
  <si>
    <t>SM434</t>
  </si>
  <si>
    <t>L1 &amp; S2 &amp; W4 &amp; X1 &amp; U4 &amp; O1 &amp; I33</t>
  </si>
  <si>
    <t>SV-6446</t>
  </si>
  <si>
    <t>1,126 SAR</t>
  </si>
  <si>
    <t>NE-151</t>
  </si>
  <si>
    <t>NP-232</t>
  </si>
  <si>
    <t>411 SAR</t>
  </si>
  <si>
    <t>583 SAR</t>
  </si>
  <si>
    <t>K1 &amp; G3 &amp; S10 &amp; W1 &amp; O6 &amp; I50</t>
  </si>
  <si>
    <t>E5-316</t>
  </si>
  <si>
    <t>477 SAR</t>
  </si>
  <si>
    <t>862 SAR</t>
  </si>
  <si>
    <t>L2 &amp; G1 &amp; S7 &amp; W6 &amp; U1 &amp; I15</t>
  </si>
  <si>
    <t>1,085 SAR</t>
  </si>
  <si>
    <r>
      <rPr>
        <b/>
        <i/>
        <sz val="14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</si>
  <si>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4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</si>
  <si>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NP-134</t>
  </si>
  <si>
    <t>NP-234</t>
  </si>
  <si>
    <t>I33</t>
  </si>
  <si>
    <t>S10</t>
  </si>
  <si>
    <t>S7</t>
  </si>
  <si>
    <t>I15</t>
  </si>
  <si>
    <t>DMM-ATZ</t>
  </si>
  <si>
    <t>SM-438</t>
  </si>
  <si>
    <t>636 SAR</t>
  </si>
  <si>
    <t>SM438</t>
  </si>
  <si>
    <t>S2 &amp; W2 &amp; T6 &amp; X13 &amp; U42 &amp; O18 &amp; I10</t>
  </si>
  <si>
    <t>Indirect competition route DMM – CAI - diversion ratio &amp; passenger leakage</t>
  </si>
  <si>
    <t>04:10</t>
  </si>
  <si>
    <t>23:00</t>
  </si>
  <si>
    <t>20:00</t>
  </si>
  <si>
    <t>04:05</t>
  </si>
  <si>
    <t>13:55</t>
  </si>
  <si>
    <t>20:45</t>
  </si>
  <si>
    <t>T6</t>
  </si>
  <si>
    <t>U42</t>
  </si>
  <si>
    <t>O18</t>
  </si>
  <si>
    <t>DMM-CAI AS ALTERNATIVE ROUTE</t>
  </si>
  <si>
    <t>TUU-CAI</t>
  </si>
  <si>
    <t>SM326</t>
  </si>
  <si>
    <t>X1 &amp; U3 &amp; O41 &amp; I28</t>
  </si>
  <si>
    <t>MS-812</t>
  </si>
  <si>
    <t>344 SAR</t>
  </si>
  <si>
    <t>NP-118</t>
  </si>
  <si>
    <t>E5-590</t>
  </si>
  <si>
    <t>392 SAR</t>
  </si>
  <si>
    <t>515 SAR</t>
  </si>
  <si>
    <t>SM-326</t>
  </si>
  <si>
    <t>353 SAR</t>
  </si>
  <si>
    <t>O18 &amp; I15</t>
  </si>
  <si>
    <t>NE-121</t>
  </si>
  <si>
    <t>NP-108</t>
  </si>
  <si>
    <t>325 SAR</t>
  </si>
  <si>
    <t>448 SAR</t>
  </si>
  <si>
    <t>NP-308</t>
  </si>
  <si>
    <t>O41</t>
  </si>
  <si>
    <t>I28</t>
  </si>
  <si>
    <t>TUU-ATZ</t>
  </si>
  <si>
    <t>SM-328</t>
  </si>
  <si>
    <t>536 SAR</t>
  </si>
  <si>
    <t>SM328</t>
  </si>
  <si>
    <t>X2 &amp; U10 &amp; O68 &amp; I10</t>
  </si>
  <si>
    <t>Indirect competition route TUU – CAI - diversion ratio &amp; passenger leakage</t>
  </si>
  <si>
    <t>21:45</t>
  </si>
  <si>
    <t>15:15</t>
  </si>
  <si>
    <t>O68</t>
  </si>
  <si>
    <t>TUU-CAI AS ALTERNATIVE ROUTE</t>
  </si>
  <si>
    <t>AJF-CAI</t>
  </si>
  <si>
    <t>SM-322</t>
  </si>
  <si>
    <t>420 SAR</t>
  </si>
  <si>
    <t>SM322</t>
  </si>
  <si>
    <t>S1 &amp; T4 &amp; X1 &amp; U1 &amp; O54 &amp; I37</t>
  </si>
  <si>
    <t>NP-120</t>
  </si>
  <si>
    <t>421 SAR</t>
  </si>
  <si>
    <t>NP-110</t>
  </si>
  <si>
    <t>W1 &amp; O62 &amp; I1</t>
  </si>
  <si>
    <t>O54</t>
  </si>
  <si>
    <t>I37</t>
  </si>
  <si>
    <t>O62</t>
  </si>
  <si>
    <t>AJF-ATZ</t>
  </si>
  <si>
    <t>SM324</t>
  </si>
  <si>
    <t>W5</t>
  </si>
  <si>
    <t>W6 &amp; T12 &amp; X13 &amp; U40 &amp; O49 &amp; I1</t>
  </si>
  <si>
    <t>Indirect competition route AJF – CAI - diversion ratio &amp; passenger leakage</t>
  </si>
  <si>
    <t>11:00</t>
  </si>
  <si>
    <t>T12</t>
  </si>
  <si>
    <t>U40</t>
  </si>
  <si>
    <t>AJF-CAI AS ALTERNATIVE ROUTE</t>
  </si>
  <si>
    <t>YNB-CAI</t>
  </si>
  <si>
    <t>SM442</t>
  </si>
  <si>
    <t>LAST SEATS</t>
  </si>
  <si>
    <t>V3</t>
  </si>
  <si>
    <t>K4 &amp; V7 &amp; W6 &amp; T1 &amp; X21 &amp; P137</t>
  </si>
  <si>
    <t>HIGH DEMAND</t>
  </si>
  <si>
    <t>V2 &amp; S1 &amp; W9 &amp; T33 &amp; X10 &amp; U31 &amp; O9 &amp; I28 &amp; P40</t>
  </si>
  <si>
    <t>SM-442</t>
  </si>
  <si>
    <t>868 SAR</t>
  </si>
  <si>
    <t>Y1 &amp; L3 &amp; G15 &amp; W1 &amp; X7 &amp; U1 &amp; O6 &amp; I4 &amp; P137</t>
  </si>
  <si>
    <t>S2 &amp; W2 &amp; T6 &amp; X7 &amp; U18 &amp; O20 &amp; I29 &amp; P89</t>
  </si>
  <si>
    <t>K4</t>
  </si>
  <si>
    <t>X21</t>
  </si>
  <si>
    <t>V2</t>
  </si>
  <si>
    <t>W9</t>
  </si>
  <si>
    <t>T33</t>
  </si>
  <si>
    <t>P40</t>
  </si>
  <si>
    <t>Y1</t>
  </si>
  <si>
    <t>U18</t>
  </si>
  <si>
    <t>I29</t>
  </si>
  <si>
    <t>AHB-CAI</t>
  </si>
  <si>
    <t>SM448</t>
  </si>
  <si>
    <t>L1 &amp; G9 &amp; S10 &amp; W10 &amp; T10 &amp; X67 &amp; O1</t>
  </si>
  <si>
    <t>SM-444</t>
  </si>
  <si>
    <t>SM444</t>
  </si>
  <si>
    <t>S2 &amp; W8 &amp; T17 &amp; X56 &amp; U9 &amp; O9</t>
  </si>
  <si>
    <t>NP-244</t>
  </si>
  <si>
    <t>571 SAR</t>
  </si>
  <si>
    <t>S1 &amp; W2 &amp; T1 &amp; X51 &amp; U5 &amp; O9 &amp; I8</t>
  </si>
  <si>
    <t>NP-144</t>
  </si>
  <si>
    <t>G9</t>
  </si>
  <si>
    <t>W10</t>
  </si>
  <si>
    <t>T10</t>
  </si>
  <si>
    <t>X67</t>
  </si>
  <si>
    <t>W8</t>
  </si>
  <si>
    <t>X56</t>
  </si>
  <si>
    <t>X51</t>
  </si>
  <si>
    <t>U5</t>
  </si>
  <si>
    <t>AHB-ATZ</t>
  </si>
  <si>
    <t>SM446</t>
  </si>
  <si>
    <t>L3 &amp; G35 &amp; S14 &amp; W10</t>
  </si>
  <si>
    <t>Indirect competition route AHB – CAI - diversion ratio &amp; passenger leakage</t>
  </si>
  <si>
    <t>00:05</t>
  </si>
  <si>
    <t>G35</t>
  </si>
  <si>
    <t>AHB-CAI AS ALTERNATIVE ROUTE</t>
  </si>
  <si>
    <t>ELQ-CAI</t>
  </si>
  <si>
    <t>SM428</t>
  </si>
  <si>
    <t>S2 &amp; W2 &amp; O22 &amp; I46</t>
  </si>
  <si>
    <t>MS-634</t>
  </si>
  <si>
    <t>305 SAR</t>
  </si>
  <si>
    <t>NP-116</t>
  </si>
  <si>
    <t>SM-428</t>
  </si>
  <si>
    <t>S2 &amp; W4 &amp; O13</t>
  </si>
  <si>
    <t>S8 &amp; W4 &amp; O66</t>
  </si>
  <si>
    <t>O22</t>
  </si>
  <si>
    <t>I46</t>
  </si>
  <si>
    <t>O13</t>
  </si>
  <si>
    <t>O66</t>
  </si>
  <si>
    <t>ELQ-ATZ</t>
  </si>
  <si>
    <t>SM-436</t>
  </si>
  <si>
    <t>SM436</t>
  </si>
  <si>
    <t>W1 &amp; X8 &amp; U20 &amp; O30</t>
  </si>
  <si>
    <t>Indirect competition route ELQ – CAI - diversion ratio &amp; passenger leakage</t>
  </si>
  <si>
    <t>00:50</t>
  </si>
  <si>
    <t>23:30</t>
  </si>
  <si>
    <t>00:01</t>
  </si>
  <si>
    <t>U20</t>
  </si>
  <si>
    <t>ELQ-CAI AS ALTERNATIVE ROUTE</t>
  </si>
  <si>
    <t>GIZ-CAI</t>
  </si>
  <si>
    <t>E5-586</t>
  </si>
  <si>
    <t>562 SAR</t>
  </si>
  <si>
    <t>686 SAR</t>
  </si>
  <si>
    <t>NP-142</t>
  </si>
  <si>
    <t>621 SAR</t>
  </si>
  <si>
    <t>669 SAR</t>
  </si>
  <si>
    <t>SM-330</t>
  </si>
  <si>
    <t>SM330</t>
  </si>
  <si>
    <t>G2 &amp; S1 &amp; W5 &amp; T2 &amp; X18 &amp; U35</t>
  </si>
  <si>
    <t>578 SAR</t>
  </si>
  <si>
    <t>X14 &amp; U34 &amp; O5 &amp; I5</t>
  </si>
  <si>
    <t>X18</t>
  </si>
  <si>
    <t>U35</t>
  </si>
  <si>
    <t>X14</t>
  </si>
  <si>
    <t>U34</t>
  </si>
  <si>
    <t>O5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</si>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</sst>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4" x14ac:knownFonts="1">
    <font>
      <sz val="11"/>
      <color theme="1"/>
      <name val="Calibri"/>
      <family val="2"/>
      <scheme val="minor"/>
    </font>
    <font>
      <i/>
      <sz val="11"/>
      <name val="Calibri"/>
      <family val="2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5"/>
      <color rgb="FF000000"/>
      <name val="Century Gothic"/>
      <family val="2"/>
    </font>
    <font>
      <b/>
      <i/>
      <sz val="14"/>
      <name val="Calibri"/>
      <family val="2"/>
    </font>
    <font>
      <b/>
      <i/>
      <sz val="13"/>
      <name val="Calibri"/>
      <family val="2"/>
    </font>
    <font>
      <b/>
      <i/>
      <sz val="14"/>
      <color rgb="FFBC0000"/>
      <name val="Calibri"/>
      <family val="2"/>
    </font>
    <font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sz val="20"/>
      <color theme="1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sz val="12"/>
      <color theme="1"/>
      <name val="Calibri"/>
      <family val="2"/>
    </font>
    <font>
      <b/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i/>
      <sz val="14"/>
      <color rgb="FF8B0000"/>
      <name val="Calibri"/>
      <family val="2"/>
    </font>
    <font>
      <b/>
      <sz val="11"/>
      <name val="Calibri"/>
      <family val="2"/>
    </font>
    <font>
      <b/>
      <i/>
      <sz val="12"/>
      <color rgb="FFFF0000"/>
      <name val="Calibri"/>
      <family val="2"/>
    </font>
    <font>
      <b/>
      <i/>
      <sz val="13"/>
      <color rgb="FF9C0006"/>
      <name val="Calibri"/>
      <family val="2"/>
    </font>
    <font>
      <b/>
      <i/>
      <sz val="2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D9E1F2"/>
        <bgColor rgb="FFD9E1F2"/>
      </patternFill>
    </fill>
    <fill>
      <patternFill patternType="solid">
        <fgColor rgb="FFFFFF99"/>
        <bgColor rgb="FFFFFF99"/>
      </patternFill>
    </fill>
    <fill>
      <patternFill patternType="solid">
        <fgColor rgb="FFD3D3D3"/>
      </patternFill>
    </fill>
    <fill>
      <patternFill patternType="solid">
        <fgColor rgb="FFC7FFFF"/>
      </patternFill>
    </fill>
    <fill>
      <patternFill patternType="solid">
        <fgColor rgb="FFC5D9F1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B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8B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167" fontId="15" fillId="0" borderId="1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167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67" fontId="19" fillId="0" borderId="20" xfId="0" applyNumberFormat="1" applyFont="1" applyBorder="1" applyAlignment="1">
      <alignment horizontal="center" vertical="center"/>
    </xf>
    <xf numFmtId="49" fontId="15" fillId="8" borderId="21" xfId="0" applyNumberFormat="1" applyFont="1" applyFill="1" applyBorder="1" applyAlignment="1">
      <alignment horizontal="center" vertical="center"/>
    </xf>
    <xf numFmtId="167" fontId="15" fillId="8" borderId="21" xfId="0" applyNumberFormat="1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6" fontId="20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67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21" xfId="0" applyNumberFormat="1" applyFont="1" applyFill="1" applyBorder="1" applyAlignment="1">
      <alignment horizontal="center" vertical="center"/>
    </xf>
    <xf numFmtId="167" fontId="15" fillId="10" borderId="21" xfId="0" applyNumberFormat="1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67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0" fontId="24" fillId="12" borderId="25" xfId="0" applyFont="1" applyFill="1" applyBorder="1" applyAlignment="1">
      <alignment horizontal="center" vertical="center"/>
    </xf>
    <xf numFmtId="169" fontId="8" fillId="13" borderId="25" xfId="0" applyNumberFormat="1" applyFont="1" applyFill="1" applyBorder="1" applyAlignment="1">
      <alignment horizontal="center" vertical="center"/>
    </xf>
    <xf numFmtId="168" fontId="8" fillId="13" borderId="25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167" fontId="8" fillId="13" borderId="25" xfId="0" applyNumberFormat="1" applyFont="1" applyFill="1" applyBorder="1" applyAlignment="1">
      <alignment horizontal="center" vertical="center"/>
    </xf>
    <xf numFmtId="166" fontId="8" fillId="13" borderId="25" xfId="0" applyNumberFormat="1" applyFont="1" applyFill="1" applyBorder="1" applyAlignment="1">
      <alignment horizontal="center" vertical="center"/>
    </xf>
    <xf numFmtId="1" fontId="8" fillId="13" borderId="25" xfId="0" applyNumberFormat="1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 vertical="center"/>
    </xf>
    <xf numFmtId="169" fontId="8" fillId="14" borderId="25" xfId="0" applyNumberFormat="1" applyFont="1" applyFill="1" applyBorder="1" applyAlignment="1">
      <alignment horizontal="center" vertical="center"/>
    </xf>
    <xf numFmtId="168" fontId="8" fillId="14" borderId="25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166" fontId="8" fillId="14" borderId="25" xfId="0" applyNumberFormat="1" applyFont="1" applyFill="1" applyBorder="1" applyAlignment="1">
      <alignment horizontal="center" vertical="center"/>
    </xf>
    <xf numFmtId="1" fontId="8" fillId="14" borderId="25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0" fontId="25" fillId="16" borderId="25" xfId="0" applyFont="1" applyFill="1" applyBorder="1" applyAlignment="1">
      <alignment horizontal="center" vertical="center"/>
    </xf>
    <xf numFmtId="170" fontId="10" fillId="0" borderId="2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171" fontId="10" fillId="0" borderId="25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72" fontId="10" fillId="0" borderId="26" xfId="0" applyNumberFormat="1" applyFont="1" applyBorder="1" applyAlignment="1">
      <alignment horizontal="center" vertical="center"/>
    </xf>
    <xf numFmtId="170" fontId="11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center" vertical="center"/>
    </xf>
    <xf numFmtId="171" fontId="11" fillId="0" borderId="25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172" fontId="11" fillId="0" borderId="25" xfId="0" applyNumberFormat="1" applyFont="1" applyBorder="1" applyAlignment="1">
      <alignment horizontal="center" vertical="center"/>
    </xf>
    <xf numFmtId="170" fontId="10" fillId="0" borderId="25" xfId="0" applyNumberFormat="1" applyFont="1" applyBorder="1" applyAlignment="1">
      <alignment horizontal="center" vertical="center"/>
    </xf>
    <xf numFmtId="172" fontId="10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70" fontId="10" fillId="17" borderId="27" xfId="0" applyNumberFormat="1" applyFont="1" applyFill="1" applyBorder="1" applyAlignment="1">
      <alignment horizontal="center" vertical="center"/>
    </xf>
    <xf numFmtId="0" fontId="10" fillId="17" borderId="27" xfId="0" applyFont="1" applyFill="1" applyBorder="1" applyAlignment="1">
      <alignment horizontal="center" vertical="center"/>
    </xf>
    <xf numFmtId="49" fontId="26" fillId="17" borderId="27" xfId="0" applyNumberFormat="1" applyFont="1" applyFill="1" applyBorder="1" applyAlignment="1">
      <alignment horizontal="center" vertical="center"/>
    </xf>
    <xf numFmtId="171" fontId="10" fillId="17" borderId="27" xfId="0" applyNumberFormat="1" applyFont="1" applyFill="1" applyBorder="1" applyAlignment="1">
      <alignment horizontal="center" vertical="center"/>
    </xf>
    <xf numFmtId="1" fontId="10" fillId="17" borderId="27" xfId="0" applyNumberFormat="1" applyFont="1" applyFill="1" applyBorder="1" applyAlignment="1">
      <alignment horizontal="center" vertical="center"/>
    </xf>
    <xf numFmtId="170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171" fontId="8" fillId="0" borderId="27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170" fontId="10" fillId="17" borderId="25" xfId="0" applyNumberFormat="1" applyFont="1" applyFill="1" applyBorder="1" applyAlignment="1">
      <alignment horizontal="center" vertical="center"/>
    </xf>
    <xf numFmtId="0" fontId="10" fillId="17" borderId="25" xfId="0" applyFont="1" applyFill="1" applyBorder="1" applyAlignment="1">
      <alignment horizontal="center" vertical="center"/>
    </xf>
    <xf numFmtId="49" fontId="26" fillId="17" borderId="25" xfId="0" applyNumberFormat="1" applyFont="1" applyFill="1" applyBorder="1" applyAlignment="1">
      <alignment horizontal="center" vertical="center"/>
    </xf>
    <xf numFmtId="171" fontId="10" fillId="17" borderId="25" xfId="0" applyNumberFormat="1" applyFont="1" applyFill="1" applyBorder="1" applyAlignment="1">
      <alignment horizontal="center" vertical="center"/>
    </xf>
    <xf numFmtId="1" fontId="10" fillId="17" borderId="25" xfId="0" applyNumberFormat="1" applyFont="1" applyFill="1" applyBorder="1" applyAlignment="1">
      <alignment horizontal="center" vertical="center"/>
    </xf>
    <xf numFmtId="0" fontId="27" fillId="18" borderId="25" xfId="0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69" fontId="27" fillId="15" borderId="25" xfId="0" applyNumberFormat="1" applyFont="1" applyFill="1" applyBorder="1" applyAlignment="1">
      <alignment horizontal="center" vertical="center"/>
    </xf>
    <xf numFmtId="0" fontId="27" fillId="15" borderId="25" xfId="0" applyFont="1" applyFill="1" applyBorder="1" applyAlignment="1">
      <alignment horizontal="center" vertical="center"/>
    </xf>
    <xf numFmtId="49" fontId="27" fillId="15" borderId="25" xfId="0" applyNumberFormat="1" applyFont="1" applyFill="1" applyBorder="1" applyAlignment="1">
      <alignment horizontal="center" vertical="center"/>
    </xf>
    <xf numFmtId="166" fontId="27" fillId="15" borderId="25" xfId="0" applyNumberFormat="1" applyFont="1" applyFill="1" applyBorder="1" applyAlignment="1">
      <alignment horizontal="center" vertical="center"/>
    </xf>
    <xf numFmtId="1" fontId="27" fillId="15" borderId="25" xfId="0" applyNumberFormat="1" applyFont="1" applyFill="1" applyBorder="1" applyAlignment="1">
      <alignment horizontal="center" vertical="center"/>
    </xf>
    <xf numFmtId="49" fontId="15" fillId="19" borderId="3" xfId="0" applyNumberFormat="1" applyFont="1" applyFill="1" applyBorder="1" applyAlignment="1">
      <alignment horizontal="center" vertical="center"/>
    </xf>
    <xf numFmtId="167" fontId="15" fillId="19" borderId="3" xfId="0" applyNumberFormat="1" applyFont="1" applyFill="1" applyBorder="1" applyAlignment="1">
      <alignment horizontal="center" vertical="center"/>
    </xf>
    <xf numFmtId="49" fontId="9" fillId="19" borderId="10" xfId="0" applyNumberFormat="1" applyFont="1" applyFill="1" applyBorder="1" applyAlignment="1">
      <alignment horizontal="center" vertical="center"/>
    </xf>
    <xf numFmtId="166" fontId="20" fillId="19" borderId="11" xfId="0" applyNumberFormat="1" applyFont="1" applyFill="1" applyBorder="1" applyAlignment="1">
      <alignment horizontal="center" vertical="center"/>
    </xf>
    <xf numFmtId="1" fontId="9" fillId="19" borderId="11" xfId="0" applyNumberFormat="1" applyFont="1" applyFill="1" applyBorder="1" applyAlignment="1">
      <alignment horizontal="center" vertical="center"/>
    </xf>
    <xf numFmtId="168" fontId="9" fillId="19" borderId="11" xfId="0" applyNumberFormat="1" applyFont="1" applyFill="1" applyBorder="1" applyAlignment="1">
      <alignment horizontal="center" vertical="center"/>
    </xf>
    <xf numFmtId="49" fontId="8" fillId="19" borderId="11" xfId="0" applyNumberFormat="1" applyFont="1" applyFill="1" applyBorder="1" applyAlignment="1">
      <alignment horizontal="center" vertical="center"/>
    </xf>
    <xf numFmtId="167" fontId="9" fillId="19" borderId="11" xfId="0" applyNumberFormat="1" applyFont="1" applyFill="1" applyBorder="1" applyAlignment="1">
      <alignment horizontal="center" vertical="center"/>
    </xf>
    <xf numFmtId="49" fontId="9" fillId="19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8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70" fontId="10" fillId="0" borderId="27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171" fontId="10" fillId="0" borderId="27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70" fontId="10" fillId="17" borderId="26" xfId="0" applyNumberFormat="1" applyFont="1" applyFill="1" applyBorder="1" applyAlignment="1">
      <alignment horizontal="center" vertical="center"/>
    </xf>
    <xf numFmtId="0" fontId="10" fillId="17" borderId="26" xfId="0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172" fontId="10" fillId="17" borderId="26" xfId="0" applyNumberFormat="1" applyFont="1" applyFill="1" applyBorder="1" applyAlignment="1">
      <alignment horizontal="center" vertical="center"/>
    </xf>
    <xf numFmtId="166" fontId="29" fillId="11" borderId="11" xfId="0" applyNumberFormat="1" applyFont="1" applyFill="1" applyBorder="1" applyAlignment="1">
      <alignment horizontal="center" vertical="center"/>
    </xf>
    <xf numFmtId="49" fontId="19" fillId="20" borderId="3" xfId="0" applyNumberFormat="1" applyFont="1" applyFill="1" applyBorder="1" applyAlignment="1">
      <alignment horizontal="center" vertical="center"/>
    </xf>
    <xf numFmtId="167" fontId="19" fillId="20" borderId="3" xfId="0" applyNumberFormat="1" applyFont="1" applyFill="1" applyBorder="1" applyAlignment="1">
      <alignment horizontal="center" vertical="center"/>
    </xf>
    <xf numFmtId="49" fontId="9" fillId="20" borderId="10" xfId="0" applyNumberFormat="1" applyFont="1" applyFill="1" applyBorder="1" applyAlignment="1">
      <alignment horizontal="center" vertical="center"/>
    </xf>
    <xf numFmtId="166" fontId="29" fillId="20" borderId="11" xfId="0" applyNumberFormat="1" applyFont="1" applyFill="1" applyBorder="1" applyAlignment="1">
      <alignment horizontal="center" vertical="center"/>
    </xf>
    <xf numFmtId="1" fontId="9" fillId="20" borderId="11" xfId="0" applyNumberFormat="1" applyFont="1" applyFill="1" applyBorder="1" applyAlignment="1">
      <alignment horizontal="center" vertical="center"/>
    </xf>
    <xf numFmtId="168" fontId="9" fillId="20" borderId="11" xfId="0" applyNumberFormat="1" applyFont="1" applyFill="1" applyBorder="1" applyAlignment="1">
      <alignment horizontal="center" vertical="center"/>
    </xf>
    <xf numFmtId="49" fontId="8" fillId="20" borderId="11" xfId="0" applyNumberFormat="1" applyFont="1" applyFill="1" applyBorder="1" applyAlignment="1">
      <alignment horizontal="center" vertical="center"/>
    </xf>
    <xf numFmtId="167" fontId="9" fillId="20" borderId="11" xfId="0" applyNumberFormat="1" applyFont="1" applyFill="1" applyBorder="1" applyAlignment="1">
      <alignment horizontal="center" vertical="center"/>
    </xf>
    <xf numFmtId="49" fontId="9" fillId="20" borderId="12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2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166" fontId="9" fillId="20" borderId="11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66" fontId="20" fillId="8" borderId="11" xfId="0" applyNumberFormat="1" applyFont="1" applyFill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167" fontId="18" fillId="0" borderId="21" xfId="0" applyNumberFormat="1" applyFont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166" fontId="9" fillId="10" borderId="11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9" borderId="3" xfId="0" applyNumberFormat="1" applyFont="1" applyFill="1" applyBorder="1" applyAlignment="1">
      <alignment horizontal="center" vertical="center"/>
    </xf>
    <xf numFmtId="167" fontId="19" fillId="19" borderId="3" xfId="0" applyNumberFormat="1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166" fontId="20" fillId="20" borderId="11" xfId="0" applyNumberFormat="1" applyFont="1" applyFill="1" applyBorder="1" applyAlignment="1">
      <alignment horizontal="center" vertical="center"/>
    </xf>
    <xf numFmtId="49" fontId="15" fillId="20" borderId="3" xfId="0" applyNumberFormat="1" applyFont="1" applyFill="1" applyBorder="1" applyAlignment="1">
      <alignment horizontal="center" vertical="center"/>
    </xf>
    <xf numFmtId="167" fontId="15" fillId="20" borderId="3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172" fontId="10" fillId="17" borderId="25" xfId="0" applyNumberFormat="1" applyFont="1" applyFill="1" applyBorder="1" applyAlignment="1">
      <alignment horizontal="center" vertical="center"/>
    </xf>
    <xf numFmtId="170" fontId="8" fillId="17" borderId="25" xfId="0" applyNumberFormat="1" applyFont="1" applyFill="1" applyBorder="1" applyAlignment="1">
      <alignment horizontal="center" vertical="center"/>
    </xf>
    <xf numFmtId="0" fontId="8" fillId="17" borderId="25" xfId="0" applyFont="1" applyFill="1" applyBorder="1" applyAlignment="1">
      <alignment horizontal="center" vertical="center"/>
    </xf>
    <xf numFmtId="49" fontId="6" fillId="17" borderId="25" xfId="0" applyNumberFormat="1" applyFont="1" applyFill="1" applyBorder="1" applyAlignment="1">
      <alignment horizontal="center" vertical="center"/>
    </xf>
    <xf numFmtId="171" fontId="8" fillId="17" borderId="25" xfId="0" applyNumberFormat="1" applyFont="1" applyFill="1" applyBorder="1" applyAlignment="1">
      <alignment horizontal="center" vertical="center"/>
    </xf>
    <xf numFmtId="1" fontId="8" fillId="17" borderId="25" xfId="0" applyNumberFormat="1" applyFont="1" applyFill="1" applyBorder="1" applyAlignment="1">
      <alignment horizontal="center" vertical="center"/>
    </xf>
    <xf numFmtId="172" fontId="8" fillId="17" borderId="25" xfId="0" applyNumberFormat="1" applyFont="1" applyFill="1" applyBorder="1" applyAlignment="1">
      <alignment horizontal="center" vertical="center"/>
    </xf>
    <xf numFmtId="170" fontId="11" fillId="0" borderId="27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49" fontId="11" fillId="0" borderId="27" xfId="0" applyNumberFormat="1" applyFont="1" applyBorder="1" applyAlignment="1">
      <alignment horizontal="center" vertical="center"/>
    </xf>
    <xf numFmtId="171" fontId="11" fillId="0" borderId="27" xfId="0" applyNumberFormat="1" applyFont="1" applyBorder="1" applyAlignment="1">
      <alignment horizontal="center" vertical="center"/>
    </xf>
    <xf numFmtId="1" fontId="11" fillId="0" borderId="27" xfId="0" applyNumberFormat="1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70" fontId="8" fillId="17" borderId="27" xfId="0" applyNumberFormat="1" applyFont="1" applyFill="1" applyBorder="1" applyAlignment="1">
      <alignment horizontal="center" vertical="center"/>
    </xf>
    <xf numFmtId="0" fontId="8" fillId="17" borderId="27" xfId="0" applyFont="1" applyFill="1" applyBorder="1" applyAlignment="1">
      <alignment horizontal="center" vertical="center"/>
    </xf>
    <xf numFmtId="49" fontId="6" fillId="17" borderId="27" xfId="0" applyNumberFormat="1" applyFont="1" applyFill="1" applyBorder="1" applyAlignment="1">
      <alignment horizontal="center" vertical="center"/>
    </xf>
    <xf numFmtId="171" fontId="8" fillId="17" borderId="27" xfId="0" applyNumberFormat="1" applyFont="1" applyFill="1" applyBorder="1" applyAlignment="1">
      <alignment horizontal="center" vertical="center"/>
    </xf>
    <xf numFmtId="1" fontId="8" fillId="17" borderId="27" xfId="0" applyNumberFormat="1" applyFont="1" applyFill="1" applyBorder="1" applyAlignment="1">
      <alignment horizontal="center" vertical="center"/>
    </xf>
    <xf numFmtId="172" fontId="8" fillId="17" borderId="27" xfId="0" applyNumberFormat="1" applyFont="1" applyFill="1" applyBorder="1" applyAlignment="1">
      <alignment horizontal="center" vertical="center"/>
    </xf>
    <xf numFmtId="172" fontId="8" fillId="0" borderId="27" xfId="0" applyNumberFormat="1" applyFont="1" applyBorder="1" applyAlignment="1">
      <alignment horizontal="center" vertical="center"/>
    </xf>
    <xf numFmtId="166" fontId="9" fillId="19" borderId="11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70" fontId="10" fillId="0" borderId="29" xfId="0" applyNumberFormat="1" applyFont="1" applyBorder="1" applyAlignment="1">
      <alignment horizontal="center" vertical="center"/>
    </xf>
    <xf numFmtId="172" fontId="10" fillId="0" borderId="29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2" fontId="11" fillId="0" borderId="27" xfId="0" applyNumberFormat="1" applyFont="1" applyBorder="1" applyAlignment="1">
      <alignment horizontal="center" vertical="center"/>
    </xf>
    <xf numFmtId="166" fontId="29" fillId="19" borderId="11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67" fontId="15" fillId="0" borderId="21" xfId="0" applyNumberFormat="1" applyFont="1" applyBorder="1" applyAlignment="1">
      <alignment horizontal="center" vertical="center"/>
    </xf>
    <xf numFmtId="166" fontId="29" fillId="10" borderId="11" xfId="0" applyNumberFormat="1" applyFont="1" applyFill="1" applyBorder="1" applyAlignment="1">
      <alignment horizontal="center" vertical="center"/>
    </xf>
    <xf numFmtId="172" fontId="10" fillId="17" borderId="27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166" fontId="29" fillId="8" borderId="17" xfId="0" applyNumberFormat="1" applyFont="1" applyFill="1" applyBorder="1" applyAlignment="1">
      <alignment horizontal="center" vertical="center"/>
    </xf>
    <xf numFmtId="170" fontId="10" fillId="17" borderId="29" xfId="0" applyNumberFormat="1" applyFont="1" applyFill="1" applyBorder="1" applyAlignment="1">
      <alignment horizontal="center" vertical="center"/>
    </xf>
    <xf numFmtId="0" fontId="10" fillId="17" borderId="29" xfId="0" applyFont="1" applyFill="1" applyBorder="1" applyAlignment="1">
      <alignment horizontal="center" vertical="center"/>
    </xf>
    <xf numFmtId="172" fontId="10" fillId="0" borderId="27" xfId="0" applyNumberFormat="1" applyFont="1" applyBorder="1" applyAlignment="1">
      <alignment horizontal="center" vertical="center"/>
    </xf>
    <xf numFmtId="166" fontId="29" fillId="10" borderId="17" xfId="0" applyNumberFormat="1" applyFont="1" applyFill="1" applyBorder="1" applyAlignment="1">
      <alignment horizontal="center" vertical="center"/>
    </xf>
    <xf numFmtId="172" fontId="10" fillId="17" borderId="29" xfId="0" applyNumberFormat="1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/>
    </xf>
    <xf numFmtId="49" fontId="9" fillId="19" borderId="16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" fontId="9" fillId="19" borderId="17" xfId="0" applyNumberFormat="1" applyFont="1" applyFill="1" applyBorder="1" applyAlignment="1">
      <alignment horizontal="center" vertical="center"/>
    </xf>
    <xf numFmtId="168" fontId="9" fillId="19" borderId="17" xfId="0" applyNumberFormat="1" applyFont="1" applyFill="1" applyBorder="1" applyAlignment="1">
      <alignment horizontal="center" vertical="center"/>
    </xf>
    <xf numFmtId="49" fontId="8" fillId="19" borderId="17" xfId="0" applyNumberFormat="1" applyFont="1" applyFill="1" applyBorder="1" applyAlignment="1">
      <alignment horizontal="center" vertical="center"/>
    </xf>
    <xf numFmtId="167" fontId="9" fillId="19" borderId="17" xfId="0" applyNumberFormat="1" applyFont="1" applyFill="1" applyBorder="1" applyAlignment="1">
      <alignment horizontal="center" vertical="center"/>
    </xf>
    <xf numFmtId="49" fontId="9" fillId="19" borderId="18" xfId="0" applyNumberFormat="1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67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8" fontId="9" fillId="20" borderId="17" xfId="0" applyNumberFormat="1" applyFont="1" applyFill="1" applyBorder="1" applyAlignment="1">
      <alignment horizontal="center" vertical="center"/>
    </xf>
    <xf numFmtId="49" fontId="8" fillId="20" borderId="17" xfId="0" applyNumberFormat="1" applyFont="1" applyFill="1" applyBorder="1" applyAlignment="1">
      <alignment horizontal="center" vertical="center"/>
    </xf>
    <xf numFmtId="167" fontId="9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166" fontId="9" fillId="10" borderId="17" xfId="0" applyNumberFormat="1" applyFont="1" applyFill="1" applyBorder="1" applyAlignment="1">
      <alignment horizontal="center" vertical="center"/>
    </xf>
    <xf numFmtId="166" fontId="9" fillId="11" borderId="17" xfId="0" applyNumberFormat="1" applyFont="1" applyFill="1" applyBorder="1" applyAlignment="1">
      <alignment horizontal="center" vertical="center"/>
    </xf>
    <xf numFmtId="166" fontId="29" fillId="19" borderId="17" xfId="0" applyNumberFormat="1" applyFont="1" applyFill="1" applyBorder="1" applyAlignment="1">
      <alignment horizontal="center" vertical="center"/>
    </xf>
    <xf numFmtId="49" fontId="15" fillId="19" borderId="21" xfId="0" applyNumberFormat="1" applyFont="1" applyFill="1" applyBorder="1" applyAlignment="1">
      <alignment horizontal="center" vertical="center"/>
    </xf>
    <xf numFmtId="167" fontId="15" fillId="19" borderId="21" xfId="0" applyNumberFormat="1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6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164" fontId="3" fillId="2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12" fillId="3" borderId="0" xfId="0" applyNumberFormat="1" applyFont="1" applyFill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49" fontId="28" fillId="0" borderId="20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9">
  <autoFilter ref="A1:H6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49">
  <autoFilter ref="A1:H4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46">
  <autoFilter ref="A1:H4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90">
  <autoFilter ref="A1:H29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5">
  <autoFilter ref="A1:H7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58">
  <autoFilter ref="A1:H5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">
  <autoFilter ref="A1:H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SSH" displayName="FocusMode_JED_SSH" ref="A1:H9">
  <autoFilter ref="A1:H9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HRG" displayName="FocusMode_JED_HRG" ref="A1:H2">
  <autoFilter ref="A1:H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90">
  <autoFilter ref="A1:H19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47">
  <autoFilter ref="A1:H4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64">
  <autoFilter ref="A1:H6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46">
  <autoFilter ref="A1:H46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4">
  <autoFilter ref="A1:H14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7">
  <autoFilter ref="A1:H1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5">
  <autoFilter ref="A1:H5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9">
  <autoFilter ref="A1:H9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5">
  <autoFilter ref="A1:H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6">
  <autoFilter ref="A1:H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9">
  <autoFilter ref="A1:H9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6">
  <autoFilter ref="A1:H6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6">
  <autoFilter ref="A1:H6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9">
  <autoFilter ref="A1:H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3"/>
  <sheetViews>
    <sheetView zoomScale="85" workbookViewId="0">
      <selection activeCell="D14" sqref="D14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441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45987.359129820827</v>
      </c>
      <c r="H2" s="294"/>
      <c r="I2" s="294"/>
      <c r="J2" s="294"/>
      <c r="K2" s="301">
        <v>45987.359129821263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26</v>
      </c>
      <c r="C6" s="9">
        <v>0.4201388888888889</v>
      </c>
      <c r="D6" s="8" t="s">
        <v>27</v>
      </c>
      <c r="E6" s="8" t="s">
        <v>28</v>
      </c>
      <c r="F6" s="8" t="s">
        <v>29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26</v>
      </c>
      <c r="C7" s="16">
        <v>0.4201388888888889</v>
      </c>
      <c r="D7" s="15" t="s">
        <v>30</v>
      </c>
      <c r="E7" s="15" t="s">
        <v>31</v>
      </c>
      <c r="F7" s="15" t="s">
        <v>32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26</v>
      </c>
      <c r="C8" s="16">
        <v>0.4201388888888889</v>
      </c>
      <c r="D8" s="15" t="s">
        <v>33</v>
      </c>
      <c r="E8" s="15" t="s">
        <v>31</v>
      </c>
      <c r="F8" s="15" t="s">
        <v>34</v>
      </c>
      <c r="G8" s="2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35</v>
      </c>
      <c r="B9" s="17" t="s">
        <v>36</v>
      </c>
      <c r="C9" s="18">
        <v>0.22222222222222221</v>
      </c>
      <c r="D9" s="17" t="s">
        <v>37</v>
      </c>
      <c r="E9" s="17" t="s">
        <v>38</v>
      </c>
      <c r="F9" s="17" t="s">
        <v>39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35</v>
      </c>
      <c r="B10" s="19" t="s">
        <v>40</v>
      </c>
      <c r="C10" s="20">
        <v>0.49305555555555558</v>
      </c>
      <c r="D10" s="19" t="s">
        <v>37</v>
      </c>
      <c r="E10" s="19" t="s">
        <v>41</v>
      </c>
      <c r="F10" s="19" t="s">
        <v>42</v>
      </c>
      <c r="G10" s="2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35</v>
      </c>
      <c r="B11" s="19" t="s">
        <v>43</v>
      </c>
      <c r="C11" s="20">
        <v>0.1076388888888889</v>
      </c>
      <c r="D11" s="19" t="s">
        <v>37</v>
      </c>
      <c r="E11" s="19" t="s">
        <v>41</v>
      </c>
      <c r="F11" s="19" t="s">
        <v>44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35</v>
      </c>
      <c r="B12" s="19" t="s">
        <v>45</v>
      </c>
      <c r="C12" s="20">
        <v>0.43055555555555558</v>
      </c>
      <c r="D12" s="19" t="s">
        <v>37</v>
      </c>
      <c r="E12" s="19" t="s">
        <v>41</v>
      </c>
      <c r="F12" s="19" t="s">
        <v>46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7" t="s">
        <v>47</v>
      </c>
      <c r="B13" s="17" t="s">
        <v>48</v>
      </c>
      <c r="C13" s="18">
        <v>0.35416666666666669</v>
      </c>
      <c r="D13" s="17" t="s">
        <v>49</v>
      </c>
      <c r="E13" s="17" t="s">
        <v>50</v>
      </c>
      <c r="F13" s="17" t="s">
        <v>51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47</v>
      </c>
      <c r="B14" s="15" t="s">
        <v>48</v>
      </c>
      <c r="C14" s="16">
        <v>0.35416666666666669</v>
      </c>
      <c r="D14" s="15" t="s">
        <v>52</v>
      </c>
      <c r="E14" s="15" t="s">
        <v>53</v>
      </c>
      <c r="F14" s="15" t="s">
        <v>54</v>
      </c>
      <c r="G14" s="2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5" t="s">
        <v>47</v>
      </c>
      <c r="B15" s="15" t="s">
        <v>48</v>
      </c>
      <c r="C15" s="16">
        <v>0.35416666666666669</v>
      </c>
      <c r="D15" s="15" t="s">
        <v>55</v>
      </c>
      <c r="E15" s="15" t="s">
        <v>53</v>
      </c>
      <c r="F15" s="15" t="s">
        <v>56</v>
      </c>
      <c r="G15" s="2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47</v>
      </c>
      <c r="B16" s="19" t="s">
        <v>57</v>
      </c>
      <c r="C16" s="20">
        <v>0.75694444444444453</v>
      </c>
      <c r="D16" s="19" t="s">
        <v>49</v>
      </c>
      <c r="E16" s="19" t="s">
        <v>58</v>
      </c>
      <c r="F16" s="19" t="s">
        <v>59</v>
      </c>
      <c r="G16" s="2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47</v>
      </c>
      <c r="B17" s="15" t="s">
        <v>57</v>
      </c>
      <c r="C17" s="16">
        <v>0.75694444444444453</v>
      </c>
      <c r="D17" s="15" t="s">
        <v>52</v>
      </c>
      <c r="E17" s="15" t="s">
        <v>60</v>
      </c>
      <c r="F17" s="15" t="s">
        <v>61</v>
      </c>
      <c r="G17" s="2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5" t="s">
        <v>47</v>
      </c>
      <c r="B18" s="15" t="s">
        <v>57</v>
      </c>
      <c r="C18" s="16">
        <v>0.75694444444444453</v>
      </c>
      <c r="D18" s="15" t="s">
        <v>55</v>
      </c>
      <c r="E18" s="15" t="s">
        <v>60</v>
      </c>
      <c r="F18" s="15" t="s">
        <v>62</v>
      </c>
      <c r="G18" s="2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7" t="s">
        <v>63</v>
      </c>
      <c r="B19" s="17" t="s">
        <v>64</v>
      </c>
      <c r="C19" s="18">
        <v>0.60416666666666663</v>
      </c>
      <c r="D19" s="17" t="s">
        <v>65</v>
      </c>
      <c r="E19" s="17" t="s">
        <v>38</v>
      </c>
      <c r="F19" s="17" t="s">
        <v>66</v>
      </c>
      <c r="G19" s="2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" t="s">
        <v>63</v>
      </c>
      <c r="B20" s="15" t="s">
        <v>64</v>
      </c>
      <c r="C20" s="16">
        <v>0.60416666666666663</v>
      </c>
      <c r="D20" s="15" t="s">
        <v>67</v>
      </c>
      <c r="E20" s="15" t="s">
        <v>68</v>
      </c>
      <c r="F20" s="15" t="s">
        <v>69</v>
      </c>
      <c r="G20" s="28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63</v>
      </c>
      <c r="B21" s="19" t="s">
        <v>70</v>
      </c>
      <c r="C21" s="20">
        <v>0.79513888888888884</v>
      </c>
      <c r="D21" s="19" t="s">
        <v>65</v>
      </c>
      <c r="E21" s="19" t="s">
        <v>41</v>
      </c>
      <c r="F21" s="19" t="s">
        <v>66</v>
      </c>
      <c r="G21" s="282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63</v>
      </c>
      <c r="B22" s="15" t="s">
        <v>70</v>
      </c>
      <c r="C22" s="16">
        <v>0.79513888888888884</v>
      </c>
      <c r="D22" s="15" t="s">
        <v>67</v>
      </c>
      <c r="E22" s="15" t="s">
        <v>68</v>
      </c>
      <c r="F22" s="15" t="s">
        <v>69</v>
      </c>
      <c r="G22" s="282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63</v>
      </c>
      <c r="B23" s="19" t="s">
        <v>71</v>
      </c>
      <c r="C23" s="20">
        <v>8.6805555555555566E-2</v>
      </c>
      <c r="D23" s="19" t="s">
        <v>65</v>
      </c>
      <c r="E23" s="19" t="s">
        <v>72</v>
      </c>
      <c r="F23" s="19" t="s">
        <v>66</v>
      </c>
      <c r="G23" s="282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5" t="s">
        <v>63</v>
      </c>
      <c r="B24" s="15" t="s">
        <v>71</v>
      </c>
      <c r="C24" s="16">
        <v>8.6805555555555566E-2</v>
      </c>
      <c r="D24" s="15" t="s">
        <v>67</v>
      </c>
      <c r="E24" s="15" t="s">
        <v>73</v>
      </c>
      <c r="F24" s="15" t="s">
        <v>69</v>
      </c>
      <c r="G24" s="28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63</v>
      </c>
      <c r="B25" s="19" t="s">
        <v>74</v>
      </c>
      <c r="C25" s="20">
        <v>0.4201388888888889</v>
      </c>
      <c r="D25" s="19" t="s">
        <v>67</v>
      </c>
      <c r="E25" s="19" t="s">
        <v>58</v>
      </c>
      <c r="F25" s="19" t="s">
        <v>75</v>
      </c>
      <c r="G25" s="2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21" t="s">
        <v>76</v>
      </c>
      <c r="B26" s="21" t="s">
        <v>77</v>
      </c>
      <c r="C26" s="22">
        <v>0.53819444444444442</v>
      </c>
      <c r="D26" s="21" t="s">
        <v>78</v>
      </c>
      <c r="E26" s="21" t="s">
        <v>79</v>
      </c>
      <c r="F26" s="21" t="s">
        <v>80</v>
      </c>
      <c r="G26" s="283"/>
      <c r="H26" s="23" t="s">
        <v>81</v>
      </c>
      <c r="I26" s="24">
        <v>0.98280000000000001</v>
      </c>
      <c r="J26" s="25">
        <v>171</v>
      </c>
      <c r="K26" s="26">
        <v>45986</v>
      </c>
      <c r="L26" s="25">
        <v>4</v>
      </c>
      <c r="M26" s="25">
        <v>0</v>
      </c>
      <c r="N26" s="25">
        <v>3</v>
      </c>
      <c r="O26" s="27" t="s">
        <v>82</v>
      </c>
      <c r="P26" s="28">
        <v>0.53819444444444442</v>
      </c>
      <c r="Q26" s="25">
        <v>174</v>
      </c>
      <c r="R26" s="29" t="s">
        <v>83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4.4" customHeight="1" x14ac:dyDescent="0.3">
      <c r="A27" s="275"/>
      <c r="B27" s="276"/>
      <c r="C27" s="276"/>
      <c r="D27" s="276"/>
      <c r="E27" s="276"/>
      <c r="F27" s="276"/>
      <c r="G27" s="277"/>
      <c r="H27" s="278"/>
      <c r="I27" s="278"/>
      <c r="J27" s="278"/>
      <c r="K27" s="278"/>
      <c r="L27" s="278"/>
      <c r="M27" s="278"/>
      <c r="N27" s="278"/>
      <c r="O27" s="279"/>
      <c r="P27" s="278"/>
      <c r="Q27" s="277"/>
      <c r="R27" s="280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22.05" customHeight="1" x14ac:dyDescent="0.3">
      <c r="A28" s="289" t="s">
        <v>5</v>
      </c>
      <c r="B28" s="290"/>
      <c r="C28" s="290"/>
      <c r="D28" s="290"/>
      <c r="E28" s="290"/>
      <c r="F28" s="290"/>
      <c r="G28" s="5">
        <v>45989</v>
      </c>
      <c r="H28" s="286" t="s">
        <v>6</v>
      </c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24" customHeight="1" x14ac:dyDescent="0.3">
      <c r="A29" s="30" t="s">
        <v>7</v>
      </c>
      <c r="B29" s="30" t="s">
        <v>8</v>
      </c>
      <c r="C29" s="31" t="s">
        <v>9</v>
      </c>
      <c r="D29" s="30" t="s">
        <v>10</v>
      </c>
      <c r="E29" s="30" t="s">
        <v>11</v>
      </c>
      <c r="F29" s="30" t="s">
        <v>12</v>
      </c>
      <c r="G29" s="32" t="s">
        <v>13</v>
      </c>
      <c r="H29" s="30" t="s">
        <v>14</v>
      </c>
      <c r="I29" s="33" t="s">
        <v>15</v>
      </c>
      <c r="J29" s="34" t="s">
        <v>16</v>
      </c>
      <c r="K29" s="35" t="s">
        <v>17</v>
      </c>
      <c r="L29" s="34" t="s">
        <v>18</v>
      </c>
      <c r="M29" s="34" t="s">
        <v>19</v>
      </c>
      <c r="N29" s="34" t="s">
        <v>20</v>
      </c>
      <c r="O29" s="30" t="s">
        <v>21</v>
      </c>
      <c r="P29" s="31" t="s">
        <v>22</v>
      </c>
      <c r="Q29" s="34" t="s">
        <v>23</v>
      </c>
      <c r="R29" s="30" t="s">
        <v>24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8" t="s">
        <v>25</v>
      </c>
      <c r="B30" s="8" t="s">
        <v>26</v>
      </c>
      <c r="C30" s="9">
        <v>0.4201388888888889</v>
      </c>
      <c r="D30" s="8" t="s">
        <v>27</v>
      </c>
      <c r="E30" s="8" t="s">
        <v>84</v>
      </c>
      <c r="F30" s="8" t="s">
        <v>29</v>
      </c>
      <c r="G30" s="281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25</v>
      </c>
      <c r="B31" s="15" t="s">
        <v>26</v>
      </c>
      <c r="C31" s="16">
        <v>0.4201388888888889</v>
      </c>
      <c r="D31" s="15" t="s">
        <v>30</v>
      </c>
      <c r="E31" s="15" t="s">
        <v>85</v>
      </c>
      <c r="F31" s="15" t="s">
        <v>32</v>
      </c>
      <c r="G31" s="28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25</v>
      </c>
      <c r="B32" s="15" t="s">
        <v>26</v>
      </c>
      <c r="C32" s="16">
        <v>0.4201388888888889</v>
      </c>
      <c r="D32" s="15" t="s">
        <v>33</v>
      </c>
      <c r="E32" s="15" t="s">
        <v>85</v>
      </c>
      <c r="F32" s="15" t="s">
        <v>34</v>
      </c>
      <c r="G32" s="28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7" t="s">
        <v>47</v>
      </c>
      <c r="B33" s="17" t="s">
        <v>57</v>
      </c>
      <c r="C33" s="18">
        <v>0.75694444444444453</v>
      </c>
      <c r="D33" s="17" t="s">
        <v>49</v>
      </c>
      <c r="E33" s="17" t="s">
        <v>86</v>
      </c>
      <c r="F33" s="17" t="s">
        <v>87</v>
      </c>
      <c r="G33" s="2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47</v>
      </c>
      <c r="B34" s="15" t="s">
        <v>57</v>
      </c>
      <c r="C34" s="16">
        <v>0.75694444444444453</v>
      </c>
      <c r="D34" s="15" t="s">
        <v>52</v>
      </c>
      <c r="E34" s="15" t="s">
        <v>88</v>
      </c>
      <c r="F34" s="15" t="s">
        <v>89</v>
      </c>
      <c r="G34" s="2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47</v>
      </c>
      <c r="B35" s="15" t="s">
        <v>57</v>
      </c>
      <c r="C35" s="16">
        <v>0.75694444444444453</v>
      </c>
      <c r="D35" s="15" t="s">
        <v>55</v>
      </c>
      <c r="E35" s="15" t="s">
        <v>88</v>
      </c>
      <c r="F35" s="15" t="s">
        <v>90</v>
      </c>
      <c r="G35" s="28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7" t="s">
        <v>35</v>
      </c>
      <c r="B36" s="17" t="s">
        <v>43</v>
      </c>
      <c r="C36" s="18">
        <v>0.1076388888888889</v>
      </c>
      <c r="D36" s="17" t="s">
        <v>37</v>
      </c>
      <c r="E36" s="17" t="s">
        <v>38</v>
      </c>
      <c r="F36" s="17" t="s">
        <v>91</v>
      </c>
      <c r="G36" s="28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35</v>
      </c>
      <c r="B37" s="19" t="s">
        <v>36</v>
      </c>
      <c r="C37" s="20">
        <v>0.22222222222222221</v>
      </c>
      <c r="D37" s="19" t="s">
        <v>37</v>
      </c>
      <c r="E37" s="19" t="s">
        <v>41</v>
      </c>
      <c r="F37" s="19" t="s">
        <v>44</v>
      </c>
      <c r="G37" s="2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9" t="s">
        <v>35</v>
      </c>
      <c r="B38" s="19" t="s">
        <v>40</v>
      </c>
      <c r="C38" s="20">
        <v>0.49305555555555558</v>
      </c>
      <c r="D38" s="19" t="s">
        <v>37</v>
      </c>
      <c r="E38" s="19" t="s">
        <v>92</v>
      </c>
      <c r="F38" s="19" t="s">
        <v>93</v>
      </c>
      <c r="G38" s="28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7" t="s">
        <v>63</v>
      </c>
      <c r="B39" s="17" t="s">
        <v>64</v>
      </c>
      <c r="C39" s="18">
        <v>0.60416666666666663</v>
      </c>
      <c r="D39" s="17" t="s">
        <v>65</v>
      </c>
      <c r="E39" s="17" t="s">
        <v>38</v>
      </c>
      <c r="F39" s="17" t="s">
        <v>66</v>
      </c>
      <c r="G39" s="282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5" t="s">
        <v>63</v>
      </c>
      <c r="B40" s="15" t="s">
        <v>64</v>
      </c>
      <c r="C40" s="16">
        <v>0.60416666666666663</v>
      </c>
      <c r="D40" s="15" t="s">
        <v>67</v>
      </c>
      <c r="E40" s="15" t="s">
        <v>68</v>
      </c>
      <c r="F40" s="15" t="s">
        <v>69</v>
      </c>
      <c r="G40" s="282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63</v>
      </c>
      <c r="B41" s="19" t="s">
        <v>71</v>
      </c>
      <c r="C41" s="20">
        <v>8.6805555555555566E-2</v>
      </c>
      <c r="D41" s="19" t="s">
        <v>65</v>
      </c>
      <c r="E41" s="19" t="s">
        <v>41</v>
      </c>
      <c r="F41" s="19" t="s">
        <v>66</v>
      </c>
      <c r="G41" s="282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63</v>
      </c>
      <c r="B42" s="15" t="s">
        <v>71</v>
      </c>
      <c r="C42" s="16">
        <v>8.6805555555555566E-2</v>
      </c>
      <c r="D42" s="15" t="s">
        <v>67</v>
      </c>
      <c r="E42" s="15" t="s">
        <v>68</v>
      </c>
      <c r="F42" s="15" t="s">
        <v>69</v>
      </c>
      <c r="G42" s="282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36" t="s">
        <v>63</v>
      </c>
      <c r="B43" s="36" t="s">
        <v>74</v>
      </c>
      <c r="C43" s="37">
        <v>0.4201388888888889</v>
      </c>
      <c r="D43" s="36" t="s">
        <v>67</v>
      </c>
      <c r="E43" s="36" t="s">
        <v>58</v>
      </c>
      <c r="F43" s="36" t="s">
        <v>75</v>
      </c>
      <c r="G43" s="283"/>
      <c r="H43" s="38"/>
      <c r="I43" s="39"/>
      <c r="J43" s="39"/>
      <c r="K43" s="39"/>
      <c r="L43" s="39"/>
      <c r="M43" s="39"/>
      <c r="N43" s="39"/>
      <c r="O43" s="40"/>
      <c r="P43" s="39"/>
      <c r="Q43" s="41"/>
      <c r="R43" s="4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4.4" customHeight="1" x14ac:dyDescent="0.3">
      <c r="A44" s="275"/>
      <c r="B44" s="276"/>
      <c r="C44" s="276"/>
      <c r="D44" s="276"/>
      <c r="E44" s="276"/>
      <c r="F44" s="276"/>
      <c r="G44" s="277"/>
      <c r="H44" s="278"/>
      <c r="I44" s="278"/>
      <c r="J44" s="278"/>
      <c r="K44" s="278"/>
      <c r="L44" s="278"/>
      <c r="M44" s="278"/>
      <c r="N44" s="278"/>
      <c r="O44" s="279"/>
      <c r="P44" s="278"/>
      <c r="Q44" s="277"/>
      <c r="R44" s="280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22.05" customHeight="1" x14ac:dyDescent="0.3">
      <c r="A45" s="289" t="s">
        <v>5</v>
      </c>
      <c r="B45" s="290"/>
      <c r="C45" s="290"/>
      <c r="D45" s="290"/>
      <c r="E45" s="290"/>
      <c r="F45" s="290"/>
      <c r="G45" s="5">
        <v>45990</v>
      </c>
      <c r="H45" s="286" t="s">
        <v>6</v>
      </c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24" customHeight="1" x14ac:dyDescent="0.3">
      <c r="A46" s="30" t="s">
        <v>7</v>
      </c>
      <c r="B46" s="30" t="s">
        <v>8</v>
      </c>
      <c r="C46" s="31" t="s">
        <v>9</v>
      </c>
      <c r="D46" s="30" t="s">
        <v>10</v>
      </c>
      <c r="E46" s="30" t="s">
        <v>11</v>
      </c>
      <c r="F46" s="30" t="s">
        <v>12</v>
      </c>
      <c r="G46" s="32" t="s">
        <v>13</v>
      </c>
      <c r="H46" s="30" t="s">
        <v>14</v>
      </c>
      <c r="I46" s="33" t="s">
        <v>15</v>
      </c>
      <c r="J46" s="34" t="s">
        <v>16</v>
      </c>
      <c r="K46" s="35" t="s">
        <v>17</v>
      </c>
      <c r="L46" s="34" t="s">
        <v>18</v>
      </c>
      <c r="M46" s="34" t="s">
        <v>19</v>
      </c>
      <c r="N46" s="34" t="s">
        <v>20</v>
      </c>
      <c r="O46" s="30" t="s">
        <v>21</v>
      </c>
      <c r="P46" s="31" t="s">
        <v>22</v>
      </c>
      <c r="Q46" s="34" t="s">
        <v>23</v>
      </c>
      <c r="R46" s="30" t="s">
        <v>24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8" t="s">
        <v>25</v>
      </c>
      <c r="B47" s="8" t="s">
        <v>26</v>
      </c>
      <c r="C47" s="9">
        <v>0.4201388888888889</v>
      </c>
      <c r="D47" s="8" t="s">
        <v>27</v>
      </c>
      <c r="E47" s="8" t="s">
        <v>94</v>
      </c>
      <c r="F47" s="8" t="s">
        <v>95</v>
      </c>
      <c r="G47" s="281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5" t="s">
        <v>25</v>
      </c>
      <c r="B48" s="15" t="s">
        <v>26</v>
      </c>
      <c r="C48" s="16">
        <v>0.4201388888888889</v>
      </c>
      <c r="D48" s="15" t="s">
        <v>30</v>
      </c>
      <c r="E48" s="15" t="s">
        <v>96</v>
      </c>
      <c r="F48" s="15" t="s">
        <v>97</v>
      </c>
      <c r="G48" s="28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5" t="s">
        <v>25</v>
      </c>
      <c r="B49" s="15" t="s">
        <v>26</v>
      </c>
      <c r="C49" s="16">
        <v>0.4201388888888889</v>
      </c>
      <c r="D49" s="15" t="s">
        <v>33</v>
      </c>
      <c r="E49" s="15" t="s">
        <v>96</v>
      </c>
      <c r="F49" s="15" t="s">
        <v>34</v>
      </c>
      <c r="G49" s="28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7" t="s">
        <v>47</v>
      </c>
      <c r="B50" s="17" t="s">
        <v>48</v>
      </c>
      <c r="C50" s="18">
        <v>0.35416666666666669</v>
      </c>
      <c r="D50" s="17" t="s">
        <v>49</v>
      </c>
      <c r="E50" s="17" t="s">
        <v>79</v>
      </c>
      <c r="F50" s="17" t="s">
        <v>51</v>
      </c>
      <c r="G50" s="28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5" t="s">
        <v>47</v>
      </c>
      <c r="B51" s="15" t="s">
        <v>48</v>
      </c>
      <c r="C51" s="16">
        <v>0.35416666666666669</v>
      </c>
      <c r="D51" s="15" t="s">
        <v>52</v>
      </c>
      <c r="E51" s="15" t="s">
        <v>60</v>
      </c>
      <c r="F51" s="15" t="s">
        <v>54</v>
      </c>
      <c r="G51" s="282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5" t="s">
        <v>47</v>
      </c>
      <c r="B52" s="15" t="s">
        <v>48</v>
      </c>
      <c r="C52" s="16">
        <v>0.35416666666666669</v>
      </c>
      <c r="D52" s="15" t="s">
        <v>55</v>
      </c>
      <c r="E52" s="15" t="s">
        <v>60</v>
      </c>
      <c r="F52" s="15" t="s">
        <v>56</v>
      </c>
      <c r="G52" s="282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47</v>
      </c>
      <c r="B53" s="19" t="s">
        <v>57</v>
      </c>
      <c r="C53" s="20">
        <v>0.75694444444444453</v>
      </c>
      <c r="D53" s="19" t="s">
        <v>49</v>
      </c>
      <c r="E53" s="19" t="s">
        <v>58</v>
      </c>
      <c r="F53" s="19" t="s">
        <v>98</v>
      </c>
      <c r="G53" s="2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5" t="s">
        <v>47</v>
      </c>
      <c r="B54" s="15" t="s">
        <v>57</v>
      </c>
      <c r="C54" s="16">
        <v>0.75694444444444453</v>
      </c>
      <c r="D54" s="15" t="s">
        <v>52</v>
      </c>
      <c r="E54" s="15" t="s">
        <v>60</v>
      </c>
      <c r="F54" s="15" t="s">
        <v>99</v>
      </c>
      <c r="G54" s="2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5" t="s">
        <v>47</v>
      </c>
      <c r="B55" s="15" t="s">
        <v>57</v>
      </c>
      <c r="C55" s="16">
        <v>0.75694444444444453</v>
      </c>
      <c r="D55" s="15" t="s">
        <v>55</v>
      </c>
      <c r="E55" s="15" t="s">
        <v>60</v>
      </c>
      <c r="F55" s="15" t="s">
        <v>100</v>
      </c>
      <c r="G55" s="2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7" t="s">
        <v>63</v>
      </c>
      <c r="B56" s="17" t="s">
        <v>74</v>
      </c>
      <c r="C56" s="18">
        <v>0.4201388888888889</v>
      </c>
      <c r="D56" s="17" t="s">
        <v>67</v>
      </c>
      <c r="E56" s="17" t="s">
        <v>79</v>
      </c>
      <c r="F56" s="17" t="s">
        <v>75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63</v>
      </c>
      <c r="B57" s="19" t="s">
        <v>64</v>
      </c>
      <c r="C57" s="20">
        <v>0.60416666666666663</v>
      </c>
      <c r="D57" s="19" t="s">
        <v>65</v>
      </c>
      <c r="E57" s="19" t="s">
        <v>92</v>
      </c>
      <c r="F57" s="19" t="s">
        <v>101</v>
      </c>
      <c r="G57" s="2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5" t="s">
        <v>63</v>
      </c>
      <c r="B58" s="15" t="s">
        <v>64</v>
      </c>
      <c r="C58" s="16">
        <v>0.60416666666666663</v>
      </c>
      <c r="D58" s="15" t="s">
        <v>67</v>
      </c>
      <c r="E58" s="15" t="s">
        <v>53</v>
      </c>
      <c r="F58" s="15" t="s">
        <v>102</v>
      </c>
      <c r="G58" s="28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63</v>
      </c>
      <c r="B59" s="19" t="s">
        <v>70</v>
      </c>
      <c r="C59" s="20">
        <v>0.79513888888888884</v>
      </c>
      <c r="D59" s="19" t="s">
        <v>65</v>
      </c>
      <c r="E59" s="19" t="s">
        <v>103</v>
      </c>
      <c r="F59" s="19" t="s">
        <v>101</v>
      </c>
      <c r="G59" s="282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63</v>
      </c>
      <c r="B60" s="15" t="s">
        <v>70</v>
      </c>
      <c r="C60" s="16">
        <v>0.79513888888888884</v>
      </c>
      <c r="D60" s="15" t="s">
        <v>67</v>
      </c>
      <c r="E60" s="15" t="s">
        <v>104</v>
      </c>
      <c r="F60" s="15" t="s">
        <v>102</v>
      </c>
      <c r="G60" s="282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63</v>
      </c>
      <c r="B61" s="19" t="s">
        <v>71</v>
      </c>
      <c r="C61" s="20">
        <v>8.6805555555555566E-2</v>
      </c>
      <c r="D61" s="19" t="s">
        <v>65</v>
      </c>
      <c r="E61" s="19" t="s">
        <v>72</v>
      </c>
      <c r="F61" s="19" t="s">
        <v>101</v>
      </c>
      <c r="G61" s="282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5" t="s">
        <v>63</v>
      </c>
      <c r="B62" s="15" t="s">
        <v>71</v>
      </c>
      <c r="C62" s="16">
        <v>8.6805555555555566E-2</v>
      </c>
      <c r="D62" s="15" t="s">
        <v>67</v>
      </c>
      <c r="E62" s="15" t="s">
        <v>73</v>
      </c>
      <c r="F62" s="15" t="s">
        <v>102</v>
      </c>
      <c r="G62" s="282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7" t="s">
        <v>35</v>
      </c>
      <c r="B63" s="17" t="s">
        <v>36</v>
      </c>
      <c r="C63" s="18">
        <v>0.22222222222222221</v>
      </c>
      <c r="D63" s="17" t="s">
        <v>37</v>
      </c>
      <c r="E63" s="17" t="s">
        <v>50</v>
      </c>
      <c r="F63" s="17" t="s">
        <v>46</v>
      </c>
      <c r="G63" s="28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35</v>
      </c>
      <c r="B64" s="19" t="s">
        <v>45</v>
      </c>
      <c r="C64" s="20">
        <v>0.45833333333333331</v>
      </c>
      <c r="D64" s="19" t="s">
        <v>37</v>
      </c>
      <c r="E64" s="19" t="s">
        <v>92</v>
      </c>
      <c r="F64" s="19" t="s">
        <v>46</v>
      </c>
      <c r="G64" s="282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43" t="s">
        <v>76</v>
      </c>
      <c r="B65" s="43" t="s">
        <v>81</v>
      </c>
      <c r="C65" s="44">
        <v>0.39583333333333331</v>
      </c>
      <c r="D65" s="43" t="s">
        <v>105</v>
      </c>
      <c r="E65" s="45"/>
      <c r="F65" s="43" t="s">
        <v>106</v>
      </c>
      <c r="G65" s="283"/>
      <c r="H65" s="46" t="s">
        <v>81</v>
      </c>
      <c r="I65" s="47">
        <v>1.0298</v>
      </c>
      <c r="J65" s="48">
        <v>173</v>
      </c>
      <c r="K65" s="49">
        <v>45970</v>
      </c>
      <c r="L65" s="48">
        <v>0</v>
      </c>
      <c r="M65" s="48">
        <v>0</v>
      </c>
      <c r="N65" s="48">
        <v>0</v>
      </c>
      <c r="O65" s="50" t="s">
        <v>107</v>
      </c>
      <c r="P65" s="51">
        <v>0.39583333333333331</v>
      </c>
      <c r="Q65" s="48">
        <v>168</v>
      </c>
      <c r="R65" s="52" t="s">
        <v>108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4.4" customHeight="1" x14ac:dyDescent="0.3">
      <c r="A66" s="288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80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22.05" customHeight="1" x14ac:dyDescent="0.3">
      <c r="A67" s="289" t="s">
        <v>5</v>
      </c>
      <c r="B67" s="290"/>
      <c r="C67" s="290"/>
      <c r="D67" s="290"/>
      <c r="E67" s="290"/>
      <c r="F67" s="290"/>
      <c r="G67" s="5">
        <v>45991</v>
      </c>
      <c r="H67" s="286" t="s">
        <v>6</v>
      </c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24" customHeight="1" x14ac:dyDescent="0.3">
      <c r="A68" s="30" t="s">
        <v>7</v>
      </c>
      <c r="B68" s="30" t="s">
        <v>8</v>
      </c>
      <c r="C68" s="31" t="s">
        <v>9</v>
      </c>
      <c r="D68" s="30" t="s">
        <v>10</v>
      </c>
      <c r="E68" s="30" t="s">
        <v>11</v>
      </c>
      <c r="F68" s="30" t="s">
        <v>12</v>
      </c>
      <c r="G68" s="32" t="s">
        <v>13</v>
      </c>
      <c r="H68" s="30" t="s">
        <v>14</v>
      </c>
      <c r="I68" s="33" t="s">
        <v>15</v>
      </c>
      <c r="J68" s="34" t="s">
        <v>16</v>
      </c>
      <c r="K68" s="35" t="s">
        <v>17</v>
      </c>
      <c r="L68" s="34" t="s">
        <v>18</v>
      </c>
      <c r="M68" s="34" t="s">
        <v>19</v>
      </c>
      <c r="N68" s="34" t="s">
        <v>20</v>
      </c>
      <c r="O68" s="30" t="s">
        <v>21</v>
      </c>
      <c r="P68" s="31" t="s">
        <v>22</v>
      </c>
      <c r="Q68" s="34" t="s">
        <v>23</v>
      </c>
      <c r="R68" s="30" t="s">
        <v>24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8" t="s">
        <v>25</v>
      </c>
      <c r="B69" s="8" t="s">
        <v>26</v>
      </c>
      <c r="C69" s="9">
        <v>0.4201388888888889</v>
      </c>
      <c r="D69" s="8" t="s">
        <v>27</v>
      </c>
      <c r="E69" s="8" t="s">
        <v>109</v>
      </c>
      <c r="F69" s="8" t="s">
        <v>110</v>
      </c>
      <c r="G69" s="281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5" t="s">
        <v>25</v>
      </c>
      <c r="B70" s="15" t="s">
        <v>26</v>
      </c>
      <c r="C70" s="16">
        <v>0.4201388888888889</v>
      </c>
      <c r="D70" s="15" t="s">
        <v>30</v>
      </c>
      <c r="E70" s="15" t="s">
        <v>111</v>
      </c>
      <c r="F70" s="15" t="s">
        <v>112</v>
      </c>
      <c r="G70" s="28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5" t="s">
        <v>25</v>
      </c>
      <c r="B71" s="15" t="s">
        <v>26</v>
      </c>
      <c r="C71" s="16">
        <v>0.4201388888888889</v>
      </c>
      <c r="D71" s="15" t="s">
        <v>33</v>
      </c>
      <c r="E71" s="15" t="s">
        <v>111</v>
      </c>
      <c r="F71" s="15" t="s">
        <v>34</v>
      </c>
      <c r="G71" s="28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7" t="s">
        <v>47</v>
      </c>
      <c r="B72" s="17" t="s">
        <v>57</v>
      </c>
      <c r="C72" s="18">
        <v>0.75694444444444453</v>
      </c>
      <c r="D72" s="17" t="s">
        <v>49</v>
      </c>
      <c r="E72" s="17" t="s">
        <v>113</v>
      </c>
      <c r="F72" s="17" t="s">
        <v>114</v>
      </c>
      <c r="G72" s="2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47</v>
      </c>
      <c r="B73" s="15" t="s">
        <v>57</v>
      </c>
      <c r="C73" s="16">
        <v>0.75694444444444453</v>
      </c>
      <c r="D73" s="15" t="s">
        <v>52</v>
      </c>
      <c r="E73" s="15" t="s">
        <v>115</v>
      </c>
      <c r="F73" s="15" t="s">
        <v>116</v>
      </c>
      <c r="G73" s="28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47</v>
      </c>
      <c r="B74" s="15" t="s">
        <v>57</v>
      </c>
      <c r="C74" s="16">
        <v>0.75694444444444453</v>
      </c>
      <c r="D74" s="15" t="s">
        <v>55</v>
      </c>
      <c r="E74" s="15" t="s">
        <v>115</v>
      </c>
      <c r="F74" s="15" t="s">
        <v>117</v>
      </c>
      <c r="G74" s="28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53" t="s">
        <v>76</v>
      </c>
      <c r="B75" s="53" t="s">
        <v>77</v>
      </c>
      <c r="C75" s="54">
        <v>0.90277777777777779</v>
      </c>
      <c r="D75" s="53" t="s">
        <v>78</v>
      </c>
      <c r="E75" s="53" t="s">
        <v>113</v>
      </c>
      <c r="F75" s="53" t="s">
        <v>118</v>
      </c>
      <c r="G75" s="282"/>
      <c r="H75" s="55" t="s">
        <v>81</v>
      </c>
      <c r="I75" s="56">
        <v>0.96550000000000002</v>
      </c>
      <c r="J75" s="57">
        <v>168</v>
      </c>
      <c r="K75" s="58">
        <v>45975</v>
      </c>
      <c r="L75" s="57">
        <v>0</v>
      </c>
      <c r="M75" s="57">
        <v>0</v>
      </c>
      <c r="N75" s="57">
        <v>0</v>
      </c>
      <c r="O75" s="59" t="s">
        <v>119</v>
      </c>
      <c r="P75" s="60">
        <v>0.90277777777777779</v>
      </c>
      <c r="Q75" s="57">
        <v>174</v>
      </c>
      <c r="R75" s="61" t="s">
        <v>120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7" t="s">
        <v>63</v>
      </c>
      <c r="B76" s="17" t="s">
        <v>64</v>
      </c>
      <c r="C76" s="18">
        <v>0.60416666666666663</v>
      </c>
      <c r="D76" s="17" t="s">
        <v>65</v>
      </c>
      <c r="E76" s="17" t="s">
        <v>121</v>
      </c>
      <c r="F76" s="17" t="s">
        <v>66</v>
      </c>
      <c r="G76" s="28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63</v>
      </c>
      <c r="B77" s="15" t="s">
        <v>64</v>
      </c>
      <c r="C77" s="16">
        <v>0.60416666666666663</v>
      </c>
      <c r="D77" s="15" t="s">
        <v>67</v>
      </c>
      <c r="E77" s="15" t="s">
        <v>73</v>
      </c>
      <c r="F77" s="15" t="s">
        <v>69</v>
      </c>
      <c r="G77" s="282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63</v>
      </c>
      <c r="B78" s="19" t="s">
        <v>70</v>
      </c>
      <c r="C78" s="20">
        <v>0.79513888888888884</v>
      </c>
      <c r="D78" s="19" t="s">
        <v>65</v>
      </c>
      <c r="E78" s="19" t="s">
        <v>41</v>
      </c>
      <c r="F78" s="19" t="s">
        <v>101</v>
      </c>
      <c r="G78" s="28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63</v>
      </c>
      <c r="B79" s="15" t="s">
        <v>70</v>
      </c>
      <c r="C79" s="16">
        <v>0.79513888888888884</v>
      </c>
      <c r="D79" s="15" t="s">
        <v>67</v>
      </c>
      <c r="E79" s="15" t="s">
        <v>68</v>
      </c>
      <c r="F79" s="15" t="s">
        <v>102</v>
      </c>
      <c r="G79" s="28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63</v>
      </c>
      <c r="B80" s="19" t="s">
        <v>71</v>
      </c>
      <c r="C80" s="20">
        <v>8.6805555555555566E-2</v>
      </c>
      <c r="D80" s="19" t="s">
        <v>65</v>
      </c>
      <c r="E80" s="19" t="s">
        <v>41</v>
      </c>
      <c r="F80" s="19" t="s">
        <v>101</v>
      </c>
      <c r="G80" s="28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5" t="s">
        <v>63</v>
      </c>
      <c r="B81" s="15" t="s">
        <v>71</v>
      </c>
      <c r="C81" s="16">
        <v>8.6805555555555566E-2</v>
      </c>
      <c r="D81" s="15" t="s">
        <v>67</v>
      </c>
      <c r="E81" s="15" t="s">
        <v>68</v>
      </c>
      <c r="F81" s="15" t="s">
        <v>102</v>
      </c>
      <c r="G81" s="282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36" t="s">
        <v>63</v>
      </c>
      <c r="B82" s="36" t="s">
        <v>74</v>
      </c>
      <c r="C82" s="37">
        <v>0.4201388888888889</v>
      </c>
      <c r="D82" s="36" t="s">
        <v>67</v>
      </c>
      <c r="E82" s="36" t="s">
        <v>58</v>
      </c>
      <c r="F82" s="36" t="s">
        <v>122</v>
      </c>
      <c r="G82" s="283"/>
      <c r="H82" s="38"/>
      <c r="I82" s="39"/>
      <c r="J82" s="39"/>
      <c r="K82" s="39"/>
      <c r="L82" s="39"/>
      <c r="M82" s="39"/>
      <c r="N82" s="39"/>
      <c r="O82" s="40"/>
      <c r="P82" s="39"/>
      <c r="Q82" s="41"/>
      <c r="R82" s="42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4.4" customHeight="1" x14ac:dyDescent="0.3">
      <c r="A83" s="288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80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</sheetData>
  <mergeCells count="25">
    <mergeCell ref="A28:F28"/>
    <mergeCell ref="A67:F67"/>
    <mergeCell ref="H45:R45"/>
    <mergeCell ref="K2:R2"/>
    <mergeCell ref="A2:F2"/>
    <mergeCell ref="A3:R3"/>
    <mergeCell ref="G2:J2"/>
    <mergeCell ref="A4:F4"/>
    <mergeCell ref="J1:M1"/>
    <mergeCell ref="A44:R44"/>
    <mergeCell ref="G6:G26"/>
    <mergeCell ref="D1:F1"/>
    <mergeCell ref="H28:R28"/>
    <mergeCell ref="A83:R83"/>
    <mergeCell ref="A1:C1"/>
    <mergeCell ref="G1:H1"/>
    <mergeCell ref="A45:F45"/>
    <mergeCell ref="G69:G82"/>
    <mergeCell ref="O1:Q1"/>
    <mergeCell ref="G30:G43"/>
    <mergeCell ref="G47:G65"/>
    <mergeCell ref="H67:R67"/>
    <mergeCell ref="A66:R66"/>
    <mergeCell ref="A27:R27"/>
    <mergeCell ref="H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81</v>
      </c>
      <c r="D2" s="66">
        <v>0.53819444444444442</v>
      </c>
      <c r="E2" s="65" t="s">
        <v>1</v>
      </c>
      <c r="F2" s="65" t="s">
        <v>153</v>
      </c>
      <c r="G2" s="67">
        <v>0.98280000000000001</v>
      </c>
      <c r="H2" s="68">
        <v>174</v>
      </c>
      <c r="I2" s="68">
        <v>171</v>
      </c>
      <c r="J2" s="68">
        <v>128</v>
      </c>
      <c r="K2" s="64">
        <v>45986</v>
      </c>
      <c r="L2" s="68">
        <v>0</v>
      </c>
      <c r="M2" s="68">
        <v>3</v>
      </c>
      <c r="N2" s="68">
        <v>4</v>
      </c>
      <c r="O2" s="65" t="s">
        <v>82</v>
      </c>
      <c r="P2" s="69"/>
      <c r="Q2" s="69"/>
      <c r="R2" s="69"/>
      <c r="S2" s="69"/>
      <c r="T2" s="69"/>
      <c r="U2" s="69"/>
      <c r="V2" s="68" t="s">
        <v>154</v>
      </c>
      <c r="W2" s="68" t="s">
        <v>155</v>
      </c>
      <c r="X2" s="69"/>
      <c r="Y2" s="68" t="s">
        <v>156</v>
      </c>
      <c r="Z2" s="69"/>
      <c r="AA2" s="69"/>
      <c r="AB2" s="69"/>
      <c r="AC2" s="68" t="s">
        <v>157</v>
      </c>
      <c r="AD2" s="68" t="s">
        <v>158</v>
      </c>
      <c r="AE2" s="68" t="s">
        <v>159</v>
      </c>
      <c r="AF2" s="69"/>
      <c r="AG2" s="69"/>
      <c r="AH2" s="68" t="s">
        <v>160</v>
      </c>
      <c r="AI2" s="68" t="s">
        <v>161</v>
      </c>
    </row>
    <row r="3" spans="1:35" ht="18" x14ac:dyDescent="0.3">
      <c r="A3" s="70" t="s">
        <v>162</v>
      </c>
      <c r="B3" s="71">
        <v>45990</v>
      </c>
      <c r="C3" s="72" t="s">
        <v>81</v>
      </c>
      <c r="D3" s="73">
        <v>0.39583333333333331</v>
      </c>
      <c r="E3" s="72" t="s">
        <v>1</v>
      </c>
      <c r="F3" s="72" t="s">
        <v>153</v>
      </c>
      <c r="G3" s="74">
        <v>1.0298</v>
      </c>
      <c r="H3" s="75">
        <v>168</v>
      </c>
      <c r="I3" s="75">
        <v>173</v>
      </c>
      <c r="J3" s="75">
        <v>131</v>
      </c>
      <c r="K3" s="71">
        <v>45970</v>
      </c>
      <c r="L3" s="75">
        <v>0</v>
      </c>
      <c r="M3" s="75">
        <v>0</v>
      </c>
      <c r="N3" s="75">
        <v>0</v>
      </c>
      <c r="O3" s="72" t="s">
        <v>107</v>
      </c>
      <c r="P3" s="76"/>
      <c r="Q3" s="76"/>
      <c r="R3" s="76"/>
      <c r="S3" s="76"/>
      <c r="T3" s="76"/>
      <c r="U3" s="76"/>
      <c r="V3" s="76"/>
      <c r="W3" s="76"/>
      <c r="X3" s="75" t="s">
        <v>163</v>
      </c>
      <c r="Y3" s="75" t="s">
        <v>164</v>
      </c>
      <c r="Z3" s="76"/>
      <c r="AA3" s="76"/>
      <c r="AB3" s="76"/>
      <c r="AC3" s="76"/>
      <c r="AD3" s="76"/>
      <c r="AE3" s="75" t="s">
        <v>165</v>
      </c>
      <c r="AF3" s="76"/>
      <c r="AG3" s="76"/>
      <c r="AH3" s="75" t="s">
        <v>166</v>
      </c>
      <c r="AI3" s="75" t="s">
        <v>167</v>
      </c>
    </row>
    <row r="4" spans="1:35" ht="18" x14ac:dyDescent="0.3">
      <c r="A4" s="63" t="s">
        <v>168</v>
      </c>
      <c r="B4" s="64">
        <v>45991</v>
      </c>
      <c r="C4" s="65" t="s">
        <v>81</v>
      </c>
      <c r="D4" s="66">
        <v>0.90277777777777779</v>
      </c>
      <c r="E4" s="65" t="s">
        <v>1</v>
      </c>
      <c r="F4" s="65" t="s">
        <v>153</v>
      </c>
      <c r="G4" s="67">
        <v>0.96550000000000002</v>
      </c>
      <c r="H4" s="68">
        <v>174</v>
      </c>
      <c r="I4" s="68">
        <v>168</v>
      </c>
      <c r="J4" s="68">
        <v>133</v>
      </c>
      <c r="K4" s="64">
        <v>45975</v>
      </c>
      <c r="L4" s="68">
        <v>0</v>
      </c>
      <c r="M4" s="68">
        <v>0</v>
      </c>
      <c r="N4" s="68">
        <v>0</v>
      </c>
      <c r="O4" s="65" t="s">
        <v>119</v>
      </c>
      <c r="P4" s="69"/>
      <c r="Q4" s="69"/>
      <c r="R4" s="69"/>
      <c r="S4" s="69"/>
      <c r="T4" s="69"/>
      <c r="U4" s="69"/>
      <c r="V4" s="69"/>
      <c r="W4" s="68" t="s">
        <v>169</v>
      </c>
      <c r="X4" s="68" t="s">
        <v>170</v>
      </c>
      <c r="Y4" s="68" t="s">
        <v>171</v>
      </c>
      <c r="Z4" s="68" t="s">
        <v>172</v>
      </c>
      <c r="AA4" s="68" t="s">
        <v>173</v>
      </c>
      <c r="AB4" s="68" t="s">
        <v>174</v>
      </c>
      <c r="AC4" s="68" t="s">
        <v>175</v>
      </c>
      <c r="AD4" s="68" t="s">
        <v>176</v>
      </c>
      <c r="AE4" s="68" t="s">
        <v>177</v>
      </c>
      <c r="AF4" s="69"/>
      <c r="AG4" s="69"/>
      <c r="AH4" s="68" t="s">
        <v>166</v>
      </c>
      <c r="AI4" s="69"/>
    </row>
    <row r="5" spans="1:35" ht="18" x14ac:dyDescent="0.3">
      <c r="A5" s="77" t="s">
        <v>178</v>
      </c>
      <c r="B5" s="78"/>
      <c r="C5" s="79">
        <f>COUNTA(C2:C4)</f>
        <v>3</v>
      </c>
      <c r="D5" s="78"/>
      <c r="E5" s="78"/>
      <c r="F5" s="78"/>
      <c r="G5" s="80">
        <f>AVERAGE(G2:G4)</f>
        <v>0.99270000000000003</v>
      </c>
      <c r="H5" s="81">
        <f>SUM(H2:H4)</f>
        <v>516</v>
      </c>
      <c r="I5" s="81">
        <f>SUM(I2:I4)</f>
        <v>512</v>
      </c>
      <c r="J5" s="81">
        <f>SUM(J2:J4)</f>
        <v>392</v>
      </c>
      <c r="K5" s="78"/>
      <c r="L5" s="81">
        <f>SUM(L2:L4)</f>
        <v>0</v>
      </c>
      <c r="M5" s="81">
        <f>SUM(M2:M4)</f>
        <v>3</v>
      </c>
      <c r="N5" s="81">
        <f>SUM(N2:N4)</f>
        <v>4</v>
      </c>
      <c r="O5" s="78"/>
      <c r="P5" s="81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1">
        <f t="shared" si="0"/>
        <v>0</v>
      </c>
      <c r="R5" s="81">
        <f t="shared" si="0"/>
        <v>0</v>
      </c>
      <c r="S5" s="81">
        <f t="shared" si="0"/>
        <v>0</v>
      </c>
      <c r="T5" s="81">
        <f t="shared" si="0"/>
        <v>0</v>
      </c>
      <c r="U5" s="81">
        <f t="shared" si="0"/>
        <v>0</v>
      </c>
      <c r="V5" s="81">
        <f t="shared" si="0"/>
        <v>0</v>
      </c>
      <c r="W5" s="81">
        <f t="shared" si="0"/>
        <v>0</v>
      </c>
      <c r="X5" s="81">
        <f t="shared" si="0"/>
        <v>0</v>
      </c>
      <c r="Y5" s="81">
        <f t="shared" si="0"/>
        <v>0</v>
      </c>
      <c r="Z5" s="81">
        <f t="shared" si="0"/>
        <v>0</v>
      </c>
      <c r="AA5" s="81">
        <f t="shared" si="0"/>
        <v>0</v>
      </c>
      <c r="AB5" s="81">
        <f t="shared" si="0"/>
        <v>0</v>
      </c>
      <c r="AC5" s="81">
        <f t="shared" si="0"/>
        <v>0</v>
      </c>
      <c r="AD5" s="81">
        <f t="shared" si="0"/>
        <v>0</v>
      </c>
      <c r="AE5" s="81">
        <f t="shared" si="0"/>
        <v>0</v>
      </c>
      <c r="AF5" s="81">
        <f t="shared" si="0"/>
        <v>0</v>
      </c>
      <c r="AG5" s="81">
        <f t="shared" si="0"/>
        <v>0</v>
      </c>
      <c r="AH5" s="81">
        <f t="shared" si="0"/>
        <v>0</v>
      </c>
      <c r="AI5" s="81">
        <f t="shared" si="0"/>
        <v>0</v>
      </c>
    </row>
  </sheetData>
  <autoFilter ref="A1:AI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25</v>
      </c>
      <c r="C2" s="85" t="s">
        <v>26</v>
      </c>
      <c r="D2" s="84" t="s">
        <v>1</v>
      </c>
      <c r="E2" s="86">
        <v>1.4201388888888891</v>
      </c>
      <c r="F2" s="84" t="s">
        <v>27</v>
      </c>
      <c r="G2" s="87">
        <v>16</v>
      </c>
      <c r="H2" s="88">
        <v>559</v>
      </c>
    </row>
    <row r="3" spans="1:8" ht="18" x14ac:dyDescent="0.3">
      <c r="A3" s="89">
        <v>45988</v>
      </c>
      <c r="B3" s="90" t="s">
        <v>25</v>
      </c>
      <c r="C3" s="91" t="s">
        <v>26</v>
      </c>
      <c r="D3" s="90" t="s">
        <v>1</v>
      </c>
      <c r="E3" s="92">
        <v>1.4201388888888891</v>
      </c>
      <c r="F3" s="90" t="s">
        <v>30</v>
      </c>
      <c r="G3" s="93">
        <v>16</v>
      </c>
      <c r="H3" s="94">
        <v>709</v>
      </c>
    </row>
    <row r="4" spans="1:8" ht="18" x14ac:dyDescent="0.3">
      <c r="A4" s="89">
        <v>45988</v>
      </c>
      <c r="B4" s="90" t="s">
        <v>25</v>
      </c>
      <c r="C4" s="91" t="s">
        <v>26</v>
      </c>
      <c r="D4" s="90" t="s">
        <v>1</v>
      </c>
      <c r="E4" s="92">
        <v>1.4201388888888891</v>
      </c>
      <c r="F4" s="90" t="s">
        <v>33</v>
      </c>
      <c r="G4" s="93">
        <v>16</v>
      </c>
      <c r="H4" s="90" t="s">
        <v>34</v>
      </c>
    </row>
    <row r="5" spans="1:8" ht="18" x14ac:dyDescent="0.3">
      <c r="A5" s="95">
        <v>45988</v>
      </c>
      <c r="B5" s="84" t="s">
        <v>35</v>
      </c>
      <c r="C5" s="85" t="s">
        <v>36</v>
      </c>
      <c r="D5" s="84" t="s">
        <v>1</v>
      </c>
      <c r="E5" s="86">
        <v>1.2222222222222221</v>
      </c>
      <c r="F5" s="84" t="s">
        <v>37</v>
      </c>
      <c r="G5" s="87">
        <v>9</v>
      </c>
      <c r="H5" s="96">
        <v>623</v>
      </c>
    </row>
    <row r="6" spans="1:8" ht="18" x14ac:dyDescent="0.3">
      <c r="A6" s="97">
        <v>45988</v>
      </c>
      <c r="B6" s="98" t="s">
        <v>35</v>
      </c>
      <c r="C6" s="99" t="s">
        <v>40</v>
      </c>
      <c r="D6" s="98" t="s">
        <v>1</v>
      </c>
      <c r="E6" s="100">
        <v>1.493055555555556</v>
      </c>
      <c r="F6" s="98" t="s">
        <v>37</v>
      </c>
      <c r="G6" s="101">
        <v>9</v>
      </c>
      <c r="H6" s="102">
        <v>757</v>
      </c>
    </row>
    <row r="7" spans="1:8" ht="18" x14ac:dyDescent="0.3">
      <c r="A7" s="97">
        <v>45988</v>
      </c>
      <c r="B7" s="98" t="s">
        <v>35</v>
      </c>
      <c r="C7" s="99" t="s">
        <v>43</v>
      </c>
      <c r="D7" s="98" t="s">
        <v>1</v>
      </c>
      <c r="E7" s="100">
        <v>1.1076388888888891</v>
      </c>
      <c r="F7" s="98" t="s">
        <v>37</v>
      </c>
      <c r="G7" s="101">
        <v>9</v>
      </c>
      <c r="H7" s="102">
        <v>962</v>
      </c>
    </row>
    <row r="8" spans="1:8" ht="18" x14ac:dyDescent="0.3">
      <c r="A8" s="97">
        <v>45988</v>
      </c>
      <c r="B8" s="98" t="s">
        <v>35</v>
      </c>
      <c r="C8" s="99" t="s">
        <v>45</v>
      </c>
      <c r="D8" s="98" t="s">
        <v>1</v>
      </c>
      <c r="E8" s="100">
        <v>1.430555555555556</v>
      </c>
      <c r="F8" s="98" t="s">
        <v>37</v>
      </c>
      <c r="G8" s="101">
        <v>9</v>
      </c>
      <c r="H8" s="98" t="s">
        <v>46</v>
      </c>
    </row>
    <row r="9" spans="1:8" ht="18" x14ac:dyDescent="0.3">
      <c r="A9" s="95">
        <v>45988</v>
      </c>
      <c r="B9" s="84" t="s">
        <v>47</v>
      </c>
      <c r="C9" s="85" t="s">
        <v>48</v>
      </c>
      <c r="D9" s="84" t="s">
        <v>1</v>
      </c>
      <c r="E9" s="86">
        <v>1.354166666666667</v>
      </c>
      <c r="F9" s="84" t="s">
        <v>49</v>
      </c>
      <c r="G9" s="87">
        <v>1</v>
      </c>
      <c r="H9" s="96">
        <v>639</v>
      </c>
    </row>
    <row r="10" spans="1:8" ht="18" x14ac:dyDescent="0.3">
      <c r="A10" s="89">
        <v>45988</v>
      </c>
      <c r="B10" s="90" t="s">
        <v>47</v>
      </c>
      <c r="C10" s="91" t="s">
        <v>48</v>
      </c>
      <c r="D10" s="90" t="s">
        <v>1</v>
      </c>
      <c r="E10" s="92">
        <v>1.354166666666667</v>
      </c>
      <c r="F10" s="90" t="s">
        <v>52</v>
      </c>
      <c r="G10" s="93">
        <v>1</v>
      </c>
      <c r="H10" s="94">
        <v>739</v>
      </c>
    </row>
    <row r="11" spans="1:8" ht="18" x14ac:dyDescent="0.3">
      <c r="A11" s="89">
        <v>45988</v>
      </c>
      <c r="B11" s="90" t="s">
        <v>47</v>
      </c>
      <c r="C11" s="91" t="s">
        <v>48</v>
      </c>
      <c r="D11" s="90" t="s">
        <v>1</v>
      </c>
      <c r="E11" s="92">
        <v>1.354166666666667</v>
      </c>
      <c r="F11" s="90" t="s">
        <v>55</v>
      </c>
      <c r="G11" s="93">
        <v>1</v>
      </c>
      <c r="H11" s="94">
        <v>829</v>
      </c>
    </row>
    <row r="12" spans="1:8" ht="18" x14ac:dyDescent="0.3">
      <c r="A12" s="97">
        <v>45988</v>
      </c>
      <c r="B12" s="98" t="s">
        <v>47</v>
      </c>
      <c r="C12" s="99" t="s">
        <v>57</v>
      </c>
      <c r="D12" s="98" t="s">
        <v>1</v>
      </c>
      <c r="E12" s="100">
        <v>1.756944444444444</v>
      </c>
      <c r="F12" s="98" t="s">
        <v>49</v>
      </c>
      <c r="G12" s="101">
        <v>4</v>
      </c>
      <c r="H12" s="98" t="s">
        <v>59</v>
      </c>
    </row>
    <row r="13" spans="1:8" ht="18" x14ac:dyDescent="0.3">
      <c r="A13" s="89">
        <v>45988</v>
      </c>
      <c r="B13" s="90" t="s">
        <v>47</v>
      </c>
      <c r="C13" s="91" t="s">
        <v>57</v>
      </c>
      <c r="D13" s="90" t="s">
        <v>1</v>
      </c>
      <c r="E13" s="92">
        <v>1.756944444444444</v>
      </c>
      <c r="F13" s="90" t="s">
        <v>52</v>
      </c>
      <c r="G13" s="93">
        <v>4</v>
      </c>
      <c r="H13" s="90" t="s">
        <v>61</v>
      </c>
    </row>
    <row r="14" spans="1:8" ht="18" x14ac:dyDescent="0.3">
      <c r="A14" s="89">
        <v>45988</v>
      </c>
      <c r="B14" s="90" t="s">
        <v>47</v>
      </c>
      <c r="C14" s="91" t="s">
        <v>57</v>
      </c>
      <c r="D14" s="90" t="s">
        <v>1</v>
      </c>
      <c r="E14" s="92">
        <v>1.756944444444444</v>
      </c>
      <c r="F14" s="90" t="s">
        <v>55</v>
      </c>
      <c r="G14" s="93">
        <v>4</v>
      </c>
      <c r="H14" s="90" t="s">
        <v>62</v>
      </c>
    </row>
    <row r="15" spans="1:8" ht="18" x14ac:dyDescent="0.3">
      <c r="A15" s="95">
        <v>45988</v>
      </c>
      <c r="B15" s="84" t="s">
        <v>63</v>
      </c>
      <c r="C15" s="85" t="s">
        <v>64</v>
      </c>
      <c r="D15" s="84" t="s">
        <v>1</v>
      </c>
      <c r="E15" s="86">
        <v>1.604166666666667</v>
      </c>
      <c r="F15" s="84" t="s">
        <v>65</v>
      </c>
      <c r="G15" s="87">
        <v>9</v>
      </c>
      <c r="H15" s="84" t="s">
        <v>66</v>
      </c>
    </row>
    <row r="16" spans="1:8" ht="18" x14ac:dyDescent="0.3">
      <c r="A16" s="89">
        <v>45988</v>
      </c>
      <c r="B16" s="90" t="s">
        <v>63</v>
      </c>
      <c r="C16" s="91" t="s">
        <v>64</v>
      </c>
      <c r="D16" s="90" t="s">
        <v>1</v>
      </c>
      <c r="E16" s="92">
        <v>1.604166666666667</v>
      </c>
      <c r="F16" s="90" t="s">
        <v>67</v>
      </c>
      <c r="G16" s="93">
        <v>9</v>
      </c>
      <c r="H16" s="90" t="s">
        <v>69</v>
      </c>
    </row>
    <row r="17" spans="1:8" ht="18" x14ac:dyDescent="0.3">
      <c r="A17" s="97">
        <v>45988</v>
      </c>
      <c r="B17" s="98" t="s">
        <v>63</v>
      </c>
      <c r="C17" s="99" t="s">
        <v>70</v>
      </c>
      <c r="D17" s="98" t="s">
        <v>1</v>
      </c>
      <c r="E17" s="100">
        <v>1.7951388888888891</v>
      </c>
      <c r="F17" s="98" t="s">
        <v>65</v>
      </c>
      <c r="G17" s="101">
        <v>9</v>
      </c>
      <c r="H17" s="98" t="s">
        <v>66</v>
      </c>
    </row>
    <row r="18" spans="1:8" ht="18" x14ac:dyDescent="0.3">
      <c r="A18" s="89">
        <v>45988</v>
      </c>
      <c r="B18" s="90" t="s">
        <v>63</v>
      </c>
      <c r="C18" s="91" t="s">
        <v>70</v>
      </c>
      <c r="D18" s="90" t="s">
        <v>1</v>
      </c>
      <c r="E18" s="92">
        <v>1.7951388888888891</v>
      </c>
      <c r="F18" s="90" t="s">
        <v>67</v>
      </c>
      <c r="G18" s="93">
        <v>9</v>
      </c>
      <c r="H18" s="90" t="s">
        <v>69</v>
      </c>
    </row>
    <row r="19" spans="1:8" ht="18" x14ac:dyDescent="0.3">
      <c r="A19" s="97">
        <v>45988</v>
      </c>
      <c r="B19" s="98" t="s">
        <v>63</v>
      </c>
      <c r="C19" s="99" t="s">
        <v>71</v>
      </c>
      <c r="D19" s="98" t="s">
        <v>1</v>
      </c>
      <c r="E19" s="100">
        <v>1.086805555555556</v>
      </c>
      <c r="F19" s="98" t="s">
        <v>65</v>
      </c>
      <c r="G19" s="101">
        <v>8</v>
      </c>
      <c r="H19" s="98" t="s">
        <v>66</v>
      </c>
    </row>
    <row r="20" spans="1:8" ht="18" x14ac:dyDescent="0.3">
      <c r="A20" s="89">
        <v>45988</v>
      </c>
      <c r="B20" s="90" t="s">
        <v>63</v>
      </c>
      <c r="C20" s="91" t="s">
        <v>71</v>
      </c>
      <c r="D20" s="90" t="s">
        <v>1</v>
      </c>
      <c r="E20" s="92">
        <v>1.086805555555556</v>
      </c>
      <c r="F20" s="90" t="s">
        <v>67</v>
      </c>
      <c r="G20" s="93">
        <v>8</v>
      </c>
      <c r="H20" s="90" t="s">
        <v>69</v>
      </c>
    </row>
    <row r="21" spans="1:8" ht="18" x14ac:dyDescent="0.3">
      <c r="A21" s="97">
        <v>45988</v>
      </c>
      <c r="B21" s="98" t="s">
        <v>63</v>
      </c>
      <c r="C21" s="99" t="s">
        <v>74</v>
      </c>
      <c r="D21" s="98" t="s">
        <v>1</v>
      </c>
      <c r="E21" s="100">
        <v>1.4201388888888891</v>
      </c>
      <c r="F21" s="98" t="s">
        <v>67</v>
      </c>
      <c r="G21" s="101">
        <v>4</v>
      </c>
      <c r="H21" s="98" t="s">
        <v>75</v>
      </c>
    </row>
    <row r="22" spans="1:8" ht="18" x14ac:dyDescent="0.3">
      <c r="A22" s="103">
        <v>45988</v>
      </c>
      <c r="B22" s="104" t="s">
        <v>76</v>
      </c>
      <c r="C22" s="105" t="s">
        <v>77</v>
      </c>
      <c r="D22" s="104" t="s">
        <v>1</v>
      </c>
      <c r="E22" s="106">
        <v>1.538194444444444</v>
      </c>
      <c r="F22" s="104" t="s">
        <v>78</v>
      </c>
      <c r="G22" s="107">
        <v>4</v>
      </c>
      <c r="H22" s="104" t="s">
        <v>80</v>
      </c>
    </row>
    <row r="23" spans="1:8" ht="18" x14ac:dyDescent="0.3">
      <c r="A23" s="83">
        <v>45989</v>
      </c>
      <c r="B23" s="84" t="s">
        <v>25</v>
      </c>
      <c r="C23" s="85" t="s">
        <v>26</v>
      </c>
      <c r="D23" s="84" t="s">
        <v>1</v>
      </c>
      <c r="E23" s="86">
        <v>1.4201388888888891</v>
      </c>
      <c r="F23" s="84" t="s">
        <v>27</v>
      </c>
      <c r="G23" s="87">
        <v>20</v>
      </c>
      <c r="H23" s="88">
        <v>559</v>
      </c>
    </row>
    <row r="24" spans="1:8" ht="18" x14ac:dyDescent="0.3">
      <c r="A24" s="89">
        <v>45989</v>
      </c>
      <c r="B24" s="90" t="s">
        <v>25</v>
      </c>
      <c r="C24" s="91" t="s">
        <v>26</v>
      </c>
      <c r="D24" s="90" t="s">
        <v>1</v>
      </c>
      <c r="E24" s="92">
        <v>1.4201388888888891</v>
      </c>
      <c r="F24" s="90" t="s">
        <v>30</v>
      </c>
      <c r="G24" s="93">
        <v>20</v>
      </c>
      <c r="H24" s="94">
        <v>709</v>
      </c>
    </row>
    <row r="25" spans="1:8" ht="18" x14ac:dyDescent="0.3">
      <c r="A25" s="89">
        <v>45989</v>
      </c>
      <c r="B25" s="90" t="s">
        <v>25</v>
      </c>
      <c r="C25" s="91" t="s">
        <v>26</v>
      </c>
      <c r="D25" s="90" t="s">
        <v>1</v>
      </c>
      <c r="E25" s="92">
        <v>1.4201388888888891</v>
      </c>
      <c r="F25" s="90" t="s">
        <v>33</v>
      </c>
      <c r="G25" s="93">
        <v>20</v>
      </c>
      <c r="H25" s="90" t="s">
        <v>34</v>
      </c>
    </row>
    <row r="26" spans="1:8" ht="18" x14ac:dyDescent="0.3">
      <c r="A26" s="95">
        <v>45989</v>
      </c>
      <c r="B26" s="84" t="s">
        <v>47</v>
      </c>
      <c r="C26" s="85" t="s">
        <v>57</v>
      </c>
      <c r="D26" s="84" t="s">
        <v>1</v>
      </c>
      <c r="E26" s="86">
        <v>1.756944444444444</v>
      </c>
      <c r="F26" s="84" t="s">
        <v>49</v>
      </c>
      <c r="G26" s="87">
        <v>7</v>
      </c>
      <c r="H26" s="96">
        <v>749</v>
      </c>
    </row>
    <row r="27" spans="1:8" ht="18" x14ac:dyDescent="0.3">
      <c r="A27" s="89">
        <v>45989</v>
      </c>
      <c r="B27" s="90" t="s">
        <v>47</v>
      </c>
      <c r="C27" s="91" t="s">
        <v>57</v>
      </c>
      <c r="D27" s="90" t="s">
        <v>1</v>
      </c>
      <c r="E27" s="92">
        <v>1.756944444444444</v>
      </c>
      <c r="F27" s="90" t="s">
        <v>52</v>
      </c>
      <c r="G27" s="93">
        <v>7</v>
      </c>
      <c r="H27" s="94">
        <v>849</v>
      </c>
    </row>
    <row r="28" spans="1:8" ht="18" x14ac:dyDescent="0.3">
      <c r="A28" s="89">
        <v>45989</v>
      </c>
      <c r="B28" s="90" t="s">
        <v>47</v>
      </c>
      <c r="C28" s="91" t="s">
        <v>57</v>
      </c>
      <c r="D28" s="90" t="s">
        <v>1</v>
      </c>
      <c r="E28" s="92">
        <v>1.756944444444444</v>
      </c>
      <c r="F28" s="90" t="s">
        <v>55</v>
      </c>
      <c r="G28" s="93">
        <v>7</v>
      </c>
      <c r="H28" s="94">
        <v>939</v>
      </c>
    </row>
    <row r="29" spans="1:8" ht="18" x14ac:dyDescent="0.3">
      <c r="A29" s="95">
        <v>45989</v>
      </c>
      <c r="B29" s="84" t="s">
        <v>35</v>
      </c>
      <c r="C29" s="85" t="s">
        <v>43</v>
      </c>
      <c r="D29" s="84" t="s">
        <v>1</v>
      </c>
      <c r="E29" s="86">
        <v>1.1076388888888891</v>
      </c>
      <c r="F29" s="84" t="s">
        <v>37</v>
      </c>
      <c r="G29" s="87">
        <v>9</v>
      </c>
      <c r="H29" s="96">
        <v>866</v>
      </c>
    </row>
    <row r="30" spans="1:8" ht="18" x14ac:dyDescent="0.3">
      <c r="A30" s="97">
        <v>45989</v>
      </c>
      <c r="B30" s="98" t="s">
        <v>35</v>
      </c>
      <c r="C30" s="99" t="s">
        <v>36</v>
      </c>
      <c r="D30" s="98" t="s">
        <v>1</v>
      </c>
      <c r="E30" s="100">
        <v>1.2222222222222221</v>
      </c>
      <c r="F30" s="98" t="s">
        <v>37</v>
      </c>
      <c r="G30" s="101">
        <v>9</v>
      </c>
      <c r="H30" s="102">
        <v>962</v>
      </c>
    </row>
    <row r="31" spans="1:8" ht="18" x14ac:dyDescent="0.3">
      <c r="A31" s="97">
        <v>45989</v>
      </c>
      <c r="B31" s="98" t="s">
        <v>35</v>
      </c>
      <c r="C31" s="99" t="s">
        <v>40</v>
      </c>
      <c r="D31" s="98" t="s">
        <v>1</v>
      </c>
      <c r="E31" s="100">
        <v>1.493055555555556</v>
      </c>
      <c r="F31" s="98" t="s">
        <v>37</v>
      </c>
      <c r="G31" s="101">
        <v>1</v>
      </c>
      <c r="H31" s="98" t="s">
        <v>93</v>
      </c>
    </row>
    <row r="32" spans="1:8" ht="18" x14ac:dyDescent="0.3">
      <c r="A32" s="95">
        <v>45989</v>
      </c>
      <c r="B32" s="84" t="s">
        <v>63</v>
      </c>
      <c r="C32" s="85" t="s">
        <v>64</v>
      </c>
      <c r="D32" s="84" t="s">
        <v>1</v>
      </c>
      <c r="E32" s="86">
        <v>1.604166666666667</v>
      </c>
      <c r="F32" s="84" t="s">
        <v>65</v>
      </c>
      <c r="G32" s="87">
        <v>9</v>
      </c>
      <c r="H32" s="84" t="s">
        <v>66</v>
      </c>
    </row>
    <row r="33" spans="1:8" ht="18" x14ac:dyDescent="0.3">
      <c r="A33" s="89">
        <v>45989</v>
      </c>
      <c r="B33" s="90" t="s">
        <v>63</v>
      </c>
      <c r="C33" s="91" t="s">
        <v>64</v>
      </c>
      <c r="D33" s="90" t="s">
        <v>1</v>
      </c>
      <c r="E33" s="92">
        <v>1.604166666666667</v>
      </c>
      <c r="F33" s="90" t="s">
        <v>67</v>
      </c>
      <c r="G33" s="93">
        <v>9</v>
      </c>
      <c r="H33" s="90" t="s">
        <v>69</v>
      </c>
    </row>
    <row r="34" spans="1:8" ht="18" x14ac:dyDescent="0.3">
      <c r="A34" s="97">
        <v>45989</v>
      </c>
      <c r="B34" s="98" t="s">
        <v>63</v>
      </c>
      <c r="C34" s="99" t="s">
        <v>71</v>
      </c>
      <c r="D34" s="98" t="s">
        <v>1</v>
      </c>
      <c r="E34" s="100">
        <v>1.086805555555556</v>
      </c>
      <c r="F34" s="98" t="s">
        <v>65</v>
      </c>
      <c r="G34" s="101">
        <v>9</v>
      </c>
      <c r="H34" s="98" t="s">
        <v>66</v>
      </c>
    </row>
    <row r="35" spans="1:8" ht="18" x14ac:dyDescent="0.3">
      <c r="A35" s="89">
        <v>45989</v>
      </c>
      <c r="B35" s="90" t="s">
        <v>63</v>
      </c>
      <c r="C35" s="91" t="s">
        <v>71</v>
      </c>
      <c r="D35" s="90" t="s">
        <v>1</v>
      </c>
      <c r="E35" s="92">
        <v>1.086805555555556</v>
      </c>
      <c r="F35" s="90" t="s">
        <v>67</v>
      </c>
      <c r="G35" s="93">
        <v>9</v>
      </c>
      <c r="H35" s="90" t="s">
        <v>69</v>
      </c>
    </row>
    <row r="36" spans="1:8" ht="18" x14ac:dyDescent="0.3">
      <c r="A36" s="108">
        <v>45989</v>
      </c>
      <c r="B36" s="109" t="s">
        <v>63</v>
      </c>
      <c r="C36" s="110" t="s">
        <v>74</v>
      </c>
      <c r="D36" s="109" t="s">
        <v>1</v>
      </c>
      <c r="E36" s="111">
        <v>1.4201388888888891</v>
      </c>
      <c r="F36" s="109" t="s">
        <v>67</v>
      </c>
      <c r="G36" s="112">
        <v>4</v>
      </c>
      <c r="H36" s="109" t="s">
        <v>75</v>
      </c>
    </row>
    <row r="37" spans="1:8" ht="18" x14ac:dyDescent="0.3">
      <c r="A37" s="83">
        <v>45990</v>
      </c>
      <c r="B37" s="84" t="s">
        <v>25</v>
      </c>
      <c r="C37" s="85" t="s">
        <v>26</v>
      </c>
      <c r="D37" s="84" t="s">
        <v>1</v>
      </c>
      <c r="E37" s="86">
        <v>1.4201388888888891</v>
      </c>
      <c r="F37" s="84" t="s">
        <v>27</v>
      </c>
      <c r="G37" s="87">
        <v>13</v>
      </c>
      <c r="H37" s="88">
        <v>619</v>
      </c>
    </row>
    <row r="38" spans="1:8" ht="18" x14ac:dyDescent="0.3">
      <c r="A38" s="89">
        <v>45990</v>
      </c>
      <c r="B38" s="90" t="s">
        <v>25</v>
      </c>
      <c r="C38" s="91" t="s">
        <v>26</v>
      </c>
      <c r="D38" s="90" t="s">
        <v>1</v>
      </c>
      <c r="E38" s="92">
        <v>1.4201388888888891</v>
      </c>
      <c r="F38" s="90" t="s">
        <v>30</v>
      </c>
      <c r="G38" s="93">
        <v>13</v>
      </c>
      <c r="H38" s="94">
        <v>769</v>
      </c>
    </row>
    <row r="39" spans="1:8" ht="18" x14ac:dyDescent="0.3">
      <c r="A39" s="89">
        <v>45990</v>
      </c>
      <c r="B39" s="90" t="s">
        <v>25</v>
      </c>
      <c r="C39" s="91" t="s">
        <v>26</v>
      </c>
      <c r="D39" s="90" t="s">
        <v>1</v>
      </c>
      <c r="E39" s="92">
        <v>1.4201388888888891</v>
      </c>
      <c r="F39" s="90" t="s">
        <v>33</v>
      </c>
      <c r="G39" s="93">
        <v>13</v>
      </c>
      <c r="H39" s="90" t="s">
        <v>34</v>
      </c>
    </row>
    <row r="40" spans="1:8" ht="18" x14ac:dyDescent="0.3">
      <c r="A40" s="95">
        <v>45990</v>
      </c>
      <c r="B40" s="84" t="s">
        <v>47</v>
      </c>
      <c r="C40" s="85" t="s">
        <v>48</v>
      </c>
      <c r="D40" s="84" t="s">
        <v>1</v>
      </c>
      <c r="E40" s="86">
        <v>1.354166666666667</v>
      </c>
      <c r="F40" s="84" t="s">
        <v>49</v>
      </c>
      <c r="G40" s="87">
        <v>4</v>
      </c>
      <c r="H40" s="96">
        <v>639</v>
      </c>
    </row>
    <row r="41" spans="1:8" ht="18" x14ac:dyDescent="0.3">
      <c r="A41" s="89">
        <v>45990</v>
      </c>
      <c r="B41" s="90" t="s">
        <v>47</v>
      </c>
      <c r="C41" s="91" t="s">
        <v>48</v>
      </c>
      <c r="D41" s="90" t="s">
        <v>1</v>
      </c>
      <c r="E41" s="92">
        <v>1.354166666666667</v>
      </c>
      <c r="F41" s="90" t="s">
        <v>52</v>
      </c>
      <c r="G41" s="93">
        <v>4</v>
      </c>
      <c r="H41" s="94">
        <v>739</v>
      </c>
    </row>
    <row r="42" spans="1:8" ht="18" x14ac:dyDescent="0.3">
      <c r="A42" s="89">
        <v>45990</v>
      </c>
      <c r="B42" s="90" t="s">
        <v>47</v>
      </c>
      <c r="C42" s="91" t="s">
        <v>48</v>
      </c>
      <c r="D42" s="90" t="s">
        <v>1</v>
      </c>
      <c r="E42" s="92">
        <v>1.354166666666667</v>
      </c>
      <c r="F42" s="90" t="s">
        <v>55</v>
      </c>
      <c r="G42" s="93">
        <v>4</v>
      </c>
      <c r="H42" s="94">
        <v>829</v>
      </c>
    </row>
    <row r="43" spans="1:8" ht="18" x14ac:dyDescent="0.3">
      <c r="A43" s="97">
        <v>45990</v>
      </c>
      <c r="B43" s="98" t="s">
        <v>47</v>
      </c>
      <c r="C43" s="99" t="s">
        <v>57</v>
      </c>
      <c r="D43" s="98" t="s">
        <v>1</v>
      </c>
      <c r="E43" s="100">
        <v>1.756944444444444</v>
      </c>
      <c r="F43" s="98" t="s">
        <v>49</v>
      </c>
      <c r="G43" s="101">
        <v>4</v>
      </c>
      <c r="H43" s="98" t="s">
        <v>98</v>
      </c>
    </row>
    <row r="44" spans="1:8" ht="18" x14ac:dyDescent="0.3">
      <c r="A44" s="89">
        <v>45990</v>
      </c>
      <c r="B44" s="90" t="s">
        <v>47</v>
      </c>
      <c r="C44" s="91" t="s">
        <v>57</v>
      </c>
      <c r="D44" s="90" t="s">
        <v>1</v>
      </c>
      <c r="E44" s="92">
        <v>1.756944444444444</v>
      </c>
      <c r="F44" s="90" t="s">
        <v>52</v>
      </c>
      <c r="G44" s="93">
        <v>4</v>
      </c>
      <c r="H44" s="90" t="s">
        <v>99</v>
      </c>
    </row>
    <row r="45" spans="1:8" ht="18" x14ac:dyDescent="0.3">
      <c r="A45" s="89">
        <v>45990</v>
      </c>
      <c r="B45" s="90" t="s">
        <v>47</v>
      </c>
      <c r="C45" s="91" t="s">
        <v>57</v>
      </c>
      <c r="D45" s="90" t="s">
        <v>1</v>
      </c>
      <c r="E45" s="92">
        <v>1.756944444444444</v>
      </c>
      <c r="F45" s="90" t="s">
        <v>55</v>
      </c>
      <c r="G45" s="93">
        <v>4</v>
      </c>
      <c r="H45" s="90" t="s">
        <v>100</v>
      </c>
    </row>
    <row r="46" spans="1:8" ht="18" x14ac:dyDescent="0.3">
      <c r="A46" s="95">
        <v>45990</v>
      </c>
      <c r="B46" s="84" t="s">
        <v>63</v>
      </c>
      <c r="C46" s="85" t="s">
        <v>74</v>
      </c>
      <c r="D46" s="84" t="s">
        <v>1</v>
      </c>
      <c r="E46" s="86">
        <v>1.4201388888888891</v>
      </c>
      <c r="F46" s="84" t="s">
        <v>67</v>
      </c>
      <c r="G46" s="87">
        <v>4</v>
      </c>
      <c r="H46" s="84" t="s">
        <v>75</v>
      </c>
    </row>
    <row r="47" spans="1:8" ht="18" x14ac:dyDescent="0.3">
      <c r="A47" s="97">
        <v>45990</v>
      </c>
      <c r="B47" s="98" t="s">
        <v>63</v>
      </c>
      <c r="C47" s="99" t="s">
        <v>64</v>
      </c>
      <c r="D47" s="98" t="s">
        <v>1</v>
      </c>
      <c r="E47" s="100">
        <v>1.604166666666667</v>
      </c>
      <c r="F47" s="98" t="s">
        <v>65</v>
      </c>
      <c r="G47" s="101">
        <v>1</v>
      </c>
      <c r="H47" s="98" t="s">
        <v>101</v>
      </c>
    </row>
    <row r="48" spans="1:8" ht="18" x14ac:dyDescent="0.3">
      <c r="A48" s="89">
        <v>45990</v>
      </c>
      <c r="B48" s="90" t="s">
        <v>63</v>
      </c>
      <c r="C48" s="91" t="s">
        <v>64</v>
      </c>
      <c r="D48" s="90" t="s">
        <v>1</v>
      </c>
      <c r="E48" s="92">
        <v>1.604166666666667</v>
      </c>
      <c r="F48" s="90" t="s">
        <v>67</v>
      </c>
      <c r="G48" s="93">
        <v>1</v>
      </c>
      <c r="H48" s="90" t="s">
        <v>102</v>
      </c>
    </row>
    <row r="49" spans="1:8" ht="18" x14ac:dyDescent="0.3">
      <c r="A49" s="97">
        <v>45990</v>
      </c>
      <c r="B49" s="98" t="s">
        <v>63</v>
      </c>
      <c r="C49" s="99" t="s">
        <v>70</v>
      </c>
      <c r="D49" s="98" t="s">
        <v>1</v>
      </c>
      <c r="E49" s="100">
        <v>1.7951388888888891</v>
      </c>
      <c r="F49" s="98" t="s">
        <v>65</v>
      </c>
      <c r="G49" s="101">
        <v>2</v>
      </c>
      <c r="H49" s="98" t="s">
        <v>101</v>
      </c>
    </row>
    <row r="50" spans="1:8" ht="18" x14ac:dyDescent="0.3">
      <c r="A50" s="89">
        <v>45990</v>
      </c>
      <c r="B50" s="90" t="s">
        <v>63</v>
      </c>
      <c r="C50" s="91" t="s">
        <v>70</v>
      </c>
      <c r="D50" s="90" t="s">
        <v>1</v>
      </c>
      <c r="E50" s="92">
        <v>1.7951388888888891</v>
      </c>
      <c r="F50" s="90" t="s">
        <v>67</v>
      </c>
      <c r="G50" s="93">
        <v>2</v>
      </c>
      <c r="H50" s="90" t="s">
        <v>102</v>
      </c>
    </row>
    <row r="51" spans="1:8" ht="18" x14ac:dyDescent="0.3">
      <c r="A51" s="97">
        <v>45990</v>
      </c>
      <c r="B51" s="98" t="s">
        <v>63</v>
      </c>
      <c r="C51" s="99" t="s">
        <v>71</v>
      </c>
      <c r="D51" s="98" t="s">
        <v>1</v>
      </c>
      <c r="E51" s="100">
        <v>1.086805555555556</v>
      </c>
      <c r="F51" s="98" t="s">
        <v>65</v>
      </c>
      <c r="G51" s="101">
        <v>8</v>
      </c>
      <c r="H51" s="98" t="s">
        <v>101</v>
      </c>
    </row>
    <row r="52" spans="1:8" ht="18" x14ac:dyDescent="0.3">
      <c r="A52" s="89">
        <v>45990</v>
      </c>
      <c r="B52" s="90" t="s">
        <v>63</v>
      </c>
      <c r="C52" s="91" t="s">
        <v>71</v>
      </c>
      <c r="D52" s="90" t="s">
        <v>1</v>
      </c>
      <c r="E52" s="92">
        <v>1.086805555555556</v>
      </c>
      <c r="F52" s="90" t="s">
        <v>67</v>
      </c>
      <c r="G52" s="93">
        <v>8</v>
      </c>
      <c r="H52" s="90" t="s">
        <v>102</v>
      </c>
    </row>
    <row r="53" spans="1:8" ht="18" x14ac:dyDescent="0.3">
      <c r="A53" s="95">
        <v>45990</v>
      </c>
      <c r="B53" s="84" t="s">
        <v>35</v>
      </c>
      <c r="C53" s="85" t="s">
        <v>36</v>
      </c>
      <c r="D53" s="84" t="s">
        <v>1</v>
      </c>
      <c r="E53" s="86">
        <v>1.2222222222222221</v>
      </c>
      <c r="F53" s="84" t="s">
        <v>37</v>
      </c>
      <c r="G53" s="87">
        <v>1</v>
      </c>
      <c r="H53" s="84" t="s">
        <v>46</v>
      </c>
    </row>
    <row r="54" spans="1:8" ht="18" x14ac:dyDescent="0.3">
      <c r="A54" s="97">
        <v>45990</v>
      </c>
      <c r="B54" s="98" t="s">
        <v>35</v>
      </c>
      <c r="C54" s="99" t="s">
        <v>45</v>
      </c>
      <c r="D54" s="98" t="s">
        <v>1</v>
      </c>
      <c r="E54" s="100">
        <v>1.458333333333333</v>
      </c>
      <c r="F54" s="98" t="s">
        <v>37</v>
      </c>
      <c r="G54" s="101">
        <v>1</v>
      </c>
      <c r="H54" s="98" t="s">
        <v>46</v>
      </c>
    </row>
    <row r="55" spans="1:8" ht="18" x14ac:dyDescent="0.3">
      <c r="A55" s="103">
        <v>45990</v>
      </c>
      <c r="B55" s="104" t="s">
        <v>76</v>
      </c>
      <c r="C55" s="105" t="s">
        <v>81</v>
      </c>
      <c r="D55" s="104" t="s">
        <v>1</v>
      </c>
      <c r="E55" s="106">
        <v>1.395833333333333</v>
      </c>
      <c r="F55" s="104" t="s">
        <v>105</v>
      </c>
      <c r="G55" s="104"/>
      <c r="H55" s="104" t="s">
        <v>106</v>
      </c>
    </row>
    <row r="56" spans="1:8" ht="18" x14ac:dyDescent="0.3">
      <c r="A56" s="83">
        <v>45991</v>
      </c>
      <c r="B56" s="84" t="s">
        <v>25</v>
      </c>
      <c r="C56" s="85" t="s">
        <v>26</v>
      </c>
      <c r="D56" s="84" t="s">
        <v>1</v>
      </c>
      <c r="E56" s="86">
        <v>1.4201388888888891</v>
      </c>
      <c r="F56" s="84" t="s">
        <v>27</v>
      </c>
      <c r="G56" s="87">
        <v>9</v>
      </c>
      <c r="H56" s="88">
        <v>799</v>
      </c>
    </row>
    <row r="57" spans="1:8" ht="18" x14ac:dyDescent="0.3">
      <c r="A57" s="89">
        <v>45991</v>
      </c>
      <c r="B57" s="90" t="s">
        <v>25</v>
      </c>
      <c r="C57" s="91" t="s">
        <v>26</v>
      </c>
      <c r="D57" s="90" t="s">
        <v>1</v>
      </c>
      <c r="E57" s="92">
        <v>1.4201388888888891</v>
      </c>
      <c r="F57" s="90" t="s">
        <v>30</v>
      </c>
      <c r="G57" s="93">
        <v>9</v>
      </c>
      <c r="H57" s="94">
        <v>949</v>
      </c>
    </row>
    <row r="58" spans="1:8" ht="18" x14ac:dyDescent="0.3">
      <c r="A58" s="89">
        <v>45991</v>
      </c>
      <c r="B58" s="90" t="s">
        <v>25</v>
      </c>
      <c r="C58" s="91" t="s">
        <v>26</v>
      </c>
      <c r="D58" s="90" t="s">
        <v>1</v>
      </c>
      <c r="E58" s="92">
        <v>1.4201388888888891</v>
      </c>
      <c r="F58" s="90" t="s">
        <v>33</v>
      </c>
      <c r="G58" s="93">
        <v>9</v>
      </c>
      <c r="H58" s="90" t="s">
        <v>34</v>
      </c>
    </row>
    <row r="59" spans="1:8" ht="18" x14ac:dyDescent="0.3">
      <c r="A59" s="95">
        <v>45991</v>
      </c>
      <c r="B59" s="84" t="s">
        <v>47</v>
      </c>
      <c r="C59" s="85" t="s">
        <v>57</v>
      </c>
      <c r="D59" s="84" t="s">
        <v>1</v>
      </c>
      <c r="E59" s="86">
        <v>1.756944444444444</v>
      </c>
      <c r="F59" s="84" t="s">
        <v>49</v>
      </c>
      <c r="G59" s="87">
        <v>5</v>
      </c>
      <c r="H59" s="96">
        <v>889</v>
      </c>
    </row>
    <row r="60" spans="1:8" ht="18" x14ac:dyDescent="0.3">
      <c r="A60" s="89">
        <v>45991</v>
      </c>
      <c r="B60" s="90" t="s">
        <v>47</v>
      </c>
      <c r="C60" s="91" t="s">
        <v>57</v>
      </c>
      <c r="D60" s="90" t="s">
        <v>1</v>
      </c>
      <c r="E60" s="92">
        <v>1.756944444444444</v>
      </c>
      <c r="F60" s="90" t="s">
        <v>52</v>
      </c>
      <c r="G60" s="93">
        <v>5</v>
      </c>
      <c r="H60" s="94">
        <v>989</v>
      </c>
    </row>
    <row r="61" spans="1:8" ht="18" x14ac:dyDescent="0.3">
      <c r="A61" s="89">
        <v>45991</v>
      </c>
      <c r="B61" s="90" t="s">
        <v>47</v>
      </c>
      <c r="C61" s="91" t="s">
        <v>57</v>
      </c>
      <c r="D61" s="90" t="s">
        <v>1</v>
      </c>
      <c r="E61" s="92">
        <v>1.756944444444444</v>
      </c>
      <c r="F61" s="90" t="s">
        <v>55</v>
      </c>
      <c r="G61" s="93">
        <v>5</v>
      </c>
      <c r="H61" s="90" t="s">
        <v>117</v>
      </c>
    </row>
    <row r="62" spans="1:8" ht="18" x14ac:dyDescent="0.3">
      <c r="A62" s="113">
        <v>45991</v>
      </c>
      <c r="B62" s="114" t="s">
        <v>76</v>
      </c>
      <c r="C62" s="115" t="s">
        <v>77</v>
      </c>
      <c r="D62" s="114" t="s">
        <v>1</v>
      </c>
      <c r="E62" s="116">
        <v>1.9027777777777779</v>
      </c>
      <c r="F62" s="114" t="s">
        <v>78</v>
      </c>
      <c r="G62" s="117">
        <v>5</v>
      </c>
      <c r="H62" s="114" t="s">
        <v>118</v>
      </c>
    </row>
    <row r="63" spans="1:8" ht="18" x14ac:dyDescent="0.3">
      <c r="A63" s="95">
        <v>45991</v>
      </c>
      <c r="B63" s="84" t="s">
        <v>63</v>
      </c>
      <c r="C63" s="85" t="s">
        <v>64</v>
      </c>
      <c r="D63" s="84" t="s">
        <v>1</v>
      </c>
      <c r="E63" s="86">
        <v>1.604166666666667</v>
      </c>
      <c r="F63" s="84" t="s">
        <v>65</v>
      </c>
      <c r="G63" s="87">
        <v>8</v>
      </c>
      <c r="H63" s="84" t="s">
        <v>66</v>
      </c>
    </row>
    <row r="64" spans="1:8" ht="18" x14ac:dyDescent="0.3">
      <c r="A64" s="89">
        <v>45991</v>
      </c>
      <c r="B64" s="90" t="s">
        <v>63</v>
      </c>
      <c r="C64" s="91" t="s">
        <v>64</v>
      </c>
      <c r="D64" s="90" t="s">
        <v>1</v>
      </c>
      <c r="E64" s="92">
        <v>1.604166666666667</v>
      </c>
      <c r="F64" s="90" t="s">
        <v>67</v>
      </c>
      <c r="G64" s="93">
        <v>8</v>
      </c>
      <c r="H64" s="90" t="s">
        <v>69</v>
      </c>
    </row>
    <row r="65" spans="1:8" ht="18" x14ac:dyDescent="0.3">
      <c r="A65" s="97">
        <v>45991</v>
      </c>
      <c r="B65" s="98" t="s">
        <v>63</v>
      </c>
      <c r="C65" s="99" t="s">
        <v>70</v>
      </c>
      <c r="D65" s="98" t="s">
        <v>1</v>
      </c>
      <c r="E65" s="100">
        <v>1.7951388888888891</v>
      </c>
      <c r="F65" s="98" t="s">
        <v>65</v>
      </c>
      <c r="G65" s="101">
        <v>9</v>
      </c>
      <c r="H65" s="98" t="s">
        <v>101</v>
      </c>
    </row>
    <row r="66" spans="1:8" ht="18" x14ac:dyDescent="0.3">
      <c r="A66" s="89">
        <v>45991</v>
      </c>
      <c r="B66" s="90" t="s">
        <v>63</v>
      </c>
      <c r="C66" s="91" t="s">
        <v>70</v>
      </c>
      <c r="D66" s="90" t="s">
        <v>1</v>
      </c>
      <c r="E66" s="92">
        <v>1.7951388888888891</v>
      </c>
      <c r="F66" s="90" t="s">
        <v>67</v>
      </c>
      <c r="G66" s="93">
        <v>9</v>
      </c>
      <c r="H66" s="90" t="s">
        <v>102</v>
      </c>
    </row>
    <row r="67" spans="1:8" ht="18" x14ac:dyDescent="0.3">
      <c r="A67" s="97">
        <v>45991</v>
      </c>
      <c r="B67" s="98" t="s">
        <v>63</v>
      </c>
      <c r="C67" s="99" t="s">
        <v>71</v>
      </c>
      <c r="D67" s="98" t="s">
        <v>1</v>
      </c>
      <c r="E67" s="100">
        <v>1.086805555555556</v>
      </c>
      <c r="F67" s="98" t="s">
        <v>65</v>
      </c>
      <c r="G67" s="101">
        <v>9</v>
      </c>
      <c r="H67" s="98" t="s">
        <v>101</v>
      </c>
    </row>
    <row r="68" spans="1:8" ht="18" x14ac:dyDescent="0.3">
      <c r="A68" s="89">
        <v>45991</v>
      </c>
      <c r="B68" s="90" t="s">
        <v>63</v>
      </c>
      <c r="C68" s="91" t="s">
        <v>71</v>
      </c>
      <c r="D68" s="90" t="s">
        <v>1</v>
      </c>
      <c r="E68" s="92">
        <v>1.086805555555556</v>
      </c>
      <c r="F68" s="90" t="s">
        <v>67</v>
      </c>
      <c r="G68" s="93">
        <v>9</v>
      </c>
      <c r="H68" s="90" t="s">
        <v>102</v>
      </c>
    </row>
    <row r="69" spans="1:8" ht="18" x14ac:dyDescent="0.3">
      <c r="A69" s="108">
        <v>45991</v>
      </c>
      <c r="B69" s="109" t="s">
        <v>63</v>
      </c>
      <c r="C69" s="110" t="s">
        <v>74</v>
      </c>
      <c r="D69" s="109" t="s">
        <v>1</v>
      </c>
      <c r="E69" s="111">
        <v>1.4201388888888891</v>
      </c>
      <c r="F69" s="109" t="s">
        <v>67</v>
      </c>
      <c r="G69" s="112">
        <v>4</v>
      </c>
      <c r="H69" s="109" t="s">
        <v>122</v>
      </c>
    </row>
  </sheetData>
  <dataValidations count="3">
    <dataValidation type="custom" allowBlank="1" showInputMessage="1" promptTitle="LOAD FACTOR ANALYSIS" prompt="SM-494_x000d__x000a_LF 98.3%_x000d__x000a_SOLD 171_x000d__x000a_LST-SOLD 25NOV_x000d__x000a_WEEKLY 4_x000d__x000a_TO-DAY NIL_x000d__x000a_Y-DAY 3_x000d__x000a_LOWEST AVAIL B4_x000d__x000a_CAPACITY 174_x000d__x000a_CLASSES V7 &amp; L2 &amp; S1 &amp; +5 more" sqref="A22 B22 C22 D22 E22 F22 G22 H22" xr:uid="{00000000-0002-0000-0200-000000000000}">
      <formula1>TRUE</formula1>
    </dataValidation>
    <dataValidation type="custom" allowBlank="1" showInputMessage="1" promptTitle="LOAD FACTOR ANALYSIS" prompt="SM494_x000d__x000a_LF 1.0%_x000d__x000a_SOLD 173_x000d__x000a_LST-SOLD 09NOV_x000d__x000a_WEEKLY NIL_x000d__x000a_TO-DAY NIL_x000d__x000a_Y-DAY NIL_x000d__x000a_LOWEST AVAIL CLOSED_x000d__x000a_CAPACITY 168_x000d__x000a_CLASSES G2 &amp; S12 &amp; I22 &amp; +2 more" sqref="A55 B55 C55 D55 E55 F55 G55 H55" xr:uid="{00000000-0002-0000-0200-000001000000}">
      <formula1>TRUE</formula1>
    </dataValidation>
    <dataValidation type="custom" allowBlank="1" showInputMessage="1" promptTitle="LOAD FACTOR ANALYSIS" prompt="SM-494_x000d__x000a_LF 96.5%_x000d__x000a_SOLD 168_x000d__x000a_LST-SOLD 14NOV_x000d__x000a_WEEKLY NIL_x000d__x000a_TO-DAY NIL_x000d__x000a_Y-DAY NIL_x000d__x000a_LOWEST AVAIL M5_x000d__x000a_CAPACITY 174_x000d__x000a_CLASSES L4 &amp; G3 &amp; S4 &amp; +7 more" sqref="A62 B62 C62 D62 E62 F62 G62 H62" xr:uid="{00000000-0002-0000-02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49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66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184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45987.35913376588</v>
      </c>
      <c r="H2" s="294"/>
      <c r="I2" s="294"/>
      <c r="J2" s="294"/>
      <c r="K2" s="301">
        <v>45987.359133766447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35</v>
      </c>
      <c r="B6" s="8" t="s">
        <v>185</v>
      </c>
      <c r="C6" s="9">
        <v>0.52083333333333337</v>
      </c>
      <c r="D6" s="8" t="s">
        <v>37</v>
      </c>
      <c r="E6" s="8" t="s">
        <v>86</v>
      </c>
      <c r="F6" s="8" t="s">
        <v>186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28" t="s">
        <v>76</v>
      </c>
      <c r="B7" s="128" t="s">
        <v>187</v>
      </c>
      <c r="C7" s="129">
        <v>0.64583333333333337</v>
      </c>
      <c r="D7" s="128" t="s">
        <v>78</v>
      </c>
      <c r="E7" s="128" t="s">
        <v>79</v>
      </c>
      <c r="F7" s="128" t="s">
        <v>118</v>
      </c>
      <c r="G7" s="282"/>
      <c r="H7" s="130" t="s">
        <v>188</v>
      </c>
      <c r="I7" s="131">
        <v>0.97770000000000001</v>
      </c>
      <c r="J7" s="132">
        <v>175</v>
      </c>
      <c r="K7" s="133">
        <v>45981</v>
      </c>
      <c r="L7" s="132">
        <v>2</v>
      </c>
      <c r="M7" s="132">
        <v>0</v>
      </c>
      <c r="N7" s="132">
        <v>0</v>
      </c>
      <c r="O7" s="134" t="s">
        <v>189</v>
      </c>
      <c r="P7" s="135">
        <v>0.64583333333333337</v>
      </c>
      <c r="Q7" s="132">
        <v>179</v>
      </c>
      <c r="R7" s="136" t="s">
        <v>190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8" x14ac:dyDescent="0.3">
      <c r="A8" s="303" t="s">
        <v>191</v>
      </c>
      <c r="B8" s="304"/>
      <c r="C8" s="304"/>
      <c r="D8" s="304"/>
      <c r="E8" s="304"/>
      <c r="F8" s="304"/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26</v>
      </c>
      <c r="C9" s="20" t="s">
        <v>192</v>
      </c>
      <c r="D9" s="19" t="s">
        <v>27</v>
      </c>
      <c r="E9" s="19" t="s">
        <v>193</v>
      </c>
      <c r="F9" s="19" t="s">
        <v>29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35</v>
      </c>
      <c r="B10" s="19" t="s">
        <v>36</v>
      </c>
      <c r="C10" s="20" t="s">
        <v>194</v>
      </c>
      <c r="D10" s="19" t="s">
        <v>37</v>
      </c>
      <c r="E10" s="19" t="s">
        <v>195</v>
      </c>
      <c r="F10" s="19" t="s">
        <v>39</v>
      </c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47</v>
      </c>
      <c r="B11" s="19" t="s">
        <v>48</v>
      </c>
      <c r="C11" s="20" t="s">
        <v>196</v>
      </c>
      <c r="D11" s="19" t="s">
        <v>49</v>
      </c>
      <c r="E11" s="19" t="s">
        <v>197</v>
      </c>
      <c r="F11" s="19" t="s">
        <v>51</v>
      </c>
      <c r="G11" s="282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26</v>
      </c>
      <c r="C12" s="20" t="s">
        <v>192</v>
      </c>
      <c r="D12" s="19" t="s">
        <v>30</v>
      </c>
      <c r="E12" s="19" t="s">
        <v>193</v>
      </c>
      <c r="F12" s="19" t="s">
        <v>32</v>
      </c>
      <c r="G12" s="282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47</v>
      </c>
      <c r="B13" s="19" t="s">
        <v>48</v>
      </c>
      <c r="C13" s="20" t="s">
        <v>196</v>
      </c>
      <c r="D13" s="19" t="s">
        <v>52</v>
      </c>
      <c r="E13" s="19" t="s">
        <v>197</v>
      </c>
      <c r="F13" s="19" t="s">
        <v>54</v>
      </c>
      <c r="G13" s="282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40</v>
      </c>
      <c r="C14" s="20" t="s">
        <v>198</v>
      </c>
      <c r="D14" s="19" t="s">
        <v>37</v>
      </c>
      <c r="E14" s="19" t="s">
        <v>195</v>
      </c>
      <c r="F14" s="19" t="s">
        <v>42</v>
      </c>
      <c r="G14" s="282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47</v>
      </c>
      <c r="B15" s="19" t="s">
        <v>48</v>
      </c>
      <c r="C15" s="20" t="s">
        <v>196</v>
      </c>
      <c r="D15" s="19" t="s">
        <v>55</v>
      </c>
      <c r="E15" s="19" t="s">
        <v>197</v>
      </c>
      <c r="F15" s="19" t="s">
        <v>56</v>
      </c>
      <c r="G15" s="282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35</v>
      </c>
      <c r="B16" s="19" t="s">
        <v>43</v>
      </c>
      <c r="C16" s="20" t="s">
        <v>199</v>
      </c>
      <c r="D16" s="19" t="s">
        <v>37</v>
      </c>
      <c r="E16" s="19" t="s">
        <v>195</v>
      </c>
      <c r="F16" s="19" t="s">
        <v>44</v>
      </c>
      <c r="G16" s="282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25</v>
      </c>
      <c r="B17" s="19" t="s">
        <v>26</v>
      </c>
      <c r="C17" s="20" t="s">
        <v>192</v>
      </c>
      <c r="D17" s="19" t="s">
        <v>33</v>
      </c>
      <c r="E17" s="19" t="s">
        <v>193</v>
      </c>
      <c r="F17" s="19" t="s">
        <v>34</v>
      </c>
      <c r="G17" s="282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6" t="s">
        <v>47</v>
      </c>
      <c r="B18" s="36" t="s">
        <v>57</v>
      </c>
      <c r="C18" s="37" t="s">
        <v>200</v>
      </c>
      <c r="D18" s="36" t="s">
        <v>49</v>
      </c>
      <c r="E18" s="36" t="s">
        <v>201</v>
      </c>
      <c r="F18" s="36" t="s">
        <v>59</v>
      </c>
      <c r="G18" s="283"/>
      <c r="H18" s="140"/>
      <c r="I18" s="140"/>
      <c r="J18" s="140"/>
      <c r="K18" s="140"/>
      <c r="L18" s="140"/>
      <c r="M18" s="140"/>
      <c r="N18" s="140"/>
      <c r="O18" s="141"/>
      <c r="P18" s="140"/>
      <c r="Q18" s="142"/>
      <c r="R18" s="14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8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80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9" t="s">
        <v>5</v>
      </c>
      <c r="B20" s="290"/>
      <c r="C20" s="290"/>
      <c r="D20" s="290"/>
      <c r="E20" s="290"/>
      <c r="F20" s="290"/>
      <c r="G20" s="5">
        <v>45989</v>
      </c>
      <c r="H20" s="286" t="s">
        <v>6</v>
      </c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0" t="s">
        <v>7</v>
      </c>
      <c r="B21" s="30" t="s">
        <v>8</v>
      </c>
      <c r="C21" s="31" t="s">
        <v>9</v>
      </c>
      <c r="D21" s="30" t="s">
        <v>10</v>
      </c>
      <c r="E21" s="30" t="s">
        <v>11</v>
      </c>
      <c r="F21" s="30" t="s">
        <v>12</v>
      </c>
      <c r="G21" s="32" t="s">
        <v>13</v>
      </c>
      <c r="H21" s="30" t="s">
        <v>14</v>
      </c>
      <c r="I21" s="33" t="s">
        <v>15</v>
      </c>
      <c r="J21" s="34" t="s">
        <v>16</v>
      </c>
      <c r="K21" s="35" t="s">
        <v>17</v>
      </c>
      <c r="L21" s="34" t="s">
        <v>18</v>
      </c>
      <c r="M21" s="34" t="s">
        <v>19</v>
      </c>
      <c r="N21" s="34" t="s">
        <v>20</v>
      </c>
      <c r="O21" s="30" t="s">
        <v>21</v>
      </c>
      <c r="P21" s="31" t="s">
        <v>22</v>
      </c>
      <c r="Q21" s="34" t="s">
        <v>23</v>
      </c>
      <c r="R21" s="30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8" t="s">
        <v>35</v>
      </c>
      <c r="B22" s="8" t="s">
        <v>185</v>
      </c>
      <c r="C22" s="9">
        <v>0.52083333333333337</v>
      </c>
      <c r="D22" s="8" t="s">
        <v>37</v>
      </c>
      <c r="E22" s="8" t="s">
        <v>202</v>
      </c>
      <c r="F22" s="8" t="s">
        <v>203</v>
      </c>
      <c r="G22" s="281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8" x14ac:dyDescent="0.3">
      <c r="A23" s="303" t="s">
        <v>191</v>
      </c>
      <c r="B23" s="304"/>
      <c r="C23" s="304"/>
      <c r="D23" s="304"/>
      <c r="E23" s="304"/>
      <c r="F23" s="304"/>
      <c r="G23" s="282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25</v>
      </c>
      <c r="B24" s="19" t="s">
        <v>26</v>
      </c>
      <c r="C24" s="20" t="s">
        <v>192</v>
      </c>
      <c r="D24" s="19" t="s">
        <v>27</v>
      </c>
      <c r="E24" s="19" t="s">
        <v>204</v>
      </c>
      <c r="F24" s="19" t="s">
        <v>29</v>
      </c>
      <c r="G24" s="282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25</v>
      </c>
      <c r="B25" s="19" t="s">
        <v>26</v>
      </c>
      <c r="C25" s="20" t="s">
        <v>192</v>
      </c>
      <c r="D25" s="19" t="s">
        <v>30</v>
      </c>
      <c r="E25" s="19" t="s">
        <v>204</v>
      </c>
      <c r="F25" s="19" t="s">
        <v>32</v>
      </c>
      <c r="G25" s="282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47</v>
      </c>
      <c r="B26" s="19" t="s">
        <v>57</v>
      </c>
      <c r="C26" s="20" t="s">
        <v>200</v>
      </c>
      <c r="D26" s="19" t="s">
        <v>49</v>
      </c>
      <c r="E26" s="19" t="s">
        <v>205</v>
      </c>
      <c r="F26" s="19" t="s">
        <v>87</v>
      </c>
      <c r="G26" s="282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47</v>
      </c>
      <c r="B27" s="19" t="s">
        <v>57</v>
      </c>
      <c r="C27" s="20" t="s">
        <v>200</v>
      </c>
      <c r="D27" s="19" t="s">
        <v>52</v>
      </c>
      <c r="E27" s="19" t="s">
        <v>205</v>
      </c>
      <c r="F27" s="19" t="s">
        <v>89</v>
      </c>
      <c r="G27" s="282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35</v>
      </c>
      <c r="B28" s="19" t="s">
        <v>43</v>
      </c>
      <c r="C28" s="20" t="s">
        <v>199</v>
      </c>
      <c r="D28" s="19" t="s">
        <v>37</v>
      </c>
      <c r="E28" s="19" t="s">
        <v>195</v>
      </c>
      <c r="F28" s="19" t="s">
        <v>91</v>
      </c>
      <c r="G28" s="282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47</v>
      </c>
      <c r="B29" s="19" t="s">
        <v>57</v>
      </c>
      <c r="C29" s="20" t="s">
        <v>200</v>
      </c>
      <c r="D29" s="19" t="s">
        <v>55</v>
      </c>
      <c r="E29" s="19" t="s">
        <v>205</v>
      </c>
      <c r="F29" s="19" t="s">
        <v>90</v>
      </c>
      <c r="G29" s="282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36</v>
      </c>
      <c r="C30" s="20" t="s">
        <v>194</v>
      </c>
      <c r="D30" s="19" t="s">
        <v>37</v>
      </c>
      <c r="E30" s="19" t="s">
        <v>195</v>
      </c>
      <c r="F30" s="19" t="s">
        <v>44</v>
      </c>
      <c r="G30" s="282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25</v>
      </c>
      <c r="B31" s="19" t="s">
        <v>26</v>
      </c>
      <c r="C31" s="20" t="s">
        <v>192</v>
      </c>
      <c r="D31" s="19" t="s">
        <v>33</v>
      </c>
      <c r="E31" s="19" t="s">
        <v>204</v>
      </c>
      <c r="F31" s="19" t="s">
        <v>34</v>
      </c>
      <c r="G31" s="282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35</v>
      </c>
      <c r="B32" s="19" t="s">
        <v>40</v>
      </c>
      <c r="C32" s="20" t="s">
        <v>198</v>
      </c>
      <c r="D32" s="19" t="s">
        <v>37</v>
      </c>
      <c r="E32" s="19" t="s">
        <v>197</v>
      </c>
      <c r="F32" s="19" t="s">
        <v>93</v>
      </c>
      <c r="G32" s="282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36" t="s">
        <v>63</v>
      </c>
      <c r="B33" s="36" t="s">
        <v>64</v>
      </c>
      <c r="C33" s="37" t="s">
        <v>206</v>
      </c>
      <c r="D33" s="36" t="s">
        <v>65</v>
      </c>
      <c r="E33" s="36" t="s">
        <v>195</v>
      </c>
      <c r="F33" s="36" t="s">
        <v>66</v>
      </c>
      <c r="G33" s="283"/>
      <c r="H33" s="140"/>
      <c r="I33" s="140"/>
      <c r="J33" s="140"/>
      <c r="K33" s="140"/>
      <c r="L33" s="140"/>
      <c r="M33" s="140"/>
      <c r="N33" s="140"/>
      <c r="O33" s="141"/>
      <c r="P33" s="140"/>
      <c r="Q33" s="142"/>
      <c r="R33" s="14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4.4" customHeight="1" x14ac:dyDescent="0.3">
      <c r="A34" s="288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80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2.05" customHeight="1" x14ac:dyDescent="0.3">
      <c r="A35" s="289" t="s">
        <v>5</v>
      </c>
      <c r="B35" s="290"/>
      <c r="C35" s="290"/>
      <c r="D35" s="290"/>
      <c r="E35" s="290"/>
      <c r="F35" s="290"/>
      <c r="G35" s="5">
        <v>45991</v>
      </c>
      <c r="H35" s="286" t="s">
        <v>6</v>
      </c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24" customHeight="1" x14ac:dyDescent="0.3">
      <c r="A36" s="30" t="s">
        <v>7</v>
      </c>
      <c r="B36" s="30" t="s">
        <v>8</v>
      </c>
      <c r="C36" s="31" t="s">
        <v>9</v>
      </c>
      <c r="D36" s="30" t="s">
        <v>10</v>
      </c>
      <c r="E36" s="30" t="s">
        <v>11</v>
      </c>
      <c r="F36" s="30" t="s">
        <v>12</v>
      </c>
      <c r="G36" s="32" t="s">
        <v>13</v>
      </c>
      <c r="H36" s="30" t="s">
        <v>14</v>
      </c>
      <c r="I36" s="33" t="s">
        <v>15</v>
      </c>
      <c r="J36" s="34" t="s">
        <v>16</v>
      </c>
      <c r="K36" s="35" t="s">
        <v>17</v>
      </c>
      <c r="L36" s="34" t="s">
        <v>18</v>
      </c>
      <c r="M36" s="34" t="s">
        <v>19</v>
      </c>
      <c r="N36" s="34" t="s">
        <v>20</v>
      </c>
      <c r="O36" s="30" t="s">
        <v>21</v>
      </c>
      <c r="P36" s="31" t="s">
        <v>22</v>
      </c>
      <c r="Q36" s="34" t="s">
        <v>23</v>
      </c>
      <c r="R36" s="30" t="s">
        <v>24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43" t="s">
        <v>76</v>
      </c>
      <c r="B37" s="143" t="s">
        <v>187</v>
      </c>
      <c r="C37" s="144">
        <v>0.40277777777777768</v>
      </c>
      <c r="D37" s="143" t="s">
        <v>78</v>
      </c>
      <c r="E37" s="143" t="s">
        <v>86</v>
      </c>
      <c r="F37" s="143" t="s">
        <v>80</v>
      </c>
      <c r="G37" s="281"/>
      <c r="H37" s="145" t="s">
        <v>188</v>
      </c>
      <c r="I37" s="146">
        <v>0.96089999999999998</v>
      </c>
      <c r="J37" s="147">
        <v>172</v>
      </c>
      <c r="K37" s="148">
        <v>45986</v>
      </c>
      <c r="L37" s="147">
        <v>5</v>
      </c>
      <c r="M37" s="147">
        <v>0</v>
      </c>
      <c r="N37" s="147">
        <v>3</v>
      </c>
      <c r="O37" s="149" t="s">
        <v>207</v>
      </c>
      <c r="P37" s="150">
        <v>0.40277777777777768</v>
      </c>
      <c r="Q37" s="147">
        <v>179</v>
      </c>
      <c r="R37" s="151" t="s">
        <v>208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8" x14ac:dyDescent="0.3">
      <c r="A38" s="303" t="s">
        <v>191</v>
      </c>
      <c r="B38" s="304"/>
      <c r="C38" s="304"/>
      <c r="D38" s="304"/>
      <c r="E38" s="304"/>
      <c r="F38" s="304"/>
      <c r="G38" s="282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25</v>
      </c>
      <c r="B39" s="19" t="s">
        <v>26</v>
      </c>
      <c r="C39" s="20" t="s">
        <v>192</v>
      </c>
      <c r="D39" s="19" t="s">
        <v>27</v>
      </c>
      <c r="E39" s="19" t="s">
        <v>209</v>
      </c>
      <c r="F39" s="19" t="s">
        <v>110</v>
      </c>
      <c r="G39" s="282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47</v>
      </c>
      <c r="B40" s="19" t="s">
        <v>57</v>
      </c>
      <c r="C40" s="20" t="s">
        <v>200</v>
      </c>
      <c r="D40" s="19" t="s">
        <v>49</v>
      </c>
      <c r="E40" s="19" t="s">
        <v>210</v>
      </c>
      <c r="F40" s="19" t="s">
        <v>114</v>
      </c>
      <c r="G40" s="282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25</v>
      </c>
      <c r="B41" s="19" t="s">
        <v>26</v>
      </c>
      <c r="C41" s="20" t="s">
        <v>192</v>
      </c>
      <c r="D41" s="19" t="s">
        <v>30</v>
      </c>
      <c r="E41" s="19" t="s">
        <v>209</v>
      </c>
      <c r="F41" s="19" t="s">
        <v>112</v>
      </c>
      <c r="G41" s="282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47</v>
      </c>
      <c r="B42" s="19" t="s">
        <v>57</v>
      </c>
      <c r="C42" s="20" t="s">
        <v>200</v>
      </c>
      <c r="D42" s="19" t="s">
        <v>52</v>
      </c>
      <c r="E42" s="19" t="s">
        <v>210</v>
      </c>
      <c r="F42" s="19" t="s">
        <v>116</v>
      </c>
      <c r="G42" s="282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47</v>
      </c>
      <c r="B43" s="19" t="s">
        <v>57</v>
      </c>
      <c r="C43" s="20" t="s">
        <v>200</v>
      </c>
      <c r="D43" s="19" t="s">
        <v>55</v>
      </c>
      <c r="E43" s="19" t="s">
        <v>210</v>
      </c>
      <c r="F43" s="19" t="s">
        <v>117</v>
      </c>
      <c r="G43" s="282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25</v>
      </c>
      <c r="B44" s="19" t="s">
        <v>26</v>
      </c>
      <c r="C44" s="20" t="s">
        <v>192</v>
      </c>
      <c r="D44" s="19" t="s">
        <v>33</v>
      </c>
      <c r="E44" s="19" t="s">
        <v>209</v>
      </c>
      <c r="F44" s="19" t="s">
        <v>34</v>
      </c>
      <c r="G44" s="282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76</v>
      </c>
      <c r="B45" s="19" t="s">
        <v>77</v>
      </c>
      <c r="C45" s="20" t="s">
        <v>211</v>
      </c>
      <c r="D45" s="19" t="s">
        <v>78</v>
      </c>
      <c r="E45" s="19" t="s">
        <v>210</v>
      </c>
      <c r="F45" s="19" t="s">
        <v>118</v>
      </c>
      <c r="G45" s="282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63</v>
      </c>
      <c r="B46" s="19" t="s">
        <v>64</v>
      </c>
      <c r="C46" s="20" t="s">
        <v>206</v>
      </c>
      <c r="D46" s="19" t="s">
        <v>65</v>
      </c>
      <c r="E46" s="19" t="s">
        <v>212</v>
      </c>
      <c r="F46" s="19" t="s">
        <v>66</v>
      </c>
      <c r="G46" s="282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63</v>
      </c>
      <c r="B47" s="19" t="s">
        <v>64</v>
      </c>
      <c r="C47" s="20" t="s">
        <v>206</v>
      </c>
      <c r="D47" s="19" t="s">
        <v>67</v>
      </c>
      <c r="E47" s="19" t="s">
        <v>212</v>
      </c>
      <c r="F47" s="19" t="s">
        <v>69</v>
      </c>
      <c r="G47" s="282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36" t="s">
        <v>63</v>
      </c>
      <c r="B48" s="36" t="s">
        <v>70</v>
      </c>
      <c r="C48" s="37" t="s">
        <v>213</v>
      </c>
      <c r="D48" s="36" t="s">
        <v>65</v>
      </c>
      <c r="E48" s="36" t="s">
        <v>195</v>
      </c>
      <c r="F48" s="36" t="s">
        <v>101</v>
      </c>
      <c r="G48" s="283"/>
      <c r="H48" s="140"/>
      <c r="I48" s="140"/>
      <c r="J48" s="140"/>
      <c r="K48" s="140"/>
      <c r="L48" s="140"/>
      <c r="M48" s="140"/>
      <c r="N48" s="140"/>
      <c r="O48" s="141"/>
      <c r="P48" s="140"/>
      <c r="Q48" s="142"/>
      <c r="R48" s="14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4.4" customHeight="1" x14ac:dyDescent="0.3">
      <c r="A49" s="288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80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</sheetData>
  <mergeCells count="24">
    <mergeCell ref="A8:F8"/>
    <mergeCell ref="G6:G18"/>
    <mergeCell ref="G2:J2"/>
    <mergeCell ref="O1:Q1"/>
    <mergeCell ref="H35:R35"/>
    <mergeCell ref="H20:R20"/>
    <mergeCell ref="H4:R4"/>
    <mergeCell ref="G22:G33"/>
    <mergeCell ref="A49:R49"/>
    <mergeCell ref="A35:F35"/>
    <mergeCell ref="A4:F4"/>
    <mergeCell ref="A20:F20"/>
    <mergeCell ref="J1:M1"/>
    <mergeCell ref="A38:F38"/>
    <mergeCell ref="A19:R19"/>
    <mergeCell ref="K2:R2"/>
    <mergeCell ref="D1:F1"/>
    <mergeCell ref="A34:R34"/>
    <mergeCell ref="G37:G48"/>
    <mergeCell ref="A1:C1"/>
    <mergeCell ref="G1:H1"/>
    <mergeCell ref="A2:F2"/>
    <mergeCell ref="A3:R3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109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188</v>
      </c>
      <c r="D2" s="66">
        <v>0.64583333333333337</v>
      </c>
      <c r="E2" s="65" t="s">
        <v>184</v>
      </c>
      <c r="F2" s="65" t="s">
        <v>153</v>
      </c>
      <c r="G2" s="67">
        <v>0.97770000000000001</v>
      </c>
      <c r="H2" s="68">
        <v>179</v>
      </c>
      <c r="I2" s="68">
        <v>175</v>
      </c>
      <c r="J2" s="68">
        <v>121</v>
      </c>
      <c r="K2" s="64">
        <v>45981</v>
      </c>
      <c r="L2" s="68">
        <v>0</v>
      </c>
      <c r="M2" s="68">
        <v>0</v>
      </c>
      <c r="N2" s="68">
        <v>2</v>
      </c>
      <c r="O2" s="65" t="s">
        <v>189</v>
      </c>
      <c r="P2" s="69"/>
      <c r="Q2" s="69"/>
      <c r="R2" s="69"/>
      <c r="S2" s="69"/>
      <c r="T2" s="69"/>
      <c r="U2" s="69"/>
      <c r="V2" s="68" t="s">
        <v>214</v>
      </c>
      <c r="W2" s="68" t="s">
        <v>215</v>
      </c>
      <c r="X2" s="69"/>
      <c r="Y2" s="68" t="s">
        <v>216</v>
      </c>
      <c r="Z2" s="69"/>
      <c r="AA2" s="68" t="s">
        <v>217</v>
      </c>
      <c r="AB2" s="68" t="s">
        <v>218</v>
      </c>
      <c r="AC2" s="69"/>
      <c r="AD2" s="69"/>
      <c r="AE2" s="69"/>
      <c r="AF2" s="69"/>
      <c r="AG2" s="69"/>
      <c r="AH2" s="68" t="s">
        <v>219</v>
      </c>
      <c r="AI2" s="69"/>
    </row>
    <row r="3" spans="1:35" ht="18" x14ac:dyDescent="0.3">
      <c r="A3" s="70" t="s">
        <v>168</v>
      </c>
      <c r="B3" s="71">
        <v>45991</v>
      </c>
      <c r="C3" s="72" t="s">
        <v>188</v>
      </c>
      <c r="D3" s="73">
        <v>0.40277777777777768</v>
      </c>
      <c r="E3" s="72" t="s">
        <v>184</v>
      </c>
      <c r="F3" s="72" t="s">
        <v>153</v>
      </c>
      <c r="G3" s="74">
        <v>0.96089999999999998</v>
      </c>
      <c r="H3" s="75">
        <v>179</v>
      </c>
      <c r="I3" s="75">
        <v>172</v>
      </c>
      <c r="J3" s="75">
        <v>145</v>
      </c>
      <c r="K3" s="71">
        <v>45986</v>
      </c>
      <c r="L3" s="75">
        <v>0</v>
      </c>
      <c r="M3" s="75">
        <v>3</v>
      </c>
      <c r="N3" s="75">
        <v>5</v>
      </c>
      <c r="O3" s="72" t="s">
        <v>207</v>
      </c>
      <c r="P3" s="76"/>
      <c r="Q3" s="76"/>
      <c r="R3" s="76"/>
      <c r="S3" s="75" t="s">
        <v>220</v>
      </c>
      <c r="T3" s="76"/>
      <c r="U3" s="76"/>
      <c r="V3" s="76"/>
      <c r="W3" s="76"/>
      <c r="X3" s="76"/>
      <c r="Y3" s="75" t="s">
        <v>221</v>
      </c>
      <c r="Z3" s="76"/>
      <c r="AA3" s="76"/>
      <c r="AB3" s="75" t="s">
        <v>222</v>
      </c>
      <c r="AC3" s="76"/>
      <c r="AD3" s="76"/>
      <c r="AE3" s="76"/>
      <c r="AF3" s="75" t="s">
        <v>223</v>
      </c>
      <c r="AG3" s="76"/>
      <c r="AH3" s="75" t="s">
        <v>224</v>
      </c>
      <c r="AI3" s="76"/>
    </row>
    <row r="4" spans="1:35" ht="18" x14ac:dyDescent="0.3">
      <c r="A4" s="77" t="s">
        <v>178</v>
      </c>
      <c r="B4" s="78"/>
      <c r="C4" s="79">
        <f>COUNTA(C2:C3)</f>
        <v>2</v>
      </c>
      <c r="D4" s="78"/>
      <c r="E4" s="78"/>
      <c r="F4" s="78"/>
      <c r="G4" s="80">
        <f>AVERAGE(G2:G3)</f>
        <v>0.96930000000000005</v>
      </c>
      <c r="H4" s="81">
        <f>SUM(H2:H3)</f>
        <v>358</v>
      </c>
      <c r="I4" s="81">
        <f>SUM(I2:I3)</f>
        <v>347</v>
      </c>
      <c r="J4" s="81">
        <f>SUM(J2:J3)</f>
        <v>266</v>
      </c>
      <c r="K4" s="78"/>
      <c r="L4" s="81">
        <f>SUM(L2:L3)</f>
        <v>0</v>
      </c>
      <c r="M4" s="81">
        <f>SUM(M2:M3)</f>
        <v>3</v>
      </c>
      <c r="N4" s="81">
        <f>SUM(N2:N3)</f>
        <v>7</v>
      </c>
      <c r="O4" s="78"/>
      <c r="P4" s="81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1">
        <f t="shared" si="0"/>
        <v>0</v>
      </c>
      <c r="R4" s="81">
        <f t="shared" si="0"/>
        <v>0</v>
      </c>
      <c r="S4" s="81">
        <f t="shared" si="0"/>
        <v>0</v>
      </c>
      <c r="T4" s="81">
        <f t="shared" si="0"/>
        <v>0</v>
      </c>
      <c r="U4" s="81">
        <f t="shared" si="0"/>
        <v>0</v>
      </c>
      <c r="V4" s="81">
        <f t="shared" si="0"/>
        <v>0</v>
      </c>
      <c r="W4" s="81">
        <f t="shared" si="0"/>
        <v>0</v>
      </c>
      <c r="X4" s="81">
        <f t="shared" si="0"/>
        <v>0</v>
      </c>
      <c r="Y4" s="81">
        <f t="shared" si="0"/>
        <v>0</v>
      </c>
      <c r="Z4" s="81">
        <f t="shared" si="0"/>
        <v>0</v>
      </c>
      <c r="AA4" s="81">
        <f t="shared" si="0"/>
        <v>0</v>
      </c>
      <c r="AB4" s="81">
        <f t="shared" si="0"/>
        <v>0</v>
      </c>
      <c r="AC4" s="81">
        <f t="shared" si="0"/>
        <v>0</v>
      </c>
      <c r="AD4" s="81">
        <f t="shared" si="0"/>
        <v>0</v>
      </c>
      <c r="AE4" s="81">
        <f t="shared" si="0"/>
        <v>0</v>
      </c>
      <c r="AF4" s="81">
        <f t="shared" si="0"/>
        <v>0</v>
      </c>
      <c r="AG4" s="81">
        <f t="shared" si="0"/>
        <v>0</v>
      </c>
      <c r="AH4" s="81">
        <f t="shared" si="0"/>
        <v>0</v>
      </c>
      <c r="AI4" s="81">
        <f t="shared" si="0"/>
        <v>0</v>
      </c>
    </row>
  </sheetData>
  <autoFilter ref="A1:AI3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2.109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35</v>
      </c>
      <c r="C2" s="85" t="s">
        <v>185</v>
      </c>
      <c r="D2" s="84" t="s">
        <v>184</v>
      </c>
      <c r="E2" s="86">
        <v>1.520833333333333</v>
      </c>
      <c r="F2" s="84" t="s">
        <v>37</v>
      </c>
      <c r="G2" s="87">
        <v>7</v>
      </c>
      <c r="H2" s="88">
        <v>941</v>
      </c>
    </row>
    <row r="3" spans="1:8" ht="18" x14ac:dyDescent="0.3">
      <c r="A3" s="113">
        <v>45988</v>
      </c>
      <c r="B3" s="114" t="s">
        <v>76</v>
      </c>
      <c r="C3" s="115" t="s">
        <v>187</v>
      </c>
      <c r="D3" s="114" t="s">
        <v>184</v>
      </c>
      <c r="E3" s="116">
        <v>1.645833333333333</v>
      </c>
      <c r="F3" s="114" t="s">
        <v>78</v>
      </c>
      <c r="G3" s="117">
        <v>4</v>
      </c>
      <c r="H3" s="114" t="s">
        <v>118</v>
      </c>
    </row>
    <row r="4" spans="1:8" ht="15.6" x14ac:dyDescent="0.3">
      <c r="A4" s="152"/>
      <c r="B4" s="152"/>
      <c r="C4" s="152"/>
      <c r="D4" s="152"/>
      <c r="E4" s="153" t="s">
        <v>225</v>
      </c>
      <c r="F4" s="152"/>
      <c r="G4" s="152"/>
      <c r="H4" s="3"/>
    </row>
    <row r="5" spans="1:8" ht="18" x14ac:dyDescent="0.3">
      <c r="A5" s="95">
        <v>45988</v>
      </c>
      <c r="B5" s="84" t="s">
        <v>25</v>
      </c>
      <c r="C5" s="85" t="s">
        <v>26</v>
      </c>
      <c r="D5" s="84" t="s">
        <v>1</v>
      </c>
      <c r="E5" s="86">
        <v>1.4201388888888891</v>
      </c>
      <c r="F5" s="84" t="s">
        <v>27</v>
      </c>
      <c r="G5" s="87">
        <v>16</v>
      </c>
      <c r="H5" s="96">
        <v>559</v>
      </c>
    </row>
    <row r="6" spans="1:8" ht="18" x14ac:dyDescent="0.3">
      <c r="A6" s="89">
        <v>45988</v>
      </c>
      <c r="B6" s="90" t="s">
        <v>25</v>
      </c>
      <c r="C6" s="91" t="s">
        <v>26</v>
      </c>
      <c r="D6" s="90" t="s">
        <v>1</v>
      </c>
      <c r="E6" s="92">
        <v>1.4201388888888891</v>
      </c>
      <c r="F6" s="90" t="s">
        <v>30</v>
      </c>
      <c r="G6" s="93">
        <v>16</v>
      </c>
      <c r="H6" s="94">
        <v>709</v>
      </c>
    </row>
    <row r="7" spans="1:8" ht="18" x14ac:dyDescent="0.3">
      <c r="A7" s="89">
        <v>45988</v>
      </c>
      <c r="B7" s="90" t="s">
        <v>25</v>
      </c>
      <c r="C7" s="91" t="s">
        <v>26</v>
      </c>
      <c r="D7" s="90" t="s">
        <v>1</v>
      </c>
      <c r="E7" s="92">
        <v>1.4201388888888891</v>
      </c>
      <c r="F7" s="90" t="s">
        <v>33</v>
      </c>
      <c r="G7" s="93">
        <v>16</v>
      </c>
      <c r="H7" s="90" t="s">
        <v>34</v>
      </c>
    </row>
    <row r="8" spans="1:8" ht="18" x14ac:dyDescent="0.3">
      <c r="A8" s="95">
        <v>45988</v>
      </c>
      <c r="B8" s="84" t="s">
        <v>35</v>
      </c>
      <c r="C8" s="85" t="s">
        <v>36</v>
      </c>
      <c r="D8" s="84" t="s">
        <v>1</v>
      </c>
      <c r="E8" s="86">
        <v>1.2222222222222221</v>
      </c>
      <c r="F8" s="84" t="s">
        <v>37</v>
      </c>
      <c r="G8" s="87">
        <v>9</v>
      </c>
      <c r="H8" s="96">
        <v>623</v>
      </c>
    </row>
    <row r="9" spans="1:8" ht="18" x14ac:dyDescent="0.3">
      <c r="A9" s="97">
        <v>45988</v>
      </c>
      <c r="B9" s="98" t="s">
        <v>35</v>
      </c>
      <c r="C9" s="99" t="s">
        <v>40</v>
      </c>
      <c r="D9" s="98" t="s">
        <v>1</v>
      </c>
      <c r="E9" s="100">
        <v>1.493055555555556</v>
      </c>
      <c r="F9" s="98" t="s">
        <v>37</v>
      </c>
      <c r="G9" s="101">
        <v>9</v>
      </c>
      <c r="H9" s="102">
        <v>757</v>
      </c>
    </row>
    <row r="10" spans="1:8" ht="18" x14ac:dyDescent="0.3">
      <c r="A10" s="97">
        <v>45988</v>
      </c>
      <c r="B10" s="98" t="s">
        <v>35</v>
      </c>
      <c r="C10" s="99" t="s">
        <v>43</v>
      </c>
      <c r="D10" s="98" t="s">
        <v>1</v>
      </c>
      <c r="E10" s="100">
        <v>1.1076388888888891</v>
      </c>
      <c r="F10" s="98" t="s">
        <v>37</v>
      </c>
      <c r="G10" s="101">
        <v>9</v>
      </c>
      <c r="H10" s="102">
        <v>962</v>
      </c>
    </row>
    <row r="11" spans="1:8" ht="18" x14ac:dyDescent="0.3">
      <c r="A11" s="95">
        <v>45988</v>
      </c>
      <c r="B11" s="84" t="s">
        <v>47</v>
      </c>
      <c r="C11" s="85" t="s">
        <v>48</v>
      </c>
      <c r="D11" s="84" t="s">
        <v>1</v>
      </c>
      <c r="E11" s="86">
        <v>1.354166666666667</v>
      </c>
      <c r="F11" s="84" t="s">
        <v>49</v>
      </c>
      <c r="G11" s="87">
        <v>1</v>
      </c>
      <c r="H11" s="96">
        <v>639</v>
      </c>
    </row>
    <row r="12" spans="1:8" ht="18" x14ac:dyDescent="0.3">
      <c r="A12" s="89">
        <v>45988</v>
      </c>
      <c r="B12" s="90" t="s">
        <v>47</v>
      </c>
      <c r="C12" s="91" t="s">
        <v>48</v>
      </c>
      <c r="D12" s="90" t="s">
        <v>1</v>
      </c>
      <c r="E12" s="92">
        <v>1.354166666666667</v>
      </c>
      <c r="F12" s="90" t="s">
        <v>52</v>
      </c>
      <c r="G12" s="93">
        <v>1</v>
      </c>
      <c r="H12" s="94">
        <v>739</v>
      </c>
    </row>
    <row r="13" spans="1:8" ht="18" x14ac:dyDescent="0.3">
      <c r="A13" s="89">
        <v>45988</v>
      </c>
      <c r="B13" s="90" t="s">
        <v>47</v>
      </c>
      <c r="C13" s="91" t="s">
        <v>48</v>
      </c>
      <c r="D13" s="90" t="s">
        <v>1</v>
      </c>
      <c r="E13" s="92">
        <v>1.354166666666667</v>
      </c>
      <c r="F13" s="90" t="s">
        <v>55</v>
      </c>
      <c r="G13" s="93">
        <v>1</v>
      </c>
      <c r="H13" s="94">
        <v>829</v>
      </c>
    </row>
    <row r="14" spans="1:8" ht="18" x14ac:dyDescent="0.3">
      <c r="A14" s="108">
        <v>45988</v>
      </c>
      <c r="B14" s="109" t="s">
        <v>47</v>
      </c>
      <c r="C14" s="110" t="s">
        <v>57</v>
      </c>
      <c r="D14" s="109" t="s">
        <v>1</v>
      </c>
      <c r="E14" s="111">
        <v>1.756944444444444</v>
      </c>
      <c r="F14" s="109" t="s">
        <v>49</v>
      </c>
      <c r="G14" s="112">
        <v>4</v>
      </c>
      <c r="H14" s="109" t="s">
        <v>59</v>
      </c>
    </row>
    <row r="15" spans="1:8" ht="18" x14ac:dyDescent="0.3">
      <c r="A15" s="83">
        <v>45989</v>
      </c>
      <c r="B15" s="84" t="s">
        <v>35</v>
      </c>
      <c r="C15" s="85" t="s">
        <v>185</v>
      </c>
      <c r="D15" s="84" t="s">
        <v>184</v>
      </c>
      <c r="E15" s="86">
        <v>1.520833333333333</v>
      </c>
      <c r="F15" s="84" t="s">
        <v>37</v>
      </c>
      <c r="G15" s="87">
        <v>3</v>
      </c>
      <c r="H15" s="154" t="s">
        <v>203</v>
      </c>
    </row>
    <row r="16" spans="1:8" ht="15.6" x14ac:dyDescent="0.3">
      <c r="A16" s="152"/>
      <c r="B16" s="152"/>
      <c r="C16" s="152"/>
      <c r="D16" s="152"/>
      <c r="E16" s="153" t="s">
        <v>225</v>
      </c>
      <c r="F16" s="152"/>
      <c r="G16" s="152"/>
      <c r="H16" s="3"/>
    </row>
    <row r="17" spans="1:8" ht="18" x14ac:dyDescent="0.3">
      <c r="A17" s="95">
        <v>45989</v>
      </c>
      <c r="B17" s="84" t="s">
        <v>25</v>
      </c>
      <c r="C17" s="85" t="s">
        <v>26</v>
      </c>
      <c r="D17" s="84" t="s">
        <v>1</v>
      </c>
      <c r="E17" s="86">
        <v>1.4201388888888891</v>
      </c>
      <c r="F17" s="84" t="s">
        <v>27</v>
      </c>
      <c r="G17" s="87">
        <v>20</v>
      </c>
      <c r="H17" s="96">
        <v>559</v>
      </c>
    </row>
    <row r="18" spans="1:8" ht="18" x14ac:dyDescent="0.3">
      <c r="A18" s="89">
        <v>45989</v>
      </c>
      <c r="B18" s="90" t="s">
        <v>25</v>
      </c>
      <c r="C18" s="91" t="s">
        <v>26</v>
      </c>
      <c r="D18" s="90" t="s">
        <v>1</v>
      </c>
      <c r="E18" s="92">
        <v>1.4201388888888891</v>
      </c>
      <c r="F18" s="90" t="s">
        <v>30</v>
      </c>
      <c r="G18" s="93">
        <v>20</v>
      </c>
      <c r="H18" s="94">
        <v>709</v>
      </c>
    </row>
    <row r="19" spans="1:8" ht="18" x14ac:dyDescent="0.3">
      <c r="A19" s="89">
        <v>45989</v>
      </c>
      <c r="B19" s="90" t="s">
        <v>25</v>
      </c>
      <c r="C19" s="91" t="s">
        <v>26</v>
      </c>
      <c r="D19" s="90" t="s">
        <v>1</v>
      </c>
      <c r="E19" s="92">
        <v>1.4201388888888891</v>
      </c>
      <c r="F19" s="90" t="s">
        <v>33</v>
      </c>
      <c r="G19" s="93">
        <v>20</v>
      </c>
      <c r="H19" s="90" t="s">
        <v>34</v>
      </c>
    </row>
    <row r="20" spans="1:8" ht="18" x14ac:dyDescent="0.3">
      <c r="A20" s="95">
        <v>45989</v>
      </c>
      <c r="B20" s="84" t="s">
        <v>47</v>
      </c>
      <c r="C20" s="85" t="s">
        <v>57</v>
      </c>
      <c r="D20" s="84" t="s">
        <v>1</v>
      </c>
      <c r="E20" s="86">
        <v>1.756944444444444</v>
      </c>
      <c r="F20" s="84" t="s">
        <v>49</v>
      </c>
      <c r="G20" s="87">
        <v>7</v>
      </c>
      <c r="H20" s="96">
        <v>749</v>
      </c>
    </row>
    <row r="21" spans="1:8" ht="18" x14ac:dyDescent="0.3">
      <c r="A21" s="89">
        <v>45989</v>
      </c>
      <c r="B21" s="90" t="s">
        <v>47</v>
      </c>
      <c r="C21" s="91" t="s">
        <v>57</v>
      </c>
      <c r="D21" s="90" t="s">
        <v>1</v>
      </c>
      <c r="E21" s="92">
        <v>1.756944444444444</v>
      </c>
      <c r="F21" s="90" t="s">
        <v>52</v>
      </c>
      <c r="G21" s="93">
        <v>7</v>
      </c>
      <c r="H21" s="94">
        <v>849</v>
      </c>
    </row>
    <row r="22" spans="1:8" ht="18" x14ac:dyDescent="0.3">
      <c r="A22" s="89">
        <v>45989</v>
      </c>
      <c r="B22" s="90" t="s">
        <v>47</v>
      </c>
      <c r="C22" s="91" t="s">
        <v>57</v>
      </c>
      <c r="D22" s="90" t="s">
        <v>1</v>
      </c>
      <c r="E22" s="92">
        <v>1.756944444444444</v>
      </c>
      <c r="F22" s="90" t="s">
        <v>55</v>
      </c>
      <c r="G22" s="93">
        <v>7</v>
      </c>
      <c r="H22" s="94">
        <v>939</v>
      </c>
    </row>
    <row r="23" spans="1:8" ht="18" x14ac:dyDescent="0.3">
      <c r="A23" s="95">
        <v>45989</v>
      </c>
      <c r="B23" s="84" t="s">
        <v>35</v>
      </c>
      <c r="C23" s="85" t="s">
        <v>43</v>
      </c>
      <c r="D23" s="84" t="s">
        <v>1</v>
      </c>
      <c r="E23" s="86">
        <v>1.1076388888888891</v>
      </c>
      <c r="F23" s="84" t="s">
        <v>37</v>
      </c>
      <c r="G23" s="87">
        <v>9</v>
      </c>
      <c r="H23" s="96">
        <v>866</v>
      </c>
    </row>
    <row r="24" spans="1:8" ht="18" x14ac:dyDescent="0.3">
      <c r="A24" s="97">
        <v>45989</v>
      </c>
      <c r="B24" s="98" t="s">
        <v>35</v>
      </c>
      <c r="C24" s="99" t="s">
        <v>36</v>
      </c>
      <c r="D24" s="98" t="s">
        <v>1</v>
      </c>
      <c r="E24" s="100">
        <v>1.2222222222222221</v>
      </c>
      <c r="F24" s="98" t="s">
        <v>37</v>
      </c>
      <c r="G24" s="101">
        <v>9</v>
      </c>
      <c r="H24" s="102">
        <v>962</v>
      </c>
    </row>
    <row r="25" spans="1:8" ht="18" x14ac:dyDescent="0.3">
      <c r="A25" s="97">
        <v>45989</v>
      </c>
      <c r="B25" s="98" t="s">
        <v>35</v>
      </c>
      <c r="C25" s="99" t="s">
        <v>40</v>
      </c>
      <c r="D25" s="98" t="s">
        <v>1</v>
      </c>
      <c r="E25" s="100">
        <v>1.493055555555556</v>
      </c>
      <c r="F25" s="98" t="s">
        <v>37</v>
      </c>
      <c r="G25" s="101">
        <v>1</v>
      </c>
      <c r="H25" s="98" t="s">
        <v>93</v>
      </c>
    </row>
    <row r="26" spans="1:8" ht="18" x14ac:dyDescent="0.3">
      <c r="A26" s="155">
        <v>45989</v>
      </c>
      <c r="B26" s="156" t="s">
        <v>63</v>
      </c>
      <c r="C26" s="157" t="s">
        <v>64</v>
      </c>
      <c r="D26" s="156" t="s">
        <v>1</v>
      </c>
      <c r="E26" s="158">
        <v>1.604166666666667</v>
      </c>
      <c r="F26" s="156" t="s">
        <v>65</v>
      </c>
      <c r="G26" s="159">
        <v>9</v>
      </c>
      <c r="H26" s="156" t="s">
        <v>66</v>
      </c>
    </row>
    <row r="27" spans="1:8" ht="15.6" x14ac:dyDescent="0.3">
      <c r="A27" s="152"/>
      <c r="B27" s="152"/>
      <c r="C27" s="152"/>
      <c r="D27" s="152"/>
      <c r="E27" s="153" t="s">
        <v>225</v>
      </c>
      <c r="F27" s="152"/>
      <c r="G27" s="152"/>
      <c r="H27" s="3"/>
    </row>
    <row r="28" spans="1:8" ht="18" x14ac:dyDescent="0.3">
      <c r="A28" s="83">
        <v>45990</v>
      </c>
      <c r="B28" s="84" t="s">
        <v>25</v>
      </c>
      <c r="C28" s="85" t="s">
        <v>26</v>
      </c>
      <c r="D28" s="84" t="s">
        <v>1</v>
      </c>
      <c r="E28" s="86">
        <v>1.4201388888888891</v>
      </c>
      <c r="F28" s="84" t="s">
        <v>27</v>
      </c>
      <c r="G28" s="87">
        <v>13</v>
      </c>
      <c r="H28" s="88">
        <v>619</v>
      </c>
    </row>
    <row r="29" spans="1:8" ht="18" x14ac:dyDescent="0.3">
      <c r="A29" s="89">
        <v>45990</v>
      </c>
      <c r="B29" s="90" t="s">
        <v>25</v>
      </c>
      <c r="C29" s="91" t="s">
        <v>26</v>
      </c>
      <c r="D29" s="90" t="s">
        <v>1</v>
      </c>
      <c r="E29" s="92">
        <v>1.4201388888888891</v>
      </c>
      <c r="F29" s="90" t="s">
        <v>30</v>
      </c>
      <c r="G29" s="93">
        <v>13</v>
      </c>
      <c r="H29" s="94">
        <v>769</v>
      </c>
    </row>
    <row r="30" spans="1:8" ht="18" x14ac:dyDescent="0.3">
      <c r="A30" s="89">
        <v>45990</v>
      </c>
      <c r="B30" s="90" t="s">
        <v>25</v>
      </c>
      <c r="C30" s="91" t="s">
        <v>26</v>
      </c>
      <c r="D30" s="90" t="s">
        <v>1</v>
      </c>
      <c r="E30" s="92">
        <v>1.4201388888888891</v>
      </c>
      <c r="F30" s="90" t="s">
        <v>33</v>
      </c>
      <c r="G30" s="93">
        <v>13</v>
      </c>
      <c r="H30" s="90" t="s">
        <v>34</v>
      </c>
    </row>
    <row r="31" spans="1:8" ht="18" x14ac:dyDescent="0.3">
      <c r="A31" s="95">
        <v>45990</v>
      </c>
      <c r="B31" s="84" t="s">
        <v>47</v>
      </c>
      <c r="C31" s="85" t="s">
        <v>48</v>
      </c>
      <c r="D31" s="84" t="s">
        <v>1</v>
      </c>
      <c r="E31" s="86">
        <v>1.354166666666667</v>
      </c>
      <c r="F31" s="84" t="s">
        <v>49</v>
      </c>
      <c r="G31" s="87">
        <v>4</v>
      </c>
      <c r="H31" s="96">
        <v>639</v>
      </c>
    </row>
    <row r="32" spans="1:8" ht="18" x14ac:dyDescent="0.3">
      <c r="A32" s="89">
        <v>45990</v>
      </c>
      <c r="B32" s="90" t="s">
        <v>47</v>
      </c>
      <c r="C32" s="91" t="s">
        <v>48</v>
      </c>
      <c r="D32" s="90" t="s">
        <v>1</v>
      </c>
      <c r="E32" s="92">
        <v>1.354166666666667</v>
      </c>
      <c r="F32" s="90" t="s">
        <v>52</v>
      </c>
      <c r="G32" s="93">
        <v>4</v>
      </c>
      <c r="H32" s="94">
        <v>739</v>
      </c>
    </row>
    <row r="33" spans="1:8" ht="18" x14ac:dyDescent="0.3">
      <c r="A33" s="89">
        <v>45990</v>
      </c>
      <c r="B33" s="90" t="s">
        <v>47</v>
      </c>
      <c r="C33" s="91" t="s">
        <v>48</v>
      </c>
      <c r="D33" s="90" t="s">
        <v>1</v>
      </c>
      <c r="E33" s="92">
        <v>1.354166666666667</v>
      </c>
      <c r="F33" s="90" t="s">
        <v>55</v>
      </c>
      <c r="G33" s="93">
        <v>4</v>
      </c>
      <c r="H33" s="94">
        <v>829</v>
      </c>
    </row>
    <row r="34" spans="1:8" ht="18" x14ac:dyDescent="0.3">
      <c r="A34" s="97">
        <v>45990</v>
      </c>
      <c r="B34" s="98" t="s">
        <v>47</v>
      </c>
      <c r="C34" s="99" t="s">
        <v>57</v>
      </c>
      <c r="D34" s="98" t="s">
        <v>1</v>
      </c>
      <c r="E34" s="100">
        <v>1.756944444444444</v>
      </c>
      <c r="F34" s="98" t="s">
        <v>49</v>
      </c>
      <c r="G34" s="101">
        <v>4</v>
      </c>
      <c r="H34" s="98" t="s">
        <v>98</v>
      </c>
    </row>
    <row r="35" spans="1:8" ht="18" x14ac:dyDescent="0.3">
      <c r="A35" s="89">
        <v>45990</v>
      </c>
      <c r="B35" s="90" t="s">
        <v>47</v>
      </c>
      <c r="C35" s="91" t="s">
        <v>57</v>
      </c>
      <c r="D35" s="90" t="s">
        <v>1</v>
      </c>
      <c r="E35" s="92">
        <v>1.756944444444444</v>
      </c>
      <c r="F35" s="90" t="s">
        <v>52</v>
      </c>
      <c r="G35" s="93">
        <v>4</v>
      </c>
      <c r="H35" s="90" t="s">
        <v>99</v>
      </c>
    </row>
    <row r="36" spans="1:8" ht="18" x14ac:dyDescent="0.3">
      <c r="A36" s="89">
        <v>45990</v>
      </c>
      <c r="B36" s="90" t="s">
        <v>47</v>
      </c>
      <c r="C36" s="91" t="s">
        <v>57</v>
      </c>
      <c r="D36" s="90" t="s">
        <v>1</v>
      </c>
      <c r="E36" s="92">
        <v>1.756944444444444</v>
      </c>
      <c r="F36" s="90" t="s">
        <v>55</v>
      </c>
      <c r="G36" s="93">
        <v>4</v>
      </c>
      <c r="H36" s="90" t="s">
        <v>100</v>
      </c>
    </row>
    <row r="37" spans="1:8" ht="18" x14ac:dyDescent="0.3">
      <c r="A37" s="155">
        <v>45990</v>
      </c>
      <c r="B37" s="156" t="s">
        <v>63</v>
      </c>
      <c r="C37" s="157" t="s">
        <v>74</v>
      </c>
      <c r="D37" s="156" t="s">
        <v>1</v>
      </c>
      <c r="E37" s="158">
        <v>1.4201388888888891</v>
      </c>
      <c r="F37" s="156" t="s">
        <v>67</v>
      </c>
      <c r="G37" s="159">
        <v>4</v>
      </c>
      <c r="H37" s="156" t="s">
        <v>75</v>
      </c>
    </row>
    <row r="38" spans="1:8" ht="18" x14ac:dyDescent="0.3">
      <c r="A38" s="160">
        <v>45991</v>
      </c>
      <c r="B38" s="114" t="s">
        <v>76</v>
      </c>
      <c r="C38" s="115" t="s">
        <v>187</v>
      </c>
      <c r="D38" s="114" t="s">
        <v>184</v>
      </c>
      <c r="E38" s="116">
        <v>1.4027777777777779</v>
      </c>
      <c r="F38" s="114" t="s">
        <v>78</v>
      </c>
      <c r="G38" s="117">
        <v>7</v>
      </c>
      <c r="H38" s="161" t="s">
        <v>80</v>
      </c>
    </row>
    <row r="39" spans="1:8" ht="15.6" x14ac:dyDescent="0.3">
      <c r="A39" s="152"/>
      <c r="B39" s="152"/>
      <c r="C39" s="152"/>
      <c r="D39" s="152"/>
      <c r="E39" s="153" t="s">
        <v>225</v>
      </c>
      <c r="F39" s="152"/>
      <c r="G39" s="152"/>
      <c r="H39" s="3"/>
    </row>
    <row r="40" spans="1:8" ht="18" x14ac:dyDescent="0.3">
      <c r="A40" s="95">
        <v>45991</v>
      </c>
      <c r="B40" s="84" t="s">
        <v>25</v>
      </c>
      <c r="C40" s="85" t="s">
        <v>26</v>
      </c>
      <c r="D40" s="84" t="s">
        <v>1</v>
      </c>
      <c r="E40" s="86">
        <v>1.4201388888888891</v>
      </c>
      <c r="F40" s="84" t="s">
        <v>27</v>
      </c>
      <c r="G40" s="87">
        <v>9</v>
      </c>
      <c r="H40" s="96">
        <v>799</v>
      </c>
    </row>
    <row r="41" spans="1:8" ht="18" x14ac:dyDescent="0.3">
      <c r="A41" s="89">
        <v>45991</v>
      </c>
      <c r="B41" s="90" t="s">
        <v>25</v>
      </c>
      <c r="C41" s="91" t="s">
        <v>26</v>
      </c>
      <c r="D41" s="90" t="s">
        <v>1</v>
      </c>
      <c r="E41" s="92">
        <v>1.4201388888888891</v>
      </c>
      <c r="F41" s="90" t="s">
        <v>30</v>
      </c>
      <c r="G41" s="93">
        <v>9</v>
      </c>
      <c r="H41" s="94">
        <v>949</v>
      </c>
    </row>
    <row r="42" spans="1:8" ht="18" x14ac:dyDescent="0.3">
      <c r="A42" s="89">
        <v>45991</v>
      </c>
      <c r="B42" s="90" t="s">
        <v>25</v>
      </c>
      <c r="C42" s="91" t="s">
        <v>26</v>
      </c>
      <c r="D42" s="90" t="s">
        <v>1</v>
      </c>
      <c r="E42" s="92">
        <v>1.4201388888888891</v>
      </c>
      <c r="F42" s="90" t="s">
        <v>33</v>
      </c>
      <c r="G42" s="93">
        <v>9</v>
      </c>
      <c r="H42" s="90" t="s">
        <v>34</v>
      </c>
    </row>
    <row r="43" spans="1:8" ht="18" x14ac:dyDescent="0.3">
      <c r="A43" s="95">
        <v>45991</v>
      </c>
      <c r="B43" s="84" t="s">
        <v>47</v>
      </c>
      <c r="C43" s="85" t="s">
        <v>57</v>
      </c>
      <c r="D43" s="84" t="s">
        <v>1</v>
      </c>
      <c r="E43" s="86">
        <v>1.756944444444444</v>
      </c>
      <c r="F43" s="84" t="s">
        <v>49</v>
      </c>
      <c r="G43" s="87">
        <v>5</v>
      </c>
      <c r="H43" s="96">
        <v>889</v>
      </c>
    </row>
    <row r="44" spans="1:8" ht="18" x14ac:dyDescent="0.3">
      <c r="A44" s="89">
        <v>45991</v>
      </c>
      <c r="B44" s="90" t="s">
        <v>47</v>
      </c>
      <c r="C44" s="91" t="s">
        <v>57</v>
      </c>
      <c r="D44" s="90" t="s">
        <v>1</v>
      </c>
      <c r="E44" s="92">
        <v>1.756944444444444</v>
      </c>
      <c r="F44" s="90" t="s">
        <v>52</v>
      </c>
      <c r="G44" s="93">
        <v>5</v>
      </c>
      <c r="H44" s="94">
        <v>989</v>
      </c>
    </row>
    <row r="45" spans="1:8" ht="18" x14ac:dyDescent="0.3">
      <c r="A45" s="89">
        <v>45991</v>
      </c>
      <c r="B45" s="90" t="s">
        <v>47</v>
      </c>
      <c r="C45" s="91" t="s">
        <v>57</v>
      </c>
      <c r="D45" s="90" t="s">
        <v>1</v>
      </c>
      <c r="E45" s="92">
        <v>1.756944444444444</v>
      </c>
      <c r="F45" s="90" t="s">
        <v>55</v>
      </c>
      <c r="G45" s="93">
        <v>5</v>
      </c>
      <c r="H45" s="90" t="s">
        <v>117</v>
      </c>
    </row>
    <row r="46" spans="1:8" ht="18" x14ac:dyDescent="0.3">
      <c r="A46" s="113">
        <v>45991</v>
      </c>
      <c r="B46" s="114" t="s">
        <v>76</v>
      </c>
      <c r="C46" s="115" t="s">
        <v>77</v>
      </c>
      <c r="D46" s="114" t="s">
        <v>1</v>
      </c>
      <c r="E46" s="116">
        <v>1.9027777777777779</v>
      </c>
      <c r="F46" s="114" t="s">
        <v>78</v>
      </c>
      <c r="G46" s="117">
        <v>5</v>
      </c>
      <c r="H46" s="114" t="s">
        <v>118</v>
      </c>
    </row>
    <row r="47" spans="1:8" ht="18" x14ac:dyDescent="0.3">
      <c r="A47" s="95">
        <v>45991</v>
      </c>
      <c r="B47" s="84" t="s">
        <v>63</v>
      </c>
      <c r="C47" s="85" t="s">
        <v>64</v>
      </c>
      <c r="D47" s="84" t="s">
        <v>1</v>
      </c>
      <c r="E47" s="86">
        <v>1.604166666666667</v>
      </c>
      <c r="F47" s="84" t="s">
        <v>65</v>
      </c>
      <c r="G47" s="87">
        <v>8</v>
      </c>
      <c r="H47" s="84" t="s">
        <v>66</v>
      </c>
    </row>
    <row r="48" spans="1:8" ht="18" x14ac:dyDescent="0.3">
      <c r="A48" s="89">
        <v>45991</v>
      </c>
      <c r="B48" s="90" t="s">
        <v>63</v>
      </c>
      <c r="C48" s="91" t="s">
        <v>64</v>
      </c>
      <c r="D48" s="90" t="s">
        <v>1</v>
      </c>
      <c r="E48" s="92">
        <v>1.604166666666667</v>
      </c>
      <c r="F48" s="90" t="s">
        <v>67</v>
      </c>
      <c r="G48" s="93">
        <v>8</v>
      </c>
      <c r="H48" s="90" t="s">
        <v>69</v>
      </c>
    </row>
    <row r="49" spans="1:8" ht="18" x14ac:dyDescent="0.3">
      <c r="A49" s="108">
        <v>45991</v>
      </c>
      <c r="B49" s="109" t="s">
        <v>63</v>
      </c>
      <c r="C49" s="110" t="s">
        <v>70</v>
      </c>
      <c r="D49" s="109" t="s">
        <v>1</v>
      </c>
      <c r="E49" s="111">
        <v>1.7951388888888891</v>
      </c>
      <c r="F49" s="109" t="s">
        <v>65</v>
      </c>
      <c r="G49" s="112">
        <v>9</v>
      </c>
      <c r="H49" s="109" t="s">
        <v>101</v>
      </c>
    </row>
  </sheetData>
  <dataValidations count="3">
    <dataValidation type="custom" allowBlank="1" showInputMessage="1" promptTitle="LOAD FACTOR ANALYSIS" prompt="SM-486_x000d__x000a_LF 97.8%_x000d__x000a_SOLD 175_x000d__x000a_LST-SOLD 20NOV_x000d__x000a_WEEKLY 2_x000d__x000a_TO-DAY NIL_x000d__x000a_Y-DAY NIL_x000d__x000a_LOWEST AVAIL M4_x000d__x000a_CAPACITY 179_x000d__x000a_CLASSES V1 &amp; L6 &amp; S29 &amp; +3 more" sqref="A3 B3 C3 D3 E3 F3 G3 H3" xr:uid="{00000000-0002-0000-0600-000000000000}">
      <formula1>TRUE</formula1>
    </dataValidation>
    <dataValidation type="custom" allowBlank="1" showInputMessage="1" promptTitle="LOAD FACTOR ANALYSIS" prompt="SM-486_x000d__x000a_LF 96.1%_x000d__x000a_SOLD 172_x000d__x000a_LST-SOLD 25NOV_x000d__x000a_WEEKLY 5_x000d__x000a_TO-DAY NIL_x000d__x000a_Y-DAY 3_x000d__x000a_LOWEST AVAIL B7_x000d__x000a_CAPACITY 179_x000d__x000a_CLASSES H3 &amp; S14 &amp; X9 &amp; +2 more" sqref="A38 B38 C38 D38 E38 F38 G38 H38" xr:uid="{00000000-0002-0000-0600-000001000000}">
      <formula1>TRUE</formula1>
    </dataValidation>
    <dataValidation type="custom" allowBlank="1" showInputMessage="1" promptTitle="LOAD FACTOR ANALYSIS" prompt="SM-494_x000d__x000a_LF -_x000d__x000a_SOLD -_x000d__x000a_LST-SOLD -_x000d__x000a_WEEKLY -_x000d__x000a_TO-DAY -_x000d__x000a_Y-DAY -_x000d__x000a_LOWEST AVAIL -_x000d__x000a_CAPACITY -_x000d__x000a_CLASSES -" sqref="A46 B46 C46 D46 E46 F46 G46 H46" xr:uid="{00000000-0002-0000-06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226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45987.35913605176</v>
      </c>
      <c r="H2" s="294"/>
      <c r="I2" s="294"/>
      <c r="J2" s="294"/>
      <c r="K2" s="301">
        <v>45987.359136052219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45990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53" t="s">
        <v>76</v>
      </c>
      <c r="B6" s="53" t="s">
        <v>227</v>
      </c>
      <c r="C6" s="54">
        <v>0.95486111111111116</v>
      </c>
      <c r="D6" s="53" t="s">
        <v>78</v>
      </c>
      <c r="E6" s="53" t="s">
        <v>113</v>
      </c>
      <c r="F6" s="53" t="s">
        <v>228</v>
      </c>
      <c r="G6" s="281"/>
      <c r="H6" s="55" t="s">
        <v>229</v>
      </c>
      <c r="I6" s="162">
        <v>0.61309999999999998</v>
      </c>
      <c r="J6" s="57">
        <v>103</v>
      </c>
      <c r="K6" s="58">
        <v>45986</v>
      </c>
      <c r="L6" s="57">
        <v>32</v>
      </c>
      <c r="M6" s="57">
        <v>0</v>
      </c>
      <c r="N6" s="57">
        <v>3</v>
      </c>
      <c r="O6" s="59" t="s">
        <v>230</v>
      </c>
      <c r="P6" s="60">
        <v>0.95486111111111116</v>
      </c>
      <c r="Q6" s="57">
        <v>168</v>
      </c>
      <c r="R6" s="61" t="s">
        <v>231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191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26</v>
      </c>
      <c r="C8" s="20" t="s">
        <v>192</v>
      </c>
      <c r="D8" s="19" t="s">
        <v>27</v>
      </c>
      <c r="E8" s="19" t="s">
        <v>232</v>
      </c>
      <c r="F8" s="19" t="s">
        <v>95</v>
      </c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47</v>
      </c>
      <c r="B9" s="19" t="s">
        <v>48</v>
      </c>
      <c r="C9" s="20" t="s">
        <v>196</v>
      </c>
      <c r="D9" s="19" t="s">
        <v>49</v>
      </c>
      <c r="E9" s="19" t="s">
        <v>201</v>
      </c>
      <c r="F9" s="19" t="s">
        <v>51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47</v>
      </c>
      <c r="B10" s="19" t="s">
        <v>48</v>
      </c>
      <c r="C10" s="20" t="s">
        <v>196</v>
      </c>
      <c r="D10" s="19" t="s">
        <v>52</v>
      </c>
      <c r="E10" s="19" t="s">
        <v>201</v>
      </c>
      <c r="F10" s="19" t="s">
        <v>54</v>
      </c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26</v>
      </c>
      <c r="C11" s="20" t="s">
        <v>192</v>
      </c>
      <c r="D11" s="19" t="s">
        <v>30</v>
      </c>
      <c r="E11" s="19" t="s">
        <v>232</v>
      </c>
      <c r="F11" s="19" t="s">
        <v>97</v>
      </c>
      <c r="G11" s="282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47</v>
      </c>
      <c r="B12" s="19" t="s">
        <v>48</v>
      </c>
      <c r="C12" s="20" t="s">
        <v>196</v>
      </c>
      <c r="D12" s="19" t="s">
        <v>55</v>
      </c>
      <c r="E12" s="19" t="s">
        <v>201</v>
      </c>
      <c r="F12" s="19" t="s">
        <v>56</v>
      </c>
      <c r="G12" s="282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47</v>
      </c>
      <c r="B13" s="19" t="s">
        <v>57</v>
      </c>
      <c r="C13" s="20" t="s">
        <v>200</v>
      </c>
      <c r="D13" s="19" t="s">
        <v>49</v>
      </c>
      <c r="E13" s="19" t="s">
        <v>201</v>
      </c>
      <c r="F13" s="19" t="s">
        <v>98</v>
      </c>
      <c r="G13" s="282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25</v>
      </c>
      <c r="B14" s="19" t="s">
        <v>26</v>
      </c>
      <c r="C14" s="20" t="s">
        <v>192</v>
      </c>
      <c r="D14" s="19" t="s">
        <v>33</v>
      </c>
      <c r="E14" s="19" t="s">
        <v>232</v>
      </c>
      <c r="F14" s="19" t="s">
        <v>34</v>
      </c>
      <c r="G14" s="282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47</v>
      </c>
      <c r="B15" s="19" t="s">
        <v>57</v>
      </c>
      <c r="C15" s="20" t="s">
        <v>200</v>
      </c>
      <c r="D15" s="19" t="s">
        <v>52</v>
      </c>
      <c r="E15" s="19" t="s">
        <v>201</v>
      </c>
      <c r="F15" s="19" t="s">
        <v>99</v>
      </c>
      <c r="G15" s="282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47</v>
      </c>
      <c r="B16" s="19" t="s">
        <v>57</v>
      </c>
      <c r="C16" s="20" t="s">
        <v>200</v>
      </c>
      <c r="D16" s="19" t="s">
        <v>55</v>
      </c>
      <c r="E16" s="19" t="s">
        <v>201</v>
      </c>
      <c r="F16" s="19" t="s">
        <v>100</v>
      </c>
      <c r="G16" s="282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36" t="s">
        <v>63</v>
      </c>
      <c r="B17" s="36" t="s">
        <v>74</v>
      </c>
      <c r="C17" s="37" t="s">
        <v>192</v>
      </c>
      <c r="D17" s="36" t="s">
        <v>67</v>
      </c>
      <c r="E17" s="36" t="s">
        <v>201</v>
      </c>
      <c r="F17" s="36" t="s">
        <v>75</v>
      </c>
      <c r="G17" s="283"/>
      <c r="H17" s="140"/>
      <c r="I17" s="140"/>
      <c r="J17" s="140"/>
      <c r="K17" s="140"/>
      <c r="L17" s="140"/>
      <c r="M17" s="140"/>
      <c r="N17" s="140"/>
      <c r="O17" s="141"/>
      <c r="P17" s="140"/>
      <c r="Q17" s="142"/>
      <c r="R17" s="14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88"/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80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</sheetData>
  <mergeCells count="14">
    <mergeCell ref="A18:R18"/>
    <mergeCell ref="A2:F2"/>
    <mergeCell ref="A3:R3"/>
    <mergeCell ref="O1:Q1"/>
    <mergeCell ref="H4:R4"/>
    <mergeCell ref="G6:G17"/>
    <mergeCell ref="A1:C1"/>
    <mergeCell ref="G1:H1"/>
    <mergeCell ref="K2:R2"/>
    <mergeCell ref="G2:J2"/>
    <mergeCell ref="A4:F4"/>
    <mergeCell ref="D1:F1"/>
    <mergeCell ref="J1:M1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162</v>
      </c>
      <c r="B2" s="64">
        <v>45990</v>
      </c>
      <c r="C2" s="65" t="s">
        <v>229</v>
      </c>
      <c r="D2" s="66">
        <v>0.95486111111111116</v>
      </c>
      <c r="E2" s="65" t="s">
        <v>226</v>
      </c>
      <c r="F2" s="65" t="s">
        <v>153</v>
      </c>
      <c r="G2" s="67">
        <v>0.61309999999999998</v>
      </c>
      <c r="H2" s="68">
        <v>168</v>
      </c>
      <c r="I2" s="68">
        <v>103</v>
      </c>
      <c r="J2" s="68">
        <v>0</v>
      </c>
      <c r="K2" s="64">
        <v>45986</v>
      </c>
      <c r="L2" s="68">
        <v>0</v>
      </c>
      <c r="M2" s="68">
        <v>3</v>
      </c>
      <c r="N2" s="68">
        <v>32</v>
      </c>
      <c r="O2" s="65" t="s">
        <v>230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233</v>
      </c>
      <c r="Z2" s="69"/>
      <c r="AA2" s="69"/>
      <c r="AB2" s="68" t="s">
        <v>234</v>
      </c>
      <c r="AC2" s="68" t="s">
        <v>235</v>
      </c>
      <c r="AD2" s="68" t="s">
        <v>236</v>
      </c>
      <c r="AE2" s="68" t="s">
        <v>237</v>
      </c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0.61309999999999998</v>
      </c>
      <c r="H3" s="81">
        <f>SUM(H2:H2)</f>
        <v>168</v>
      </c>
      <c r="I3" s="81">
        <f>SUM(I2:I2)</f>
        <v>103</v>
      </c>
      <c r="J3" s="81">
        <f>SUM(J2:J2)</f>
        <v>0</v>
      </c>
      <c r="K3" s="78"/>
      <c r="L3" s="81">
        <f>SUM(L2:L2)</f>
        <v>0</v>
      </c>
      <c r="M3" s="81">
        <f>SUM(M2:M2)</f>
        <v>3</v>
      </c>
      <c r="N3" s="81">
        <f>SUM(N2:N2)</f>
        <v>32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8</v>
      </c>
      <c r="Z3" s="81">
        <f t="shared" si="0"/>
        <v>0</v>
      </c>
      <c r="AA3" s="81">
        <f t="shared" si="0"/>
        <v>0</v>
      </c>
      <c r="AB3" s="81">
        <f t="shared" si="0"/>
        <v>15</v>
      </c>
      <c r="AC3" s="81">
        <f t="shared" si="0"/>
        <v>32</v>
      </c>
      <c r="AD3" s="81">
        <f t="shared" si="0"/>
        <v>30</v>
      </c>
      <c r="AE3" s="81">
        <f t="shared" si="0"/>
        <v>18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77734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5.6" x14ac:dyDescent="0.3">
      <c r="A2" s="152"/>
      <c r="B2" s="152"/>
      <c r="C2" s="152"/>
      <c r="D2" s="152"/>
      <c r="E2" s="153" t="s">
        <v>225</v>
      </c>
      <c r="F2" s="152"/>
      <c r="G2" s="152"/>
      <c r="H2" s="3"/>
    </row>
    <row r="3" spans="1:8" ht="18" x14ac:dyDescent="0.3">
      <c r="A3" s="83">
        <v>45988</v>
      </c>
      <c r="B3" s="84" t="s">
        <v>25</v>
      </c>
      <c r="C3" s="85" t="s">
        <v>26</v>
      </c>
      <c r="D3" s="84" t="s">
        <v>1</v>
      </c>
      <c r="E3" s="86">
        <v>1.4201388888888891</v>
      </c>
      <c r="F3" s="84" t="s">
        <v>27</v>
      </c>
      <c r="G3" s="87">
        <v>16</v>
      </c>
      <c r="H3" s="88">
        <v>559</v>
      </c>
    </row>
    <row r="4" spans="1:8" ht="18" x14ac:dyDescent="0.3">
      <c r="A4" s="89">
        <v>45988</v>
      </c>
      <c r="B4" s="90" t="s">
        <v>25</v>
      </c>
      <c r="C4" s="91" t="s">
        <v>26</v>
      </c>
      <c r="D4" s="90" t="s">
        <v>1</v>
      </c>
      <c r="E4" s="92">
        <v>1.4201388888888891</v>
      </c>
      <c r="F4" s="90" t="s">
        <v>30</v>
      </c>
      <c r="G4" s="93">
        <v>16</v>
      </c>
      <c r="H4" s="94">
        <v>709</v>
      </c>
    </row>
    <row r="5" spans="1:8" ht="18" x14ac:dyDescent="0.3">
      <c r="A5" s="89">
        <v>45988</v>
      </c>
      <c r="B5" s="90" t="s">
        <v>25</v>
      </c>
      <c r="C5" s="91" t="s">
        <v>26</v>
      </c>
      <c r="D5" s="90" t="s">
        <v>1</v>
      </c>
      <c r="E5" s="92">
        <v>1.4201388888888891</v>
      </c>
      <c r="F5" s="90" t="s">
        <v>33</v>
      </c>
      <c r="G5" s="93">
        <v>16</v>
      </c>
      <c r="H5" s="90" t="s">
        <v>34</v>
      </c>
    </row>
    <row r="6" spans="1:8" ht="18" x14ac:dyDescent="0.3">
      <c r="A6" s="95">
        <v>45988</v>
      </c>
      <c r="B6" s="84" t="s">
        <v>35</v>
      </c>
      <c r="C6" s="85" t="s">
        <v>36</v>
      </c>
      <c r="D6" s="84" t="s">
        <v>1</v>
      </c>
      <c r="E6" s="86">
        <v>1.2222222222222221</v>
      </c>
      <c r="F6" s="84" t="s">
        <v>37</v>
      </c>
      <c r="G6" s="87">
        <v>9</v>
      </c>
      <c r="H6" s="96">
        <v>623</v>
      </c>
    </row>
    <row r="7" spans="1:8" ht="18" x14ac:dyDescent="0.3">
      <c r="A7" s="97">
        <v>45988</v>
      </c>
      <c r="B7" s="98" t="s">
        <v>35</v>
      </c>
      <c r="C7" s="99" t="s">
        <v>40</v>
      </c>
      <c r="D7" s="98" t="s">
        <v>1</v>
      </c>
      <c r="E7" s="100">
        <v>1.493055555555556</v>
      </c>
      <c r="F7" s="98" t="s">
        <v>37</v>
      </c>
      <c r="G7" s="101">
        <v>9</v>
      </c>
      <c r="H7" s="102">
        <v>757</v>
      </c>
    </row>
    <row r="8" spans="1:8" ht="18" x14ac:dyDescent="0.3">
      <c r="A8" s="97">
        <v>45988</v>
      </c>
      <c r="B8" s="98" t="s">
        <v>35</v>
      </c>
      <c r="C8" s="99" t="s">
        <v>43</v>
      </c>
      <c r="D8" s="98" t="s">
        <v>1</v>
      </c>
      <c r="E8" s="100">
        <v>1.1076388888888891</v>
      </c>
      <c r="F8" s="98" t="s">
        <v>37</v>
      </c>
      <c r="G8" s="101">
        <v>9</v>
      </c>
      <c r="H8" s="102">
        <v>962</v>
      </c>
    </row>
    <row r="9" spans="1:8" ht="18" x14ac:dyDescent="0.3">
      <c r="A9" s="95">
        <v>45988</v>
      </c>
      <c r="B9" s="84" t="s">
        <v>47</v>
      </c>
      <c r="C9" s="85" t="s">
        <v>48</v>
      </c>
      <c r="D9" s="84" t="s">
        <v>1</v>
      </c>
      <c r="E9" s="86">
        <v>1.354166666666667</v>
      </c>
      <c r="F9" s="84" t="s">
        <v>49</v>
      </c>
      <c r="G9" s="87">
        <v>1</v>
      </c>
      <c r="H9" s="96">
        <v>639</v>
      </c>
    </row>
    <row r="10" spans="1:8" ht="18" x14ac:dyDescent="0.3">
      <c r="A10" s="89">
        <v>45988</v>
      </c>
      <c r="B10" s="90" t="s">
        <v>47</v>
      </c>
      <c r="C10" s="91" t="s">
        <v>48</v>
      </c>
      <c r="D10" s="90" t="s">
        <v>1</v>
      </c>
      <c r="E10" s="92">
        <v>1.354166666666667</v>
      </c>
      <c r="F10" s="90" t="s">
        <v>52</v>
      </c>
      <c r="G10" s="93">
        <v>1</v>
      </c>
      <c r="H10" s="94">
        <v>739</v>
      </c>
    </row>
    <row r="11" spans="1:8" ht="18" x14ac:dyDescent="0.3">
      <c r="A11" s="89">
        <v>45988</v>
      </c>
      <c r="B11" s="90" t="s">
        <v>47</v>
      </c>
      <c r="C11" s="91" t="s">
        <v>48</v>
      </c>
      <c r="D11" s="90" t="s">
        <v>1</v>
      </c>
      <c r="E11" s="92">
        <v>1.354166666666667</v>
      </c>
      <c r="F11" s="90" t="s">
        <v>55</v>
      </c>
      <c r="G11" s="93">
        <v>1</v>
      </c>
      <c r="H11" s="94">
        <v>829</v>
      </c>
    </row>
    <row r="12" spans="1:8" ht="18" x14ac:dyDescent="0.3">
      <c r="A12" s="108">
        <v>45988</v>
      </c>
      <c r="B12" s="109" t="s">
        <v>47</v>
      </c>
      <c r="C12" s="110" t="s">
        <v>57</v>
      </c>
      <c r="D12" s="109" t="s">
        <v>1</v>
      </c>
      <c r="E12" s="111">
        <v>1.756944444444444</v>
      </c>
      <c r="F12" s="109" t="s">
        <v>49</v>
      </c>
      <c r="G12" s="112">
        <v>4</v>
      </c>
      <c r="H12" s="109" t="s">
        <v>59</v>
      </c>
    </row>
    <row r="13" spans="1:8" ht="15.6" x14ac:dyDescent="0.3">
      <c r="A13" s="152"/>
      <c r="B13" s="152"/>
      <c r="C13" s="152"/>
      <c r="D13" s="152"/>
      <c r="E13" s="153" t="s">
        <v>225</v>
      </c>
      <c r="F13" s="152"/>
      <c r="G13" s="152"/>
      <c r="H13" s="3"/>
    </row>
    <row r="14" spans="1:8" ht="18" x14ac:dyDescent="0.3">
      <c r="A14" s="83">
        <v>45989</v>
      </c>
      <c r="B14" s="84" t="s">
        <v>25</v>
      </c>
      <c r="C14" s="85" t="s">
        <v>26</v>
      </c>
      <c r="D14" s="84" t="s">
        <v>1</v>
      </c>
      <c r="E14" s="86">
        <v>1.4201388888888891</v>
      </c>
      <c r="F14" s="84" t="s">
        <v>27</v>
      </c>
      <c r="G14" s="87">
        <v>20</v>
      </c>
      <c r="H14" s="88">
        <v>559</v>
      </c>
    </row>
    <row r="15" spans="1:8" ht="18" x14ac:dyDescent="0.3">
      <c r="A15" s="89">
        <v>45989</v>
      </c>
      <c r="B15" s="90" t="s">
        <v>25</v>
      </c>
      <c r="C15" s="91" t="s">
        <v>26</v>
      </c>
      <c r="D15" s="90" t="s">
        <v>1</v>
      </c>
      <c r="E15" s="92">
        <v>1.4201388888888891</v>
      </c>
      <c r="F15" s="90" t="s">
        <v>30</v>
      </c>
      <c r="G15" s="93">
        <v>20</v>
      </c>
      <c r="H15" s="94">
        <v>709</v>
      </c>
    </row>
    <row r="16" spans="1:8" ht="18" x14ac:dyDescent="0.3">
      <c r="A16" s="89">
        <v>45989</v>
      </c>
      <c r="B16" s="90" t="s">
        <v>25</v>
      </c>
      <c r="C16" s="91" t="s">
        <v>26</v>
      </c>
      <c r="D16" s="90" t="s">
        <v>1</v>
      </c>
      <c r="E16" s="92">
        <v>1.4201388888888891</v>
      </c>
      <c r="F16" s="90" t="s">
        <v>33</v>
      </c>
      <c r="G16" s="93">
        <v>20</v>
      </c>
      <c r="H16" s="90" t="s">
        <v>34</v>
      </c>
    </row>
    <row r="17" spans="1:8" ht="18" x14ac:dyDescent="0.3">
      <c r="A17" s="95">
        <v>45989</v>
      </c>
      <c r="B17" s="84" t="s">
        <v>47</v>
      </c>
      <c r="C17" s="85" t="s">
        <v>57</v>
      </c>
      <c r="D17" s="84" t="s">
        <v>1</v>
      </c>
      <c r="E17" s="86">
        <v>1.756944444444444</v>
      </c>
      <c r="F17" s="84" t="s">
        <v>49</v>
      </c>
      <c r="G17" s="87">
        <v>7</v>
      </c>
      <c r="H17" s="96">
        <v>749</v>
      </c>
    </row>
    <row r="18" spans="1:8" ht="18" x14ac:dyDescent="0.3">
      <c r="A18" s="89">
        <v>45989</v>
      </c>
      <c r="B18" s="90" t="s">
        <v>47</v>
      </c>
      <c r="C18" s="91" t="s">
        <v>57</v>
      </c>
      <c r="D18" s="90" t="s">
        <v>1</v>
      </c>
      <c r="E18" s="92">
        <v>1.756944444444444</v>
      </c>
      <c r="F18" s="90" t="s">
        <v>52</v>
      </c>
      <c r="G18" s="93">
        <v>7</v>
      </c>
      <c r="H18" s="94">
        <v>849</v>
      </c>
    </row>
    <row r="19" spans="1:8" ht="18" x14ac:dyDescent="0.3">
      <c r="A19" s="89">
        <v>45989</v>
      </c>
      <c r="B19" s="90" t="s">
        <v>47</v>
      </c>
      <c r="C19" s="91" t="s">
        <v>57</v>
      </c>
      <c r="D19" s="90" t="s">
        <v>1</v>
      </c>
      <c r="E19" s="92">
        <v>1.756944444444444</v>
      </c>
      <c r="F19" s="90" t="s">
        <v>55</v>
      </c>
      <c r="G19" s="93">
        <v>7</v>
      </c>
      <c r="H19" s="94">
        <v>939</v>
      </c>
    </row>
    <row r="20" spans="1:8" ht="18" x14ac:dyDescent="0.3">
      <c r="A20" s="95">
        <v>45989</v>
      </c>
      <c r="B20" s="84" t="s">
        <v>35</v>
      </c>
      <c r="C20" s="85" t="s">
        <v>43</v>
      </c>
      <c r="D20" s="84" t="s">
        <v>1</v>
      </c>
      <c r="E20" s="86">
        <v>1.1076388888888891</v>
      </c>
      <c r="F20" s="84" t="s">
        <v>37</v>
      </c>
      <c r="G20" s="87">
        <v>9</v>
      </c>
      <c r="H20" s="96">
        <v>866</v>
      </c>
    </row>
    <row r="21" spans="1:8" ht="18" x14ac:dyDescent="0.3">
      <c r="A21" s="97">
        <v>45989</v>
      </c>
      <c r="B21" s="98" t="s">
        <v>35</v>
      </c>
      <c r="C21" s="99" t="s">
        <v>36</v>
      </c>
      <c r="D21" s="98" t="s">
        <v>1</v>
      </c>
      <c r="E21" s="100">
        <v>1.2222222222222221</v>
      </c>
      <c r="F21" s="98" t="s">
        <v>37</v>
      </c>
      <c r="G21" s="101">
        <v>9</v>
      </c>
      <c r="H21" s="102">
        <v>962</v>
      </c>
    </row>
    <row r="22" spans="1:8" ht="18" x14ac:dyDescent="0.3">
      <c r="A22" s="97">
        <v>45989</v>
      </c>
      <c r="B22" s="98" t="s">
        <v>35</v>
      </c>
      <c r="C22" s="99" t="s">
        <v>40</v>
      </c>
      <c r="D22" s="98" t="s">
        <v>1</v>
      </c>
      <c r="E22" s="100">
        <v>1.493055555555556</v>
      </c>
      <c r="F22" s="98" t="s">
        <v>37</v>
      </c>
      <c r="G22" s="101">
        <v>1</v>
      </c>
      <c r="H22" s="98" t="s">
        <v>93</v>
      </c>
    </row>
    <row r="23" spans="1:8" ht="18" x14ac:dyDescent="0.3">
      <c r="A23" s="155">
        <v>45989</v>
      </c>
      <c r="B23" s="156" t="s">
        <v>63</v>
      </c>
      <c r="C23" s="157" t="s">
        <v>64</v>
      </c>
      <c r="D23" s="156" t="s">
        <v>1</v>
      </c>
      <c r="E23" s="158">
        <v>1.604166666666667</v>
      </c>
      <c r="F23" s="156" t="s">
        <v>65</v>
      </c>
      <c r="G23" s="159">
        <v>9</v>
      </c>
      <c r="H23" s="156" t="s">
        <v>66</v>
      </c>
    </row>
    <row r="24" spans="1:8" ht="18" x14ac:dyDescent="0.3">
      <c r="A24" s="160">
        <v>45990</v>
      </c>
      <c r="B24" s="114" t="s">
        <v>76</v>
      </c>
      <c r="C24" s="115" t="s">
        <v>227</v>
      </c>
      <c r="D24" s="114" t="s">
        <v>226</v>
      </c>
      <c r="E24" s="116">
        <v>1.9548611111111109</v>
      </c>
      <c r="F24" s="114" t="s">
        <v>78</v>
      </c>
      <c r="G24" s="117">
        <v>5</v>
      </c>
      <c r="H24" s="163">
        <v>500</v>
      </c>
    </row>
    <row r="25" spans="1:8" ht="15.6" x14ac:dyDescent="0.3">
      <c r="A25" s="152"/>
      <c r="B25" s="152"/>
      <c r="C25" s="152"/>
      <c r="D25" s="152"/>
      <c r="E25" s="153" t="s">
        <v>225</v>
      </c>
      <c r="F25" s="152"/>
      <c r="G25" s="152"/>
      <c r="H25" s="3"/>
    </row>
    <row r="26" spans="1:8" ht="18" x14ac:dyDescent="0.3">
      <c r="A26" s="95">
        <v>45990</v>
      </c>
      <c r="B26" s="84" t="s">
        <v>25</v>
      </c>
      <c r="C26" s="85" t="s">
        <v>26</v>
      </c>
      <c r="D26" s="84" t="s">
        <v>1</v>
      </c>
      <c r="E26" s="86">
        <v>1.4201388888888891</v>
      </c>
      <c r="F26" s="84" t="s">
        <v>27</v>
      </c>
      <c r="G26" s="87">
        <v>13</v>
      </c>
      <c r="H26" s="96">
        <v>619</v>
      </c>
    </row>
    <row r="27" spans="1:8" ht="18" x14ac:dyDescent="0.3">
      <c r="A27" s="89">
        <v>45990</v>
      </c>
      <c r="B27" s="90" t="s">
        <v>25</v>
      </c>
      <c r="C27" s="91" t="s">
        <v>26</v>
      </c>
      <c r="D27" s="90" t="s">
        <v>1</v>
      </c>
      <c r="E27" s="92">
        <v>1.4201388888888891</v>
      </c>
      <c r="F27" s="90" t="s">
        <v>30</v>
      </c>
      <c r="G27" s="93">
        <v>13</v>
      </c>
      <c r="H27" s="94">
        <v>769</v>
      </c>
    </row>
    <row r="28" spans="1:8" ht="18" x14ac:dyDescent="0.3">
      <c r="A28" s="89">
        <v>45990</v>
      </c>
      <c r="B28" s="90" t="s">
        <v>25</v>
      </c>
      <c r="C28" s="91" t="s">
        <v>26</v>
      </c>
      <c r="D28" s="90" t="s">
        <v>1</v>
      </c>
      <c r="E28" s="92">
        <v>1.4201388888888891</v>
      </c>
      <c r="F28" s="90" t="s">
        <v>33</v>
      </c>
      <c r="G28" s="93">
        <v>13</v>
      </c>
      <c r="H28" s="90" t="s">
        <v>34</v>
      </c>
    </row>
    <row r="29" spans="1:8" ht="18" x14ac:dyDescent="0.3">
      <c r="A29" s="95">
        <v>45990</v>
      </c>
      <c r="B29" s="84" t="s">
        <v>47</v>
      </c>
      <c r="C29" s="85" t="s">
        <v>48</v>
      </c>
      <c r="D29" s="84" t="s">
        <v>1</v>
      </c>
      <c r="E29" s="86">
        <v>1.354166666666667</v>
      </c>
      <c r="F29" s="84" t="s">
        <v>49</v>
      </c>
      <c r="G29" s="87">
        <v>4</v>
      </c>
      <c r="H29" s="96">
        <v>639</v>
      </c>
    </row>
    <row r="30" spans="1:8" ht="18" x14ac:dyDescent="0.3">
      <c r="A30" s="89">
        <v>45990</v>
      </c>
      <c r="B30" s="90" t="s">
        <v>47</v>
      </c>
      <c r="C30" s="91" t="s">
        <v>48</v>
      </c>
      <c r="D30" s="90" t="s">
        <v>1</v>
      </c>
      <c r="E30" s="92">
        <v>1.354166666666667</v>
      </c>
      <c r="F30" s="90" t="s">
        <v>52</v>
      </c>
      <c r="G30" s="93">
        <v>4</v>
      </c>
      <c r="H30" s="94">
        <v>739</v>
      </c>
    </row>
    <row r="31" spans="1:8" ht="18" x14ac:dyDescent="0.3">
      <c r="A31" s="89">
        <v>45990</v>
      </c>
      <c r="B31" s="90" t="s">
        <v>47</v>
      </c>
      <c r="C31" s="91" t="s">
        <v>48</v>
      </c>
      <c r="D31" s="90" t="s">
        <v>1</v>
      </c>
      <c r="E31" s="92">
        <v>1.354166666666667</v>
      </c>
      <c r="F31" s="90" t="s">
        <v>55</v>
      </c>
      <c r="G31" s="93">
        <v>4</v>
      </c>
      <c r="H31" s="94">
        <v>829</v>
      </c>
    </row>
    <row r="32" spans="1:8" ht="18" x14ac:dyDescent="0.3">
      <c r="A32" s="97">
        <v>45990</v>
      </c>
      <c r="B32" s="98" t="s">
        <v>47</v>
      </c>
      <c r="C32" s="99" t="s">
        <v>57</v>
      </c>
      <c r="D32" s="98" t="s">
        <v>1</v>
      </c>
      <c r="E32" s="100">
        <v>1.756944444444444</v>
      </c>
      <c r="F32" s="98" t="s">
        <v>49</v>
      </c>
      <c r="G32" s="101">
        <v>4</v>
      </c>
      <c r="H32" s="98" t="s">
        <v>98</v>
      </c>
    </row>
    <row r="33" spans="1:8" ht="18" x14ac:dyDescent="0.3">
      <c r="A33" s="89">
        <v>45990</v>
      </c>
      <c r="B33" s="90" t="s">
        <v>47</v>
      </c>
      <c r="C33" s="91" t="s">
        <v>57</v>
      </c>
      <c r="D33" s="90" t="s">
        <v>1</v>
      </c>
      <c r="E33" s="92">
        <v>1.756944444444444</v>
      </c>
      <c r="F33" s="90" t="s">
        <v>52</v>
      </c>
      <c r="G33" s="93">
        <v>4</v>
      </c>
      <c r="H33" s="90" t="s">
        <v>99</v>
      </c>
    </row>
    <row r="34" spans="1:8" ht="18" x14ac:dyDescent="0.3">
      <c r="A34" s="89">
        <v>45990</v>
      </c>
      <c r="B34" s="90" t="s">
        <v>47</v>
      </c>
      <c r="C34" s="91" t="s">
        <v>57</v>
      </c>
      <c r="D34" s="90" t="s">
        <v>1</v>
      </c>
      <c r="E34" s="92">
        <v>1.756944444444444</v>
      </c>
      <c r="F34" s="90" t="s">
        <v>55</v>
      </c>
      <c r="G34" s="93">
        <v>4</v>
      </c>
      <c r="H34" s="90" t="s">
        <v>100</v>
      </c>
    </row>
    <row r="35" spans="1:8" ht="18" x14ac:dyDescent="0.3">
      <c r="A35" s="155">
        <v>45990</v>
      </c>
      <c r="B35" s="156" t="s">
        <v>63</v>
      </c>
      <c r="C35" s="157" t="s">
        <v>74</v>
      </c>
      <c r="D35" s="156" t="s">
        <v>1</v>
      </c>
      <c r="E35" s="158">
        <v>1.4201388888888891</v>
      </c>
      <c r="F35" s="156" t="s">
        <v>67</v>
      </c>
      <c r="G35" s="159">
        <v>4</v>
      </c>
      <c r="H35" s="156" t="s">
        <v>75</v>
      </c>
    </row>
    <row r="36" spans="1:8" ht="15.6" x14ac:dyDescent="0.3">
      <c r="A36" s="152"/>
      <c r="B36" s="152"/>
      <c r="C36" s="152"/>
      <c r="D36" s="152"/>
      <c r="E36" s="153" t="s">
        <v>225</v>
      </c>
      <c r="F36" s="152"/>
      <c r="G36" s="152"/>
      <c r="H36" s="3"/>
    </row>
    <row r="37" spans="1:8" ht="18" x14ac:dyDescent="0.3">
      <c r="A37" s="83">
        <v>45991</v>
      </c>
      <c r="B37" s="84" t="s">
        <v>25</v>
      </c>
      <c r="C37" s="85" t="s">
        <v>26</v>
      </c>
      <c r="D37" s="84" t="s">
        <v>1</v>
      </c>
      <c r="E37" s="86">
        <v>1.4201388888888891</v>
      </c>
      <c r="F37" s="84" t="s">
        <v>27</v>
      </c>
      <c r="G37" s="87">
        <v>9</v>
      </c>
      <c r="H37" s="88">
        <v>799</v>
      </c>
    </row>
    <row r="38" spans="1:8" ht="18" x14ac:dyDescent="0.3">
      <c r="A38" s="89">
        <v>45991</v>
      </c>
      <c r="B38" s="90" t="s">
        <v>25</v>
      </c>
      <c r="C38" s="91" t="s">
        <v>26</v>
      </c>
      <c r="D38" s="90" t="s">
        <v>1</v>
      </c>
      <c r="E38" s="92">
        <v>1.4201388888888891</v>
      </c>
      <c r="F38" s="90" t="s">
        <v>30</v>
      </c>
      <c r="G38" s="93">
        <v>9</v>
      </c>
      <c r="H38" s="94">
        <v>949</v>
      </c>
    </row>
    <row r="39" spans="1:8" ht="18" x14ac:dyDescent="0.3">
      <c r="A39" s="89">
        <v>45991</v>
      </c>
      <c r="B39" s="90" t="s">
        <v>25</v>
      </c>
      <c r="C39" s="91" t="s">
        <v>26</v>
      </c>
      <c r="D39" s="90" t="s">
        <v>1</v>
      </c>
      <c r="E39" s="92">
        <v>1.4201388888888891</v>
      </c>
      <c r="F39" s="90" t="s">
        <v>33</v>
      </c>
      <c r="G39" s="93">
        <v>9</v>
      </c>
      <c r="H39" s="90" t="s">
        <v>34</v>
      </c>
    </row>
    <row r="40" spans="1:8" ht="18" x14ac:dyDescent="0.3">
      <c r="A40" s="95">
        <v>45991</v>
      </c>
      <c r="B40" s="84" t="s">
        <v>47</v>
      </c>
      <c r="C40" s="85" t="s">
        <v>57</v>
      </c>
      <c r="D40" s="84" t="s">
        <v>1</v>
      </c>
      <c r="E40" s="86">
        <v>1.756944444444444</v>
      </c>
      <c r="F40" s="84" t="s">
        <v>49</v>
      </c>
      <c r="G40" s="87">
        <v>5</v>
      </c>
      <c r="H40" s="96">
        <v>889</v>
      </c>
    </row>
    <row r="41" spans="1:8" ht="18" x14ac:dyDescent="0.3">
      <c r="A41" s="89">
        <v>45991</v>
      </c>
      <c r="B41" s="90" t="s">
        <v>47</v>
      </c>
      <c r="C41" s="91" t="s">
        <v>57</v>
      </c>
      <c r="D41" s="90" t="s">
        <v>1</v>
      </c>
      <c r="E41" s="92">
        <v>1.756944444444444</v>
      </c>
      <c r="F41" s="90" t="s">
        <v>52</v>
      </c>
      <c r="G41" s="93">
        <v>5</v>
      </c>
      <c r="H41" s="94">
        <v>989</v>
      </c>
    </row>
    <row r="42" spans="1:8" ht="18" x14ac:dyDescent="0.3">
      <c r="A42" s="89">
        <v>45991</v>
      </c>
      <c r="B42" s="90" t="s">
        <v>47</v>
      </c>
      <c r="C42" s="91" t="s">
        <v>57</v>
      </c>
      <c r="D42" s="90" t="s">
        <v>1</v>
      </c>
      <c r="E42" s="92">
        <v>1.756944444444444</v>
      </c>
      <c r="F42" s="90" t="s">
        <v>55</v>
      </c>
      <c r="G42" s="93">
        <v>5</v>
      </c>
      <c r="H42" s="90" t="s">
        <v>117</v>
      </c>
    </row>
    <row r="43" spans="1:8" ht="18" x14ac:dyDescent="0.3">
      <c r="A43" s="113">
        <v>45991</v>
      </c>
      <c r="B43" s="114" t="s">
        <v>76</v>
      </c>
      <c r="C43" s="115" t="s">
        <v>77</v>
      </c>
      <c r="D43" s="114" t="s">
        <v>1</v>
      </c>
      <c r="E43" s="116">
        <v>1.9027777777777779</v>
      </c>
      <c r="F43" s="114" t="s">
        <v>78</v>
      </c>
      <c r="G43" s="117">
        <v>5</v>
      </c>
      <c r="H43" s="114" t="s">
        <v>118</v>
      </c>
    </row>
    <row r="44" spans="1:8" ht="18" x14ac:dyDescent="0.3">
      <c r="A44" s="95">
        <v>45991</v>
      </c>
      <c r="B44" s="84" t="s">
        <v>63</v>
      </c>
      <c r="C44" s="85" t="s">
        <v>64</v>
      </c>
      <c r="D44" s="84" t="s">
        <v>1</v>
      </c>
      <c r="E44" s="86">
        <v>1.604166666666667</v>
      </c>
      <c r="F44" s="84" t="s">
        <v>65</v>
      </c>
      <c r="G44" s="87">
        <v>8</v>
      </c>
      <c r="H44" s="84" t="s">
        <v>66</v>
      </c>
    </row>
    <row r="45" spans="1:8" ht="18" x14ac:dyDescent="0.3">
      <c r="A45" s="89">
        <v>45991</v>
      </c>
      <c r="B45" s="90" t="s">
        <v>63</v>
      </c>
      <c r="C45" s="91" t="s">
        <v>64</v>
      </c>
      <c r="D45" s="90" t="s">
        <v>1</v>
      </c>
      <c r="E45" s="92">
        <v>1.604166666666667</v>
      </c>
      <c r="F45" s="90" t="s">
        <v>67</v>
      </c>
      <c r="G45" s="93">
        <v>8</v>
      </c>
      <c r="H45" s="90" t="s">
        <v>69</v>
      </c>
    </row>
    <row r="46" spans="1:8" ht="18" x14ac:dyDescent="0.3">
      <c r="A46" s="108">
        <v>45991</v>
      </c>
      <c r="B46" s="109" t="s">
        <v>63</v>
      </c>
      <c r="C46" s="110" t="s">
        <v>70</v>
      </c>
      <c r="D46" s="109" t="s">
        <v>1</v>
      </c>
      <c r="E46" s="111">
        <v>1.7951388888888891</v>
      </c>
      <c r="F46" s="109" t="s">
        <v>65</v>
      </c>
      <c r="G46" s="112">
        <v>9</v>
      </c>
      <c r="H46" s="109" t="s">
        <v>101</v>
      </c>
    </row>
  </sheetData>
  <dataValidations count="2">
    <dataValidation type="custom" allowBlank="1" showInputMessage="1" promptTitle="LOAD FACTOR ANALYSIS" prompt="SM-488_x000d__x000a_LF 61.3%_x000d__x000a_SOLD 103_x000d__x000a_LST-SOLD 25NOV_x000d__x000a_WEEKLY 32_x000d__x000a_TO-DAY NIL_x000d__x000a_Y-DAY 3_x000d__x000a_LOWEST AVAIL X5_x000d__x000a_CAPACITY 168_x000d__x000a_CLASSES S8 &amp; X15 &amp; U32 &amp; +2 more" sqref="A24 B24 C24 D24 E24 F24 G24 H24" xr:uid="{00000000-0002-0000-0900-000000000000}">
      <formula1>TRUE</formula1>
    </dataValidation>
    <dataValidation type="custom" allowBlank="1" showInputMessage="1" promptTitle="LOAD FACTOR ANALYSIS" prompt="SM-494_x000d__x000a_LF -_x000d__x000a_SOLD -_x000d__x000a_LST-SOLD -_x000d__x000a_WEEKLY -_x000d__x000a_TO-DAY -_x000d__x000a_Y-DAY -_x000d__x000a_LOWEST AVAIL -_x000d__x000a_CAPACITY -_x000d__x000a_CLASSES -" sqref="A43 B43 C43 D43 E43 F43 G43 H43" xr:uid="{00000000-0002-0000-09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3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1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238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45987.359137419502</v>
      </c>
      <c r="H2" s="294"/>
      <c r="I2" s="294"/>
      <c r="J2" s="294"/>
      <c r="K2" s="301">
        <v>45987.359137419931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239</v>
      </c>
      <c r="C6" s="9">
        <v>0.30208333333333331</v>
      </c>
      <c r="D6" s="8" t="s">
        <v>27</v>
      </c>
      <c r="E6" s="8" t="s">
        <v>240</v>
      </c>
      <c r="F6" s="8" t="s">
        <v>241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239</v>
      </c>
      <c r="C7" s="16">
        <v>0.30208333333333331</v>
      </c>
      <c r="D7" s="15" t="s">
        <v>30</v>
      </c>
      <c r="E7" s="15" t="s">
        <v>242</v>
      </c>
      <c r="F7" s="15" t="s">
        <v>243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239</v>
      </c>
      <c r="C8" s="16">
        <v>0.30208333333333331</v>
      </c>
      <c r="D8" s="15" t="s">
        <v>33</v>
      </c>
      <c r="E8" s="15" t="s">
        <v>242</v>
      </c>
      <c r="F8" s="15" t="s">
        <v>34</v>
      </c>
      <c r="G8" s="2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244</v>
      </c>
      <c r="C9" s="20">
        <v>0.12847222222222221</v>
      </c>
      <c r="D9" s="19" t="s">
        <v>27</v>
      </c>
      <c r="E9" s="19" t="s">
        <v>245</v>
      </c>
      <c r="F9" s="19" t="s">
        <v>241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25</v>
      </c>
      <c r="B10" s="15" t="s">
        <v>244</v>
      </c>
      <c r="C10" s="16">
        <v>0.12847222222222221</v>
      </c>
      <c r="D10" s="15" t="s">
        <v>30</v>
      </c>
      <c r="E10" s="15" t="s">
        <v>246</v>
      </c>
      <c r="F10" s="15" t="s">
        <v>243</v>
      </c>
      <c r="G10" s="2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25</v>
      </c>
      <c r="B11" s="15" t="s">
        <v>244</v>
      </c>
      <c r="C11" s="16">
        <v>0.12847222222222221</v>
      </c>
      <c r="D11" s="15" t="s">
        <v>33</v>
      </c>
      <c r="E11" s="15" t="s">
        <v>246</v>
      </c>
      <c r="F11" s="15" t="s">
        <v>34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247</v>
      </c>
      <c r="C12" s="20">
        <v>0.88888888888888884</v>
      </c>
      <c r="D12" s="19" t="s">
        <v>27</v>
      </c>
      <c r="E12" s="19" t="s">
        <v>248</v>
      </c>
      <c r="F12" s="19" t="s">
        <v>241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25</v>
      </c>
      <c r="B13" s="15" t="s">
        <v>247</v>
      </c>
      <c r="C13" s="16">
        <v>0.88888888888888884</v>
      </c>
      <c r="D13" s="15" t="s">
        <v>30</v>
      </c>
      <c r="E13" s="15" t="s">
        <v>249</v>
      </c>
      <c r="F13" s="15" t="s">
        <v>243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25</v>
      </c>
      <c r="B14" s="15" t="s">
        <v>247</v>
      </c>
      <c r="C14" s="16">
        <v>0.88888888888888884</v>
      </c>
      <c r="D14" s="15" t="s">
        <v>33</v>
      </c>
      <c r="E14" s="15" t="s">
        <v>249</v>
      </c>
      <c r="F14" s="15" t="s">
        <v>34</v>
      </c>
      <c r="G14" s="2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250</v>
      </c>
      <c r="C15" s="20">
        <v>0.78819444444444453</v>
      </c>
      <c r="D15" s="19" t="s">
        <v>27</v>
      </c>
      <c r="E15" s="19" t="s">
        <v>251</v>
      </c>
      <c r="F15" s="19" t="s">
        <v>252</v>
      </c>
      <c r="G15" s="2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25</v>
      </c>
      <c r="B16" s="15" t="s">
        <v>250</v>
      </c>
      <c r="C16" s="16">
        <v>0.78819444444444453</v>
      </c>
      <c r="D16" s="15" t="s">
        <v>30</v>
      </c>
      <c r="E16" s="15" t="s">
        <v>253</v>
      </c>
      <c r="F16" s="15" t="s">
        <v>254</v>
      </c>
      <c r="G16" s="2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25</v>
      </c>
      <c r="B17" s="15" t="s">
        <v>250</v>
      </c>
      <c r="C17" s="16">
        <v>0.78819444444444453</v>
      </c>
      <c r="D17" s="15" t="s">
        <v>33</v>
      </c>
      <c r="E17" s="15" t="s">
        <v>253</v>
      </c>
      <c r="F17" s="15" t="s">
        <v>34</v>
      </c>
      <c r="G17" s="2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7" t="s">
        <v>47</v>
      </c>
      <c r="B18" s="17" t="s">
        <v>255</v>
      </c>
      <c r="C18" s="18">
        <v>0.25694444444444448</v>
      </c>
      <c r="D18" s="17" t="s">
        <v>49</v>
      </c>
      <c r="E18" s="17" t="s">
        <v>109</v>
      </c>
      <c r="F18" s="17" t="s">
        <v>256</v>
      </c>
      <c r="G18" s="2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47</v>
      </c>
      <c r="B19" s="15" t="s">
        <v>255</v>
      </c>
      <c r="C19" s="16">
        <v>0.25694444444444448</v>
      </c>
      <c r="D19" s="15" t="s">
        <v>52</v>
      </c>
      <c r="E19" s="15" t="s">
        <v>111</v>
      </c>
      <c r="F19" s="15" t="s">
        <v>257</v>
      </c>
      <c r="G19" s="2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" t="s">
        <v>47</v>
      </c>
      <c r="B20" s="15" t="s">
        <v>255</v>
      </c>
      <c r="C20" s="16">
        <v>0.25694444444444448</v>
      </c>
      <c r="D20" s="15" t="s">
        <v>55</v>
      </c>
      <c r="E20" s="15" t="s">
        <v>111</v>
      </c>
      <c r="F20" s="15" t="s">
        <v>29</v>
      </c>
      <c r="G20" s="28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47</v>
      </c>
      <c r="B21" s="19" t="s">
        <v>258</v>
      </c>
      <c r="C21" s="20">
        <v>0.39583333333333331</v>
      </c>
      <c r="D21" s="19" t="s">
        <v>49</v>
      </c>
      <c r="E21" s="19" t="s">
        <v>259</v>
      </c>
      <c r="F21" s="19" t="s">
        <v>256</v>
      </c>
      <c r="G21" s="282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47</v>
      </c>
      <c r="B22" s="15" t="s">
        <v>258</v>
      </c>
      <c r="C22" s="16">
        <v>0.39583333333333331</v>
      </c>
      <c r="D22" s="15" t="s">
        <v>52</v>
      </c>
      <c r="E22" s="15" t="s">
        <v>260</v>
      </c>
      <c r="F22" s="15" t="s">
        <v>257</v>
      </c>
      <c r="G22" s="282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47</v>
      </c>
      <c r="B23" s="15" t="s">
        <v>258</v>
      </c>
      <c r="C23" s="16">
        <v>0.39583333333333331</v>
      </c>
      <c r="D23" s="15" t="s">
        <v>55</v>
      </c>
      <c r="E23" s="15" t="s">
        <v>260</v>
      </c>
      <c r="F23" s="15" t="s">
        <v>29</v>
      </c>
      <c r="G23" s="282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47</v>
      </c>
      <c r="B24" s="19" t="s">
        <v>261</v>
      </c>
      <c r="C24" s="20">
        <v>0.90277777777777779</v>
      </c>
      <c r="D24" s="19" t="s">
        <v>49</v>
      </c>
      <c r="E24" s="19" t="s">
        <v>262</v>
      </c>
      <c r="F24" s="19" t="s">
        <v>263</v>
      </c>
      <c r="G24" s="28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47</v>
      </c>
      <c r="B25" s="15" t="s">
        <v>261</v>
      </c>
      <c r="C25" s="16">
        <v>0.90277777777777779</v>
      </c>
      <c r="D25" s="15" t="s">
        <v>52</v>
      </c>
      <c r="E25" s="15" t="s">
        <v>111</v>
      </c>
      <c r="F25" s="15" t="s">
        <v>243</v>
      </c>
      <c r="G25" s="2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47</v>
      </c>
      <c r="B26" s="15" t="s">
        <v>261</v>
      </c>
      <c r="C26" s="16">
        <v>0.90277777777777779</v>
      </c>
      <c r="D26" s="15" t="s">
        <v>55</v>
      </c>
      <c r="E26" s="15" t="s">
        <v>111</v>
      </c>
      <c r="F26" s="15" t="s">
        <v>264</v>
      </c>
      <c r="G26" s="28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47</v>
      </c>
      <c r="B27" s="19" t="s">
        <v>265</v>
      </c>
      <c r="C27" s="20">
        <v>0.51736111111111105</v>
      </c>
      <c r="D27" s="19" t="s">
        <v>49</v>
      </c>
      <c r="E27" s="19" t="s">
        <v>262</v>
      </c>
      <c r="F27" s="19" t="s">
        <v>263</v>
      </c>
      <c r="G27" s="282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47</v>
      </c>
      <c r="B28" s="15" t="s">
        <v>265</v>
      </c>
      <c r="C28" s="16">
        <v>0.51736111111111105</v>
      </c>
      <c r="D28" s="15" t="s">
        <v>52</v>
      </c>
      <c r="E28" s="15" t="s">
        <v>111</v>
      </c>
      <c r="F28" s="15" t="s">
        <v>243</v>
      </c>
      <c r="G28" s="282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47</v>
      </c>
      <c r="B29" s="15" t="s">
        <v>265</v>
      </c>
      <c r="C29" s="16">
        <v>0.51736111111111105</v>
      </c>
      <c r="D29" s="15" t="s">
        <v>55</v>
      </c>
      <c r="E29" s="15" t="s">
        <v>111</v>
      </c>
      <c r="F29" s="15" t="s">
        <v>264</v>
      </c>
      <c r="G29" s="282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47</v>
      </c>
      <c r="B30" s="19" t="s">
        <v>266</v>
      </c>
      <c r="C30" s="20">
        <v>0.85416666666666663</v>
      </c>
      <c r="D30" s="19" t="s">
        <v>49</v>
      </c>
      <c r="E30" s="19" t="s">
        <v>262</v>
      </c>
      <c r="F30" s="19" t="s">
        <v>263</v>
      </c>
      <c r="G30" s="282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47</v>
      </c>
      <c r="B31" s="15" t="s">
        <v>266</v>
      </c>
      <c r="C31" s="16">
        <v>0.85416666666666663</v>
      </c>
      <c r="D31" s="15" t="s">
        <v>52</v>
      </c>
      <c r="E31" s="15" t="s">
        <v>111</v>
      </c>
      <c r="F31" s="15" t="s">
        <v>243</v>
      </c>
      <c r="G31" s="28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47</v>
      </c>
      <c r="B32" s="15" t="s">
        <v>266</v>
      </c>
      <c r="C32" s="16">
        <v>0.85416666666666663</v>
      </c>
      <c r="D32" s="15" t="s">
        <v>55</v>
      </c>
      <c r="E32" s="15" t="s">
        <v>111</v>
      </c>
      <c r="F32" s="15" t="s">
        <v>264</v>
      </c>
      <c r="G32" s="28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47</v>
      </c>
      <c r="B33" s="19" t="s">
        <v>267</v>
      </c>
      <c r="C33" s="20">
        <v>0.30208333333333331</v>
      </c>
      <c r="D33" s="19" t="s">
        <v>49</v>
      </c>
      <c r="E33" s="19" t="s">
        <v>72</v>
      </c>
      <c r="F33" s="19" t="s">
        <v>263</v>
      </c>
      <c r="G33" s="2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47</v>
      </c>
      <c r="B34" s="15" t="s">
        <v>267</v>
      </c>
      <c r="C34" s="16">
        <v>0.30208333333333331</v>
      </c>
      <c r="D34" s="15" t="s">
        <v>52</v>
      </c>
      <c r="E34" s="15" t="s">
        <v>73</v>
      </c>
      <c r="F34" s="15" t="s">
        <v>243</v>
      </c>
      <c r="G34" s="2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47</v>
      </c>
      <c r="B35" s="15" t="s">
        <v>267</v>
      </c>
      <c r="C35" s="16">
        <v>0.30208333333333331</v>
      </c>
      <c r="D35" s="15" t="s">
        <v>55</v>
      </c>
      <c r="E35" s="15" t="s">
        <v>73</v>
      </c>
      <c r="F35" s="15" t="s">
        <v>264</v>
      </c>
      <c r="G35" s="28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47</v>
      </c>
      <c r="B36" s="19" t="s">
        <v>268</v>
      </c>
      <c r="C36" s="20">
        <v>0.65972222222222221</v>
      </c>
      <c r="D36" s="19" t="s">
        <v>49</v>
      </c>
      <c r="E36" s="19" t="s">
        <v>103</v>
      </c>
      <c r="F36" s="19" t="s">
        <v>269</v>
      </c>
      <c r="G36" s="28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5" t="s">
        <v>47</v>
      </c>
      <c r="B37" s="15" t="s">
        <v>268</v>
      </c>
      <c r="C37" s="16">
        <v>0.65972222222222221</v>
      </c>
      <c r="D37" s="15" t="s">
        <v>52</v>
      </c>
      <c r="E37" s="15" t="s">
        <v>104</v>
      </c>
      <c r="F37" s="15" t="s">
        <v>270</v>
      </c>
      <c r="G37" s="2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47</v>
      </c>
      <c r="B38" s="15" t="s">
        <v>268</v>
      </c>
      <c r="C38" s="16">
        <v>0.65972222222222221</v>
      </c>
      <c r="D38" s="15" t="s">
        <v>55</v>
      </c>
      <c r="E38" s="15" t="s">
        <v>104</v>
      </c>
      <c r="F38" s="15" t="s">
        <v>51</v>
      </c>
      <c r="G38" s="28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47</v>
      </c>
      <c r="B39" s="19" t="s">
        <v>271</v>
      </c>
      <c r="C39" s="20">
        <v>0.79861111111111116</v>
      </c>
      <c r="D39" s="19" t="s">
        <v>49</v>
      </c>
      <c r="E39" s="19" t="s">
        <v>72</v>
      </c>
      <c r="F39" s="19" t="s">
        <v>269</v>
      </c>
      <c r="G39" s="282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5" t="s">
        <v>47</v>
      </c>
      <c r="B40" s="15" t="s">
        <v>271</v>
      </c>
      <c r="C40" s="16">
        <v>0.79861111111111116</v>
      </c>
      <c r="D40" s="15" t="s">
        <v>52</v>
      </c>
      <c r="E40" s="15" t="s">
        <v>73</v>
      </c>
      <c r="F40" s="15" t="s">
        <v>270</v>
      </c>
      <c r="G40" s="282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47</v>
      </c>
      <c r="B41" s="15" t="s">
        <v>271</v>
      </c>
      <c r="C41" s="16">
        <v>0.79861111111111116</v>
      </c>
      <c r="D41" s="15" t="s">
        <v>55</v>
      </c>
      <c r="E41" s="15" t="s">
        <v>73</v>
      </c>
      <c r="F41" s="15" t="s">
        <v>51</v>
      </c>
      <c r="G41" s="282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7" t="s">
        <v>272</v>
      </c>
      <c r="B42" s="17" t="s">
        <v>273</v>
      </c>
      <c r="C42" s="18">
        <v>0.29166666666666669</v>
      </c>
      <c r="D42" s="17" t="s">
        <v>274</v>
      </c>
      <c r="E42" s="17" t="s">
        <v>50</v>
      </c>
      <c r="F42" s="17" t="s">
        <v>275</v>
      </c>
      <c r="G42" s="282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272</v>
      </c>
      <c r="B43" s="19" t="s">
        <v>276</v>
      </c>
      <c r="C43" s="20">
        <v>0.59375</v>
      </c>
      <c r="D43" s="19" t="s">
        <v>274</v>
      </c>
      <c r="E43" s="19" t="s">
        <v>41</v>
      </c>
      <c r="F43" s="19" t="s">
        <v>275</v>
      </c>
      <c r="G43" s="282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53" t="s">
        <v>76</v>
      </c>
      <c r="B44" s="53" t="s">
        <v>277</v>
      </c>
      <c r="C44" s="54">
        <v>4.8611111111111112E-2</v>
      </c>
      <c r="D44" s="53" t="s">
        <v>78</v>
      </c>
      <c r="E44" s="53" t="s">
        <v>38</v>
      </c>
      <c r="F44" s="53" t="s">
        <v>278</v>
      </c>
      <c r="G44" s="282"/>
      <c r="H44" s="55" t="s">
        <v>279</v>
      </c>
      <c r="I44" s="164">
        <v>0.51959999999999995</v>
      </c>
      <c r="J44" s="57">
        <v>93</v>
      </c>
      <c r="K44" s="58">
        <v>45986</v>
      </c>
      <c r="L44" s="57">
        <v>9</v>
      </c>
      <c r="M44" s="57">
        <v>0</v>
      </c>
      <c r="N44" s="57">
        <v>3</v>
      </c>
      <c r="O44" s="59" t="s">
        <v>280</v>
      </c>
      <c r="P44" s="60">
        <v>4.8611111111111112E-2</v>
      </c>
      <c r="Q44" s="57">
        <v>179</v>
      </c>
      <c r="R44" s="61" t="s">
        <v>281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65" t="s">
        <v>76</v>
      </c>
      <c r="B45" s="165" t="s">
        <v>282</v>
      </c>
      <c r="C45" s="166">
        <v>0.36458333333333331</v>
      </c>
      <c r="D45" s="165" t="s">
        <v>78</v>
      </c>
      <c r="E45" s="165" t="s">
        <v>41</v>
      </c>
      <c r="F45" s="165" t="s">
        <v>278</v>
      </c>
      <c r="G45" s="282"/>
      <c r="H45" s="167" t="s">
        <v>283</v>
      </c>
      <c r="I45" s="168">
        <v>0.46929999999999999</v>
      </c>
      <c r="J45" s="169">
        <v>84</v>
      </c>
      <c r="K45" s="170">
        <v>45986</v>
      </c>
      <c r="L45" s="169">
        <v>48</v>
      </c>
      <c r="M45" s="169">
        <v>0</v>
      </c>
      <c r="N45" s="169">
        <v>18</v>
      </c>
      <c r="O45" s="171" t="s">
        <v>280</v>
      </c>
      <c r="P45" s="172">
        <v>0.36458333333333331</v>
      </c>
      <c r="Q45" s="169">
        <v>179</v>
      </c>
      <c r="R45" s="173" t="s">
        <v>284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74" t="s">
        <v>76</v>
      </c>
      <c r="B46" s="174" t="s">
        <v>285</v>
      </c>
      <c r="C46" s="175">
        <v>0.25347222222222221</v>
      </c>
      <c r="D46" s="174" t="s">
        <v>78</v>
      </c>
      <c r="E46" s="174" t="s">
        <v>41</v>
      </c>
      <c r="F46" s="174" t="s">
        <v>278</v>
      </c>
      <c r="G46" s="282"/>
      <c r="H46" s="55" t="s">
        <v>286</v>
      </c>
      <c r="I46" s="164">
        <v>0.4022</v>
      </c>
      <c r="J46" s="57">
        <v>72</v>
      </c>
      <c r="K46" s="58">
        <v>45985</v>
      </c>
      <c r="L46" s="57">
        <v>24</v>
      </c>
      <c r="M46" s="57">
        <v>0</v>
      </c>
      <c r="N46" s="57">
        <v>0</v>
      </c>
      <c r="O46" s="59" t="s">
        <v>280</v>
      </c>
      <c r="P46" s="60">
        <v>0.25347222222222221</v>
      </c>
      <c r="Q46" s="57">
        <v>179</v>
      </c>
      <c r="R46" s="61" t="s">
        <v>287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76" t="s">
        <v>76</v>
      </c>
      <c r="B47" s="176" t="s">
        <v>288</v>
      </c>
      <c r="C47" s="177">
        <v>0.1145833333333333</v>
      </c>
      <c r="D47" s="176" t="s">
        <v>78</v>
      </c>
      <c r="E47" s="176" t="s">
        <v>41</v>
      </c>
      <c r="F47" s="176" t="s">
        <v>278</v>
      </c>
      <c r="G47" s="282"/>
      <c r="H47" s="178" t="s">
        <v>289</v>
      </c>
      <c r="I47" s="179">
        <v>0.29049999999999998</v>
      </c>
      <c r="J47" s="180">
        <v>52</v>
      </c>
      <c r="K47" s="181">
        <v>45986</v>
      </c>
      <c r="L47" s="180">
        <v>12</v>
      </c>
      <c r="M47" s="180">
        <v>0</v>
      </c>
      <c r="N47" s="180">
        <v>2</v>
      </c>
      <c r="O47" s="182" t="s">
        <v>280</v>
      </c>
      <c r="P47" s="183">
        <v>0.1145833333333333</v>
      </c>
      <c r="Q47" s="180">
        <v>179</v>
      </c>
      <c r="R47" s="184" t="s">
        <v>290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74" t="s">
        <v>76</v>
      </c>
      <c r="B48" s="174" t="s">
        <v>291</v>
      </c>
      <c r="C48" s="175">
        <v>0.33333333333333331</v>
      </c>
      <c r="D48" s="174" t="s">
        <v>78</v>
      </c>
      <c r="E48" s="174" t="s">
        <v>41</v>
      </c>
      <c r="F48" s="174" t="s">
        <v>278</v>
      </c>
      <c r="G48" s="282"/>
      <c r="H48" s="55" t="s">
        <v>292</v>
      </c>
      <c r="I48" s="162">
        <v>0.82120000000000004</v>
      </c>
      <c r="J48" s="57">
        <v>147</v>
      </c>
      <c r="K48" s="58">
        <v>45986</v>
      </c>
      <c r="L48" s="57">
        <v>4</v>
      </c>
      <c r="M48" s="57">
        <v>0</v>
      </c>
      <c r="N48" s="57">
        <v>2</v>
      </c>
      <c r="O48" s="59" t="s">
        <v>280</v>
      </c>
      <c r="P48" s="60">
        <v>0.33333333333333331</v>
      </c>
      <c r="Q48" s="57">
        <v>179</v>
      </c>
      <c r="R48" s="61" t="s">
        <v>293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65" t="s">
        <v>76</v>
      </c>
      <c r="B49" s="165" t="s">
        <v>294</v>
      </c>
      <c r="C49" s="166">
        <v>0.73958333333333337</v>
      </c>
      <c r="D49" s="165" t="s">
        <v>78</v>
      </c>
      <c r="E49" s="165" t="s">
        <v>41</v>
      </c>
      <c r="F49" s="165" t="s">
        <v>295</v>
      </c>
      <c r="G49" s="282"/>
      <c r="H49" s="167" t="s">
        <v>296</v>
      </c>
      <c r="I49" s="185">
        <v>0.78210000000000002</v>
      </c>
      <c r="J49" s="169">
        <v>140</v>
      </c>
      <c r="K49" s="170">
        <v>45986</v>
      </c>
      <c r="L49" s="169">
        <v>64</v>
      </c>
      <c r="M49" s="169">
        <v>0</v>
      </c>
      <c r="N49" s="169">
        <v>6</v>
      </c>
      <c r="O49" s="171" t="s">
        <v>158</v>
      </c>
      <c r="P49" s="172">
        <v>0.73958333333333337</v>
      </c>
      <c r="Q49" s="169">
        <v>179</v>
      </c>
      <c r="R49" s="173" t="s">
        <v>297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76" t="s">
        <v>76</v>
      </c>
      <c r="B50" s="176" t="s">
        <v>298</v>
      </c>
      <c r="C50" s="177">
        <v>0.58333333333333337</v>
      </c>
      <c r="D50" s="176" t="s">
        <v>105</v>
      </c>
      <c r="E50" s="186"/>
      <c r="F50" s="176" t="s">
        <v>106</v>
      </c>
      <c r="G50" s="282"/>
      <c r="H50" s="178" t="s">
        <v>298</v>
      </c>
      <c r="I50" s="187">
        <v>1</v>
      </c>
      <c r="J50" s="180">
        <v>179</v>
      </c>
      <c r="K50" s="181">
        <v>45986</v>
      </c>
      <c r="L50" s="180">
        <v>56</v>
      </c>
      <c r="M50" s="180">
        <v>0</v>
      </c>
      <c r="N50" s="180">
        <v>2</v>
      </c>
      <c r="O50" s="182" t="s">
        <v>107</v>
      </c>
      <c r="P50" s="183">
        <v>0.58333333333333337</v>
      </c>
      <c r="Q50" s="180">
        <v>179</v>
      </c>
      <c r="R50" s="184" t="s">
        <v>299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7" t="s">
        <v>300</v>
      </c>
      <c r="B51" s="17" t="s">
        <v>301</v>
      </c>
      <c r="C51" s="18">
        <v>0.66666666666666663</v>
      </c>
      <c r="D51" s="17" t="s">
        <v>274</v>
      </c>
      <c r="E51" s="17" t="s">
        <v>50</v>
      </c>
      <c r="F51" s="17" t="s">
        <v>278</v>
      </c>
      <c r="G51" s="282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7" t="s">
        <v>302</v>
      </c>
      <c r="B52" s="17" t="s">
        <v>303</v>
      </c>
      <c r="C52" s="18">
        <v>0.3298611111111111</v>
      </c>
      <c r="D52" s="17" t="s">
        <v>304</v>
      </c>
      <c r="E52" s="17" t="s">
        <v>109</v>
      </c>
      <c r="F52" s="17" t="s">
        <v>305</v>
      </c>
      <c r="G52" s="282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5" t="s">
        <v>302</v>
      </c>
      <c r="B53" s="15" t="s">
        <v>303</v>
      </c>
      <c r="C53" s="16">
        <v>0.3298611111111111</v>
      </c>
      <c r="D53" s="15" t="s">
        <v>33</v>
      </c>
      <c r="E53" s="15" t="s">
        <v>111</v>
      </c>
      <c r="F53" s="15" t="s">
        <v>306</v>
      </c>
      <c r="G53" s="2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7" t="s">
        <v>35</v>
      </c>
      <c r="B54" s="17" t="s">
        <v>307</v>
      </c>
      <c r="C54" s="18">
        <v>1.388888888888889E-2</v>
      </c>
      <c r="D54" s="17" t="s">
        <v>308</v>
      </c>
      <c r="E54" s="17" t="s">
        <v>38</v>
      </c>
      <c r="F54" s="17" t="s">
        <v>309</v>
      </c>
      <c r="G54" s="2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35</v>
      </c>
      <c r="B55" s="19" t="s">
        <v>310</v>
      </c>
      <c r="C55" s="20">
        <v>0.4861111111111111</v>
      </c>
      <c r="D55" s="19" t="s">
        <v>308</v>
      </c>
      <c r="E55" s="19" t="s">
        <v>41</v>
      </c>
      <c r="F55" s="19" t="s">
        <v>309</v>
      </c>
      <c r="G55" s="2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35</v>
      </c>
      <c r="B56" s="19" t="s">
        <v>311</v>
      </c>
      <c r="C56" s="20">
        <v>0.14583333333333329</v>
      </c>
      <c r="D56" s="19" t="s">
        <v>308</v>
      </c>
      <c r="E56" s="19" t="s">
        <v>41</v>
      </c>
      <c r="F56" s="19" t="s">
        <v>309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35</v>
      </c>
      <c r="B57" s="19" t="s">
        <v>312</v>
      </c>
      <c r="C57" s="20">
        <v>0.27777777777777779</v>
      </c>
      <c r="D57" s="19" t="s">
        <v>308</v>
      </c>
      <c r="E57" s="19" t="s">
        <v>41</v>
      </c>
      <c r="F57" s="19" t="s">
        <v>309</v>
      </c>
      <c r="G57" s="2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35</v>
      </c>
      <c r="B58" s="19" t="s">
        <v>313</v>
      </c>
      <c r="C58" s="20">
        <v>0.51388888888888895</v>
      </c>
      <c r="D58" s="19" t="s">
        <v>308</v>
      </c>
      <c r="E58" s="19" t="s">
        <v>41</v>
      </c>
      <c r="F58" s="19" t="s">
        <v>309</v>
      </c>
      <c r="G58" s="28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35</v>
      </c>
      <c r="B59" s="19" t="s">
        <v>314</v>
      </c>
      <c r="C59" s="20">
        <v>0.95833333333333337</v>
      </c>
      <c r="D59" s="19" t="s">
        <v>308</v>
      </c>
      <c r="E59" s="19" t="s">
        <v>41</v>
      </c>
      <c r="F59" s="19" t="s">
        <v>309</v>
      </c>
      <c r="G59" s="282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35</v>
      </c>
      <c r="B60" s="19" t="s">
        <v>315</v>
      </c>
      <c r="C60" s="20">
        <v>0.22222222222222221</v>
      </c>
      <c r="D60" s="19" t="s">
        <v>308</v>
      </c>
      <c r="E60" s="19" t="s">
        <v>41</v>
      </c>
      <c r="F60" s="19" t="s">
        <v>309</v>
      </c>
      <c r="G60" s="282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35</v>
      </c>
      <c r="B61" s="19" t="s">
        <v>316</v>
      </c>
      <c r="C61" s="20">
        <v>0.77430555555555547</v>
      </c>
      <c r="D61" s="19" t="s">
        <v>37</v>
      </c>
      <c r="E61" s="19" t="s">
        <v>41</v>
      </c>
      <c r="F61" s="19" t="s">
        <v>317</v>
      </c>
      <c r="G61" s="282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7" t="s">
        <v>63</v>
      </c>
      <c r="B62" s="17" t="s">
        <v>318</v>
      </c>
      <c r="C62" s="18">
        <v>0.24305555555555561</v>
      </c>
      <c r="D62" s="17" t="s">
        <v>65</v>
      </c>
      <c r="E62" s="17" t="s">
        <v>38</v>
      </c>
      <c r="F62" s="17" t="s">
        <v>319</v>
      </c>
      <c r="G62" s="282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5" t="s">
        <v>63</v>
      </c>
      <c r="B63" s="15" t="s">
        <v>318</v>
      </c>
      <c r="C63" s="16">
        <v>0.24305555555555561</v>
      </c>
      <c r="D63" s="15" t="s">
        <v>67</v>
      </c>
      <c r="E63" s="15" t="s">
        <v>68</v>
      </c>
      <c r="F63" s="15" t="s">
        <v>320</v>
      </c>
      <c r="G63" s="28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63</v>
      </c>
      <c r="B64" s="19" t="s">
        <v>321</v>
      </c>
      <c r="C64" s="20">
        <v>0.1423611111111111</v>
      </c>
      <c r="D64" s="19" t="s">
        <v>65</v>
      </c>
      <c r="E64" s="19" t="s">
        <v>41</v>
      </c>
      <c r="F64" s="19" t="s">
        <v>319</v>
      </c>
      <c r="G64" s="282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63</v>
      </c>
      <c r="B65" s="15" t="s">
        <v>321</v>
      </c>
      <c r="C65" s="16">
        <v>0.1423611111111111</v>
      </c>
      <c r="D65" s="15" t="s">
        <v>67</v>
      </c>
      <c r="E65" s="15" t="s">
        <v>68</v>
      </c>
      <c r="F65" s="15" t="s">
        <v>320</v>
      </c>
      <c r="G65" s="282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63</v>
      </c>
      <c r="B66" s="19" t="s">
        <v>322</v>
      </c>
      <c r="C66" s="20">
        <v>0.37847222222222232</v>
      </c>
      <c r="D66" s="19" t="s">
        <v>65</v>
      </c>
      <c r="E66" s="19" t="s">
        <v>41</v>
      </c>
      <c r="F66" s="19" t="s">
        <v>323</v>
      </c>
      <c r="G66" s="282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5" t="s">
        <v>63</v>
      </c>
      <c r="B67" s="15" t="s">
        <v>322</v>
      </c>
      <c r="C67" s="16">
        <v>0.37847222222222232</v>
      </c>
      <c r="D67" s="15" t="s">
        <v>67</v>
      </c>
      <c r="E67" s="15" t="s">
        <v>68</v>
      </c>
      <c r="F67" s="15" t="s">
        <v>324</v>
      </c>
      <c r="G67" s="282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63</v>
      </c>
      <c r="B68" s="19" t="s">
        <v>325</v>
      </c>
      <c r="C68" s="20">
        <v>6.9444444444444441E-3</v>
      </c>
      <c r="D68" s="19" t="s">
        <v>65</v>
      </c>
      <c r="E68" s="19" t="s">
        <v>41</v>
      </c>
      <c r="F68" s="19" t="s">
        <v>323</v>
      </c>
      <c r="G68" s="282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5" t="s">
        <v>63</v>
      </c>
      <c r="B69" s="15" t="s">
        <v>325</v>
      </c>
      <c r="C69" s="16">
        <v>6.9444444444444441E-3</v>
      </c>
      <c r="D69" s="15" t="s">
        <v>67</v>
      </c>
      <c r="E69" s="15" t="s">
        <v>68</v>
      </c>
      <c r="F69" s="15" t="s">
        <v>324</v>
      </c>
      <c r="G69" s="282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63</v>
      </c>
      <c r="B70" s="19" t="s">
        <v>326</v>
      </c>
      <c r="C70" s="20">
        <v>0.88888888888888884</v>
      </c>
      <c r="D70" s="19" t="s">
        <v>67</v>
      </c>
      <c r="E70" s="19" t="s">
        <v>58</v>
      </c>
      <c r="F70" s="19" t="s">
        <v>327</v>
      </c>
      <c r="G70" s="28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9" t="s">
        <v>63</v>
      </c>
      <c r="B71" s="19" t="s">
        <v>328</v>
      </c>
      <c r="C71" s="20">
        <v>0.30208333333333331</v>
      </c>
      <c r="D71" s="19" t="s">
        <v>67</v>
      </c>
      <c r="E71" s="19" t="s">
        <v>58</v>
      </c>
      <c r="F71" s="19" t="s">
        <v>327</v>
      </c>
      <c r="G71" s="28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9" t="s">
        <v>63</v>
      </c>
      <c r="B72" s="19" t="s">
        <v>329</v>
      </c>
      <c r="C72" s="20">
        <v>0.12847222222222221</v>
      </c>
      <c r="D72" s="19" t="s">
        <v>67</v>
      </c>
      <c r="E72" s="19" t="s">
        <v>58</v>
      </c>
      <c r="F72" s="19" t="s">
        <v>327</v>
      </c>
      <c r="G72" s="2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9" t="s">
        <v>63</v>
      </c>
      <c r="B73" s="19" t="s">
        <v>330</v>
      </c>
      <c r="C73" s="20">
        <v>0.71875</v>
      </c>
      <c r="D73" s="19" t="s">
        <v>65</v>
      </c>
      <c r="E73" s="19" t="s">
        <v>41</v>
      </c>
      <c r="F73" s="19" t="s">
        <v>331</v>
      </c>
      <c r="G73" s="28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63</v>
      </c>
      <c r="B74" s="15" t="s">
        <v>330</v>
      </c>
      <c r="C74" s="16">
        <v>0.71875</v>
      </c>
      <c r="D74" s="15" t="s">
        <v>67</v>
      </c>
      <c r="E74" s="15" t="s">
        <v>68</v>
      </c>
      <c r="F74" s="15" t="s">
        <v>332</v>
      </c>
      <c r="G74" s="28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63</v>
      </c>
      <c r="B75" s="19" t="s">
        <v>333</v>
      </c>
      <c r="C75" s="20">
        <v>0.78819444444444453</v>
      </c>
      <c r="D75" s="19" t="s">
        <v>67</v>
      </c>
      <c r="E75" s="19" t="s">
        <v>58</v>
      </c>
      <c r="F75" s="19" t="s">
        <v>334</v>
      </c>
      <c r="G75" s="28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9" t="s">
        <v>63</v>
      </c>
      <c r="B76" s="19" t="s">
        <v>335</v>
      </c>
      <c r="C76" s="20">
        <v>0.93055555555555547</v>
      </c>
      <c r="D76" s="19" t="s">
        <v>65</v>
      </c>
      <c r="E76" s="19" t="s">
        <v>41</v>
      </c>
      <c r="F76" s="19" t="s">
        <v>336</v>
      </c>
      <c r="G76" s="28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63</v>
      </c>
      <c r="B77" s="15" t="s">
        <v>335</v>
      </c>
      <c r="C77" s="16">
        <v>0.93055555555555547</v>
      </c>
      <c r="D77" s="15" t="s">
        <v>67</v>
      </c>
      <c r="E77" s="15" t="s">
        <v>68</v>
      </c>
      <c r="F77" s="15" t="s">
        <v>337</v>
      </c>
      <c r="G77" s="282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63</v>
      </c>
      <c r="B78" s="19" t="s">
        <v>338</v>
      </c>
      <c r="C78" s="20">
        <v>0.82986111111111116</v>
      </c>
      <c r="D78" s="19" t="s">
        <v>65</v>
      </c>
      <c r="E78" s="19" t="s">
        <v>41</v>
      </c>
      <c r="F78" s="19" t="s">
        <v>339</v>
      </c>
      <c r="G78" s="28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63</v>
      </c>
      <c r="B79" s="15" t="s">
        <v>338</v>
      </c>
      <c r="C79" s="16">
        <v>0.82986111111111116</v>
      </c>
      <c r="D79" s="15" t="s">
        <v>67</v>
      </c>
      <c r="E79" s="15" t="s">
        <v>68</v>
      </c>
      <c r="F79" s="15" t="s">
        <v>340</v>
      </c>
      <c r="G79" s="28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63</v>
      </c>
      <c r="B80" s="19" t="s">
        <v>341</v>
      </c>
      <c r="C80" s="20">
        <v>0.61111111111111105</v>
      </c>
      <c r="D80" s="19" t="s">
        <v>65</v>
      </c>
      <c r="E80" s="19" t="s">
        <v>259</v>
      </c>
      <c r="F80" s="19" t="s">
        <v>342</v>
      </c>
      <c r="G80" s="28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88" t="s">
        <v>63</v>
      </c>
      <c r="B81" s="188" t="s">
        <v>341</v>
      </c>
      <c r="C81" s="189">
        <v>0.61111111111111105</v>
      </c>
      <c r="D81" s="188" t="s">
        <v>67</v>
      </c>
      <c r="E81" s="188" t="s">
        <v>260</v>
      </c>
      <c r="F81" s="188" t="s">
        <v>343</v>
      </c>
      <c r="G81" s="283"/>
      <c r="H81" s="38"/>
      <c r="I81" s="39"/>
      <c r="J81" s="39"/>
      <c r="K81" s="39"/>
      <c r="L81" s="39"/>
      <c r="M81" s="39"/>
      <c r="N81" s="39"/>
      <c r="O81" s="40"/>
      <c r="P81" s="39"/>
      <c r="Q81" s="41"/>
      <c r="R81" s="42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4.4" customHeight="1" x14ac:dyDescent="0.3">
      <c r="A82" s="275"/>
      <c r="B82" s="276"/>
      <c r="C82" s="276"/>
      <c r="D82" s="276"/>
      <c r="E82" s="276"/>
      <c r="F82" s="276"/>
      <c r="G82" s="277"/>
      <c r="H82" s="278"/>
      <c r="I82" s="278"/>
      <c r="J82" s="278"/>
      <c r="K82" s="278"/>
      <c r="L82" s="278"/>
      <c r="M82" s="278"/>
      <c r="N82" s="278"/>
      <c r="O82" s="279"/>
      <c r="P82" s="278"/>
      <c r="Q82" s="277"/>
      <c r="R82" s="280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22.05" customHeight="1" x14ac:dyDescent="0.3">
      <c r="A83" s="289" t="s">
        <v>5</v>
      </c>
      <c r="B83" s="290"/>
      <c r="C83" s="290"/>
      <c r="D83" s="290"/>
      <c r="E83" s="290"/>
      <c r="F83" s="290"/>
      <c r="G83" s="5">
        <v>45989</v>
      </c>
      <c r="H83" s="286" t="s">
        <v>6</v>
      </c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24" customHeight="1" x14ac:dyDescent="0.3">
      <c r="A84" s="30" t="s">
        <v>7</v>
      </c>
      <c r="B84" s="30" t="s">
        <v>8</v>
      </c>
      <c r="C84" s="31" t="s">
        <v>9</v>
      </c>
      <c r="D84" s="30" t="s">
        <v>10</v>
      </c>
      <c r="E84" s="30" t="s">
        <v>11</v>
      </c>
      <c r="F84" s="30" t="s">
        <v>12</v>
      </c>
      <c r="G84" s="32" t="s">
        <v>13</v>
      </c>
      <c r="H84" s="30" t="s">
        <v>14</v>
      </c>
      <c r="I84" s="33" t="s">
        <v>15</v>
      </c>
      <c r="J84" s="34" t="s">
        <v>16</v>
      </c>
      <c r="K84" s="35" t="s">
        <v>17</v>
      </c>
      <c r="L84" s="34" t="s">
        <v>18</v>
      </c>
      <c r="M84" s="34" t="s">
        <v>19</v>
      </c>
      <c r="N84" s="34" t="s">
        <v>20</v>
      </c>
      <c r="O84" s="30" t="s">
        <v>21</v>
      </c>
      <c r="P84" s="31" t="s">
        <v>22</v>
      </c>
      <c r="Q84" s="34" t="s">
        <v>23</v>
      </c>
      <c r="R84" s="30" t="s">
        <v>24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8" t="s">
        <v>25</v>
      </c>
      <c r="B85" s="8" t="s">
        <v>239</v>
      </c>
      <c r="C85" s="9">
        <v>0.30208333333333331</v>
      </c>
      <c r="D85" s="8" t="s">
        <v>27</v>
      </c>
      <c r="E85" s="8" t="s">
        <v>86</v>
      </c>
      <c r="F85" s="8" t="s">
        <v>241</v>
      </c>
      <c r="G85" s="281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5" t="s">
        <v>25</v>
      </c>
      <c r="B86" s="15" t="s">
        <v>239</v>
      </c>
      <c r="C86" s="16">
        <v>0.30208333333333331</v>
      </c>
      <c r="D86" s="15" t="s">
        <v>30</v>
      </c>
      <c r="E86" s="15" t="s">
        <v>88</v>
      </c>
      <c r="F86" s="15" t="s">
        <v>243</v>
      </c>
      <c r="G86" s="282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5" t="s">
        <v>25</v>
      </c>
      <c r="B87" s="15" t="s">
        <v>239</v>
      </c>
      <c r="C87" s="16">
        <v>0.30208333333333331</v>
      </c>
      <c r="D87" s="15" t="s">
        <v>33</v>
      </c>
      <c r="E87" s="15" t="s">
        <v>88</v>
      </c>
      <c r="F87" s="15" t="s">
        <v>34</v>
      </c>
      <c r="G87" s="282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9" t="s">
        <v>25</v>
      </c>
      <c r="B88" s="19" t="s">
        <v>244</v>
      </c>
      <c r="C88" s="20">
        <v>0.12847222222222221</v>
      </c>
      <c r="D88" s="19" t="s">
        <v>27</v>
      </c>
      <c r="E88" s="19" t="s">
        <v>344</v>
      </c>
      <c r="F88" s="19" t="s">
        <v>252</v>
      </c>
      <c r="G88" s="282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5" t="s">
        <v>25</v>
      </c>
      <c r="B89" s="15" t="s">
        <v>244</v>
      </c>
      <c r="C89" s="16">
        <v>0.12847222222222221</v>
      </c>
      <c r="D89" s="15" t="s">
        <v>30</v>
      </c>
      <c r="E89" s="15" t="s">
        <v>85</v>
      </c>
      <c r="F89" s="15" t="s">
        <v>254</v>
      </c>
      <c r="G89" s="282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5" t="s">
        <v>25</v>
      </c>
      <c r="B90" s="15" t="s">
        <v>244</v>
      </c>
      <c r="C90" s="16">
        <v>0.12847222222222221</v>
      </c>
      <c r="D90" s="15" t="s">
        <v>33</v>
      </c>
      <c r="E90" s="15" t="s">
        <v>85</v>
      </c>
      <c r="F90" s="15" t="s">
        <v>34</v>
      </c>
      <c r="G90" s="282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9" t="s">
        <v>25</v>
      </c>
      <c r="B91" s="19" t="s">
        <v>250</v>
      </c>
      <c r="C91" s="20">
        <v>0.78819444444444453</v>
      </c>
      <c r="D91" s="19" t="s">
        <v>27</v>
      </c>
      <c r="E91" s="19" t="s">
        <v>248</v>
      </c>
      <c r="F91" s="19" t="s">
        <v>252</v>
      </c>
      <c r="G91" s="282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5" t="s">
        <v>25</v>
      </c>
      <c r="B92" s="15" t="s">
        <v>250</v>
      </c>
      <c r="C92" s="16">
        <v>0.78819444444444453</v>
      </c>
      <c r="D92" s="15" t="s">
        <v>30</v>
      </c>
      <c r="E92" s="15" t="s">
        <v>249</v>
      </c>
      <c r="F92" s="15" t="s">
        <v>254</v>
      </c>
      <c r="G92" s="282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25</v>
      </c>
      <c r="B93" s="15" t="s">
        <v>250</v>
      </c>
      <c r="C93" s="16">
        <v>0.78819444444444453</v>
      </c>
      <c r="D93" s="15" t="s">
        <v>33</v>
      </c>
      <c r="E93" s="15" t="s">
        <v>249</v>
      </c>
      <c r="F93" s="15" t="s">
        <v>34</v>
      </c>
      <c r="G93" s="282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9" t="s">
        <v>25</v>
      </c>
      <c r="B94" s="19" t="s">
        <v>247</v>
      </c>
      <c r="C94" s="20">
        <v>0.88888888888888884</v>
      </c>
      <c r="D94" s="19" t="s">
        <v>27</v>
      </c>
      <c r="E94" s="19" t="s">
        <v>345</v>
      </c>
      <c r="F94" s="19" t="s">
        <v>346</v>
      </c>
      <c r="G94" s="282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5" t="s">
        <v>25</v>
      </c>
      <c r="B95" s="15" t="s">
        <v>247</v>
      </c>
      <c r="C95" s="16">
        <v>0.88888888888888884</v>
      </c>
      <c r="D95" s="15" t="s">
        <v>30</v>
      </c>
      <c r="E95" s="15" t="s">
        <v>347</v>
      </c>
      <c r="F95" s="15" t="s">
        <v>348</v>
      </c>
      <c r="G95" s="282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5" t="s">
        <v>25</v>
      </c>
      <c r="B96" s="15" t="s">
        <v>247</v>
      </c>
      <c r="C96" s="16">
        <v>0.88888888888888884</v>
      </c>
      <c r="D96" s="15" t="s">
        <v>33</v>
      </c>
      <c r="E96" s="15" t="s">
        <v>347</v>
      </c>
      <c r="F96" s="15" t="s">
        <v>34</v>
      </c>
      <c r="G96" s="282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7" t="s">
        <v>300</v>
      </c>
      <c r="B97" s="17" t="s">
        <v>301</v>
      </c>
      <c r="C97" s="18">
        <v>0.66666666666666663</v>
      </c>
      <c r="D97" s="17" t="s">
        <v>274</v>
      </c>
      <c r="E97" s="17" t="s">
        <v>50</v>
      </c>
      <c r="F97" s="17" t="s">
        <v>278</v>
      </c>
      <c r="G97" s="282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7" t="s">
        <v>47</v>
      </c>
      <c r="B98" s="17" t="s">
        <v>255</v>
      </c>
      <c r="C98" s="18">
        <v>0.25694444444444448</v>
      </c>
      <c r="D98" s="17" t="s">
        <v>49</v>
      </c>
      <c r="E98" s="17" t="s">
        <v>109</v>
      </c>
      <c r="F98" s="17" t="s">
        <v>263</v>
      </c>
      <c r="G98" s="282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5" t="s">
        <v>47</v>
      </c>
      <c r="B99" s="15" t="s">
        <v>255</v>
      </c>
      <c r="C99" s="16">
        <v>0.25694444444444448</v>
      </c>
      <c r="D99" s="15" t="s">
        <v>52</v>
      </c>
      <c r="E99" s="15" t="s">
        <v>111</v>
      </c>
      <c r="F99" s="15" t="s">
        <v>243</v>
      </c>
      <c r="G99" s="282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5" t="s">
        <v>47</v>
      </c>
      <c r="B100" s="15" t="s">
        <v>255</v>
      </c>
      <c r="C100" s="16">
        <v>0.25694444444444448</v>
      </c>
      <c r="D100" s="15" t="s">
        <v>55</v>
      </c>
      <c r="E100" s="15" t="s">
        <v>111</v>
      </c>
      <c r="F100" s="15" t="s">
        <v>264</v>
      </c>
      <c r="G100" s="282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9" t="s">
        <v>47</v>
      </c>
      <c r="B101" s="19" t="s">
        <v>268</v>
      </c>
      <c r="C101" s="20">
        <v>0.64583333333333337</v>
      </c>
      <c r="D101" s="19" t="s">
        <v>49</v>
      </c>
      <c r="E101" s="19" t="s">
        <v>58</v>
      </c>
      <c r="F101" s="19" t="s">
        <v>263</v>
      </c>
      <c r="G101" s="282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5" t="s">
        <v>47</v>
      </c>
      <c r="B102" s="15" t="s">
        <v>268</v>
      </c>
      <c r="C102" s="16">
        <v>0.64583333333333337</v>
      </c>
      <c r="D102" s="15" t="s">
        <v>52</v>
      </c>
      <c r="E102" s="15" t="s">
        <v>60</v>
      </c>
      <c r="F102" s="15" t="s">
        <v>243</v>
      </c>
      <c r="G102" s="282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47</v>
      </c>
      <c r="B103" s="15" t="s">
        <v>268</v>
      </c>
      <c r="C103" s="16">
        <v>0.64583333333333337</v>
      </c>
      <c r="D103" s="15" t="s">
        <v>55</v>
      </c>
      <c r="E103" s="15" t="s">
        <v>60</v>
      </c>
      <c r="F103" s="15" t="s">
        <v>264</v>
      </c>
      <c r="G103" s="282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9" t="s">
        <v>47</v>
      </c>
      <c r="B104" s="19" t="s">
        <v>265</v>
      </c>
      <c r="C104" s="20">
        <v>0.51736111111111105</v>
      </c>
      <c r="D104" s="19" t="s">
        <v>49</v>
      </c>
      <c r="E104" s="19" t="s">
        <v>262</v>
      </c>
      <c r="F104" s="19" t="s">
        <v>263</v>
      </c>
      <c r="G104" s="282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5" t="s">
        <v>47</v>
      </c>
      <c r="B105" s="15" t="s">
        <v>265</v>
      </c>
      <c r="C105" s="16">
        <v>0.51736111111111105</v>
      </c>
      <c r="D105" s="15" t="s">
        <v>52</v>
      </c>
      <c r="E105" s="15" t="s">
        <v>111</v>
      </c>
      <c r="F105" s="15" t="s">
        <v>243</v>
      </c>
      <c r="G105" s="282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5" t="s">
        <v>47</v>
      </c>
      <c r="B106" s="15" t="s">
        <v>265</v>
      </c>
      <c r="C106" s="16">
        <v>0.51736111111111105</v>
      </c>
      <c r="D106" s="15" t="s">
        <v>55</v>
      </c>
      <c r="E106" s="15" t="s">
        <v>111</v>
      </c>
      <c r="F106" s="15" t="s">
        <v>264</v>
      </c>
      <c r="G106" s="282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9" t="s">
        <v>47</v>
      </c>
      <c r="B107" s="19" t="s">
        <v>266</v>
      </c>
      <c r="C107" s="20">
        <v>0.85416666666666663</v>
      </c>
      <c r="D107" s="19" t="s">
        <v>49</v>
      </c>
      <c r="E107" s="19" t="s">
        <v>349</v>
      </c>
      <c r="F107" s="19" t="s">
        <v>263</v>
      </c>
      <c r="G107" s="282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5" t="s">
        <v>47</v>
      </c>
      <c r="B108" s="15" t="s">
        <v>266</v>
      </c>
      <c r="C108" s="16">
        <v>0.85416666666666663</v>
      </c>
      <c r="D108" s="15" t="s">
        <v>52</v>
      </c>
      <c r="E108" s="15" t="s">
        <v>88</v>
      </c>
      <c r="F108" s="15" t="s">
        <v>243</v>
      </c>
      <c r="G108" s="282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5" t="s">
        <v>47</v>
      </c>
      <c r="B109" s="15" t="s">
        <v>266</v>
      </c>
      <c r="C109" s="16">
        <v>0.85416666666666663</v>
      </c>
      <c r="D109" s="15" t="s">
        <v>55</v>
      </c>
      <c r="E109" s="15" t="s">
        <v>88</v>
      </c>
      <c r="F109" s="15" t="s">
        <v>264</v>
      </c>
      <c r="G109" s="282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9" t="s">
        <v>47</v>
      </c>
      <c r="B110" s="19" t="s">
        <v>258</v>
      </c>
      <c r="C110" s="20">
        <v>0.39583333333333331</v>
      </c>
      <c r="D110" s="19" t="s">
        <v>49</v>
      </c>
      <c r="E110" s="19" t="s">
        <v>262</v>
      </c>
      <c r="F110" s="19" t="s">
        <v>263</v>
      </c>
      <c r="G110" s="282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5" t="s">
        <v>47</v>
      </c>
      <c r="B111" s="15" t="s">
        <v>258</v>
      </c>
      <c r="C111" s="16">
        <v>0.39583333333333331</v>
      </c>
      <c r="D111" s="15" t="s">
        <v>52</v>
      </c>
      <c r="E111" s="15" t="s">
        <v>111</v>
      </c>
      <c r="F111" s="15" t="s">
        <v>243</v>
      </c>
      <c r="G111" s="282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5" t="s">
        <v>47</v>
      </c>
      <c r="B112" s="15" t="s">
        <v>258</v>
      </c>
      <c r="C112" s="16">
        <v>0.39583333333333331</v>
      </c>
      <c r="D112" s="15" t="s">
        <v>55</v>
      </c>
      <c r="E112" s="15" t="s">
        <v>111</v>
      </c>
      <c r="F112" s="15" t="s">
        <v>264</v>
      </c>
      <c r="G112" s="282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9" t="s">
        <v>47</v>
      </c>
      <c r="B113" s="19" t="s">
        <v>271</v>
      </c>
      <c r="C113" s="20">
        <v>0.79861111111111116</v>
      </c>
      <c r="D113" s="19" t="s">
        <v>49</v>
      </c>
      <c r="E113" s="19" t="s">
        <v>350</v>
      </c>
      <c r="F113" s="19" t="s">
        <v>263</v>
      </c>
      <c r="G113" s="282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5" t="s">
        <v>47</v>
      </c>
      <c r="B114" s="15" t="s">
        <v>271</v>
      </c>
      <c r="C114" s="16">
        <v>0.79861111111111116</v>
      </c>
      <c r="D114" s="15" t="s">
        <v>52</v>
      </c>
      <c r="E114" s="15" t="s">
        <v>351</v>
      </c>
      <c r="F114" s="15" t="s">
        <v>243</v>
      </c>
      <c r="G114" s="282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5" t="s">
        <v>47</v>
      </c>
      <c r="B115" s="15" t="s">
        <v>271</v>
      </c>
      <c r="C115" s="16">
        <v>0.79861111111111116</v>
      </c>
      <c r="D115" s="15" t="s">
        <v>55</v>
      </c>
      <c r="E115" s="15" t="s">
        <v>351</v>
      </c>
      <c r="F115" s="15" t="s">
        <v>264</v>
      </c>
      <c r="G115" s="282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9" t="s">
        <v>47</v>
      </c>
      <c r="B116" s="19" t="s">
        <v>261</v>
      </c>
      <c r="C116" s="20">
        <v>0.90277777777777779</v>
      </c>
      <c r="D116" s="19" t="s">
        <v>49</v>
      </c>
      <c r="E116" s="19" t="s">
        <v>262</v>
      </c>
      <c r="F116" s="19" t="s">
        <v>269</v>
      </c>
      <c r="G116" s="282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5" t="s">
        <v>47</v>
      </c>
      <c r="B117" s="15" t="s">
        <v>261</v>
      </c>
      <c r="C117" s="16">
        <v>0.90277777777777779</v>
      </c>
      <c r="D117" s="15" t="s">
        <v>52</v>
      </c>
      <c r="E117" s="15" t="s">
        <v>111</v>
      </c>
      <c r="F117" s="15" t="s">
        <v>270</v>
      </c>
      <c r="G117" s="282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5" t="s">
        <v>47</v>
      </c>
      <c r="B118" s="15" t="s">
        <v>261</v>
      </c>
      <c r="C118" s="16">
        <v>0.90277777777777779</v>
      </c>
      <c r="D118" s="15" t="s">
        <v>55</v>
      </c>
      <c r="E118" s="15" t="s">
        <v>111</v>
      </c>
      <c r="F118" s="15" t="s">
        <v>51</v>
      </c>
      <c r="G118" s="282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53" t="s">
        <v>76</v>
      </c>
      <c r="B119" s="53" t="s">
        <v>277</v>
      </c>
      <c r="C119" s="54">
        <v>0.1145833333333333</v>
      </c>
      <c r="D119" s="53" t="s">
        <v>78</v>
      </c>
      <c r="E119" s="53" t="s">
        <v>50</v>
      </c>
      <c r="F119" s="53" t="s">
        <v>295</v>
      </c>
      <c r="G119" s="282"/>
      <c r="H119" s="55" t="s">
        <v>279</v>
      </c>
      <c r="I119" s="164">
        <v>0.47489999999999999</v>
      </c>
      <c r="J119" s="57">
        <v>85</v>
      </c>
      <c r="K119" s="58">
        <v>45986</v>
      </c>
      <c r="L119" s="57">
        <v>49</v>
      </c>
      <c r="M119" s="57">
        <v>0</v>
      </c>
      <c r="N119" s="57">
        <v>10</v>
      </c>
      <c r="O119" s="59" t="s">
        <v>352</v>
      </c>
      <c r="P119" s="60">
        <v>0.1145833333333333</v>
      </c>
      <c r="Q119" s="57">
        <v>179</v>
      </c>
      <c r="R119" s="61" t="s">
        <v>353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90" t="s">
        <v>76</v>
      </c>
      <c r="B120" s="190" t="s">
        <v>354</v>
      </c>
      <c r="C120" s="191">
        <v>0.45833333333333331</v>
      </c>
      <c r="D120" s="190" t="s">
        <v>78</v>
      </c>
      <c r="E120" s="190" t="s">
        <v>103</v>
      </c>
      <c r="F120" s="190" t="s">
        <v>295</v>
      </c>
      <c r="G120" s="282"/>
      <c r="H120" s="145" t="s">
        <v>298</v>
      </c>
      <c r="I120" s="192">
        <v>0.5978</v>
      </c>
      <c r="J120" s="147">
        <v>107</v>
      </c>
      <c r="K120" s="148">
        <v>45986</v>
      </c>
      <c r="L120" s="147">
        <v>52</v>
      </c>
      <c r="M120" s="147">
        <v>0</v>
      </c>
      <c r="N120" s="147">
        <v>3</v>
      </c>
      <c r="O120" s="149" t="s">
        <v>355</v>
      </c>
      <c r="P120" s="150">
        <v>0.45833333333333331</v>
      </c>
      <c r="Q120" s="147">
        <v>179</v>
      </c>
      <c r="R120" s="151" t="s">
        <v>356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65" t="s">
        <v>76</v>
      </c>
      <c r="B121" s="165" t="s">
        <v>294</v>
      </c>
      <c r="C121" s="166">
        <v>0.61458333333333337</v>
      </c>
      <c r="D121" s="165" t="s">
        <v>78</v>
      </c>
      <c r="E121" s="165" t="s">
        <v>58</v>
      </c>
      <c r="F121" s="165" t="s">
        <v>295</v>
      </c>
      <c r="G121" s="282"/>
      <c r="H121" s="167" t="s">
        <v>296</v>
      </c>
      <c r="I121" s="185">
        <v>0.81010000000000004</v>
      </c>
      <c r="J121" s="169">
        <v>145</v>
      </c>
      <c r="K121" s="170">
        <v>45986</v>
      </c>
      <c r="L121" s="169">
        <v>40</v>
      </c>
      <c r="M121" s="169">
        <v>0</v>
      </c>
      <c r="N121" s="169">
        <v>2</v>
      </c>
      <c r="O121" s="171" t="s">
        <v>176</v>
      </c>
      <c r="P121" s="172">
        <v>0.61458333333333337</v>
      </c>
      <c r="Q121" s="169">
        <v>179</v>
      </c>
      <c r="R121" s="173" t="s">
        <v>357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174" t="s">
        <v>76</v>
      </c>
      <c r="B122" s="174" t="s">
        <v>288</v>
      </c>
      <c r="C122" s="175">
        <v>0.73611111111111116</v>
      </c>
      <c r="D122" s="174" t="s">
        <v>78</v>
      </c>
      <c r="E122" s="174" t="s">
        <v>350</v>
      </c>
      <c r="F122" s="174" t="s">
        <v>358</v>
      </c>
      <c r="G122" s="282"/>
      <c r="H122" s="55" t="s">
        <v>289</v>
      </c>
      <c r="I122" s="162">
        <v>0.60340000000000005</v>
      </c>
      <c r="J122" s="57">
        <v>108</v>
      </c>
      <c r="K122" s="58">
        <v>45985</v>
      </c>
      <c r="L122" s="57">
        <v>56</v>
      </c>
      <c r="M122" s="57">
        <v>0</v>
      </c>
      <c r="N122" s="57">
        <v>0</v>
      </c>
      <c r="O122" s="59" t="s">
        <v>359</v>
      </c>
      <c r="P122" s="60">
        <v>0.73611111111111116</v>
      </c>
      <c r="Q122" s="57">
        <v>179</v>
      </c>
      <c r="R122" s="61" t="s">
        <v>360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5" customHeight="1" x14ac:dyDescent="0.3">
      <c r="A123" s="165" t="s">
        <v>76</v>
      </c>
      <c r="B123" s="165" t="s">
        <v>291</v>
      </c>
      <c r="C123" s="166">
        <v>0.31944444444444448</v>
      </c>
      <c r="D123" s="165" t="s">
        <v>78</v>
      </c>
      <c r="E123" s="165" t="s">
        <v>41</v>
      </c>
      <c r="F123" s="165" t="s">
        <v>358</v>
      </c>
      <c r="G123" s="282"/>
      <c r="H123" s="167" t="s">
        <v>292</v>
      </c>
      <c r="I123" s="168">
        <v>0.49159999999999998</v>
      </c>
      <c r="J123" s="169">
        <v>88</v>
      </c>
      <c r="K123" s="170">
        <v>45986</v>
      </c>
      <c r="L123" s="169">
        <v>46</v>
      </c>
      <c r="M123" s="169">
        <v>0</v>
      </c>
      <c r="N123" s="169">
        <v>14</v>
      </c>
      <c r="O123" s="171" t="s">
        <v>361</v>
      </c>
      <c r="P123" s="172">
        <v>0.31944444444444448</v>
      </c>
      <c r="Q123" s="169">
        <v>179</v>
      </c>
      <c r="R123" s="173" t="s">
        <v>362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174" t="s">
        <v>76</v>
      </c>
      <c r="B124" s="174" t="s">
        <v>363</v>
      </c>
      <c r="C124" s="175">
        <v>0.9375</v>
      </c>
      <c r="D124" s="174" t="s">
        <v>105</v>
      </c>
      <c r="E124" s="193"/>
      <c r="F124" s="174" t="s">
        <v>106</v>
      </c>
      <c r="G124" s="282"/>
      <c r="H124" s="55" t="s">
        <v>363</v>
      </c>
      <c r="I124" s="56">
        <v>0.9385</v>
      </c>
      <c r="J124" s="57">
        <v>168</v>
      </c>
      <c r="K124" s="58">
        <v>45984</v>
      </c>
      <c r="L124" s="57">
        <v>6</v>
      </c>
      <c r="M124" s="57">
        <v>0</v>
      </c>
      <c r="N124" s="57">
        <v>0</v>
      </c>
      <c r="O124" s="59" t="s">
        <v>107</v>
      </c>
      <c r="P124" s="60">
        <v>0.9375</v>
      </c>
      <c r="Q124" s="57">
        <v>179</v>
      </c>
      <c r="R124" s="61" t="s">
        <v>364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7" t="s">
        <v>302</v>
      </c>
      <c r="B125" s="17" t="s">
        <v>365</v>
      </c>
      <c r="C125" s="18">
        <v>0.97569444444444453</v>
      </c>
      <c r="D125" s="17" t="s">
        <v>304</v>
      </c>
      <c r="E125" s="17" t="s">
        <v>109</v>
      </c>
      <c r="F125" s="17" t="s">
        <v>366</v>
      </c>
      <c r="G125" s="282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5" t="s">
        <v>302</v>
      </c>
      <c r="B126" s="15" t="s">
        <v>365</v>
      </c>
      <c r="C126" s="16">
        <v>0.97569444444444453</v>
      </c>
      <c r="D126" s="15" t="s">
        <v>33</v>
      </c>
      <c r="E126" s="15" t="s">
        <v>111</v>
      </c>
      <c r="F126" s="15" t="s">
        <v>367</v>
      </c>
      <c r="G126" s="282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9" t="s">
        <v>302</v>
      </c>
      <c r="B127" s="19" t="s">
        <v>303</v>
      </c>
      <c r="C127" s="20">
        <v>0.3923611111111111</v>
      </c>
      <c r="D127" s="19" t="s">
        <v>304</v>
      </c>
      <c r="E127" s="19" t="s">
        <v>262</v>
      </c>
      <c r="F127" s="19" t="s">
        <v>366</v>
      </c>
      <c r="G127" s="282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5" t="s">
        <v>302</v>
      </c>
      <c r="B128" s="15" t="s">
        <v>303</v>
      </c>
      <c r="C128" s="16">
        <v>0.3923611111111111</v>
      </c>
      <c r="D128" s="15" t="s">
        <v>33</v>
      </c>
      <c r="E128" s="15" t="s">
        <v>111</v>
      </c>
      <c r="F128" s="15" t="s">
        <v>367</v>
      </c>
      <c r="G128" s="282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17" t="s">
        <v>35</v>
      </c>
      <c r="B129" s="17" t="s">
        <v>307</v>
      </c>
      <c r="C129" s="18">
        <v>1.388888888888889E-2</v>
      </c>
      <c r="D129" s="17" t="s">
        <v>308</v>
      </c>
      <c r="E129" s="17" t="s">
        <v>38</v>
      </c>
      <c r="F129" s="17" t="s">
        <v>309</v>
      </c>
      <c r="G129" s="282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5" customHeight="1" x14ac:dyDescent="0.3">
      <c r="A130" s="19" t="s">
        <v>35</v>
      </c>
      <c r="B130" s="19" t="s">
        <v>310</v>
      </c>
      <c r="C130" s="20">
        <v>0.47222222222222232</v>
      </c>
      <c r="D130" s="19" t="s">
        <v>308</v>
      </c>
      <c r="E130" s="19" t="s">
        <v>41</v>
      </c>
      <c r="F130" s="19" t="s">
        <v>309</v>
      </c>
      <c r="G130" s="282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9" t="s">
        <v>35</v>
      </c>
      <c r="B131" s="19" t="s">
        <v>311</v>
      </c>
      <c r="C131" s="20">
        <v>0.14583333333333329</v>
      </c>
      <c r="D131" s="19" t="s">
        <v>308</v>
      </c>
      <c r="E131" s="19" t="s">
        <v>41</v>
      </c>
      <c r="F131" s="19" t="s">
        <v>309</v>
      </c>
      <c r="G131" s="282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9" t="s">
        <v>35</v>
      </c>
      <c r="B132" s="19" t="s">
        <v>312</v>
      </c>
      <c r="C132" s="20">
        <v>0.27777777777777779</v>
      </c>
      <c r="D132" s="19" t="s">
        <v>308</v>
      </c>
      <c r="E132" s="19" t="s">
        <v>41</v>
      </c>
      <c r="F132" s="19" t="s">
        <v>309</v>
      </c>
      <c r="G132" s="282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19" t="s">
        <v>35</v>
      </c>
      <c r="B133" s="19" t="s">
        <v>315</v>
      </c>
      <c r="C133" s="20">
        <v>0.22916666666666671</v>
      </c>
      <c r="D133" s="19" t="s">
        <v>308</v>
      </c>
      <c r="E133" s="19" t="s">
        <v>41</v>
      </c>
      <c r="F133" s="19" t="s">
        <v>309</v>
      </c>
      <c r="G133" s="282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5" customHeight="1" x14ac:dyDescent="0.3">
      <c r="A134" s="19" t="s">
        <v>35</v>
      </c>
      <c r="B134" s="19" t="s">
        <v>314</v>
      </c>
      <c r="C134" s="20">
        <v>0.95833333333333337</v>
      </c>
      <c r="D134" s="19" t="s">
        <v>37</v>
      </c>
      <c r="E134" s="19" t="s">
        <v>92</v>
      </c>
      <c r="F134" s="19" t="s">
        <v>306</v>
      </c>
      <c r="G134" s="282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15" customHeight="1" x14ac:dyDescent="0.3">
      <c r="A135" s="19" t="s">
        <v>35</v>
      </c>
      <c r="B135" s="19" t="s">
        <v>316</v>
      </c>
      <c r="C135" s="20">
        <v>0.77083333333333337</v>
      </c>
      <c r="D135" s="19" t="s">
        <v>37</v>
      </c>
      <c r="E135" s="19" t="s">
        <v>41</v>
      </c>
      <c r="F135" s="19" t="s">
        <v>317</v>
      </c>
      <c r="G135" s="282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15" customHeight="1" x14ac:dyDescent="0.3">
      <c r="A136" s="17" t="s">
        <v>63</v>
      </c>
      <c r="B136" s="17" t="s">
        <v>322</v>
      </c>
      <c r="C136" s="18">
        <v>0.37847222222222232</v>
      </c>
      <c r="D136" s="17" t="s">
        <v>65</v>
      </c>
      <c r="E136" s="17" t="s">
        <v>38</v>
      </c>
      <c r="F136" s="17" t="s">
        <v>323</v>
      </c>
      <c r="G136" s="282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15" t="s">
        <v>63</v>
      </c>
      <c r="B137" s="15" t="s">
        <v>322</v>
      </c>
      <c r="C137" s="16">
        <v>0.37847222222222232</v>
      </c>
      <c r="D137" s="15" t="s">
        <v>67</v>
      </c>
      <c r="E137" s="15" t="s">
        <v>68</v>
      </c>
      <c r="F137" s="15" t="s">
        <v>324</v>
      </c>
      <c r="G137" s="282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19" t="s">
        <v>63</v>
      </c>
      <c r="B138" s="19" t="s">
        <v>330</v>
      </c>
      <c r="C138" s="20">
        <v>0.71875</v>
      </c>
      <c r="D138" s="19" t="s">
        <v>65</v>
      </c>
      <c r="E138" s="19" t="s">
        <v>41</v>
      </c>
      <c r="F138" s="19" t="s">
        <v>323</v>
      </c>
      <c r="G138" s="282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5" customHeight="1" x14ac:dyDescent="0.3">
      <c r="A139" s="15" t="s">
        <v>63</v>
      </c>
      <c r="B139" s="15" t="s">
        <v>330</v>
      </c>
      <c r="C139" s="16">
        <v>0.71875</v>
      </c>
      <c r="D139" s="15" t="s">
        <v>67</v>
      </c>
      <c r="E139" s="15" t="s">
        <v>68</v>
      </c>
      <c r="F139" s="15" t="s">
        <v>324</v>
      </c>
      <c r="G139" s="282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ht="15" customHeight="1" x14ac:dyDescent="0.3">
      <c r="A140" s="19" t="s">
        <v>63</v>
      </c>
      <c r="B140" s="19" t="s">
        <v>341</v>
      </c>
      <c r="C140" s="20">
        <v>0.61111111111111105</v>
      </c>
      <c r="D140" s="19" t="s">
        <v>65</v>
      </c>
      <c r="E140" s="19" t="s">
        <v>41</v>
      </c>
      <c r="F140" s="19" t="s">
        <v>323</v>
      </c>
      <c r="G140" s="282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ht="15" customHeight="1" x14ac:dyDescent="0.3">
      <c r="A141" s="15" t="s">
        <v>63</v>
      </c>
      <c r="B141" s="15" t="s">
        <v>341</v>
      </c>
      <c r="C141" s="16">
        <v>0.61111111111111105</v>
      </c>
      <c r="D141" s="15" t="s">
        <v>67</v>
      </c>
      <c r="E141" s="15" t="s">
        <v>68</v>
      </c>
      <c r="F141" s="15" t="s">
        <v>324</v>
      </c>
      <c r="G141" s="282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  <row r="142" spans="1:92" ht="15" customHeight="1" x14ac:dyDescent="0.3">
      <c r="A142" s="19" t="s">
        <v>63</v>
      </c>
      <c r="B142" s="19" t="s">
        <v>318</v>
      </c>
      <c r="C142" s="20">
        <v>0.23958333333333329</v>
      </c>
      <c r="D142" s="19" t="s">
        <v>65</v>
      </c>
      <c r="E142" s="19" t="s">
        <v>41</v>
      </c>
      <c r="F142" s="19" t="s">
        <v>323</v>
      </c>
      <c r="G142" s="282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</row>
    <row r="143" spans="1:92" ht="15" customHeight="1" x14ac:dyDescent="0.3">
      <c r="A143" s="15" t="s">
        <v>63</v>
      </c>
      <c r="B143" s="15" t="s">
        <v>318</v>
      </c>
      <c r="C143" s="16">
        <v>0.23958333333333329</v>
      </c>
      <c r="D143" s="15" t="s">
        <v>67</v>
      </c>
      <c r="E143" s="15" t="s">
        <v>68</v>
      </c>
      <c r="F143" s="15" t="s">
        <v>324</v>
      </c>
      <c r="G143" s="282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</row>
    <row r="144" spans="1:92" ht="15" customHeight="1" x14ac:dyDescent="0.3">
      <c r="A144" s="19" t="s">
        <v>63</v>
      </c>
      <c r="B144" s="19" t="s">
        <v>321</v>
      </c>
      <c r="C144" s="20">
        <v>0.1423611111111111</v>
      </c>
      <c r="D144" s="19" t="s">
        <v>65</v>
      </c>
      <c r="E144" s="19" t="s">
        <v>41</v>
      </c>
      <c r="F144" s="19" t="s">
        <v>323</v>
      </c>
      <c r="G144" s="282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</row>
    <row r="145" spans="1:92" ht="15" customHeight="1" x14ac:dyDescent="0.3">
      <c r="A145" s="15" t="s">
        <v>63</v>
      </c>
      <c r="B145" s="15" t="s">
        <v>321</v>
      </c>
      <c r="C145" s="16">
        <v>0.1423611111111111</v>
      </c>
      <c r="D145" s="15" t="s">
        <v>67</v>
      </c>
      <c r="E145" s="15" t="s">
        <v>68</v>
      </c>
      <c r="F145" s="15" t="s">
        <v>324</v>
      </c>
      <c r="G145" s="282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</row>
    <row r="146" spans="1:92" ht="15" customHeight="1" x14ac:dyDescent="0.3">
      <c r="A146" s="19" t="s">
        <v>63</v>
      </c>
      <c r="B146" s="19" t="s">
        <v>335</v>
      </c>
      <c r="C146" s="20">
        <v>0.93055555555555547</v>
      </c>
      <c r="D146" s="19" t="s">
        <v>65</v>
      </c>
      <c r="E146" s="19" t="s">
        <v>41</v>
      </c>
      <c r="F146" s="19" t="s">
        <v>323</v>
      </c>
      <c r="G146" s="282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</row>
    <row r="147" spans="1:92" ht="15" customHeight="1" x14ac:dyDescent="0.3">
      <c r="A147" s="15" t="s">
        <v>63</v>
      </c>
      <c r="B147" s="15" t="s">
        <v>335</v>
      </c>
      <c r="C147" s="16">
        <v>0.93055555555555547</v>
      </c>
      <c r="D147" s="15" t="s">
        <v>67</v>
      </c>
      <c r="E147" s="15" t="s">
        <v>68</v>
      </c>
      <c r="F147" s="15" t="s">
        <v>324</v>
      </c>
      <c r="G147" s="282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</row>
    <row r="148" spans="1:92" ht="15" customHeight="1" x14ac:dyDescent="0.3">
      <c r="A148" s="19" t="s">
        <v>63</v>
      </c>
      <c r="B148" s="19" t="s">
        <v>338</v>
      </c>
      <c r="C148" s="20">
        <v>0.82986111111111116</v>
      </c>
      <c r="D148" s="19" t="s">
        <v>65</v>
      </c>
      <c r="E148" s="19" t="s">
        <v>41</v>
      </c>
      <c r="F148" s="19" t="s">
        <v>323</v>
      </c>
      <c r="G148" s="282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</row>
    <row r="149" spans="1:92" ht="15" customHeight="1" x14ac:dyDescent="0.3">
      <c r="A149" s="15" t="s">
        <v>63</v>
      </c>
      <c r="B149" s="15" t="s">
        <v>338</v>
      </c>
      <c r="C149" s="16">
        <v>0.82986111111111116</v>
      </c>
      <c r="D149" s="15" t="s">
        <v>67</v>
      </c>
      <c r="E149" s="15" t="s">
        <v>68</v>
      </c>
      <c r="F149" s="15" t="s">
        <v>324</v>
      </c>
      <c r="G149" s="282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</row>
    <row r="150" spans="1:92" ht="15" customHeight="1" x14ac:dyDescent="0.3">
      <c r="A150" s="19" t="s">
        <v>63</v>
      </c>
      <c r="B150" s="19" t="s">
        <v>328</v>
      </c>
      <c r="C150" s="20">
        <v>0.30208333333333331</v>
      </c>
      <c r="D150" s="19" t="s">
        <v>67</v>
      </c>
      <c r="E150" s="19" t="s">
        <v>58</v>
      </c>
      <c r="F150" s="19" t="s">
        <v>327</v>
      </c>
      <c r="G150" s="282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</row>
    <row r="151" spans="1:92" ht="15" customHeight="1" x14ac:dyDescent="0.3">
      <c r="A151" s="19" t="s">
        <v>63</v>
      </c>
      <c r="B151" s="19" t="s">
        <v>329</v>
      </c>
      <c r="C151" s="20">
        <v>0.12847222222222221</v>
      </c>
      <c r="D151" s="19" t="s">
        <v>67</v>
      </c>
      <c r="E151" s="19" t="s">
        <v>58</v>
      </c>
      <c r="F151" s="19" t="s">
        <v>334</v>
      </c>
      <c r="G151" s="282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</row>
    <row r="152" spans="1:92" ht="15" customHeight="1" x14ac:dyDescent="0.3">
      <c r="A152" s="19" t="s">
        <v>63</v>
      </c>
      <c r="B152" s="19" t="s">
        <v>333</v>
      </c>
      <c r="C152" s="20">
        <v>0.78819444444444453</v>
      </c>
      <c r="D152" s="19" t="s">
        <v>67</v>
      </c>
      <c r="E152" s="19" t="s">
        <v>58</v>
      </c>
      <c r="F152" s="19" t="s">
        <v>334</v>
      </c>
      <c r="G152" s="282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</row>
    <row r="153" spans="1:92" ht="15" customHeight="1" x14ac:dyDescent="0.3">
      <c r="A153" s="19" t="s">
        <v>63</v>
      </c>
      <c r="B153" s="19" t="s">
        <v>325</v>
      </c>
      <c r="C153" s="20">
        <v>6.9444444444444441E-3</v>
      </c>
      <c r="D153" s="19" t="s">
        <v>65</v>
      </c>
      <c r="E153" s="19" t="s">
        <v>41</v>
      </c>
      <c r="F153" s="19" t="s">
        <v>336</v>
      </c>
      <c r="G153" s="282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2" ht="15" customHeight="1" x14ac:dyDescent="0.3">
      <c r="A154" s="15" t="s">
        <v>63</v>
      </c>
      <c r="B154" s="15" t="s">
        <v>325</v>
      </c>
      <c r="C154" s="16">
        <v>6.9444444444444441E-3</v>
      </c>
      <c r="D154" s="15" t="s">
        <v>67</v>
      </c>
      <c r="E154" s="15" t="s">
        <v>68</v>
      </c>
      <c r="F154" s="15" t="s">
        <v>337</v>
      </c>
      <c r="G154" s="282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</row>
    <row r="155" spans="1:92" ht="15" customHeight="1" x14ac:dyDescent="0.3">
      <c r="A155" s="36" t="s">
        <v>63</v>
      </c>
      <c r="B155" s="36" t="s">
        <v>326</v>
      </c>
      <c r="C155" s="37">
        <v>0.88888888888888884</v>
      </c>
      <c r="D155" s="36" t="s">
        <v>67</v>
      </c>
      <c r="E155" s="36" t="s">
        <v>58</v>
      </c>
      <c r="F155" s="36" t="s">
        <v>368</v>
      </c>
      <c r="G155" s="283"/>
      <c r="H155" s="38"/>
      <c r="I155" s="39"/>
      <c r="J155" s="39"/>
      <c r="K155" s="39"/>
      <c r="L155" s="39"/>
      <c r="M155" s="39"/>
      <c r="N155" s="39"/>
      <c r="O155" s="40"/>
      <c r="P155" s="39"/>
      <c r="Q155" s="41"/>
      <c r="R155" s="42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</row>
    <row r="156" spans="1:92" ht="14.4" customHeight="1" x14ac:dyDescent="0.3">
      <c r="A156" s="275"/>
      <c r="B156" s="276"/>
      <c r="C156" s="276"/>
      <c r="D156" s="276"/>
      <c r="E156" s="276"/>
      <c r="F156" s="276"/>
      <c r="G156" s="277"/>
      <c r="H156" s="278"/>
      <c r="I156" s="278"/>
      <c r="J156" s="278"/>
      <c r="K156" s="278"/>
      <c r="L156" s="278"/>
      <c r="M156" s="278"/>
      <c r="N156" s="278"/>
      <c r="O156" s="279"/>
      <c r="P156" s="278"/>
      <c r="Q156" s="277"/>
      <c r="R156" s="280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</row>
    <row r="157" spans="1:92" ht="22.05" customHeight="1" x14ac:dyDescent="0.3">
      <c r="A157" s="289" t="s">
        <v>5</v>
      </c>
      <c r="B157" s="290"/>
      <c r="C157" s="290"/>
      <c r="D157" s="290"/>
      <c r="E157" s="290"/>
      <c r="F157" s="290"/>
      <c r="G157" s="5">
        <v>45990</v>
      </c>
      <c r="H157" s="286" t="s">
        <v>6</v>
      </c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</row>
    <row r="158" spans="1:92" ht="24" customHeight="1" x14ac:dyDescent="0.3">
      <c r="A158" s="30" t="s">
        <v>7</v>
      </c>
      <c r="B158" s="30" t="s">
        <v>8</v>
      </c>
      <c r="C158" s="31" t="s">
        <v>9</v>
      </c>
      <c r="D158" s="30" t="s">
        <v>10</v>
      </c>
      <c r="E158" s="30" t="s">
        <v>11</v>
      </c>
      <c r="F158" s="30" t="s">
        <v>12</v>
      </c>
      <c r="G158" s="32" t="s">
        <v>13</v>
      </c>
      <c r="H158" s="30" t="s">
        <v>14</v>
      </c>
      <c r="I158" s="33" t="s">
        <v>15</v>
      </c>
      <c r="J158" s="34" t="s">
        <v>16</v>
      </c>
      <c r="K158" s="35" t="s">
        <v>17</v>
      </c>
      <c r="L158" s="34" t="s">
        <v>18</v>
      </c>
      <c r="M158" s="34" t="s">
        <v>19</v>
      </c>
      <c r="N158" s="34" t="s">
        <v>20</v>
      </c>
      <c r="O158" s="30" t="s">
        <v>21</v>
      </c>
      <c r="P158" s="31" t="s">
        <v>22</v>
      </c>
      <c r="Q158" s="34" t="s">
        <v>23</v>
      </c>
      <c r="R158" s="30" t="s">
        <v>24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</row>
    <row r="159" spans="1:92" ht="15" customHeight="1" x14ac:dyDescent="0.3">
      <c r="A159" s="8" t="s">
        <v>300</v>
      </c>
      <c r="B159" s="8" t="s">
        <v>369</v>
      </c>
      <c r="C159" s="9">
        <v>0.21875</v>
      </c>
      <c r="D159" s="8" t="s">
        <v>274</v>
      </c>
      <c r="E159" s="8" t="s">
        <v>38</v>
      </c>
      <c r="F159" s="8" t="s">
        <v>370</v>
      </c>
      <c r="G159" s="281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</row>
    <row r="160" spans="1:92" ht="15" customHeight="1" x14ac:dyDescent="0.3">
      <c r="A160" s="19" t="s">
        <v>300</v>
      </c>
      <c r="B160" s="19" t="s">
        <v>301</v>
      </c>
      <c r="C160" s="20">
        <v>0.66666666666666663</v>
      </c>
      <c r="D160" s="19" t="s">
        <v>274</v>
      </c>
      <c r="E160" s="19" t="s">
        <v>371</v>
      </c>
      <c r="F160" s="19" t="s">
        <v>278</v>
      </c>
      <c r="G160" s="282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</row>
    <row r="161" spans="1:92" ht="15" customHeight="1" x14ac:dyDescent="0.3">
      <c r="A161" s="17" t="s">
        <v>25</v>
      </c>
      <c r="B161" s="17" t="s">
        <v>239</v>
      </c>
      <c r="C161" s="18">
        <v>0.30208333333333331</v>
      </c>
      <c r="D161" s="17" t="s">
        <v>27</v>
      </c>
      <c r="E161" s="17" t="s">
        <v>79</v>
      </c>
      <c r="F161" s="17" t="s">
        <v>252</v>
      </c>
      <c r="G161" s="282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</row>
    <row r="162" spans="1:92" ht="15" customHeight="1" x14ac:dyDescent="0.3">
      <c r="A162" s="15" t="s">
        <v>25</v>
      </c>
      <c r="B162" s="15" t="s">
        <v>239</v>
      </c>
      <c r="C162" s="16">
        <v>0.30208333333333331</v>
      </c>
      <c r="D162" s="15" t="s">
        <v>30</v>
      </c>
      <c r="E162" s="15" t="s">
        <v>60</v>
      </c>
      <c r="F162" s="15" t="s">
        <v>254</v>
      </c>
      <c r="G162" s="282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</row>
    <row r="163" spans="1:92" ht="15" customHeight="1" x14ac:dyDescent="0.3">
      <c r="A163" s="15" t="s">
        <v>25</v>
      </c>
      <c r="B163" s="15" t="s">
        <v>239</v>
      </c>
      <c r="C163" s="16">
        <v>0.30208333333333331</v>
      </c>
      <c r="D163" s="15" t="s">
        <v>33</v>
      </c>
      <c r="E163" s="15" t="s">
        <v>60</v>
      </c>
      <c r="F163" s="15" t="s">
        <v>34</v>
      </c>
      <c r="G163" s="282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</row>
    <row r="164" spans="1:92" ht="15" customHeight="1" x14ac:dyDescent="0.3">
      <c r="A164" s="19" t="s">
        <v>25</v>
      </c>
      <c r="B164" s="19" t="s">
        <v>247</v>
      </c>
      <c r="C164" s="20">
        <v>0.88888888888888884</v>
      </c>
      <c r="D164" s="19" t="s">
        <v>27</v>
      </c>
      <c r="E164" s="19" t="s">
        <v>92</v>
      </c>
      <c r="F164" s="19" t="s">
        <v>252</v>
      </c>
      <c r="G164" s="282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</row>
    <row r="165" spans="1:92" ht="15" customHeight="1" x14ac:dyDescent="0.3">
      <c r="A165" s="15" t="s">
        <v>25</v>
      </c>
      <c r="B165" s="15" t="s">
        <v>247</v>
      </c>
      <c r="C165" s="16">
        <v>0.88888888888888884</v>
      </c>
      <c r="D165" s="15" t="s">
        <v>30</v>
      </c>
      <c r="E165" s="15" t="s">
        <v>53</v>
      </c>
      <c r="F165" s="15" t="s">
        <v>254</v>
      </c>
      <c r="G165" s="282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</row>
    <row r="166" spans="1:92" ht="15" customHeight="1" x14ac:dyDescent="0.3">
      <c r="A166" s="15" t="s">
        <v>25</v>
      </c>
      <c r="B166" s="15" t="s">
        <v>247</v>
      </c>
      <c r="C166" s="16">
        <v>0.88888888888888884</v>
      </c>
      <c r="D166" s="15" t="s">
        <v>33</v>
      </c>
      <c r="E166" s="15" t="s">
        <v>53</v>
      </c>
      <c r="F166" s="15" t="s">
        <v>34</v>
      </c>
      <c r="G166" s="282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</row>
    <row r="167" spans="1:92" ht="15" customHeight="1" x14ac:dyDescent="0.3">
      <c r="A167" s="19" t="s">
        <v>25</v>
      </c>
      <c r="B167" s="19" t="s">
        <v>244</v>
      </c>
      <c r="C167" s="20">
        <v>0.12847222222222221</v>
      </c>
      <c r="D167" s="19" t="s">
        <v>27</v>
      </c>
      <c r="E167" s="19" t="s">
        <v>259</v>
      </c>
      <c r="F167" s="19" t="s">
        <v>346</v>
      </c>
      <c r="G167" s="282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</row>
    <row r="168" spans="1:92" ht="15" customHeight="1" x14ac:dyDescent="0.3">
      <c r="A168" s="15" t="s">
        <v>25</v>
      </c>
      <c r="B168" s="15" t="s">
        <v>244</v>
      </c>
      <c r="C168" s="16">
        <v>0.12847222222222221</v>
      </c>
      <c r="D168" s="15" t="s">
        <v>30</v>
      </c>
      <c r="E168" s="15" t="s">
        <v>260</v>
      </c>
      <c r="F168" s="15" t="s">
        <v>348</v>
      </c>
      <c r="G168" s="282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</row>
    <row r="169" spans="1:92" ht="15" customHeight="1" x14ac:dyDescent="0.3">
      <c r="A169" s="15" t="s">
        <v>25</v>
      </c>
      <c r="B169" s="15" t="s">
        <v>244</v>
      </c>
      <c r="C169" s="16">
        <v>0.12847222222222221</v>
      </c>
      <c r="D169" s="15" t="s">
        <v>33</v>
      </c>
      <c r="E169" s="15" t="s">
        <v>260</v>
      </c>
      <c r="F169" s="15" t="s">
        <v>34</v>
      </c>
      <c r="G169" s="282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</row>
    <row r="170" spans="1:92" ht="15" customHeight="1" x14ac:dyDescent="0.3">
      <c r="A170" s="19" t="s">
        <v>25</v>
      </c>
      <c r="B170" s="19" t="s">
        <v>250</v>
      </c>
      <c r="C170" s="20">
        <v>0.78819444444444453</v>
      </c>
      <c r="D170" s="19" t="s">
        <v>27</v>
      </c>
      <c r="E170" s="19" t="s">
        <v>72</v>
      </c>
      <c r="F170" s="19" t="s">
        <v>346</v>
      </c>
      <c r="G170" s="282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</row>
    <row r="171" spans="1:92" ht="15" customHeight="1" x14ac:dyDescent="0.3">
      <c r="A171" s="15" t="s">
        <v>25</v>
      </c>
      <c r="B171" s="15" t="s">
        <v>250</v>
      </c>
      <c r="C171" s="16">
        <v>0.78819444444444453</v>
      </c>
      <c r="D171" s="15" t="s">
        <v>30</v>
      </c>
      <c r="E171" s="15" t="s">
        <v>73</v>
      </c>
      <c r="F171" s="15" t="s">
        <v>348</v>
      </c>
      <c r="G171" s="282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</row>
    <row r="172" spans="1:92" ht="15" customHeight="1" x14ac:dyDescent="0.3">
      <c r="A172" s="15" t="s">
        <v>25</v>
      </c>
      <c r="B172" s="15" t="s">
        <v>250</v>
      </c>
      <c r="C172" s="16">
        <v>0.78819444444444453</v>
      </c>
      <c r="D172" s="15" t="s">
        <v>33</v>
      </c>
      <c r="E172" s="15" t="s">
        <v>73</v>
      </c>
      <c r="F172" s="15" t="s">
        <v>34</v>
      </c>
      <c r="G172" s="282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</row>
    <row r="173" spans="1:92" ht="15" customHeight="1" x14ac:dyDescent="0.3">
      <c r="A173" s="17" t="s">
        <v>272</v>
      </c>
      <c r="B173" s="17" t="s">
        <v>273</v>
      </c>
      <c r="C173" s="18">
        <v>0.27083333333333331</v>
      </c>
      <c r="D173" s="17" t="s">
        <v>274</v>
      </c>
      <c r="E173" s="17" t="s">
        <v>121</v>
      </c>
      <c r="F173" s="17" t="s">
        <v>275</v>
      </c>
      <c r="G173" s="282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</row>
    <row r="174" spans="1:92" ht="15" customHeight="1" x14ac:dyDescent="0.3">
      <c r="A174" s="17" t="s">
        <v>47</v>
      </c>
      <c r="B174" s="17" t="s">
        <v>261</v>
      </c>
      <c r="C174" s="18">
        <v>0.90277777777777779</v>
      </c>
      <c r="D174" s="17" t="s">
        <v>49</v>
      </c>
      <c r="E174" s="17" t="s">
        <v>109</v>
      </c>
      <c r="F174" s="17" t="s">
        <v>263</v>
      </c>
      <c r="G174" s="282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</row>
    <row r="175" spans="1:92" ht="15" customHeight="1" x14ac:dyDescent="0.3">
      <c r="A175" s="15" t="s">
        <v>47</v>
      </c>
      <c r="B175" s="15" t="s">
        <v>261</v>
      </c>
      <c r="C175" s="16">
        <v>0.90277777777777779</v>
      </c>
      <c r="D175" s="15" t="s">
        <v>52</v>
      </c>
      <c r="E175" s="15" t="s">
        <v>111</v>
      </c>
      <c r="F175" s="15" t="s">
        <v>243</v>
      </c>
      <c r="G175" s="282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</row>
    <row r="176" spans="1:92" ht="15" customHeight="1" x14ac:dyDescent="0.3">
      <c r="A176" s="15" t="s">
        <v>47</v>
      </c>
      <c r="B176" s="15" t="s">
        <v>261</v>
      </c>
      <c r="C176" s="16">
        <v>0.90277777777777779</v>
      </c>
      <c r="D176" s="15" t="s">
        <v>55</v>
      </c>
      <c r="E176" s="15" t="s">
        <v>111</v>
      </c>
      <c r="F176" s="15" t="s">
        <v>264</v>
      </c>
      <c r="G176" s="282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</row>
    <row r="177" spans="1:92" ht="15" customHeight="1" x14ac:dyDescent="0.3">
      <c r="A177" s="19" t="s">
        <v>47</v>
      </c>
      <c r="B177" s="19" t="s">
        <v>265</v>
      </c>
      <c r="C177" s="20">
        <v>0.51736111111111105</v>
      </c>
      <c r="D177" s="19" t="s">
        <v>49</v>
      </c>
      <c r="E177" s="19" t="s">
        <v>259</v>
      </c>
      <c r="F177" s="19" t="s">
        <v>263</v>
      </c>
      <c r="G177" s="282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</row>
    <row r="178" spans="1:92" ht="15" customHeight="1" x14ac:dyDescent="0.3">
      <c r="A178" s="15" t="s">
        <v>47</v>
      </c>
      <c r="B178" s="15" t="s">
        <v>265</v>
      </c>
      <c r="C178" s="16">
        <v>0.51736111111111105</v>
      </c>
      <c r="D178" s="15" t="s">
        <v>52</v>
      </c>
      <c r="E178" s="15" t="s">
        <v>260</v>
      </c>
      <c r="F178" s="15" t="s">
        <v>243</v>
      </c>
      <c r="G178" s="282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</row>
    <row r="179" spans="1:92" ht="15" customHeight="1" x14ac:dyDescent="0.3">
      <c r="A179" s="15" t="s">
        <v>47</v>
      </c>
      <c r="B179" s="15" t="s">
        <v>265</v>
      </c>
      <c r="C179" s="16">
        <v>0.51736111111111105</v>
      </c>
      <c r="D179" s="15" t="s">
        <v>55</v>
      </c>
      <c r="E179" s="15" t="s">
        <v>260</v>
      </c>
      <c r="F179" s="15" t="s">
        <v>264</v>
      </c>
      <c r="G179" s="282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</row>
    <row r="180" spans="1:92" ht="15" customHeight="1" x14ac:dyDescent="0.3">
      <c r="A180" s="19" t="s">
        <v>47</v>
      </c>
      <c r="B180" s="19" t="s">
        <v>266</v>
      </c>
      <c r="C180" s="20">
        <v>0.85416666666666663</v>
      </c>
      <c r="D180" s="19" t="s">
        <v>49</v>
      </c>
      <c r="E180" s="19" t="s">
        <v>262</v>
      </c>
      <c r="F180" s="19" t="s">
        <v>263</v>
      </c>
      <c r="G180" s="282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</row>
    <row r="181" spans="1:92" ht="15" customHeight="1" x14ac:dyDescent="0.3">
      <c r="A181" s="15" t="s">
        <v>47</v>
      </c>
      <c r="B181" s="15" t="s">
        <v>266</v>
      </c>
      <c r="C181" s="16">
        <v>0.85416666666666663</v>
      </c>
      <c r="D181" s="15" t="s">
        <v>52</v>
      </c>
      <c r="E181" s="15" t="s">
        <v>111</v>
      </c>
      <c r="F181" s="15" t="s">
        <v>243</v>
      </c>
      <c r="G181" s="282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</row>
    <row r="182" spans="1:92" ht="15" customHeight="1" x14ac:dyDescent="0.3">
      <c r="A182" s="15" t="s">
        <v>47</v>
      </c>
      <c r="B182" s="15" t="s">
        <v>266</v>
      </c>
      <c r="C182" s="16">
        <v>0.85416666666666663</v>
      </c>
      <c r="D182" s="15" t="s">
        <v>55</v>
      </c>
      <c r="E182" s="15" t="s">
        <v>111</v>
      </c>
      <c r="F182" s="15" t="s">
        <v>264</v>
      </c>
      <c r="G182" s="282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2" ht="15" customHeight="1" x14ac:dyDescent="0.3">
      <c r="A183" s="19" t="s">
        <v>47</v>
      </c>
      <c r="B183" s="19" t="s">
        <v>258</v>
      </c>
      <c r="C183" s="20">
        <v>0.39583333333333331</v>
      </c>
      <c r="D183" s="19" t="s">
        <v>49</v>
      </c>
      <c r="E183" s="19" t="s">
        <v>259</v>
      </c>
      <c r="F183" s="19" t="s">
        <v>263</v>
      </c>
      <c r="G183" s="282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2" ht="15" customHeight="1" x14ac:dyDescent="0.3">
      <c r="A184" s="15" t="s">
        <v>47</v>
      </c>
      <c r="B184" s="15" t="s">
        <v>258</v>
      </c>
      <c r="C184" s="16">
        <v>0.39583333333333331</v>
      </c>
      <c r="D184" s="15" t="s">
        <v>52</v>
      </c>
      <c r="E184" s="15" t="s">
        <v>260</v>
      </c>
      <c r="F184" s="15" t="s">
        <v>243</v>
      </c>
      <c r="G184" s="282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</row>
    <row r="185" spans="1:92" ht="15" customHeight="1" x14ac:dyDescent="0.3">
      <c r="A185" s="15" t="s">
        <v>47</v>
      </c>
      <c r="B185" s="15" t="s">
        <v>258</v>
      </c>
      <c r="C185" s="16">
        <v>0.39583333333333331</v>
      </c>
      <c r="D185" s="15" t="s">
        <v>55</v>
      </c>
      <c r="E185" s="15" t="s">
        <v>260</v>
      </c>
      <c r="F185" s="15" t="s">
        <v>264</v>
      </c>
      <c r="G185" s="282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</row>
    <row r="186" spans="1:92" ht="15" customHeight="1" x14ac:dyDescent="0.3">
      <c r="A186" s="19" t="s">
        <v>47</v>
      </c>
      <c r="B186" s="19" t="s">
        <v>271</v>
      </c>
      <c r="C186" s="20">
        <v>0.79861111111111116</v>
      </c>
      <c r="D186" s="19" t="s">
        <v>49</v>
      </c>
      <c r="E186" s="19" t="s">
        <v>371</v>
      </c>
      <c r="F186" s="19" t="s">
        <v>263</v>
      </c>
      <c r="G186" s="282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</row>
    <row r="187" spans="1:92" ht="15" customHeight="1" x14ac:dyDescent="0.3">
      <c r="A187" s="15" t="s">
        <v>47</v>
      </c>
      <c r="B187" s="15" t="s">
        <v>271</v>
      </c>
      <c r="C187" s="16">
        <v>0.79861111111111116</v>
      </c>
      <c r="D187" s="15" t="s">
        <v>52</v>
      </c>
      <c r="E187" s="15" t="s">
        <v>115</v>
      </c>
      <c r="F187" s="15" t="s">
        <v>243</v>
      </c>
      <c r="G187" s="282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</row>
    <row r="188" spans="1:92" ht="15" customHeight="1" x14ac:dyDescent="0.3">
      <c r="A188" s="15" t="s">
        <v>47</v>
      </c>
      <c r="B188" s="15" t="s">
        <v>271</v>
      </c>
      <c r="C188" s="16">
        <v>0.79861111111111116</v>
      </c>
      <c r="D188" s="15" t="s">
        <v>55</v>
      </c>
      <c r="E188" s="15" t="s">
        <v>115</v>
      </c>
      <c r="F188" s="15" t="s">
        <v>264</v>
      </c>
      <c r="G188" s="282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</row>
    <row r="189" spans="1:92" ht="15" customHeight="1" x14ac:dyDescent="0.3">
      <c r="A189" s="19" t="s">
        <v>47</v>
      </c>
      <c r="B189" s="19" t="s">
        <v>268</v>
      </c>
      <c r="C189" s="20">
        <v>0.65972222222222221</v>
      </c>
      <c r="D189" s="19" t="s">
        <v>49</v>
      </c>
      <c r="E189" s="19" t="s">
        <v>371</v>
      </c>
      <c r="F189" s="19" t="s">
        <v>269</v>
      </c>
      <c r="G189" s="282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</row>
    <row r="190" spans="1:92" ht="15" customHeight="1" x14ac:dyDescent="0.3">
      <c r="A190" s="15" t="s">
        <v>47</v>
      </c>
      <c r="B190" s="15" t="s">
        <v>268</v>
      </c>
      <c r="C190" s="16">
        <v>0.65972222222222221</v>
      </c>
      <c r="D190" s="15" t="s">
        <v>52</v>
      </c>
      <c r="E190" s="15" t="s">
        <v>115</v>
      </c>
      <c r="F190" s="15" t="s">
        <v>270</v>
      </c>
      <c r="G190" s="282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</row>
    <row r="191" spans="1:92" ht="15" customHeight="1" x14ac:dyDescent="0.3">
      <c r="A191" s="15" t="s">
        <v>47</v>
      </c>
      <c r="B191" s="15" t="s">
        <v>268</v>
      </c>
      <c r="C191" s="16">
        <v>0.65972222222222221</v>
      </c>
      <c r="D191" s="15" t="s">
        <v>55</v>
      </c>
      <c r="E191" s="15" t="s">
        <v>115</v>
      </c>
      <c r="F191" s="15" t="s">
        <v>51</v>
      </c>
      <c r="G191" s="282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</row>
    <row r="192" spans="1:92" ht="15" customHeight="1" x14ac:dyDescent="0.3">
      <c r="A192" s="19" t="s">
        <v>47</v>
      </c>
      <c r="B192" s="19" t="s">
        <v>255</v>
      </c>
      <c r="C192" s="20">
        <v>0.25694444444444448</v>
      </c>
      <c r="D192" s="19" t="s">
        <v>49</v>
      </c>
      <c r="E192" s="19" t="s">
        <v>262</v>
      </c>
      <c r="F192" s="19" t="s">
        <v>372</v>
      </c>
      <c r="G192" s="282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</row>
    <row r="193" spans="1:92" ht="15" customHeight="1" x14ac:dyDescent="0.3">
      <c r="A193" s="15" t="s">
        <v>47</v>
      </c>
      <c r="B193" s="15" t="s">
        <v>255</v>
      </c>
      <c r="C193" s="16">
        <v>0.25694444444444448</v>
      </c>
      <c r="D193" s="15" t="s">
        <v>52</v>
      </c>
      <c r="E193" s="15" t="s">
        <v>111</v>
      </c>
      <c r="F193" s="15" t="s">
        <v>373</v>
      </c>
      <c r="G193" s="282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</row>
    <row r="194" spans="1:92" ht="15" customHeight="1" x14ac:dyDescent="0.3">
      <c r="A194" s="15" t="s">
        <v>47</v>
      </c>
      <c r="B194" s="15" t="s">
        <v>255</v>
      </c>
      <c r="C194" s="16">
        <v>0.25694444444444448</v>
      </c>
      <c r="D194" s="15" t="s">
        <v>55</v>
      </c>
      <c r="E194" s="15" t="s">
        <v>111</v>
      </c>
      <c r="F194" s="15" t="s">
        <v>374</v>
      </c>
      <c r="G194" s="282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</row>
    <row r="195" spans="1:92" ht="15" customHeight="1" x14ac:dyDescent="0.3">
      <c r="A195" s="53" t="s">
        <v>76</v>
      </c>
      <c r="B195" s="53" t="s">
        <v>285</v>
      </c>
      <c r="C195" s="54">
        <v>0.2361111111111111</v>
      </c>
      <c r="D195" s="53" t="s">
        <v>78</v>
      </c>
      <c r="E195" s="53" t="s">
        <v>113</v>
      </c>
      <c r="F195" s="53" t="s">
        <v>295</v>
      </c>
      <c r="G195" s="282"/>
      <c r="H195" s="55" t="s">
        <v>286</v>
      </c>
      <c r="I195" s="56">
        <v>0.86029999999999995</v>
      </c>
      <c r="J195" s="57">
        <v>154</v>
      </c>
      <c r="K195" s="58">
        <v>45987</v>
      </c>
      <c r="L195" s="57">
        <v>47</v>
      </c>
      <c r="M195" s="57">
        <v>2</v>
      </c>
      <c r="N195" s="57">
        <v>3</v>
      </c>
      <c r="O195" s="59" t="s">
        <v>375</v>
      </c>
      <c r="P195" s="60">
        <v>0.2361111111111111</v>
      </c>
      <c r="Q195" s="57">
        <v>179</v>
      </c>
      <c r="R195" s="61" t="s">
        <v>376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</row>
    <row r="196" spans="1:92" ht="15" customHeight="1" x14ac:dyDescent="0.3">
      <c r="A196" s="194" t="s">
        <v>76</v>
      </c>
      <c r="B196" s="194" t="s">
        <v>292</v>
      </c>
      <c r="C196" s="195">
        <v>0.33333333333333331</v>
      </c>
      <c r="D196" s="194" t="s">
        <v>105</v>
      </c>
      <c r="E196" s="196"/>
      <c r="F196" s="194" t="s">
        <v>106</v>
      </c>
      <c r="G196" s="282"/>
      <c r="H196" s="130" t="s">
        <v>292</v>
      </c>
      <c r="I196" s="131">
        <v>0.92179999999999995</v>
      </c>
      <c r="J196" s="132">
        <v>165</v>
      </c>
      <c r="K196" s="133">
        <v>45985</v>
      </c>
      <c r="L196" s="132">
        <v>35</v>
      </c>
      <c r="M196" s="132">
        <v>0</v>
      </c>
      <c r="N196" s="132">
        <v>0</v>
      </c>
      <c r="O196" s="134" t="s">
        <v>107</v>
      </c>
      <c r="P196" s="135">
        <v>0.33333333333333331</v>
      </c>
      <c r="Q196" s="132">
        <v>179</v>
      </c>
      <c r="R196" s="136" t="s">
        <v>377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</row>
    <row r="197" spans="1:92" ht="15" customHeight="1" x14ac:dyDescent="0.3">
      <c r="A197" s="165" t="s">
        <v>76</v>
      </c>
      <c r="B197" s="165" t="s">
        <v>298</v>
      </c>
      <c r="C197" s="166">
        <v>0.68055555555555547</v>
      </c>
      <c r="D197" s="165" t="s">
        <v>105</v>
      </c>
      <c r="E197" s="197"/>
      <c r="F197" s="165" t="s">
        <v>106</v>
      </c>
      <c r="G197" s="282"/>
      <c r="H197" s="167" t="s">
        <v>298</v>
      </c>
      <c r="I197" s="198">
        <v>0.9385</v>
      </c>
      <c r="J197" s="169">
        <v>168</v>
      </c>
      <c r="K197" s="170">
        <v>45985</v>
      </c>
      <c r="L197" s="169">
        <v>43</v>
      </c>
      <c r="M197" s="169">
        <v>0</v>
      </c>
      <c r="N197" s="169">
        <v>0</v>
      </c>
      <c r="O197" s="171" t="s">
        <v>107</v>
      </c>
      <c r="P197" s="172">
        <v>0.68055555555555547</v>
      </c>
      <c r="Q197" s="169">
        <v>179</v>
      </c>
      <c r="R197" s="173" t="s">
        <v>378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</row>
    <row r="198" spans="1:92" ht="15" customHeight="1" x14ac:dyDescent="0.3">
      <c r="A198" s="17" t="s">
        <v>302</v>
      </c>
      <c r="B198" s="17" t="s">
        <v>379</v>
      </c>
      <c r="C198" s="18">
        <v>0.21527777777777779</v>
      </c>
      <c r="D198" s="17" t="s">
        <v>304</v>
      </c>
      <c r="E198" s="17" t="s">
        <v>109</v>
      </c>
      <c r="F198" s="17" t="s">
        <v>380</v>
      </c>
      <c r="G198" s="282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</row>
    <row r="199" spans="1:92" ht="15" customHeight="1" x14ac:dyDescent="0.3">
      <c r="A199" s="15" t="s">
        <v>302</v>
      </c>
      <c r="B199" s="15" t="s">
        <v>379</v>
      </c>
      <c r="C199" s="16">
        <v>0.21527777777777779</v>
      </c>
      <c r="D199" s="15" t="s">
        <v>33</v>
      </c>
      <c r="E199" s="15" t="s">
        <v>111</v>
      </c>
      <c r="F199" s="15" t="s">
        <v>381</v>
      </c>
      <c r="G199" s="282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</row>
    <row r="200" spans="1:92" ht="15" customHeight="1" x14ac:dyDescent="0.3">
      <c r="A200" s="19" t="s">
        <v>302</v>
      </c>
      <c r="B200" s="19" t="s">
        <v>303</v>
      </c>
      <c r="C200" s="20">
        <v>0.3298611111111111</v>
      </c>
      <c r="D200" s="19" t="s">
        <v>304</v>
      </c>
      <c r="E200" s="19" t="s">
        <v>262</v>
      </c>
      <c r="F200" s="19" t="s">
        <v>366</v>
      </c>
      <c r="G200" s="282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</row>
    <row r="201" spans="1:92" ht="15" customHeight="1" x14ac:dyDescent="0.3">
      <c r="A201" s="15" t="s">
        <v>302</v>
      </c>
      <c r="B201" s="15" t="s">
        <v>303</v>
      </c>
      <c r="C201" s="16">
        <v>0.3298611111111111</v>
      </c>
      <c r="D201" s="15" t="s">
        <v>33</v>
      </c>
      <c r="E201" s="15" t="s">
        <v>111</v>
      </c>
      <c r="F201" s="15" t="s">
        <v>367</v>
      </c>
      <c r="G201" s="282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</row>
    <row r="202" spans="1:92" ht="15" customHeight="1" x14ac:dyDescent="0.3">
      <c r="A202" s="17" t="s">
        <v>35</v>
      </c>
      <c r="B202" s="17" t="s">
        <v>312</v>
      </c>
      <c r="C202" s="18">
        <v>0.28125</v>
      </c>
      <c r="D202" s="17" t="s">
        <v>308</v>
      </c>
      <c r="E202" s="17" t="s">
        <v>38</v>
      </c>
      <c r="F202" s="17" t="s">
        <v>382</v>
      </c>
      <c r="G202" s="282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</row>
    <row r="203" spans="1:92" ht="15" customHeight="1" x14ac:dyDescent="0.3">
      <c r="A203" s="19" t="s">
        <v>35</v>
      </c>
      <c r="B203" s="19" t="s">
        <v>315</v>
      </c>
      <c r="C203" s="20">
        <v>0.22916666666666671</v>
      </c>
      <c r="D203" s="19" t="s">
        <v>308</v>
      </c>
      <c r="E203" s="19" t="s">
        <v>41</v>
      </c>
      <c r="F203" s="19" t="s">
        <v>382</v>
      </c>
      <c r="G203" s="282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</row>
    <row r="204" spans="1:92" ht="15" customHeight="1" x14ac:dyDescent="0.3">
      <c r="A204" s="19" t="s">
        <v>35</v>
      </c>
      <c r="B204" s="19" t="s">
        <v>307</v>
      </c>
      <c r="C204" s="20">
        <v>1.388888888888889E-2</v>
      </c>
      <c r="D204" s="19" t="s">
        <v>37</v>
      </c>
      <c r="E204" s="19" t="s">
        <v>92</v>
      </c>
      <c r="F204" s="19" t="s">
        <v>95</v>
      </c>
      <c r="G204" s="282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</row>
    <row r="205" spans="1:92" ht="15" customHeight="1" x14ac:dyDescent="0.3">
      <c r="A205" s="19" t="s">
        <v>35</v>
      </c>
      <c r="B205" s="19" t="s">
        <v>311</v>
      </c>
      <c r="C205" s="20">
        <v>0.14583333333333329</v>
      </c>
      <c r="D205" s="19" t="s">
        <v>37</v>
      </c>
      <c r="E205" s="19" t="s">
        <v>92</v>
      </c>
      <c r="F205" s="19" t="s">
        <v>383</v>
      </c>
      <c r="G205" s="282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</row>
    <row r="206" spans="1:92" ht="15" customHeight="1" x14ac:dyDescent="0.3">
      <c r="A206" s="19" t="s">
        <v>35</v>
      </c>
      <c r="B206" s="19" t="s">
        <v>316</v>
      </c>
      <c r="C206" s="20">
        <v>0.77430555555555547</v>
      </c>
      <c r="D206" s="19" t="s">
        <v>37</v>
      </c>
      <c r="E206" s="19" t="s">
        <v>350</v>
      </c>
      <c r="F206" s="19" t="s">
        <v>383</v>
      </c>
      <c r="G206" s="282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</row>
    <row r="207" spans="1:92" ht="15" customHeight="1" x14ac:dyDescent="0.3">
      <c r="A207" s="17" t="s">
        <v>63</v>
      </c>
      <c r="B207" s="17" t="s">
        <v>318</v>
      </c>
      <c r="C207" s="18">
        <v>0.24305555555555561</v>
      </c>
      <c r="D207" s="17" t="s">
        <v>65</v>
      </c>
      <c r="E207" s="17" t="s">
        <v>38</v>
      </c>
      <c r="F207" s="17" t="s">
        <v>319</v>
      </c>
      <c r="G207" s="282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</row>
    <row r="208" spans="1:92" ht="15" customHeight="1" x14ac:dyDescent="0.3">
      <c r="A208" s="15" t="s">
        <v>63</v>
      </c>
      <c r="B208" s="15" t="s">
        <v>318</v>
      </c>
      <c r="C208" s="16">
        <v>0.24305555555555561</v>
      </c>
      <c r="D208" s="15" t="s">
        <v>67</v>
      </c>
      <c r="E208" s="15" t="s">
        <v>68</v>
      </c>
      <c r="F208" s="15" t="s">
        <v>320</v>
      </c>
      <c r="G208" s="282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</row>
    <row r="209" spans="1:92" ht="15" customHeight="1" x14ac:dyDescent="0.3">
      <c r="A209" s="19" t="s">
        <v>63</v>
      </c>
      <c r="B209" s="19" t="s">
        <v>322</v>
      </c>
      <c r="C209" s="20">
        <v>0.37847222222222232</v>
      </c>
      <c r="D209" s="19" t="s">
        <v>65</v>
      </c>
      <c r="E209" s="19" t="s">
        <v>41</v>
      </c>
      <c r="F209" s="19" t="s">
        <v>323</v>
      </c>
      <c r="G209" s="282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</row>
    <row r="210" spans="1:92" ht="15" customHeight="1" x14ac:dyDescent="0.3">
      <c r="A210" s="15" t="s">
        <v>63</v>
      </c>
      <c r="B210" s="15" t="s">
        <v>322</v>
      </c>
      <c r="C210" s="16">
        <v>0.37847222222222232</v>
      </c>
      <c r="D210" s="15" t="s">
        <v>67</v>
      </c>
      <c r="E210" s="15" t="s">
        <v>68</v>
      </c>
      <c r="F210" s="15" t="s">
        <v>324</v>
      </c>
      <c r="G210" s="282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</row>
    <row r="211" spans="1:92" ht="15" customHeight="1" x14ac:dyDescent="0.3">
      <c r="A211" s="19" t="s">
        <v>63</v>
      </c>
      <c r="B211" s="19" t="s">
        <v>325</v>
      </c>
      <c r="C211" s="20">
        <v>6.9444444444444441E-3</v>
      </c>
      <c r="D211" s="19" t="s">
        <v>65</v>
      </c>
      <c r="E211" s="19" t="s">
        <v>41</v>
      </c>
      <c r="F211" s="19" t="s">
        <v>323</v>
      </c>
      <c r="G211" s="282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</row>
    <row r="212" spans="1:92" ht="15" customHeight="1" x14ac:dyDescent="0.3">
      <c r="A212" s="15" t="s">
        <v>63</v>
      </c>
      <c r="B212" s="15" t="s">
        <v>325</v>
      </c>
      <c r="C212" s="16">
        <v>6.9444444444444441E-3</v>
      </c>
      <c r="D212" s="15" t="s">
        <v>67</v>
      </c>
      <c r="E212" s="15" t="s">
        <v>68</v>
      </c>
      <c r="F212" s="15" t="s">
        <v>324</v>
      </c>
      <c r="G212" s="282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</row>
    <row r="213" spans="1:92" ht="15" customHeight="1" x14ac:dyDescent="0.3">
      <c r="A213" s="19" t="s">
        <v>63</v>
      </c>
      <c r="B213" s="19" t="s">
        <v>321</v>
      </c>
      <c r="C213" s="20">
        <v>0.1423611111111111</v>
      </c>
      <c r="D213" s="19" t="s">
        <v>65</v>
      </c>
      <c r="E213" s="19" t="s">
        <v>41</v>
      </c>
      <c r="F213" s="19" t="s">
        <v>323</v>
      </c>
      <c r="G213" s="282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</row>
    <row r="214" spans="1:92" ht="15" customHeight="1" x14ac:dyDescent="0.3">
      <c r="A214" s="15" t="s">
        <v>63</v>
      </c>
      <c r="B214" s="15" t="s">
        <v>321</v>
      </c>
      <c r="C214" s="16">
        <v>0.1423611111111111</v>
      </c>
      <c r="D214" s="15" t="s">
        <v>67</v>
      </c>
      <c r="E214" s="15" t="s">
        <v>68</v>
      </c>
      <c r="F214" s="15" t="s">
        <v>324</v>
      </c>
      <c r="G214" s="282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</row>
    <row r="215" spans="1:92" ht="15" customHeight="1" x14ac:dyDescent="0.3">
      <c r="A215" s="19" t="s">
        <v>63</v>
      </c>
      <c r="B215" s="19" t="s">
        <v>330</v>
      </c>
      <c r="C215" s="20">
        <v>0.71875</v>
      </c>
      <c r="D215" s="19" t="s">
        <v>65</v>
      </c>
      <c r="E215" s="19" t="s">
        <v>41</v>
      </c>
      <c r="F215" s="19" t="s">
        <v>336</v>
      </c>
      <c r="G215" s="282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</row>
    <row r="216" spans="1:92" ht="15" customHeight="1" x14ac:dyDescent="0.3">
      <c r="A216" s="15" t="s">
        <v>63</v>
      </c>
      <c r="B216" s="15" t="s">
        <v>330</v>
      </c>
      <c r="C216" s="16">
        <v>0.71875</v>
      </c>
      <c r="D216" s="15" t="s">
        <v>67</v>
      </c>
      <c r="E216" s="15" t="s">
        <v>68</v>
      </c>
      <c r="F216" s="15" t="s">
        <v>337</v>
      </c>
      <c r="G216" s="282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</row>
    <row r="217" spans="1:92" ht="15" customHeight="1" x14ac:dyDescent="0.3">
      <c r="A217" s="19" t="s">
        <v>63</v>
      </c>
      <c r="B217" s="19" t="s">
        <v>341</v>
      </c>
      <c r="C217" s="20">
        <v>0.61111111111111105</v>
      </c>
      <c r="D217" s="19" t="s">
        <v>65</v>
      </c>
      <c r="E217" s="19" t="s">
        <v>41</v>
      </c>
      <c r="F217" s="19" t="s">
        <v>336</v>
      </c>
      <c r="G217" s="282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</row>
    <row r="218" spans="1:92" ht="15" customHeight="1" x14ac:dyDescent="0.3">
      <c r="A218" s="15" t="s">
        <v>63</v>
      </c>
      <c r="B218" s="15" t="s">
        <v>341</v>
      </c>
      <c r="C218" s="16">
        <v>0.61111111111111105</v>
      </c>
      <c r="D218" s="15" t="s">
        <v>67</v>
      </c>
      <c r="E218" s="15" t="s">
        <v>68</v>
      </c>
      <c r="F218" s="15" t="s">
        <v>337</v>
      </c>
      <c r="G218" s="282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</row>
    <row r="219" spans="1:92" ht="15" customHeight="1" x14ac:dyDescent="0.3">
      <c r="A219" s="19" t="s">
        <v>63</v>
      </c>
      <c r="B219" s="19" t="s">
        <v>335</v>
      </c>
      <c r="C219" s="20">
        <v>0.93055555555555547</v>
      </c>
      <c r="D219" s="19" t="s">
        <v>65</v>
      </c>
      <c r="E219" s="19" t="s">
        <v>72</v>
      </c>
      <c r="F219" s="19" t="s">
        <v>336</v>
      </c>
      <c r="G219" s="282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</row>
    <row r="220" spans="1:92" ht="15" customHeight="1" x14ac:dyDescent="0.3">
      <c r="A220" s="15" t="s">
        <v>63</v>
      </c>
      <c r="B220" s="15" t="s">
        <v>335</v>
      </c>
      <c r="C220" s="16">
        <v>0.93055555555555547</v>
      </c>
      <c r="D220" s="15" t="s">
        <v>67</v>
      </c>
      <c r="E220" s="15" t="s">
        <v>73</v>
      </c>
      <c r="F220" s="15" t="s">
        <v>337</v>
      </c>
      <c r="G220" s="282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</row>
    <row r="221" spans="1:92" ht="15" customHeight="1" x14ac:dyDescent="0.3">
      <c r="A221" s="19" t="s">
        <v>63</v>
      </c>
      <c r="B221" s="19" t="s">
        <v>326</v>
      </c>
      <c r="C221" s="20">
        <v>0.88888888888888884</v>
      </c>
      <c r="D221" s="19" t="s">
        <v>67</v>
      </c>
      <c r="E221" s="19" t="s">
        <v>58</v>
      </c>
      <c r="F221" s="19" t="s">
        <v>368</v>
      </c>
      <c r="G221" s="282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</row>
    <row r="222" spans="1:92" ht="15" customHeight="1" x14ac:dyDescent="0.3">
      <c r="A222" s="19" t="s">
        <v>63</v>
      </c>
      <c r="B222" s="19" t="s">
        <v>328</v>
      </c>
      <c r="C222" s="20">
        <v>0.30208333333333331</v>
      </c>
      <c r="D222" s="19" t="s">
        <v>67</v>
      </c>
      <c r="E222" s="19" t="s">
        <v>58</v>
      </c>
      <c r="F222" s="19" t="s">
        <v>368</v>
      </c>
      <c r="G222" s="282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</row>
    <row r="223" spans="1:92" ht="15" customHeight="1" x14ac:dyDescent="0.3">
      <c r="A223" s="19" t="s">
        <v>63</v>
      </c>
      <c r="B223" s="19" t="s">
        <v>329</v>
      </c>
      <c r="C223" s="20">
        <v>0.12847222222222221</v>
      </c>
      <c r="D223" s="19" t="s">
        <v>67</v>
      </c>
      <c r="E223" s="19" t="s">
        <v>58</v>
      </c>
      <c r="F223" s="19" t="s">
        <v>368</v>
      </c>
      <c r="G223" s="282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</row>
    <row r="224" spans="1:92" ht="15" customHeight="1" x14ac:dyDescent="0.3">
      <c r="A224" s="19" t="s">
        <v>63</v>
      </c>
      <c r="B224" s="19" t="s">
        <v>333</v>
      </c>
      <c r="C224" s="20">
        <v>0.78819444444444453</v>
      </c>
      <c r="D224" s="19" t="s">
        <v>67</v>
      </c>
      <c r="E224" s="19" t="s">
        <v>58</v>
      </c>
      <c r="F224" s="19" t="s">
        <v>368</v>
      </c>
      <c r="G224" s="282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</row>
    <row r="225" spans="1:92" ht="15" customHeight="1" x14ac:dyDescent="0.3">
      <c r="A225" s="19" t="s">
        <v>63</v>
      </c>
      <c r="B225" s="19" t="s">
        <v>338</v>
      </c>
      <c r="C225" s="20">
        <v>0.82986111111111116</v>
      </c>
      <c r="D225" s="19" t="s">
        <v>65</v>
      </c>
      <c r="E225" s="19" t="s">
        <v>350</v>
      </c>
      <c r="F225" s="19" t="s">
        <v>384</v>
      </c>
      <c r="G225" s="282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</row>
    <row r="226" spans="1:92" ht="15" customHeight="1" x14ac:dyDescent="0.3">
      <c r="A226" s="188" t="s">
        <v>63</v>
      </c>
      <c r="B226" s="188" t="s">
        <v>338</v>
      </c>
      <c r="C226" s="189">
        <v>0.82986111111111116</v>
      </c>
      <c r="D226" s="188" t="s">
        <v>67</v>
      </c>
      <c r="E226" s="188" t="s">
        <v>351</v>
      </c>
      <c r="F226" s="188" t="s">
        <v>385</v>
      </c>
      <c r="G226" s="283"/>
      <c r="H226" s="38"/>
      <c r="I226" s="39"/>
      <c r="J226" s="39"/>
      <c r="K226" s="39"/>
      <c r="L226" s="39"/>
      <c r="M226" s="39"/>
      <c r="N226" s="39"/>
      <c r="O226" s="40"/>
      <c r="P226" s="39"/>
      <c r="Q226" s="41"/>
      <c r="R226" s="42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</row>
    <row r="227" spans="1:92" ht="14.4" customHeight="1" x14ac:dyDescent="0.3">
      <c r="A227" s="288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80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</row>
    <row r="228" spans="1:92" ht="22.05" customHeight="1" x14ac:dyDescent="0.3">
      <c r="A228" s="289" t="s">
        <v>5</v>
      </c>
      <c r="B228" s="290"/>
      <c r="C228" s="290"/>
      <c r="D228" s="290"/>
      <c r="E228" s="290"/>
      <c r="F228" s="290"/>
      <c r="G228" s="5">
        <v>45991</v>
      </c>
      <c r="H228" s="286" t="s">
        <v>6</v>
      </c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</row>
    <row r="229" spans="1:92" ht="24" customHeight="1" x14ac:dyDescent="0.3">
      <c r="A229" s="30" t="s">
        <v>7</v>
      </c>
      <c r="B229" s="30" t="s">
        <v>8</v>
      </c>
      <c r="C229" s="31" t="s">
        <v>9</v>
      </c>
      <c r="D229" s="30" t="s">
        <v>10</v>
      </c>
      <c r="E229" s="30" t="s">
        <v>11</v>
      </c>
      <c r="F229" s="30" t="s">
        <v>12</v>
      </c>
      <c r="G229" s="32" t="s">
        <v>13</v>
      </c>
      <c r="H229" s="30" t="s">
        <v>14</v>
      </c>
      <c r="I229" s="33" t="s">
        <v>15</v>
      </c>
      <c r="J229" s="34" t="s">
        <v>16</v>
      </c>
      <c r="K229" s="35" t="s">
        <v>17</v>
      </c>
      <c r="L229" s="34" t="s">
        <v>18</v>
      </c>
      <c r="M229" s="34" t="s">
        <v>19</v>
      </c>
      <c r="N229" s="34" t="s">
        <v>20</v>
      </c>
      <c r="O229" s="30" t="s">
        <v>21</v>
      </c>
      <c r="P229" s="31" t="s">
        <v>22</v>
      </c>
      <c r="Q229" s="34" t="s">
        <v>23</v>
      </c>
      <c r="R229" s="30" t="s">
        <v>24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</row>
    <row r="230" spans="1:92" ht="15" customHeight="1" x14ac:dyDescent="0.3">
      <c r="A230" s="8" t="s">
        <v>25</v>
      </c>
      <c r="B230" s="8" t="s">
        <v>244</v>
      </c>
      <c r="C230" s="9">
        <v>0.12847222222222221</v>
      </c>
      <c r="D230" s="8" t="s">
        <v>27</v>
      </c>
      <c r="E230" s="8" t="s">
        <v>109</v>
      </c>
      <c r="F230" s="8" t="s">
        <v>252</v>
      </c>
      <c r="G230" s="281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</row>
    <row r="231" spans="1:92" ht="15" customHeight="1" x14ac:dyDescent="0.3">
      <c r="A231" s="15" t="s">
        <v>25</v>
      </c>
      <c r="B231" s="15" t="s">
        <v>244</v>
      </c>
      <c r="C231" s="16">
        <v>0.12847222222222221</v>
      </c>
      <c r="D231" s="15" t="s">
        <v>30</v>
      </c>
      <c r="E231" s="15" t="s">
        <v>111</v>
      </c>
      <c r="F231" s="15" t="s">
        <v>254</v>
      </c>
      <c r="G231" s="282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</row>
    <row r="232" spans="1:92" ht="15" customHeight="1" x14ac:dyDescent="0.3">
      <c r="A232" s="15" t="s">
        <v>25</v>
      </c>
      <c r="B232" s="15" t="s">
        <v>244</v>
      </c>
      <c r="C232" s="16">
        <v>0.12847222222222221</v>
      </c>
      <c r="D232" s="15" t="s">
        <v>33</v>
      </c>
      <c r="E232" s="15" t="s">
        <v>111</v>
      </c>
      <c r="F232" s="15" t="s">
        <v>34</v>
      </c>
      <c r="G232" s="282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</row>
    <row r="233" spans="1:92" ht="15" customHeight="1" x14ac:dyDescent="0.3">
      <c r="A233" s="19" t="s">
        <v>25</v>
      </c>
      <c r="B233" s="19" t="s">
        <v>250</v>
      </c>
      <c r="C233" s="20">
        <v>0.78819444444444453</v>
      </c>
      <c r="D233" s="19" t="s">
        <v>27</v>
      </c>
      <c r="E233" s="19" t="s">
        <v>92</v>
      </c>
      <c r="F233" s="19" t="s">
        <v>252</v>
      </c>
      <c r="G233" s="282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</row>
    <row r="234" spans="1:92" ht="15" customHeight="1" x14ac:dyDescent="0.3">
      <c r="A234" s="15" t="s">
        <v>25</v>
      </c>
      <c r="B234" s="15" t="s">
        <v>250</v>
      </c>
      <c r="C234" s="16">
        <v>0.78819444444444453</v>
      </c>
      <c r="D234" s="15" t="s">
        <v>30</v>
      </c>
      <c r="E234" s="15" t="s">
        <v>53</v>
      </c>
      <c r="F234" s="15" t="s">
        <v>254</v>
      </c>
      <c r="G234" s="282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</row>
    <row r="235" spans="1:92" ht="15" customHeight="1" x14ac:dyDescent="0.3">
      <c r="A235" s="15" t="s">
        <v>25</v>
      </c>
      <c r="B235" s="15" t="s">
        <v>250</v>
      </c>
      <c r="C235" s="16">
        <v>0.78819444444444453</v>
      </c>
      <c r="D235" s="15" t="s">
        <v>33</v>
      </c>
      <c r="E235" s="15" t="s">
        <v>53</v>
      </c>
      <c r="F235" s="15" t="s">
        <v>34</v>
      </c>
      <c r="G235" s="282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</row>
    <row r="236" spans="1:92" ht="15" customHeight="1" x14ac:dyDescent="0.3">
      <c r="A236" s="19" t="s">
        <v>25</v>
      </c>
      <c r="B236" s="19" t="s">
        <v>247</v>
      </c>
      <c r="C236" s="20">
        <v>0.88888888888888884</v>
      </c>
      <c r="D236" s="19" t="s">
        <v>27</v>
      </c>
      <c r="E236" s="19" t="s">
        <v>103</v>
      </c>
      <c r="F236" s="19" t="s">
        <v>252</v>
      </c>
      <c r="G236" s="282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</row>
    <row r="237" spans="1:92" ht="15" customHeight="1" x14ac:dyDescent="0.3">
      <c r="A237" s="15" t="s">
        <v>25</v>
      </c>
      <c r="B237" s="15" t="s">
        <v>247</v>
      </c>
      <c r="C237" s="16">
        <v>0.88888888888888884</v>
      </c>
      <c r="D237" s="15" t="s">
        <v>30</v>
      </c>
      <c r="E237" s="15" t="s">
        <v>104</v>
      </c>
      <c r="F237" s="15" t="s">
        <v>254</v>
      </c>
      <c r="G237" s="282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</row>
    <row r="238" spans="1:92" ht="15" customHeight="1" x14ac:dyDescent="0.3">
      <c r="A238" s="15" t="s">
        <v>25</v>
      </c>
      <c r="B238" s="15" t="s">
        <v>247</v>
      </c>
      <c r="C238" s="16">
        <v>0.88888888888888884</v>
      </c>
      <c r="D238" s="15" t="s">
        <v>33</v>
      </c>
      <c r="E238" s="15" t="s">
        <v>104</v>
      </c>
      <c r="F238" s="15" t="s">
        <v>34</v>
      </c>
      <c r="G238" s="282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</row>
    <row r="239" spans="1:92" ht="15" customHeight="1" x14ac:dyDescent="0.3">
      <c r="A239" s="19" t="s">
        <v>25</v>
      </c>
      <c r="B239" s="19" t="s">
        <v>239</v>
      </c>
      <c r="C239" s="20">
        <v>0.30208333333333331</v>
      </c>
      <c r="D239" s="19" t="s">
        <v>27</v>
      </c>
      <c r="E239" s="19" t="s">
        <v>371</v>
      </c>
      <c r="F239" s="19" t="s">
        <v>346</v>
      </c>
      <c r="G239" s="282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</row>
    <row r="240" spans="1:92" ht="15" customHeight="1" x14ac:dyDescent="0.3">
      <c r="A240" s="15" t="s">
        <v>25</v>
      </c>
      <c r="B240" s="15" t="s">
        <v>239</v>
      </c>
      <c r="C240" s="16">
        <v>0.30208333333333331</v>
      </c>
      <c r="D240" s="15" t="s">
        <v>30</v>
      </c>
      <c r="E240" s="15" t="s">
        <v>115</v>
      </c>
      <c r="F240" s="15" t="s">
        <v>348</v>
      </c>
      <c r="G240" s="282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</row>
    <row r="241" spans="1:92" ht="15" customHeight="1" x14ac:dyDescent="0.3">
      <c r="A241" s="15" t="s">
        <v>25</v>
      </c>
      <c r="B241" s="15" t="s">
        <v>239</v>
      </c>
      <c r="C241" s="16">
        <v>0.30208333333333331</v>
      </c>
      <c r="D241" s="15" t="s">
        <v>33</v>
      </c>
      <c r="E241" s="15" t="s">
        <v>115</v>
      </c>
      <c r="F241" s="15" t="s">
        <v>34</v>
      </c>
      <c r="G241" s="282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</row>
    <row r="242" spans="1:92" ht="15" customHeight="1" x14ac:dyDescent="0.3">
      <c r="A242" s="17" t="s">
        <v>272</v>
      </c>
      <c r="B242" s="17" t="s">
        <v>273</v>
      </c>
      <c r="C242" s="18">
        <v>0.27430555555555552</v>
      </c>
      <c r="D242" s="17" t="s">
        <v>274</v>
      </c>
      <c r="E242" s="17" t="s">
        <v>38</v>
      </c>
      <c r="F242" s="17" t="s">
        <v>275</v>
      </c>
      <c r="G242" s="282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</row>
    <row r="243" spans="1:92" ht="15" customHeight="1" x14ac:dyDescent="0.3">
      <c r="A243" s="19" t="s">
        <v>272</v>
      </c>
      <c r="B243" s="19" t="s">
        <v>386</v>
      </c>
      <c r="C243" s="20">
        <v>0.34722222222222232</v>
      </c>
      <c r="D243" s="19" t="s">
        <v>274</v>
      </c>
      <c r="E243" s="19" t="s">
        <v>92</v>
      </c>
      <c r="F243" s="19" t="s">
        <v>387</v>
      </c>
      <c r="G243" s="282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</row>
    <row r="244" spans="1:92" ht="15" customHeight="1" x14ac:dyDescent="0.3">
      <c r="A244" s="17" t="s">
        <v>300</v>
      </c>
      <c r="B244" s="17" t="s">
        <v>369</v>
      </c>
      <c r="C244" s="18">
        <v>0.38194444444444442</v>
      </c>
      <c r="D244" s="17" t="s">
        <v>274</v>
      </c>
      <c r="E244" s="17" t="s">
        <v>388</v>
      </c>
      <c r="F244" s="17" t="s">
        <v>278</v>
      </c>
      <c r="G244" s="282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</row>
    <row r="245" spans="1:92" ht="15" customHeight="1" x14ac:dyDescent="0.3">
      <c r="A245" s="19" t="s">
        <v>300</v>
      </c>
      <c r="B245" s="19" t="s">
        <v>301</v>
      </c>
      <c r="C245" s="20">
        <v>0.66666666666666663</v>
      </c>
      <c r="D245" s="19" t="s">
        <v>274</v>
      </c>
      <c r="E245" s="19" t="s">
        <v>349</v>
      </c>
      <c r="F245" s="19" t="s">
        <v>309</v>
      </c>
      <c r="G245" s="282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</row>
    <row r="246" spans="1:92" ht="15" customHeight="1" x14ac:dyDescent="0.3">
      <c r="A246" s="17" t="s">
        <v>302</v>
      </c>
      <c r="B246" s="17" t="s">
        <v>303</v>
      </c>
      <c r="C246" s="18">
        <v>0.3888888888888889</v>
      </c>
      <c r="D246" s="17" t="s">
        <v>304</v>
      </c>
      <c r="E246" s="17" t="s">
        <v>109</v>
      </c>
      <c r="F246" s="17" t="s">
        <v>389</v>
      </c>
      <c r="G246" s="282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</row>
    <row r="247" spans="1:92" ht="15" customHeight="1" x14ac:dyDescent="0.3">
      <c r="A247" s="15" t="s">
        <v>302</v>
      </c>
      <c r="B247" s="15" t="s">
        <v>303</v>
      </c>
      <c r="C247" s="16">
        <v>0.3888888888888889</v>
      </c>
      <c r="D247" s="15" t="s">
        <v>33</v>
      </c>
      <c r="E247" s="15" t="s">
        <v>111</v>
      </c>
      <c r="F247" s="15" t="s">
        <v>390</v>
      </c>
      <c r="G247" s="282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</row>
    <row r="248" spans="1:92" ht="15" customHeight="1" x14ac:dyDescent="0.3">
      <c r="A248" s="199" t="s">
        <v>76</v>
      </c>
      <c r="B248" s="199" t="s">
        <v>277</v>
      </c>
      <c r="C248" s="200">
        <v>8.3333333333333329E-2</v>
      </c>
      <c r="D248" s="199" t="s">
        <v>78</v>
      </c>
      <c r="E248" s="199" t="s">
        <v>79</v>
      </c>
      <c r="F248" s="199" t="s">
        <v>295</v>
      </c>
      <c r="G248" s="282"/>
      <c r="H248" s="167" t="s">
        <v>279</v>
      </c>
      <c r="I248" s="185">
        <v>0.72070000000000001</v>
      </c>
      <c r="J248" s="169">
        <v>129</v>
      </c>
      <c r="K248" s="170">
        <v>45986</v>
      </c>
      <c r="L248" s="169">
        <v>17</v>
      </c>
      <c r="M248" s="169">
        <v>0</v>
      </c>
      <c r="N248" s="169">
        <v>9</v>
      </c>
      <c r="O248" s="171" t="s">
        <v>176</v>
      </c>
      <c r="P248" s="172">
        <v>8.3333333333333329E-2</v>
      </c>
      <c r="Q248" s="169">
        <v>179</v>
      </c>
      <c r="R248" s="173" t="s">
        <v>391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</row>
    <row r="249" spans="1:92" ht="15" customHeight="1" x14ac:dyDescent="0.3">
      <c r="A249" s="174" t="s">
        <v>76</v>
      </c>
      <c r="B249" s="174" t="s">
        <v>282</v>
      </c>
      <c r="C249" s="175">
        <v>0.33333333333333331</v>
      </c>
      <c r="D249" s="174" t="s">
        <v>78</v>
      </c>
      <c r="E249" s="174" t="s">
        <v>41</v>
      </c>
      <c r="F249" s="174" t="s">
        <v>295</v>
      </c>
      <c r="G249" s="282"/>
      <c r="H249" s="55" t="s">
        <v>283</v>
      </c>
      <c r="I249" s="162">
        <v>0.66069999999999995</v>
      </c>
      <c r="J249" s="57">
        <v>111</v>
      </c>
      <c r="K249" s="58">
        <v>45986</v>
      </c>
      <c r="L249" s="57">
        <v>9</v>
      </c>
      <c r="M249" s="57">
        <v>0</v>
      </c>
      <c r="N249" s="57">
        <v>2</v>
      </c>
      <c r="O249" s="59" t="s">
        <v>158</v>
      </c>
      <c r="P249" s="60">
        <v>0.33333333333333331</v>
      </c>
      <c r="Q249" s="57">
        <v>168</v>
      </c>
      <c r="R249" s="61" t="s">
        <v>392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</row>
    <row r="250" spans="1:92" ht="15" customHeight="1" x14ac:dyDescent="0.3">
      <c r="A250" s="176" t="s">
        <v>76</v>
      </c>
      <c r="B250" s="176" t="s">
        <v>291</v>
      </c>
      <c r="C250" s="177">
        <v>0.31944444444444448</v>
      </c>
      <c r="D250" s="176" t="s">
        <v>78</v>
      </c>
      <c r="E250" s="176" t="s">
        <v>92</v>
      </c>
      <c r="F250" s="176" t="s">
        <v>295</v>
      </c>
      <c r="G250" s="282"/>
      <c r="H250" s="178" t="s">
        <v>292</v>
      </c>
      <c r="I250" s="201">
        <v>0.79890000000000005</v>
      </c>
      <c r="J250" s="180">
        <v>143</v>
      </c>
      <c r="K250" s="181">
        <v>45986</v>
      </c>
      <c r="L250" s="180">
        <v>55</v>
      </c>
      <c r="M250" s="180">
        <v>0</v>
      </c>
      <c r="N250" s="180">
        <v>4</v>
      </c>
      <c r="O250" s="182" t="s">
        <v>352</v>
      </c>
      <c r="P250" s="183">
        <v>0.31944444444444448</v>
      </c>
      <c r="Q250" s="180">
        <v>179</v>
      </c>
      <c r="R250" s="184" t="s">
        <v>393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</row>
    <row r="251" spans="1:92" ht="15" customHeight="1" x14ac:dyDescent="0.3">
      <c r="A251" s="174" t="s">
        <v>76</v>
      </c>
      <c r="B251" s="174" t="s">
        <v>363</v>
      </c>
      <c r="C251" s="175">
        <v>0.51041666666666663</v>
      </c>
      <c r="D251" s="174" t="s">
        <v>105</v>
      </c>
      <c r="E251" s="193"/>
      <c r="F251" s="174" t="s">
        <v>106</v>
      </c>
      <c r="G251" s="282"/>
      <c r="H251" s="55" t="s">
        <v>363</v>
      </c>
      <c r="I251" s="56">
        <v>0.9385</v>
      </c>
      <c r="J251" s="57">
        <v>168</v>
      </c>
      <c r="K251" s="58">
        <v>45986</v>
      </c>
      <c r="L251" s="57">
        <v>6</v>
      </c>
      <c r="M251" s="57">
        <v>0</v>
      </c>
      <c r="N251" s="57">
        <v>1</v>
      </c>
      <c r="O251" s="59" t="s">
        <v>107</v>
      </c>
      <c r="P251" s="60">
        <v>0.51041666666666663</v>
      </c>
      <c r="Q251" s="57">
        <v>179</v>
      </c>
      <c r="R251" s="61" t="s">
        <v>394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</row>
    <row r="252" spans="1:92" ht="15" customHeight="1" x14ac:dyDescent="0.3">
      <c r="A252" s="190" t="s">
        <v>76</v>
      </c>
      <c r="B252" s="190" t="s">
        <v>298</v>
      </c>
      <c r="C252" s="191">
        <v>0.63194444444444442</v>
      </c>
      <c r="D252" s="190" t="s">
        <v>105</v>
      </c>
      <c r="E252" s="202"/>
      <c r="F252" s="190" t="s">
        <v>106</v>
      </c>
      <c r="G252" s="282"/>
      <c r="H252" s="145" t="s">
        <v>298</v>
      </c>
      <c r="I252" s="146">
        <v>0.96650000000000003</v>
      </c>
      <c r="J252" s="147">
        <v>173</v>
      </c>
      <c r="K252" s="148">
        <v>45982</v>
      </c>
      <c r="L252" s="147">
        <v>3</v>
      </c>
      <c r="M252" s="147">
        <v>0</v>
      </c>
      <c r="N252" s="147">
        <v>0</v>
      </c>
      <c r="O252" s="149" t="s">
        <v>107</v>
      </c>
      <c r="P252" s="150">
        <v>0.63194444444444442</v>
      </c>
      <c r="Q252" s="147">
        <v>179</v>
      </c>
      <c r="R252" s="151" t="s">
        <v>395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</row>
    <row r="253" spans="1:92" ht="15" customHeight="1" x14ac:dyDescent="0.3">
      <c r="A253" s="17" t="s">
        <v>47</v>
      </c>
      <c r="B253" s="17" t="s">
        <v>261</v>
      </c>
      <c r="C253" s="18">
        <v>0.90277777777777779</v>
      </c>
      <c r="D253" s="17" t="s">
        <v>49</v>
      </c>
      <c r="E253" s="17" t="s">
        <v>113</v>
      </c>
      <c r="F253" s="17" t="s">
        <v>269</v>
      </c>
      <c r="G253" s="282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</row>
    <row r="254" spans="1:92" ht="15" customHeight="1" x14ac:dyDescent="0.3">
      <c r="A254" s="15" t="s">
        <v>47</v>
      </c>
      <c r="B254" s="15" t="s">
        <v>261</v>
      </c>
      <c r="C254" s="16">
        <v>0.90277777777777779</v>
      </c>
      <c r="D254" s="15" t="s">
        <v>52</v>
      </c>
      <c r="E254" s="15" t="s">
        <v>115</v>
      </c>
      <c r="F254" s="15" t="s">
        <v>270</v>
      </c>
      <c r="G254" s="282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</row>
    <row r="255" spans="1:92" ht="15" customHeight="1" x14ac:dyDescent="0.3">
      <c r="A255" s="15" t="s">
        <v>47</v>
      </c>
      <c r="B255" s="15" t="s">
        <v>261</v>
      </c>
      <c r="C255" s="16">
        <v>0.90277777777777779</v>
      </c>
      <c r="D255" s="15" t="s">
        <v>55</v>
      </c>
      <c r="E255" s="15" t="s">
        <v>115</v>
      </c>
      <c r="F255" s="15" t="s">
        <v>51</v>
      </c>
      <c r="G255" s="282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</row>
    <row r="256" spans="1:92" ht="15" customHeight="1" x14ac:dyDescent="0.3">
      <c r="A256" s="19" t="s">
        <v>47</v>
      </c>
      <c r="B256" s="19" t="s">
        <v>268</v>
      </c>
      <c r="C256" s="20">
        <v>0.64583333333333337</v>
      </c>
      <c r="D256" s="19" t="s">
        <v>49</v>
      </c>
      <c r="E256" s="19" t="s">
        <v>262</v>
      </c>
      <c r="F256" s="19" t="s">
        <v>269</v>
      </c>
      <c r="G256" s="282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</row>
    <row r="257" spans="1:92" ht="15" customHeight="1" x14ac:dyDescent="0.3">
      <c r="A257" s="15" t="s">
        <v>47</v>
      </c>
      <c r="B257" s="15" t="s">
        <v>268</v>
      </c>
      <c r="C257" s="16">
        <v>0.64583333333333337</v>
      </c>
      <c r="D257" s="15" t="s">
        <v>52</v>
      </c>
      <c r="E257" s="15" t="s">
        <v>111</v>
      </c>
      <c r="F257" s="15" t="s">
        <v>270</v>
      </c>
      <c r="G257" s="282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</row>
    <row r="258" spans="1:92" ht="15" customHeight="1" x14ac:dyDescent="0.3">
      <c r="A258" s="15" t="s">
        <v>47</v>
      </c>
      <c r="B258" s="15" t="s">
        <v>268</v>
      </c>
      <c r="C258" s="16">
        <v>0.64583333333333337</v>
      </c>
      <c r="D258" s="15" t="s">
        <v>55</v>
      </c>
      <c r="E258" s="15" t="s">
        <v>111</v>
      </c>
      <c r="F258" s="15" t="s">
        <v>51</v>
      </c>
      <c r="G258" s="282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</row>
    <row r="259" spans="1:92" ht="15" customHeight="1" x14ac:dyDescent="0.3">
      <c r="A259" s="19" t="s">
        <v>47</v>
      </c>
      <c r="B259" s="19" t="s">
        <v>265</v>
      </c>
      <c r="C259" s="20">
        <v>0.51736111111111105</v>
      </c>
      <c r="D259" s="19" t="s">
        <v>49</v>
      </c>
      <c r="E259" s="19" t="s">
        <v>262</v>
      </c>
      <c r="F259" s="19" t="s">
        <v>269</v>
      </c>
      <c r="G259" s="282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</row>
    <row r="260" spans="1:92" ht="15" customHeight="1" x14ac:dyDescent="0.3">
      <c r="A260" s="15" t="s">
        <v>47</v>
      </c>
      <c r="B260" s="15" t="s">
        <v>265</v>
      </c>
      <c r="C260" s="16">
        <v>0.51736111111111105</v>
      </c>
      <c r="D260" s="15" t="s">
        <v>52</v>
      </c>
      <c r="E260" s="15" t="s">
        <v>111</v>
      </c>
      <c r="F260" s="15" t="s">
        <v>270</v>
      </c>
      <c r="G260" s="282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</row>
    <row r="261" spans="1:92" ht="15" customHeight="1" x14ac:dyDescent="0.3">
      <c r="A261" s="15" t="s">
        <v>47</v>
      </c>
      <c r="B261" s="15" t="s">
        <v>265</v>
      </c>
      <c r="C261" s="16">
        <v>0.51736111111111105</v>
      </c>
      <c r="D261" s="15" t="s">
        <v>55</v>
      </c>
      <c r="E261" s="15" t="s">
        <v>111</v>
      </c>
      <c r="F261" s="15" t="s">
        <v>51</v>
      </c>
      <c r="G261" s="282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</row>
    <row r="262" spans="1:92" ht="15" customHeight="1" x14ac:dyDescent="0.3">
      <c r="A262" s="19" t="s">
        <v>47</v>
      </c>
      <c r="B262" s="19" t="s">
        <v>266</v>
      </c>
      <c r="C262" s="20">
        <v>0.85416666666666663</v>
      </c>
      <c r="D262" s="19" t="s">
        <v>49</v>
      </c>
      <c r="E262" s="19" t="s">
        <v>58</v>
      </c>
      <c r="F262" s="19" t="s">
        <v>269</v>
      </c>
      <c r="G262" s="282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</row>
    <row r="263" spans="1:92" ht="15" customHeight="1" x14ac:dyDescent="0.3">
      <c r="A263" s="15" t="s">
        <v>47</v>
      </c>
      <c r="B263" s="15" t="s">
        <v>266</v>
      </c>
      <c r="C263" s="16">
        <v>0.85416666666666663</v>
      </c>
      <c r="D263" s="15" t="s">
        <v>52</v>
      </c>
      <c r="E263" s="15" t="s">
        <v>60</v>
      </c>
      <c r="F263" s="15" t="s">
        <v>270</v>
      </c>
      <c r="G263" s="282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</row>
    <row r="264" spans="1:92" ht="15" customHeight="1" x14ac:dyDescent="0.3">
      <c r="A264" s="15" t="s">
        <v>47</v>
      </c>
      <c r="B264" s="15" t="s">
        <v>266</v>
      </c>
      <c r="C264" s="16">
        <v>0.85416666666666663</v>
      </c>
      <c r="D264" s="15" t="s">
        <v>55</v>
      </c>
      <c r="E264" s="15" t="s">
        <v>60</v>
      </c>
      <c r="F264" s="15" t="s">
        <v>51</v>
      </c>
      <c r="G264" s="282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</row>
    <row r="265" spans="1:92" ht="15" customHeight="1" x14ac:dyDescent="0.3">
      <c r="A265" s="19" t="s">
        <v>47</v>
      </c>
      <c r="B265" s="19" t="s">
        <v>258</v>
      </c>
      <c r="C265" s="20">
        <v>0.39583333333333331</v>
      </c>
      <c r="D265" s="19" t="s">
        <v>49</v>
      </c>
      <c r="E265" s="19" t="s">
        <v>262</v>
      </c>
      <c r="F265" s="19" t="s">
        <v>269</v>
      </c>
      <c r="G265" s="282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</row>
    <row r="266" spans="1:92" ht="15" customHeight="1" x14ac:dyDescent="0.3">
      <c r="A266" s="15" t="s">
        <v>47</v>
      </c>
      <c r="B266" s="15" t="s">
        <v>258</v>
      </c>
      <c r="C266" s="16">
        <v>0.39583333333333331</v>
      </c>
      <c r="D266" s="15" t="s">
        <v>52</v>
      </c>
      <c r="E266" s="15" t="s">
        <v>111</v>
      </c>
      <c r="F266" s="15" t="s">
        <v>270</v>
      </c>
      <c r="G266" s="282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</row>
    <row r="267" spans="1:92" ht="15" customHeight="1" x14ac:dyDescent="0.3">
      <c r="A267" s="15" t="s">
        <v>47</v>
      </c>
      <c r="B267" s="15" t="s">
        <v>258</v>
      </c>
      <c r="C267" s="16">
        <v>0.39583333333333331</v>
      </c>
      <c r="D267" s="15" t="s">
        <v>55</v>
      </c>
      <c r="E267" s="15" t="s">
        <v>111</v>
      </c>
      <c r="F267" s="15" t="s">
        <v>51</v>
      </c>
      <c r="G267" s="282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</row>
    <row r="268" spans="1:92" ht="15" customHeight="1" x14ac:dyDescent="0.3">
      <c r="A268" s="19" t="s">
        <v>47</v>
      </c>
      <c r="B268" s="19" t="s">
        <v>267</v>
      </c>
      <c r="C268" s="20">
        <v>0.30208333333333331</v>
      </c>
      <c r="D268" s="19" t="s">
        <v>49</v>
      </c>
      <c r="E268" s="19" t="s">
        <v>262</v>
      </c>
      <c r="F268" s="19" t="s">
        <v>269</v>
      </c>
      <c r="G268" s="282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</row>
    <row r="269" spans="1:92" ht="15" customHeight="1" x14ac:dyDescent="0.3">
      <c r="A269" s="15" t="s">
        <v>47</v>
      </c>
      <c r="B269" s="15" t="s">
        <v>267</v>
      </c>
      <c r="C269" s="16">
        <v>0.30208333333333331</v>
      </c>
      <c r="D269" s="15" t="s">
        <v>52</v>
      </c>
      <c r="E269" s="15" t="s">
        <v>111</v>
      </c>
      <c r="F269" s="15" t="s">
        <v>270</v>
      </c>
      <c r="G269" s="282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</row>
    <row r="270" spans="1:92" ht="15" customHeight="1" x14ac:dyDescent="0.3">
      <c r="A270" s="15" t="s">
        <v>47</v>
      </c>
      <c r="B270" s="15" t="s">
        <v>267</v>
      </c>
      <c r="C270" s="16">
        <v>0.30208333333333331</v>
      </c>
      <c r="D270" s="15" t="s">
        <v>55</v>
      </c>
      <c r="E270" s="15" t="s">
        <v>111</v>
      </c>
      <c r="F270" s="15" t="s">
        <v>51</v>
      </c>
      <c r="G270" s="282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</row>
    <row r="271" spans="1:92" ht="15" customHeight="1" x14ac:dyDescent="0.3">
      <c r="A271" s="19" t="s">
        <v>47</v>
      </c>
      <c r="B271" s="19" t="s">
        <v>271</v>
      </c>
      <c r="C271" s="20">
        <v>0.79861111111111116</v>
      </c>
      <c r="D271" s="19" t="s">
        <v>49</v>
      </c>
      <c r="E271" s="19" t="s">
        <v>349</v>
      </c>
      <c r="F271" s="19" t="s">
        <v>269</v>
      </c>
      <c r="G271" s="282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</row>
    <row r="272" spans="1:92" ht="15" customHeight="1" x14ac:dyDescent="0.3">
      <c r="A272" s="15" t="s">
        <v>47</v>
      </c>
      <c r="B272" s="15" t="s">
        <v>271</v>
      </c>
      <c r="C272" s="16">
        <v>0.79861111111111116</v>
      </c>
      <c r="D272" s="15" t="s">
        <v>52</v>
      </c>
      <c r="E272" s="15" t="s">
        <v>88</v>
      </c>
      <c r="F272" s="15" t="s">
        <v>270</v>
      </c>
      <c r="G272" s="282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</row>
    <row r="273" spans="1:92" ht="15" customHeight="1" x14ac:dyDescent="0.3">
      <c r="A273" s="15" t="s">
        <v>47</v>
      </c>
      <c r="B273" s="15" t="s">
        <v>271</v>
      </c>
      <c r="C273" s="16">
        <v>0.79861111111111116</v>
      </c>
      <c r="D273" s="15" t="s">
        <v>55</v>
      </c>
      <c r="E273" s="15" t="s">
        <v>88</v>
      </c>
      <c r="F273" s="15" t="s">
        <v>51</v>
      </c>
      <c r="G273" s="282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</row>
    <row r="274" spans="1:92" ht="15" customHeight="1" x14ac:dyDescent="0.3">
      <c r="A274" s="19" t="s">
        <v>47</v>
      </c>
      <c r="B274" s="19" t="s">
        <v>255</v>
      </c>
      <c r="C274" s="20">
        <v>0.25694444444444448</v>
      </c>
      <c r="D274" s="19" t="s">
        <v>49</v>
      </c>
      <c r="E274" s="19" t="s">
        <v>262</v>
      </c>
      <c r="F274" s="19" t="s">
        <v>372</v>
      </c>
      <c r="G274" s="282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</row>
    <row r="275" spans="1:92" ht="15" customHeight="1" x14ac:dyDescent="0.3">
      <c r="A275" s="15" t="s">
        <v>47</v>
      </c>
      <c r="B275" s="15" t="s">
        <v>255</v>
      </c>
      <c r="C275" s="16">
        <v>0.25694444444444448</v>
      </c>
      <c r="D275" s="15" t="s">
        <v>52</v>
      </c>
      <c r="E275" s="15" t="s">
        <v>111</v>
      </c>
      <c r="F275" s="15" t="s">
        <v>373</v>
      </c>
      <c r="G275" s="282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</row>
    <row r="276" spans="1:92" ht="15" customHeight="1" x14ac:dyDescent="0.3">
      <c r="A276" s="15" t="s">
        <v>47</v>
      </c>
      <c r="B276" s="15" t="s">
        <v>255</v>
      </c>
      <c r="C276" s="16">
        <v>0.25694444444444448</v>
      </c>
      <c r="D276" s="15" t="s">
        <v>55</v>
      </c>
      <c r="E276" s="15" t="s">
        <v>111</v>
      </c>
      <c r="F276" s="15" t="s">
        <v>374</v>
      </c>
      <c r="G276" s="282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</row>
    <row r="277" spans="1:92" ht="15" customHeight="1" x14ac:dyDescent="0.3">
      <c r="A277" s="17" t="s">
        <v>35</v>
      </c>
      <c r="B277" s="17" t="s">
        <v>310</v>
      </c>
      <c r="C277" s="18">
        <v>0.4861111111111111</v>
      </c>
      <c r="D277" s="17" t="s">
        <v>308</v>
      </c>
      <c r="E277" s="17" t="s">
        <v>38</v>
      </c>
      <c r="F277" s="17" t="s">
        <v>309</v>
      </c>
      <c r="G277" s="282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</row>
    <row r="278" spans="1:92" ht="15" customHeight="1" x14ac:dyDescent="0.3">
      <c r="A278" s="19" t="s">
        <v>35</v>
      </c>
      <c r="B278" s="19" t="s">
        <v>311</v>
      </c>
      <c r="C278" s="20">
        <v>0.14583333333333329</v>
      </c>
      <c r="D278" s="19" t="s">
        <v>308</v>
      </c>
      <c r="E278" s="19" t="s">
        <v>41</v>
      </c>
      <c r="F278" s="19" t="s">
        <v>309</v>
      </c>
      <c r="G278" s="282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</row>
    <row r="279" spans="1:92" ht="15" customHeight="1" x14ac:dyDescent="0.3">
      <c r="A279" s="19" t="s">
        <v>35</v>
      </c>
      <c r="B279" s="19" t="s">
        <v>315</v>
      </c>
      <c r="C279" s="20">
        <v>0.22222222222222221</v>
      </c>
      <c r="D279" s="19" t="s">
        <v>308</v>
      </c>
      <c r="E279" s="19" t="s">
        <v>41</v>
      </c>
      <c r="F279" s="19" t="s">
        <v>382</v>
      </c>
      <c r="G279" s="282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</row>
    <row r="280" spans="1:92" ht="15" customHeight="1" x14ac:dyDescent="0.3">
      <c r="A280" s="19" t="s">
        <v>35</v>
      </c>
      <c r="B280" s="19" t="s">
        <v>314</v>
      </c>
      <c r="C280" s="20">
        <v>0.95833333333333337</v>
      </c>
      <c r="D280" s="19" t="s">
        <v>37</v>
      </c>
      <c r="E280" s="19" t="s">
        <v>350</v>
      </c>
      <c r="F280" s="19" t="s">
        <v>317</v>
      </c>
      <c r="G280" s="282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</row>
    <row r="281" spans="1:92" ht="15" customHeight="1" x14ac:dyDescent="0.3">
      <c r="A281" s="19" t="s">
        <v>35</v>
      </c>
      <c r="B281" s="19" t="s">
        <v>316</v>
      </c>
      <c r="C281" s="20">
        <v>0.77430555555555547</v>
      </c>
      <c r="D281" s="19" t="s">
        <v>37</v>
      </c>
      <c r="E281" s="19" t="s">
        <v>58</v>
      </c>
      <c r="F281" s="19" t="s">
        <v>317</v>
      </c>
      <c r="G281" s="282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</row>
    <row r="282" spans="1:92" ht="15" customHeight="1" x14ac:dyDescent="0.3">
      <c r="A282" s="19" t="s">
        <v>35</v>
      </c>
      <c r="B282" s="19" t="s">
        <v>312</v>
      </c>
      <c r="C282" s="20">
        <v>0.27777777777777779</v>
      </c>
      <c r="D282" s="19" t="s">
        <v>37</v>
      </c>
      <c r="E282" s="19" t="s">
        <v>103</v>
      </c>
      <c r="F282" s="19" t="s">
        <v>383</v>
      </c>
      <c r="G282" s="282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</row>
    <row r="283" spans="1:92" ht="15" customHeight="1" x14ac:dyDescent="0.3">
      <c r="A283" s="19" t="s">
        <v>35</v>
      </c>
      <c r="B283" s="19" t="s">
        <v>307</v>
      </c>
      <c r="C283" s="20">
        <v>1.388888888888889E-2</v>
      </c>
      <c r="D283" s="19" t="s">
        <v>37</v>
      </c>
      <c r="E283" s="19" t="s">
        <v>92</v>
      </c>
      <c r="F283" s="19" t="s">
        <v>396</v>
      </c>
      <c r="G283" s="282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</row>
    <row r="284" spans="1:92" ht="15" customHeight="1" x14ac:dyDescent="0.3">
      <c r="A284" s="17" t="s">
        <v>63</v>
      </c>
      <c r="B284" s="17" t="s">
        <v>322</v>
      </c>
      <c r="C284" s="18">
        <v>0.37847222222222232</v>
      </c>
      <c r="D284" s="17" t="s">
        <v>65</v>
      </c>
      <c r="E284" s="17" t="s">
        <v>38</v>
      </c>
      <c r="F284" s="17" t="s">
        <v>323</v>
      </c>
      <c r="G284" s="282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</row>
    <row r="285" spans="1:92" ht="15" customHeight="1" x14ac:dyDescent="0.3">
      <c r="A285" s="15" t="s">
        <v>63</v>
      </c>
      <c r="B285" s="15" t="s">
        <v>322</v>
      </c>
      <c r="C285" s="16">
        <v>0.37847222222222232</v>
      </c>
      <c r="D285" s="15" t="s">
        <v>67</v>
      </c>
      <c r="E285" s="15" t="s">
        <v>68</v>
      </c>
      <c r="F285" s="15" t="s">
        <v>324</v>
      </c>
      <c r="G285" s="282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</row>
    <row r="286" spans="1:92" ht="15" customHeight="1" x14ac:dyDescent="0.3">
      <c r="A286" s="19" t="s">
        <v>63</v>
      </c>
      <c r="B286" s="19" t="s">
        <v>330</v>
      </c>
      <c r="C286" s="20">
        <v>0.71875</v>
      </c>
      <c r="D286" s="19" t="s">
        <v>65</v>
      </c>
      <c r="E286" s="19" t="s">
        <v>41</v>
      </c>
      <c r="F286" s="19" t="s">
        <v>323</v>
      </c>
      <c r="G286" s="282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</row>
    <row r="287" spans="1:92" ht="15" customHeight="1" x14ac:dyDescent="0.3">
      <c r="A287" s="15" t="s">
        <v>63</v>
      </c>
      <c r="B287" s="15" t="s">
        <v>330</v>
      </c>
      <c r="C287" s="16">
        <v>0.71875</v>
      </c>
      <c r="D287" s="15" t="s">
        <v>67</v>
      </c>
      <c r="E287" s="15" t="s">
        <v>68</v>
      </c>
      <c r="F287" s="15" t="s">
        <v>324</v>
      </c>
      <c r="G287" s="282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</row>
    <row r="288" spans="1:92" ht="15" customHeight="1" x14ac:dyDescent="0.3">
      <c r="A288" s="19" t="s">
        <v>63</v>
      </c>
      <c r="B288" s="19" t="s">
        <v>318</v>
      </c>
      <c r="C288" s="20">
        <v>0.23958333333333329</v>
      </c>
      <c r="D288" s="19" t="s">
        <v>65</v>
      </c>
      <c r="E288" s="19" t="s">
        <v>41</v>
      </c>
      <c r="F288" s="19" t="s">
        <v>323</v>
      </c>
      <c r="G288" s="282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</row>
    <row r="289" spans="1:92" ht="15" customHeight="1" x14ac:dyDescent="0.3">
      <c r="A289" s="15" t="s">
        <v>63</v>
      </c>
      <c r="B289" s="15" t="s">
        <v>318</v>
      </c>
      <c r="C289" s="16">
        <v>0.23958333333333329</v>
      </c>
      <c r="D289" s="15" t="s">
        <v>67</v>
      </c>
      <c r="E289" s="15" t="s">
        <v>68</v>
      </c>
      <c r="F289" s="15" t="s">
        <v>324</v>
      </c>
      <c r="G289" s="282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</row>
    <row r="290" spans="1:92" ht="15" customHeight="1" x14ac:dyDescent="0.3">
      <c r="A290" s="19" t="s">
        <v>63</v>
      </c>
      <c r="B290" s="19" t="s">
        <v>329</v>
      </c>
      <c r="C290" s="20">
        <v>0.12847222222222221</v>
      </c>
      <c r="D290" s="19" t="s">
        <v>67</v>
      </c>
      <c r="E290" s="19" t="s">
        <v>58</v>
      </c>
      <c r="F290" s="19" t="s">
        <v>334</v>
      </c>
      <c r="G290" s="282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</row>
    <row r="291" spans="1:92" ht="15" customHeight="1" x14ac:dyDescent="0.3">
      <c r="A291" s="19" t="s">
        <v>63</v>
      </c>
      <c r="B291" s="19" t="s">
        <v>341</v>
      </c>
      <c r="C291" s="20">
        <v>0.61111111111111105</v>
      </c>
      <c r="D291" s="19" t="s">
        <v>65</v>
      </c>
      <c r="E291" s="19" t="s">
        <v>41</v>
      </c>
      <c r="F291" s="19" t="s">
        <v>336</v>
      </c>
      <c r="G291" s="282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</row>
    <row r="292" spans="1:92" ht="15" customHeight="1" x14ac:dyDescent="0.3">
      <c r="A292" s="15" t="s">
        <v>63</v>
      </c>
      <c r="B292" s="15" t="s">
        <v>341</v>
      </c>
      <c r="C292" s="16">
        <v>0.61111111111111105</v>
      </c>
      <c r="D292" s="15" t="s">
        <v>67</v>
      </c>
      <c r="E292" s="15" t="s">
        <v>68</v>
      </c>
      <c r="F292" s="15" t="s">
        <v>337</v>
      </c>
      <c r="G292" s="282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</row>
    <row r="293" spans="1:92" ht="15" customHeight="1" x14ac:dyDescent="0.3">
      <c r="A293" s="19" t="s">
        <v>63</v>
      </c>
      <c r="B293" s="19" t="s">
        <v>325</v>
      </c>
      <c r="C293" s="20">
        <v>6.9444444444444441E-3</v>
      </c>
      <c r="D293" s="19" t="s">
        <v>65</v>
      </c>
      <c r="E293" s="19" t="s">
        <v>41</v>
      </c>
      <c r="F293" s="19" t="s">
        <v>336</v>
      </c>
      <c r="G293" s="282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</row>
    <row r="294" spans="1:92" ht="15" customHeight="1" x14ac:dyDescent="0.3">
      <c r="A294" s="15" t="s">
        <v>63</v>
      </c>
      <c r="B294" s="15" t="s">
        <v>325</v>
      </c>
      <c r="C294" s="16">
        <v>6.9444444444444441E-3</v>
      </c>
      <c r="D294" s="15" t="s">
        <v>67</v>
      </c>
      <c r="E294" s="15" t="s">
        <v>68</v>
      </c>
      <c r="F294" s="15" t="s">
        <v>337</v>
      </c>
      <c r="G294" s="282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</row>
    <row r="295" spans="1:92" ht="15" customHeight="1" x14ac:dyDescent="0.3">
      <c r="A295" s="19" t="s">
        <v>63</v>
      </c>
      <c r="B295" s="19" t="s">
        <v>335</v>
      </c>
      <c r="C295" s="20">
        <v>0.93055555555555547</v>
      </c>
      <c r="D295" s="19" t="s">
        <v>65</v>
      </c>
      <c r="E295" s="19" t="s">
        <v>41</v>
      </c>
      <c r="F295" s="19" t="s">
        <v>336</v>
      </c>
      <c r="G295" s="282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</row>
    <row r="296" spans="1:92" ht="15" customHeight="1" x14ac:dyDescent="0.3">
      <c r="A296" s="15" t="s">
        <v>63</v>
      </c>
      <c r="B296" s="15" t="s">
        <v>335</v>
      </c>
      <c r="C296" s="16">
        <v>0.93055555555555547</v>
      </c>
      <c r="D296" s="15" t="s">
        <v>67</v>
      </c>
      <c r="E296" s="15" t="s">
        <v>68</v>
      </c>
      <c r="F296" s="15" t="s">
        <v>337</v>
      </c>
      <c r="G296" s="282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</row>
    <row r="297" spans="1:92" ht="15" customHeight="1" x14ac:dyDescent="0.3">
      <c r="A297" s="19" t="s">
        <v>63</v>
      </c>
      <c r="B297" s="19" t="s">
        <v>326</v>
      </c>
      <c r="C297" s="20">
        <v>0.88888888888888884</v>
      </c>
      <c r="D297" s="19" t="s">
        <v>67</v>
      </c>
      <c r="E297" s="19" t="s">
        <v>58</v>
      </c>
      <c r="F297" s="19" t="s">
        <v>368</v>
      </c>
      <c r="G297" s="282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</row>
    <row r="298" spans="1:92" ht="15" customHeight="1" x14ac:dyDescent="0.3">
      <c r="A298" s="19" t="s">
        <v>63</v>
      </c>
      <c r="B298" s="19" t="s">
        <v>328</v>
      </c>
      <c r="C298" s="20">
        <v>0.30208333333333331</v>
      </c>
      <c r="D298" s="19" t="s">
        <v>67</v>
      </c>
      <c r="E298" s="19" t="s">
        <v>58</v>
      </c>
      <c r="F298" s="19" t="s">
        <v>368</v>
      </c>
      <c r="G298" s="282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</row>
    <row r="299" spans="1:92" ht="15" customHeight="1" x14ac:dyDescent="0.3">
      <c r="A299" s="19" t="s">
        <v>63</v>
      </c>
      <c r="B299" s="19" t="s">
        <v>333</v>
      </c>
      <c r="C299" s="20">
        <v>0.78819444444444453</v>
      </c>
      <c r="D299" s="19" t="s">
        <v>67</v>
      </c>
      <c r="E299" s="19" t="s">
        <v>58</v>
      </c>
      <c r="F299" s="19" t="s">
        <v>368</v>
      </c>
      <c r="G299" s="282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</row>
    <row r="300" spans="1:92" ht="15" customHeight="1" x14ac:dyDescent="0.3">
      <c r="A300" s="19" t="s">
        <v>63</v>
      </c>
      <c r="B300" s="19" t="s">
        <v>321</v>
      </c>
      <c r="C300" s="20">
        <v>0.1423611111111111</v>
      </c>
      <c r="D300" s="19" t="s">
        <v>65</v>
      </c>
      <c r="E300" s="19" t="s">
        <v>41</v>
      </c>
      <c r="F300" s="19" t="s">
        <v>384</v>
      </c>
      <c r="G300" s="282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</row>
    <row r="301" spans="1:92" ht="15" customHeight="1" x14ac:dyDescent="0.3">
      <c r="A301" s="15" t="s">
        <v>63</v>
      </c>
      <c r="B301" s="15" t="s">
        <v>321</v>
      </c>
      <c r="C301" s="16">
        <v>0.1423611111111111</v>
      </c>
      <c r="D301" s="15" t="s">
        <v>67</v>
      </c>
      <c r="E301" s="15" t="s">
        <v>68</v>
      </c>
      <c r="F301" s="15" t="s">
        <v>385</v>
      </c>
      <c r="G301" s="282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</row>
    <row r="302" spans="1:92" ht="15" customHeight="1" x14ac:dyDescent="0.3">
      <c r="A302" s="19" t="s">
        <v>63</v>
      </c>
      <c r="B302" s="19" t="s">
        <v>338</v>
      </c>
      <c r="C302" s="20">
        <v>0.82986111111111116</v>
      </c>
      <c r="D302" s="19" t="s">
        <v>65</v>
      </c>
      <c r="E302" s="19" t="s">
        <v>41</v>
      </c>
      <c r="F302" s="19" t="s">
        <v>384</v>
      </c>
      <c r="G302" s="282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</row>
    <row r="303" spans="1:92" ht="15" customHeight="1" x14ac:dyDescent="0.3">
      <c r="A303" s="188" t="s">
        <v>63</v>
      </c>
      <c r="B303" s="188" t="s">
        <v>338</v>
      </c>
      <c r="C303" s="189">
        <v>0.82986111111111116</v>
      </c>
      <c r="D303" s="188" t="s">
        <v>67</v>
      </c>
      <c r="E303" s="188" t="s">
        <v>68</v>
      </c>
      <c r="F303" s="188" t="s">
        <v>385</v>
      </c>
      <c r="G303" s="283"/>
      <c r="H303" s="38"/>
      <c r="I303" s="39"/>
      <c r="J303" s="39"/>
      <c r="K303" s="39"/>
      <c r="L303" s="39"/>
      <c r="M303" s="39"/>
      <c r="N303" s="39"/>
      <c r="O303" s="40"/>
      <c r="P303" s="39"/>
      <c r="Q303" s="41"/>
      <c r="R303" s="42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</row>
    <row r="304" spans="1:92" ht="14.4" customHeight="1" x14ac:dyDescent="0.3">
      <c r="A304" s="288"/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80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</row>
  </sheetData>
  <mergeCells count="25">
    <mergeCell ref="O1:Q1"/>
    <mergeCell ref="A227:R227"/>
    <mergeCell ref="H4:R4"/>
    <mergeCell ref="A2:F2"/>
    <mergeCell ref="A3:R3"/>
    <mergeCell ref="H83:R83"/>
    <mergeCell ref="H157:R157"/>
    <mergeCell ref="G85:G155"/>
    <mergeCell ref="G2:J2"/>
    <mergeCell ref="A4:F4"/>
    <mergeCell ref="J1:M1"/>
    <mergeCell ref="D1:F1"/>
    <mergeCell ref="A1:C1"/>
    <mergeCell ref="G1:H1"/>
    <mergeCell ref="K2:R2"/>
    <mergeCell ref="A83:F83"/>
    <mergeCell ref="A157:F157"/>
    <mergeCell ref="G6:G81"/>
    <mergeCell ref="G159:G226"/>
    <mergeCell ref="A82:R82"/>
    <mergeCell ref="A304:R304"/>
    <mergeCell ref="A228:F228"/>
    <mergeCell ref="G230:G303"/>
    <mergeCell ref="H228:R228"/>
    <mergeCell ref="A156:R15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279</v>
      </c>
      <c r="D2" s="66">
        <v>4.8611111111111112E-2</v>
      </c>
      <c r="E2" s="65" t="s">
        <v>238</v>
      </c>
      <c r="F2" s="65" t="s">
        <v>153</v>
      </c>
      <c r="G2" s="67">
        <v>0.51959999999999995</v>
      </c>
      <c r="H2" s="68">
        <v>179</v>
      </c>
      <c r="I2" s="68">
        <v>93</v>
      </c>
      <c r="J2" s="68">
        <v>84</v>
      </c>
      <c r="K2" s="64">
        <v>45986</v>
      </c>
      <c r="L2" s="68">
        <v>0</v>
      </c>
      <c r="M2" s="68">
        <v>3</v>
      </c>
      <c r="N2" s="68">
        <v>9</v>
      </c>
      <c r="O2" s="65" t="s">
        <v>280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8" t="s">
        <v>397</v>
      </c>
      <c r="AC2" s="68" t="s">
        <v>398</v>
      </c>
      <c r="AD2" s="68" t="s">
        <v>176</v>
      </c>
      <c r="AE2" s="68" t="s">
        <v>399</v>
      </c>
      <c r="AF2" s="69"/>
      <c r="AG2" s="69"/>
      <c r="AH2" s="68" t="s">
        <v>400</v>
      </c>
      <c r="AI2" s="69"/>
    </row>
    <row r="3" spans="1:35" ht="18" x14ac:dyDescent="0.3">
      <c r="A3" s="70" t="s">
        <v>152</v>
      </c>
      <c r="B3" s="71">
        <v>45988</v>
      </c>
      <c r="C3" s="72" t="s">
        <v>289</v>
      </c>
      <c r="D3" s="73">
        <v>0.1145833333333333</v>
      </c>
      <c r="E3" s="72" t="s">
        <v>238</v>
      </c>
      <c r="F3" s="72" t="s">
        <v>153</v>
      </c>
      <c r="G3" s="74">
        <v>0.29049999999999998</v>
      </c>
      <c r="H3" s="75">
        <v>179</v>
      </c>
      <c r="I3" s="75">
        <v>52</v>
      </c>
      <c r="J3" s="75">
        <v>0</v>
      </c>
      <c r="K3" s="71">
        <v>45986</v>
      </c>
      <c r="L3" s="75">
        <v>0</v>
      </c>
      <c r="M3" s="75">
        <v>2</v>
      </c>
      <c r="N3" s="75">
        <v>12</v>
      </c>
      <c r="O3" s="72" t="s">
        <v>280</v>
      </c>
      <c r="P3" s="76"/>
      <c r="Q3" s="76"/>
      <c r="R3" s="76"/>
      <c r="S3" s="76"/>
      <c r="T3" s="76"/>
      <c r="U3" s="76"/>
      <c r="V3" s="76"/>
      <c r="W3" s="76"/>
      <c r="X3" s="76"/>
      <c r="Y3" s="75" t="s">
        <v>156</v>
      </c>
      <c r="Z3" s="76"/>
      <c r="AA3" s="76"/>
      <c r="AB3" s="76"/>
      <c r="AC3" s="75" t="s">
        <v>175</v>
      </c>
      <c r="AD3" s="75" t="s">
        <v>401</v>
      </c>
      <c r="AE3" s="75" t="s">
        <v>402</v>
      </c>
      <c r="AF3" s="76"/>
      <c r="AG3" s="76"/>
      <c r="AH3" s="76"/>
      <c r="AI3" s="76"/>
    </row>
    <row r="4" spans="1:35" ht="18" x14ac:dyDescent="0.3">
      <c r="A4" s="63" t="s">
        <v>152</v>
      </c>
      <c r="B4" s="64">
        <v>45988</v>
      </c>
      <c r="C4" s="65" t="s">
        <v>286</v>
      </c>
      <c r="D4" s="66">
        <v>0.25347222222222221</v>
      </c>
      <c r="E4" s="65" t="s">
        <v>238</v>
      </c>
      <c r="F4" s="65" t="s">
        <v>153</v>
      </c>
      <c r="G4" s="67">
        <v>0.4022</v>
      </c>
      <c r="H4" s="68">
        <v>179</v>
      </c>
      <c r="I4" s="68">
        <v>72</v>
      </c>
      <c r="J4" s="68">
        <v>29</v>
      </c>
      <c r="K4" s="64">
        <v>45985</v>
      </c>
      <c r="L4" s="68">
        <v>0</v>
      </c>
      <c r="M4" s="68">
        <v>0</v>
      </c>
      <c r="N4" s="68">
        <v>24</v>
      </c>
      <c r="O4" s="65" t="s">
        <v>280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8" t="s">
        <v>403</v>
      </c>
      <c r="AF4" s="68" t="s">
        <v>404</v>
      </c>
      <c r="AG4" s="69"/>
      <c r="AH4" s="69"/>
      <c r="AI4" s="68" t="s">
        <v>161</v>
      </c>
    </row>
    <row r="5" spans="1:35" ht="18" x14ac:dyDescent="0.3">
      <c r="A5" s="70" t="s">
        <v>152</v>
      </c>
      <c r="B5" s="71">
        <v>45988</v>
      </c>
      <c r="C5" s="72" t="s">
        <v>292</v>
      </c>
      <c r="D5" s="73">
        <v>0.33333333333333331</v>
      </c>
      <c r="E5" s="72" t="s">
        <v>238</v>
      </c>
      <c r="F5" s="72" t="s">
        <v>153</v>
      </c>
      <c r="G5" s="74">
        <v>0.82120000000000004</v>
      </c>
      <c r="H5" s="75">
        <v>179</v>
      </c>
      <c r="I5" s="75">
        <v>147</v>
      </c>
      <c r="J5" s="75">
        <v>132</v>
      </c>
      <c r="K5" s="71">
        <v>45986</v>
      </c>
      <c r="L5" s="75">
        <v>0</v>
      </c>
      <c r="M5" s="75">
        <v>2</v>
      </c>
      <c r="N5" s="75">
        <v>4</v>
      </c>
      <c r="O5" s="72" t="s">
        <v>280</v>
      </c>
      <c r="P5" s="76"/>
      <c r="Q5" s="76"/>
      <c r="R5" s="76"/>
      <c r="S5" s="76"/>
      <c r="T5" s="76"/>
      <c r="U5" s="76"/>
      <c r="V5" s="76"/>
      <c r="W5" s="76"/>
      <c r="X5" s="76"/>
      <c r="Y5" s="75" t="s">
        <v>156</v>
      </c>
      <c r="Z5" s="76"/>
      <c r="AA5" s="76"/>
      <c r="AB5" s="76"/>
      <c r="AC5" s="76"/>
      <c r="AD5" s="75" t="s">
        <v>375</v>
      </c>
      <c r="AE5" s="75" t="s">
        <v>405</v>
      </c>
      <c r="AF5" s="76"/>
      <c r="AG5" s="76"/>
      <c r="AH5" s="75" t="s">
        <v>406</v>
      </c>
      <c r="AI5" s="76"/>
    </row>
    <row r="6" spans="1:35" ht="18" x14ac:dyDescent="0.3">
      <c r="A6" s="63" t="s">
        <v>152</v>
      </c>
      <c r="B6" s="64">
        <v>45988</v>
      </c>
      <c r="C6" s="65" t="s">
        <v>283</v>
      </c>
      <c r="D6" s="66">
        <v>0.36458333333333331</v>
      </c>
      <c r="E6" s="65" t="s">
        <v>238</v>
      </c>
      <c r="F6" s="65" t="s">
        <v>153</v>
      </c>
      <c r="G6" s="67">
        <v>0.46929999999999999</v>
      </c>
      <c r="H6" s="68">
        <v>179</v>
      </c>
      <c r="I6" s="68">
        <v>84</v>
      </c>
      <c r="J6" s="68">
        <v>0</v>
      </c>
      <c r="K6" s="64">
        <v>45986</v>
      </c>
      <c r="L6" s="68">
        <v>0</v>
      </c>
      <c r="M6" s="68">
        <v>18</v>
      </c>
      <c r="N6" s="68">
        <v>48</v>
      </c>
      <c r="O6" s="65" t="s">
        <v>280</v>
      </c>
      <c r="P6" s="69"/>
      <c r="Q6" s="69"/>
      <c r="R6" s="69"/>
      <c r="S6" s="69"/>
      <c r="T6" s="69"/>
      <c r="U6" s="69"/>
      <c r="V6" s="69"/>
      <c r="W6" s="69"/>
      <c r="X6" s="69"/>
      <c r="Y6" s="68" t="s">
        <v>156</v>
      </c>
      <c r="Z6" s="69"/>
      <c r="AA6" s="69"/>
      <c r="AB6" s="69"/>
      <c r="AC6" s="69"/>
      <c r="AD6" s="68" t="s">
        <v>407</v>
      </c>
      <c r="AE6" s="68" t="s">
        <v>408</v>
      </c>
      <c r="AF6" s="69"/>
      <c r="AG6" s="69"/>
      <c r="AH6" s="69"/>
      <c r="AI6" s="69"/>
    </row>
    <row r="7" spans="1:35" ht="18" x14ac:dyDescent="0.3">
      <c r="A7" s="70" t="s">
        <v>152</v>
      </c>
      <c r="B7" s="71">
        <v>45988</v>
      </c>
      <c r="C7" s="72" t="s">
        <v>298</v>
      </c>
      <c r="D7" s="73">
        <v>0.58333333333333337</v>
      </c>
      <c r="E7" s="72" t="s">
        <v>238</v>
      </c>
      <c r="F7" s="72" t="s">
        <v>153</v>
      </c>
      <c r="G7" s="74">
        <v>1</v>
      </c>
      <c r="H7" s="75">
        <v>179</v>
      </c>
      <c r="I7" s="75">
        <v>179</v>
      </c>
      <c r="J7" s="75">
        <v>89</v>
      </c>
      <c r="K7" s="71">
        <v>45986</v>
      </c>
      <c r="L7" s="75">
        <v>0</v>
      </c>
      <c r="M7" s="75">
        <v>2</v>
      </c>
      <c r="N7" s="75">
        <v>56</v>
      </c>
      <c r="O7" s="72" t="s">
        <v>107</v>
      </c>
      <c r="P7" s="76"/>
      <c r="Q7" s="76"/>
      <c r="R7" s="76"/>
      <c r="S7" s="76"/>
      <c r="T7" s="76"/>
      <c r="U7" s="76"/>
      <c r="V7" s="76"/>
      <c r="W7" s="76"/>
      <c r="X7" s="76"/>
      <c r="Y7" s="75" t="s">
        <v>171</v>
      </c>
      <c r="Z7" s="76"/>
      <c r="AA7" s="76"/>
      <c r="AB7" s="76"/>
      <c r="AC7" s="75" t="s">
        <v>157</v>
      </c>
      <c r="AD7" s="75" t="s">
        <v>409</v>
      </c>
      <c r="AE7" s="75" t="s">
        <v>410</v>
      </c>
      <c r="AF7" s="76"/>
      <c r="AG7" s="76"/>
      <c r="AH7" s="75" t="s">
        <v>411</v>
      </c>
      <c r="AI7" s="76"/>
    </row>
    <row r="8" spans="1:35" ht="18" x14ac:dyDescent="0.3">
      <c r="A8" s="63" t="s">
        <v>152</v>
      </c>
      <c r="B8" s="64">
        <v>45988</v>
      </c>
      <c r="C8" s="65" t="s">
        <v>296</v>
      </c>
      <c r="D8" s="66">
        <v>0.73958333333333337</v>
      </c>
      <c r="E8" s="65" t="s">
        <v>238</v>
      </c>
      <c r="F8" s="65" t="s">
        <v>153</v>
      </c>
      <c r="G8" s="67">
        <v>0.78210000000000002</v>
      </c>
      <c r="H8" s="68">
        <v>179</v>
      </c>
      <c r="I8" s="68">
        <v>140</v>
      </c>
      <c r="J8" s="68">
        <v>44</v>
      </c>
      <c r="K8" s="64">
        <v>45986</v>
      </c>
      <c r="L8" s="68">
        <v>0</v>
      </c>
      <c r="M8" s="68">
        <v>6</v>
      </c>
      <c r="N8" s="68">
        <v>64</v>
      </c>
      <c r="O8" s="65" t="s">
        <v>158</v>
      </c>
      <c r="P8" s="69"/>
      <c r="Q8" s="69"/>
      <c r="R8" s="69"/>
      <c r="S8" s="69"/>
      <c r="T8" s="69"/>
      <c r="U8" s="69"/>
      <c r="V8" s="69"/>
      <c r="W8" s="69"/>
      <c r="X8" s="69"/>
      <c r="Y8" s="68" t="s">
        <v>156</v>
      </c>
      <c r="Z8" s="69"/>
      <c r="AA8" s="69"/>
      <c r="AB8" s="69"/>
      <c r="AC8" s="68" t="s">
        <v>412</v>
      </c>
      <c r="AD8" s="68" t="s">
        <v>413</v>
      </c>
      <c r="AE8" s="68" t="s">
        <v>414</v>
      </c>
      <c r="AF8" s="68" t="s">
        <v>415</v>
      </c>
      <c r="AG8" s="69"/>
      <c r="AH8" s="69"/>
      <c r="AI8" s="68" t="s">
        <v>416</v>
      </c>
    </row>
    <row r="9" spans="1:35" ht="18" x14ac:dyDescent="0.3">
      <c r="A9" s="70" t="s">
        <v>417</v>
      </c>
      <c r="B9" s="71">
        <v>45989</v>
      </c>
      <c r="C9" s="72" t="s">
        <v>279</v>
      </c>
      <c r="D9" s="73">
        <v>0.1145833333333333</v>
      </c>
      <c r="E9" s="72" t="s">
        <v>238</v>
      </c>
      <c r="F9" s="72" t="s">
        <v>153</v>
      </c>
      <c r="G9" s="74">
        <v>0.47489999999999999</v>
      </c>
      <c r="H9" s="75">
        <v>179</v>
      </c>
      <c r="I9" s="75">
        <v>85</v>
      </c>
      <c r="J9" s="75">
        <v>0</v>
      </c>
      <c r="K9" s="71">
        <v>45986</v>
      </c>
      <c r="L9" s="75">
        <v>0</v>
      </c>
      <c r="M9" s="75">
        <v>10</v>
      </c>
      <c r="N9" s="75">
        <v>49</v>
      </c>
      <c r="O9" s="72" t="s">
        <v>352</v>
      </c>
      <c r="P9" s="76"/>
      <c r="Q9" s="75" t="s">
        <v>418</v>
      </c>
      <c r="R9" s="76"/>
      <c r="S9" s="76"/>
      <c r="T9" s="76"/>
      <c r="U9" s="76"/>
      <c r="V9" s="76"/>
      <c r="W9" s="76"/>
      <c r="X9" s="76"/>
      <c r="Y9" s="76"/>
      <c r="Z9" s="76"/>
      <c r="AA9" s="76"/>
      <c r="AB9" s="75" t="s">
        <v>397</v>
      </c>
      <c r="AC9" s="75" t="s">
        <v>175</v>
      </c>
      <c r="AD9" s="75" t="s">
        <v>419</v>
      </c>
      <c r="AE9" s="75" t="s">
        <v>420</v>
      </c>
      <c r="AF9" s="76"/>
      <c r="AG9" s="76"/>
      <c r="AH9" s="76"/>
      <c r="AI9" s="76"/>
    </row>
    <row r="10" spans="1:35" ht="18" x14ac:dyDescent="0.3">
      <c r="A10" s="63" t="s">
        <v>417</v>
      </c>
      <c r="B10" s="64">
        <v>45989</v>
      </c>
      <c r="C10" s="65" t="s">
        <v>292</v>
      </c>
      <c r="D10" s="66">
        <v>0.31944444444444448</v>
      </c>
      <c r="E10" s="65" t="s">
        <v>238</v>
      </c>
      <c r="F10" s="65" t="s">
        <v>153</v>
      </c>
      <c r="G10" s="67">
        <v>0.49159999999999998</v>
      </c>
      <c r="H10" s="68">
        <v>179</v>
      </c>
      <c r="I10" s="68">
        <v>88</v>
      </c>
      <c r="J10" s="68">
        <v>1</v>
      </c>
      <c r="K10" s="64">
        <v>45986</v>
      </c>
      <c r="L10" s="68">
        <v>0</v>
      </c>
      <c r="M10" s="68">
        <v>14</v>
      </c>
      <c r="N10" s="68">
        <v>46</v>
      </c>
      <c r="O10" s="65" t="s">
        <v>361</v>
      </c>
      <c r="P10" s="69"/>
      <c r="Q10" s="69"/>
      <c r="R10" s="69"/>
      <c r="S10" s="69"/>
      <c r="T10" s="69"/>
      <c r="U10" s="69"/>
      <c r="V10" s="69"/>
      <c r="W10" s="69"/>
      <c r="X10" s="69"/>
      <c r="Y10" s="68" t="s">
        <v>421</v>
      </c>
      <c r="Z10" s="69"/>
      <c r="AA10" s="69"/>
      <c r="AB10" s="69"/>
      <c r="AC10" s="69"/>
      <c r="AD10" s="68" t="s">
        <v>422</v>
      </c>
      <c r="AE10" s="68" t="s">
        <v>423</v>
      </c>
      <c r="AF10" s="69"/>
      <c r="AG10" s="69"/>
      <c r="AH10" s="68" t="s">
        <v>424</v>
      </c>
      <c r="AI10" s="69"/>
    </row>
    <row r="11" spans="1:35" ht="18" x14ac:dyDescent="0.3">
      <c r="A11" s="70" t="s">
        <v>417</v>
      </c>
      <c r="B11" s="71">
        <v>45989</v>
      </c>
      <c r="C11" s="72" t="s">
        <v>298</v>
      </c>
      <c r="D11" s="73">
        <v>0.45833333333333331</v>
      </c>
      <c r="E11" s="72" t="s">
        <v>238</v>
      </c>
      <c r="F11" s="72" t="s">
        <v>153</v>
      </c>
      <c r="G11" s="74">
        <v>0.5978</v>
      </c>
      <c r="H11" s="75">
        <v>179</v>
      </c>
      <c r="I11" s="75">
        <v>107</v>
      </c>
      <c r="J11" s="75">
        <v>39</v>
      </c>
      <c r="K11" s="71">
        <v>45986</v>
      </c>
      <c r="L11" s="75">
        <v>0</v>
      </c>
      <c r="M11" s="75">
        <v>3</v>
      </c>
      <c r="N11" s="75">
        <v>52</v>
      </c>
      <c r="O11" s="72" t="s">
        <v>355</v>
      </c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5" t="s">
        <v>425</v>
      </c>
      <c r="AE11" s="75" t="s">
        <v>414</v>
      </c>
      <c r="AF11" s="76"/>
      <c r="AG11" s="76"/>
      <c r="AH11" s="75" t="s">
        <v>426</v>
      </c>
      <c r="AI11" s="76"/>
    </row>
    <row r="12" spans="1:35" ht="18" x14ac:dyDescent="0.3">
      <c r="A12" s="63" t="s">
        <v>417</v>
      </c>
      <c r="B12" s="64">
        <v>45989</v>
      </c>
      <c r="C12" s="65" t="s">
        <v>296</v>
      </c>
      <c r="D12" s="66">
        <v>0.61458333333333337</v>
      </c>
      <c r="E12" s="65" t="s">
        <v>238</v>
      </c>
      <c r="F12" s="65" t="s">
        <v>153</v>
      </c>
      <c r="G12" s="67">
        <v>0.81010000000000004</v>
      </c>
      <c r="H12" s="68">
        <v>179</v>
      </c>
      <c r="I12" s="68">
        <v>145</v>
      </c>
      <c r="J12" s="68">
        <v>68</v>
      </c>
      <c r="K12" s="64">
        <v>45986</v>
      </c>
      <c r="L12" s="68">
        <v>0</v>
      </c>
      <c r="M12" s="68">
        <v>2</v>
      </c>
      <c r="N12" s="68">
        <v>40</v>
      </c>
      <c r="O12" s="65" t="s">
        <v>176</v>
      </c>
      <c r="P12" s="69"/>
      <c r="Q12" s="69"/>
      <c r="R12" s="69"/>
      <c r="S12" s="69"/>
      <c r="T12" s="69"/>
      <c r="U12" s="69"/>
      <c r="V12" s="69"/>
      <c r="W12" s="68" t="s">
        <v>427</v>
      </c>
      <c r="X12" s="68" t="s">
        <v>428</v>
      </c>
      <c r="Y12" s="68" t="s">
        <v>156</v>
      </c>
      <c r="Z12" s="69"/>
      <c r="AA12" s="69"/>
      <c r="AB12" s="69"/>
      <c r="AC12" s="68" t="s">
        <v>359</v>
      </c>
      <c r="AD12" s="68" t="s">
        <v>429</v>
      </c>
      <c r="AE12" s="68" t="s">
        <v>430</v>
      </c>
      <c r="AF12" s="69"/>
      <c r="AG12" s="69"/>
      <c r="AH12" s="68" t="s">
        <v>431</v>
      </c>
      <c r="AI12" s="69"/>
    </row>
    <row r="13" spans="1:35" ht="18" x14ac:dyDescent="0.3">
      <c r="A13" s="70" t="s">
        <v>417</v>
      </c>
      <c r="B13" s="71">
        <v>45989</v>
      </c>
      <c r="C13" s="72" t="s">
        <v>289</v>
      </c>
      <c r="D13" s="73">
        <v>0.73611111111111116</v>
      </c>
      <c r="E13" s="72" t="s">
        <v>238</v>
      </c>
      <c r="F13" s="72" t="s">
        <v>153</v>
      </c>
      <c r="G13" s="74">
        <v>0.60340000000000005</v>
      </c>
      <c r="H13" s="75">
        <v>179</v>
      </c>
      <c r="I13" s="75">
        <v>108</v>
      </c>
      <c r="J13" s="75">
        <v>2</v>
      </c>
      <c r="K13" s="71">
        <v>45985</v>
      </c>
      <c r="L13" s="75">
        <v>0</v>
      </c>
      <c r="M13" s="75">
        <v>0</v>
      </c>
      <c r="N13" s="75">
        <v>56</v>
      </c>
      <c r="O13" s="72" t="s">
        <v>359</v>
      </c>
      <c r="P13" s="76"/>
      <c r="Q13" s="76"/>
      <c r="R13" s="76"/>
      <c r="S13" s="76"/>
      <c r="T13" s="76"/>
      <c r="U13" s="76"/>
      <c r="V13" s="76"/>
      <c r="W13" s="76"/>
      <c r="X13" s="76"/>
      <c r="Y13" s="75" t="s">
        <v>171</v>
      </c>
      <c r="Z13" s="76"/>
      <c r="AA13" s="76"/>
      <c r="AB13" s="75" t="s">
        <v>432</v>
      </c>
      <c r="AC13" s="75" t="s">
        <v>412</v>
      </c>
      <c r="AD13" s="75" t="s">
        <v>433</v>
      </c>
      <c r="AE13" s="75" t="s">
        <v>434</v>
      </c>
      <c r="AF13" s="76"/>
      <c r="AG13" s="76"/>
      <c r="AH13" s="75" t="s">
        <v>435</v>
      </c>
      <c r="AI13" s="75" t="s">
        <v>436</v>
      </c>
    </row>
    <row r="14" spans="1:35" ht="18" x14ac:dyDescent="0.3">
      <c r="A14" s="63" t="s">
        <v>417</v>
      </c>
      <c r="B14" s="64">
        <v>45989</v>
      </c>
      <c r="C14" s="65" t="s">
        <v>363</v>
      </c>
      <c r="D14" s="66">
        <v>0.9375</v>
      </c>
      <c r="E14" s="65" t="s">
        <v>238</v>
      </c>
      <c r="F14" s="65" t="s">
        <v>153</v>
      </c>
      <c r="G14" s="67">
        <v>0.9385</v>
      </c>
      <c r="H14" s="68">
        <v>179</v>
      </c>
      <c r="I14" s="68">
        <v>168</v>
      </c>
      <c r="J14" s="68">
        <v>114</v>
      </c>
      <c r="K14" s="64">
        <v>45984</v>
      </c>
      <c r="L14" s="68">
        <v>0</v>
      </c>
      <c r="M14" s="68">
        <v>0</v>
      </c>
      <c r="N14" s="68">
        <v>6</v>
      </c>
      <c r="O14" s="65" t="s">
        <v>107</v>
      </c>
      <c r="P14" s="69"/>
      <c r="Q14" s="69"/>
      <c r="R14" s="69"/>
      <c r="S14" s="69"/>
      <c r="T14" s="69"/>
      <c r="U14" s="69"/>
      <c r="V14" s="69"/>
      <c r="W14" s="69"/>
      <c r="X14" s="69"/>
      <c r="Y14" s="68" t="s">
        <v>437</v>
      </c>
      <c r="Z14" s="68" t="s">
        <v>438</v>
      </c>
      <c r="AA14" s="69"/>
      <c r="AB14" s="69"/>
      <c r="AC14" s="68" t="s">
        <v>439</v>
      </c>
      <c r="AD14" s="68" t="s">
        <v>440</v>
      </c>
      <c r="AE14" s="68" t="s">
        <v>441</v>
      </c>
      <c r="AF14" s="69"/>
      <c r="AG14" s="69"/>
      <c r="AH14" s="68" t="s">
        <v>442</v>
      </c>
      <c r="AI14" s="69"/>
    </row>
    <row r="15" spans="1:35" ht="18" x14ac:dyDescent="0.3">
      <c r="A15" s="70" t="s">
        <v>162</v>
      </c>
      <c r="B15" s="71">
        <v>45990</v>
      </c>
      <c r="C15" s="72" t="s">
        <v>286</v>
      </c>
      <c r="D15" s="73">
        <v>0.2361111111111111</v>
      </c>
      <c r="E15" s="72" t="s">
        <v>238</v>
      </c>
      <c r="F15" s="72" t="s">
        <v>153</v>
      </c>
      <c r="G15" s="74">
        <v>0.86029999999999995</v>
      </c>
      <c r="H15" s="75">
        <v>179</v>
      </c>
      <c r="I15" s="75">
        <v>154</v>
      </c>
      <c r="J15" s="75">
        <v>74</v>
      </c>
      <c r="K15" s="71">
        <v>45987</v>
      </c>
      <c r="L15" s="75">
        <v>2</v>
      </c>
      <c r="M15" s="75">
        <v>3</v>
      </c>
      <c r="N15" s="75">
        <v>47</v>
      </c>
      <c r="O15" s="72" t="s">
        <v>375</v>
      </c>
      <c r="P15" s="76"/>
      <c r="Q15" s="76"/>
      <c r="R15" s="76"/>
      <c r="S15" s="76"/>
      <c r="T15" s="76"/>
      <c r="U15" s="76"/>
      <c r="V15" s="76"/>
      <c r="W15" s="76"/>
      <c r="X15" s="76"/>
      <c r="Y15" s="75" t="s">
        <v>443</v>
      </c>
      <c r="Z15" s="75" t="s">
        <v>444</v>
      </c>
      <c r="AA15" s="76"/>
      <c r="AB15" s="75" t="s">
        <v>445</v>
      </c>
      <c r="AC15" s="75" t="s">
        <v>446</v>
      </c>
      <c r="AD15" s="75" t="s">
        <v>433</v>
      </c>
      <c r="AE15" s="75" t="s">
        <v>430</v>
      </c>
      <c r="AF15" s="76"/>
      <c r="AG15" s="76"/>
      <c r="AH15" s="75" t="s">
        <v>447</v>
      </c>
      <c r="AI15" s="76"/>
    </row>
    <row r="16" spans="1:35" ht="18" x14ac:dyDescent="0.3">
      <c r="A16" s="63" t="s">
        <v>162</v>
      </c>
      <c r="B16" s="64">
        <v>45990</v>
      </c>
      <c r="C16" s="65" t="s">
        <v>292</v>
      </c>
      <c r="D16" s="66">
        <v>0.33333333333333331</v>
      </c>
      <c r="E16" s="65" t="s">
        <v>238</v>
      </c>
      <c r="F16" s="65" t="s">
        <v>153</v>
      </c>
      <c r="G16" s="67">
        <v>0.92179999999999995</v>
      </c>
      <c r="H16" s="68">
        <v>179</v>
      </c>
      <c r="I16" s="68">
        <v>165</v>
      </c>
      <c r="J16" s="68">
        <v>98</v>
      </c>
      <c r="K16" s="64">
        <v>45985</v>
      </c>
      <c r="L16" s="68">
        <v>0</v>
      </c>
      <c r="M16" s="68">
        <v>0</v>
      </c>
      <c r="N16" s="68">
        <v>35</v>
      </c>
      <c r="O16" s="65" t="s">
        <v>107</v>
      </c>
      <c r="P16" s="69"/>
      <c r="Q16" s="69"/>
      <c r="R16" s="69"/>
      <c r="S16" s="69"/>
      <c r="T16" s="69"/>
      <c r="U16" s="69"/>
      <c r="V16" s="69"/>
      <c r="W16" s="69"/>
      <c r="X16" s="69"/>
      <c r="Y16" s="68" t="s">
        <v>421</v>
      </c>
      <c r="Z16" s="69"/>
      <c r="AA16" s="69"/>
      <c r="AB16" s="68" t="s">
        <v>397</v>
      </c>
      <c r="AC16" s="68" t="s">
        <v>448</v>
      </c>
      <c r="AD16" s="68" t="s">
        <v>449</v>
      </c>
      <c r="AE16" s="68" t="s">
        <v>430</v>
      </c>
      <c r="AF16" s="68" t="s">
        <v>450</v>
      </c>
      <c r="AG16" s="69"/>
      <c r="AH16" s="68" t="s">
        <v>451</v>
      </c>
      <c r="AI16" s="69"/>
    </row>
    <row r="17" spans="1:35" ht="18" x14ac:dyDescent="0.3">
      <c r="A17" s="70" t="s">
        <v>162</v>
      </c>
      <c r="B17" s="71">
        <v>45990</v>
      </c>
      <c r="C17" s="72" t="s">
        <v>298</v>
      </c>
      <c r="D17" s="73">
        <v>0.68055555555555547</v>
      </c>
      <c r="E17" s="72" t="s">
        <v>238</v>
      </c>
      <c r="F17" s="72" t="s">
        <v>153</v>
      </c>
      <c r="G17" s="74">
        <v>0.9385</v>
      </c>
      <c r="H17" s="75">
        <v>179</v>
      </c>
      <c r="I17" s="75">
        <v>168</v>
      </c>
      <c r="J17" s="75">
        <v>107</v>
      </c>
      <c r="K17" s="71">
        <v>45985</v>
      </c>
      <c r="L17" s="75">
        <v>0</v>
      </c>
      <c r="M17" s="75">
        <v>0</v>
      </c>
      <c r="N17" s="75">
        <v>43</v>
      </c>
      <c r="O17" s="72" t="s">
        <v>107</v>
      </c>
      <c r="P17" s="76"/>
      <c r="Q17" s="76"/>
      <c r="R17" s="76"/>
      <c r="S17" s="76"/>
      <c r="T17" s="76"/>
      <c r="U17" s="76"/>
      <c r="V17" s="76"/>
      <c r="W17" s="76"/>
      <c r="X17" s="76"/>
      <c r="Y17" s="75" t="s">
        <v>156</v>
      </c>
      <c r="Z17" s="76"/>
      <c r="AA17" s="75" t="s">
        <v>452</v>
      </c>
      <c r="AB17" s="75" t="s">
        <v>453</v>
      </c>
      <c r="AC17" s="75" t="s">
        <v>454</v>
      </c>
      <c r="AD17" s="75" t="s">
        <v>440</v>
      </c>
      <c r="AE17" s="76"/>
      <c r="AF17" s="76"/>
      <c r="AG17" s="76"/>
      <c r="AH17" s="75" t="s">
        <v>455</v>
      </c>
      <c r="AI17" s="75" t="s">
        <v>456</v>
      </c>
    </row>
    <row r="18" spans="1:35" ht="18" x14ac:dyDescent="0.3">
      <c r="A18" s="63" t="s">
        <v>168</v>
      </c>
      <c r="B18" s="64">
        <v>45991</v>
      </c>
      <c r="C18" s="65" t="s">
        <v>279</v>
      </c>
      <c r="D18" s="66">
        <v>8.3333333333333329E-2</v>
      </c>
      <c r="E18" s="65" t="s">
        <v>238</v>
      </c>
      <c r="F18" s="65" t="s">
        <v>153</v>
      </c>
      <c r="G18" s="67">
        <v>0.72070000000000001</v>
      </c>
      <c r="H18" s="68">
        <v>179</v>
      </c>
      <c r="I18" s="68">
        <v>129</v>
      </c>
      <c r="J18" s="68">
        <v>95</v>
      </c>
      <c r="K18" s="64">
        <v>45986</v>
      </c>
      <c r="L18" s="68">
        <v>0</v>
      </c>
      <c r="M18" s="68">
        <v>9</v>
      </c>
      <c r="N18" s="68">
        <v>17</v>
      </c>
      <c r="O18" s="65" t="s">
        <v>176</v>
      </c>
      <c r="P18" s="69"/>
      <c r="Q18" s="69"/>
      <c r="R18" s="69"/>
      <c r="S18" s="69"/>
      <c r="T18" s="69"/>
      <c r="U18" s="69"/>
      <c r="V18" s="69"/>
      <c r="W18" s="69"/>
      <c r="X18" s="69"/>
      <c r="Y18" s="68" t="s">
        <v>443</v>
      </c>
      <c r="Z18" s="68" t="s">
        <v>457</v>
      </c>
      <c r="AA18" s="69"/>
      <c r="AB18" s="68" t="s">
        <v>445</v>
      </c>
      <c r="AC18" s="68" t="s">
        <v>448</v>
      </c>
      <c r="AD18" s="68" t="s">
        <v>401</v>
      </c>
      <c r="AE18" s="68" t="s">
        <v>458</v>
      </c>
      <c r="AF18" s="69"/>
      <c r="AG18" s="69"/>
      <c r="AH18" s="68" t="s">
        <v>451</v>
      </c>
      <c r="AI18" s="69"/>
    </row>
    <row r="19" spans="1:35" ht="18" x14ac:dyDescent="0.3">
      <c r="A19" s="70" t="s">
        <v>168</v>
      </c>
      <c r="B19" s="71">
        <v>45991</v>
      </c>
      <c r="C19" s="72" t="s">
        <v>292</v>
      </c>
      <c r="D19" s="73">
        <v>0.31944444444444448</v>
      </c>
      <c r="E19" s="72" t="s">
        <v>238</v>
      </c>
      <c r="F19" s="72" t="s">
        <v>153</v>
      </c>
      <c r="G19" s="74">
        <v>0.79890000000000005</v>
      </c>
      <c r="H19" s="75">
        <v>179</v>
      </c>
      <c r="I19" s="75">
        <v>143</v>
      </c>
      <c r="J19" s="75">
        <v>47</v>
      </c>
      <c r="K19" s="71">
        <v>45986</v>
      </c>
      <c r="L19" s="75">
        <v>0</v>
      </c>
      <c r="M19" s="75">
        <v>4</v>
      </c>
      <c r="N19" s="75">
        <v>55</v>
      </c>
      <c r="O19" s="72" t="s">
        <v>352</v>
      </c>
      <c r="P19" s="76"/>
      <c r="Q19" s="76"/>
      <c r="R19" s="76"/>
      <c r="S19" s="76"/>
      <c r="T19" s="76"/>
      <c r="U19" s="76"/>
      <c r="V19" s="76"/>
      <c r="W19" s="76"/>
      <c r="X19" s="76"/>
      <c r="Y19" s="75" t="s">
        <v>421</v>
      </c>
      <c r="Z19" s="76"/>
      <c r="AA19" s="76"/>
      <c r="AB19" s="76"/>
      <c r="AC19" s="75" t="s">
        <v>175</v>
      </c>
      <c r="AD19" s="75" t="s">
        <v>413</v>
      </c>
      <c r="AE19" s="75" t="s">
        <v>410</v>
      </c>
      <c r="AF19" s="76"/>
      <c r="AG19" s="76"/>
      <c r="AH19" s="75" t="s">
        <v>459</v>
      </c>
      <c r="AI19" s="76"/>
    </row>
    <row r="20" spans="1:35" ht="18" x14ac:dyDescent="0.3">
      <c r="A20" s="63" t="s">
        <v>168</v>
      </c>
      <c r="B20" s="64">
        <v>45991</v>
      </c>
      <c r="C20" s="65" t="s">
        <v>283</v>
      </c>
      <c r="D20" s="66">
        <v>0.33333333333333331</v>
      </c>
      <c r="E20" s="65" t="s">
        <v>238</v>
      </c>
      <c r="F20" s="65" t="s">
        <v>153</v>
      </c>
      <c r="G20" s="67">
        <v>0.66069999999999995</v>
      </c>
      <c r="H20" s="68">
        <v>168</v>
      </c>
      <c r="I20" s="68">
        <v>111</v>
      </c>
      <c r="J20" s="68">
        <v>83</v>
      </c>
      <c r="K20" s="64">
        <v>45986</v>
      </c>
      <c r="L20" s="68">
        <v>0</v>
      </c>
      <c r="M20" s="68">
        <v>2</v>
      </c>
      <c r="N20" s="68">
        <v>9</v>
      </c>
      <c r="O20" s="65" t="s">
        <v>158</v>
      </c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8" t="s">
        <v>175</v>
      </c>
      <c r="AD20" s="68" t="s">
        <v>460</v>
      </c>
      <c r="AE20" s="68" t="s">
        <v>461</v>
      </c>
      <c r="AF20" s="69"/>
      <c r="AG20" s="69"/>
      <c r="AH20" s="68" t="s">
        <v>462</v>
      </c>
      <c r="AI20" s="69"/>
    </row>
    <row r="21" spans="1:35" ht="18" x14ac:dyDescent="0.3">
      <c r="A21" s="70" t="s">
        <v>168</v>
      </c>
      <c r="B21" s="71">
        <v>45991</v>
      </c>
      <c r="C21" s="72" t="s">
        <v>363</v>
      </c>
      <c r="D21" s="73">
        <v>0.51041666666666663</v>
      </c>
      <c r="E21" s="72" t="s">
        <v>238</v>
      </c>
      <c r="F21" s="72" t="s">
        <v>153</v>
      </c>
      <c r="G21" s="74">
        <v>0.9385</v>
      </c>
      <c r="H21" s="75">
        <v>179</v>
      </c>
      <c r="I21" s="75">
        <v>168</v>
      </c>
      <c r="J21" s="75">
        <v>157</v>
      </c>
      <c r="K21" s="71">
        <v>45986</v>
      </c>
      <c r="L21" s="75">
        <v>0</v>
      </c>
      <c r="M21" s="75">
        <v>1</v>
      </c>
      <c r="N21" s="75">
        <v>6</v>
      </c>
      <c r="O21" s="72" t="s">
        <v>107</v>
      </c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5" t="s">
        <v>445</v>
      </c>
      <c r="AC21" s="76"/>
      <c r="AD21" s="75" t="s">
        <v>375</v>
      </c>
      <c r="AE21" s="75" t="s">
        <v>461</v>
      </c>
      <c r="AF21" s="76"/>
      <c r="AG21" s="76"/>
      <c r="AH21" s="75" t="s">
        <v>463</v>
      </c>
      <c r="AI21" s="76"/>
    </row>
    <row r="22" spans="1:35" ht="18" x14ac:dyDescent="0.3">
      <c r="A22" s="63" t="s">
        <v>168</v>
      </c>
      <c r="B22" s="64">
        <v>45991</v>
      </c>
      <c r="C22" s="65" t="s">
        <v>298</v>
      </c>
      <c r="D22" s="66">
        <v>0.63194444444444442</v>
      </c>
      <c r="E22" s="65" t="s">
        <v>238</v>
      </c>
      <c r="F22" s="65" t="s">
        <v>153</v>
      </c>
      <c r="G22" s="67">
        <v>0.96650000000000003</v>
      </c>
      <c r="H22" s="68">
        <v>179</v>
      </c>
      <c r="I22" s="68">
        <v>173</v>
      </c>
      <c r="J22" s="68">
        <v>135</v>
      </c>
      <c r="K22" s="64">
        <v>45982</v>
      </c>
      <c r="L22" s="68">
        <v>0</v>
      </c>
      <c r="M22" s="68">
        <v>0</v>
      </c>
      <c r="N22" s="68">
        <v>3</v>
      </c>
      <c r="O22" s="65" t="s">
        <v>107</v>
      </c>
      <c r="P22" s="69"/>
      <c r="Q22" s="69"/>
      <c r="R22" s="69"/>
      <c r="S22" s="69"/>
      <c r="T22" s="69"/>
      <c r="U22" s="68" t="s">
        <v>464</v>
      </c>
      <c r="V22" s="69"/>
      <c r="W22" s="69"/>
      <c r="X22" s="69"/>
      <c r="Y22" s="68" t="s">
        <v>171</v>
      </c>
      <c r="Z22" s="69"/>
      <c r="AA22" s="69"/>
      <c r="AB22" s="68" t="s">
        <v>465</v>
      </c>
      <c r="AC22" s="68" t="s">
        <v>466</v>
      </c>
      <c r="AD22" s="68" t="s">
        <v>467</v>
      </c>
      <c r="AE22" s="68" t="s">
        <v>468</v>
      </c>
      <c r="AF22" s="68" t="s">
        <v>469</v>
      </c>
      <c r="AG22" s="69"/>
      <c r="AH22" s="68" t="s">
        <v>470</v>
      </c>
      <c r="AI22" s="68" t="s">
        <v>416</v>
      </c>
    </row>
    <row r="23" spans="1:35" ht="18" x14ac:dyDescent="0.3">
      <c r="A23" s="77" t="s">
        <v>178</v>
      </c>
      <c r="B23" s="78"/>
      <c r="C23" s="79">
        <f>COUNTA(C2:C22)</f>
        <v>21</v>
      </c>
      <c r="D23" s="78"/>
      <c r="E23" s="78"/>
      <c r="F23" s="78"/>
      <c r="G23" s="80">
        <f>AVERAGE(G2:G22)</f>
        <v>0.71462380952380955</v>
      </c>
      <c r="H23" s="81">
        <f>SUM(H2:H22)</f>
        <v>3748</v>
      </c>
      <c r="I23" s="81">
        <f>SUM(I2:I22)</f>
        <v>2679</v>
      </c>
      <c r="J23" s="81">
        <f>SUM(J2:J22)</f>
        <v>1398</v>
      </c>
      <c r="K23" s="78"/>
      <c r="L23" s="81">
        <f>SUM(L2:L22)</f>
        <v>2</v>
      </c>
      <c r="M23" s="81">
        <f>SUM(M2:M22)</f>
        <v>81</v>
      </c>
      <c r="N23" s="81">
        <f>SUM(N2:N22)</f>
        <v>681</v>
      </c>
      <c r="O23" s="78"/>
      <c r="P23" s="81">
        <f t="shared" ref="P23:AI23" si="0">SUMPRODUCT(--IFERROR(VALUE(SUBSTITUTE(SUBSTITUTE(SUBSTITUTE(SUBSTITUTE(SUBSTITUTE(SUBSTITUTE(SUBSTITUTE(SUBSTITUTE(SUBSTITUTE(SUBSTITUTE(SUBSTITUTE(SUBSTITUTE(SUBSTITUTE(SUBSTITUTE(SUBSTITUTE(SUBSTITUTE(SUBSTITUTE(SUBSTITUTE(SUBSTITUTE(SUBSTITUTE(P2:P22,"Y",""),"B",""),"M",""),"H",""),"Q",""),"K",""),"V",""),"L",""),"G",""),"S",""),"W",""),"T",""),"X",""),"U",""),"O",""),"I",""),"E",""),"A",""),"P",""),"N","")),0))</f>
        <v>0</v>
      </c>
      <c r="Q23" s="81">
        <f t="shared" si="0"/>
        <v>0</v>
      </c>
      <c r="R23" s="81">
        <f t="shared" si="0"/>
        <v>0</v>
      </c>
      <c r="S23" s="81">
        <f t="shared" si="0"/>
        <v>0</v>
      </c>
      <c r="T23" s="81">
        <f t="shared" si="0"/>
        <v>0</v>
      </c>
      <c r="U23" s="81">
        <f t="shared" si="0"/>
        <v>0</v>
      </c>
      <c r="V23" s="81">
        <f t="shared" si="0"/>
        <v>0</v>
      </c>
      <c r="W23" s="81">
        <f t="shared" si="0"/>
        <v>0</v>
      </c>
      <c r="X23" s="81">
        <f t="shared" si="0"/>
        <v>0</v>
      </c>
      <c r="Y23" s="81">
        <f t="shared" si="0"/>
        <v>0</v>
      </c>
      <c r="Z23" s="81">
        <f t="shared" si="0"/>
        <v>0</v>
      </c>
      <c r="AA23" s="81">
        <f t="shared" si="0"/>
        <v>0</v>
      </c>
      <c r="AB23" s="81">
        <f t="shared" si="0"/>
        <v>0</v>
      </c>
      <c r="AC23" s="81">
        <f t="shared" si="0"/>
        <v>0</v>
      </c>
      <c r="AD23" s="81">
        <f t="shared" si="0"/>
        <v>0</v>
      </c>
      <c r="AE23" s="81">
        <f t="shared" si="0"/>
        <v>0</v>
      </c>
      <c r="AF23" s="81">
        <f t="shared" si="0"/>
        <v>0</v>
      </c>
      <c r="AG23" s="81">
        <f t="shared" si="0"/>
        <v>0</v>
      </c>
      <c r="AH23" s="81">
        <f t="shared" si="0"/>
        <v>0</v>
      </c>
      <c r="AI23" s="81">
        <f t="shared" si="0"/>
        <v>0</v>
      </c>
    </row>
  </sheetData>
  <autoFilter ref="A1:AI22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25</v>
      </c>
      <c r="C2" s="85" t="s">
        <v>239</v>
      </c>
      <c r="D2" s="84" t="s">
        <v>238</v>
      </c>
      <c r="E2" s="86">
        <v>1.302083333333333</v>
      </c>
      <c r="F2" s="84" t="s">
        <v>27</v>
      </c>
      <c r="G2" s="87">
        <v>23</v>
      </c>
      <c r="H2" s="88">
        <v>359</v>
      </c>
    </row>
    <row r="3" spans="1:8" ht="18" x14ac:dyDescent="0.3">
      <c r="A3" s="89">
        <v>45988</v>
      </c>
      <c r="B3" s="90" t="s">
        <v>25</v>
      </c>
      <c r="C3" s="91" t="s">
        <v>239</v>
      </c>
      <c r="D3" s="90" t="s">
        <v>238</v>
      </c>
      <c r="E3" s="92">
        <v>1.302083333333333</v>
      </c>
      <c r="F3" s="90" t="s">
        <v>30</v>
      </c>
      <c r="G3" s="93">
        <v>23</v>
      </c>
      <c r="H3" s="94">
        <v>509</v>
      </c>
    </row>
    <row r="4" spans="1:8" ht="18" x14ac:dyDescent="0.3">
      <c r="A4" s="89">
        <v>45988</v>
      </c>
      <c r="B4" s="90" t="s">
        <v>25</v>
      </c>
      <c r="C4" s="91" t="s">
        <v>239</v>
      </c>
      <c r="D4" s="90" t="s">
        <v>238</v>
      </c>
      <c r="E4" s="92">
        <v>1.302083333333333</v>
      </c>
      <c r="F4" s="90" t="s">
        <v>33</v>
      </c>
      <c r="G4" s="93">
        <v>23</v>
      </c>
      <c r="H4" s="90" t="s">
        <v>34</v>
      </c>
    </row>
    <row r="5" spans="1:8" ht="18" x14ac:dyDescent="0.3">
      <c r="A5" s="97">
        <v>45988</v>
      </c>
      <c r="B5" s="98" t="s">
        <v>25</v>
      </c>
      <c r="C5" s="99" t="s">
        <v>244</v>
      </c>
      <c r="D5" s="98" t="s">
        <v>238</v>
      </c>
      <c r="E5" s="100">
        <v>1.1284722222222221</v>
      </c>
      <c r="F5" s="98" t="s">
        <v>27</v>
      </c>
      <c r="G5" s="101">
        <v>17</v>
      </c>
      <c r="H5" s="102">
        <v>359</v>
      </c>
    </row>
    <row r="6" spans="1:8" ht="18" x14ac:dyDescent="0.3">
      <c r="A6" s="89">
        <v>45988</v>
      </c>
      <c r="B6" s="90" t="s">
        <v>25</v>
      </c>
      <c r="C6" s="91" t="s">
        <v>244</v>
      </c>
      <c r="D6" s="90" t="s">
        <v>238</v>
      </c>
      <c r="E6" s="92">
        <v>1.1284722222222221</v>
      </c>
      <c r="F6" s="90" t="s">
        <v>30</v>
      </c>
      <c r="G6" s="93">
        <v>17</v>
      </c>
      <c r="H6" s="94">
        <v>509</v>
      </c>
    </row>
    <row r="7" spans="1:8" ht="18" x14ac:dyDescent="0.3">
      <c r="A7" s="89">
        <v>45988</v>
      </c>
      <c r="B7" s="90" t="s">
        <v>25</v>
      </c>
      <c r="C7" s="91" t="s">
        <v>244</v>
      </c>
      <c r="D7" s="90" t="s">
        <v>238</v>
      </c>
      <c r="E7" s="92">
        <v>1.1284722222222221</v>
      </c>
      <c r="F7" s="90" t="s">
        <v>33</v>
      </c>
      <c r="G7" s="93">
        <v>17</v>
      </c>
      <c r="H7" s="90" t="s">
        <v>34</v>
      </c>
    </row>
    <row r="8" spans="1:8" ht="18" x14ac:dyDescent="0.3">
      <c r="A8" s="97">
        <v>45988</v>
      </c>
      <c r="B8" s="98" t="s">
        <v>25</v>
      </c>
      <c r="C8" s="99" t="s">
        <v>247</v>
      </c>
      <c r="D8" s="98" t="s">
        <v>238</v>
      </c>
      <c r="E8" s="100">
        <v>1.8888888888888891</v>
      </c>
      <c r="F8" s="98" t="s">
        <v>27</v>
      </c>
      <c r="G8" s="101">
        <v>15</v>
      </c>
      <c r="H8" s="102">
        <v>359</v>
      </c>
    </row>
    <row r="9" spans="1:8" ht="18" x14ac:dyDescent="0.3">
      <c r="A9" s="89">
        <v>45988</v>
      </c>
      <c r="B9" s="90" t="s">
        <v>25</v>
      </c>
      <c r="C9" s="91" t="s">
        <v>247</v>
      </c>
      <c r="D9" s="90" t="s">
        <v>238</v>
      </c>
      <c r="E9" s="92">
        <v>1.8888888888888891</v>
      </c>
      <c r="F9" s="90" t="s">
        <v>30</v>
      </c>
      <c r="G9" s="93">
        <v>15</v>
      </c>
      <c r="H9" s="94">
        <v>509</v>
      </c>
    </row>
    <row r="10" spans="1:8" ht="18" x14ac:dyDescent="0.3">
      <c r="A10" s="89">
        <v>45988</v>
      </c>
      <c r="B10" s="90" t="s">
        <v>25</v>
      </c>
      <c r="C10" s="91" t="s">
        <v>247</v>
      </c>
      <c r="D10" s="90" t="s">
        <v>238</v>
      </c>
      <c r="E10" s="92">
        <v>1.8888888888888891</v>
      </c>
      <c r="F10" s="90" t="s">
        <v>33</v>
      </c>
      <c r="G10" s="93">
        <v>15</v>
      </c>
      <c r="H10" s="90" t="s">
        <v>34</v>
      </c>
    </row>
    <row r="11" spans="1:8" ht="18" x14ac:dyDescent="0.3">
      <c r="A11" s="97">
        <v>45988</v>
      </c>
      <c r="B11" s="98" t="s">
        <v>25</v>
      </c>
      <c r="C11" s="99" t="s">
        <v>250</v>
      </c>
      <c r="D11" s="98" t="s">
        <v>238</v>
      </c>
      <c r="E11" s="100">
        <v>1.788194444444444</v>
      </c>
      <c r="F11" s="98" t="s">
        <v>27</v>
      </c>
      <c r="G11" s="101">
        <v>11</v>
      </c>
      <c r="H11" s="102">
        <v>389</v>
      </c>
    </row>
    <row r="12" spans="1:8" ht="18" x14ac:dyDescent="0.3">
      <c r="A12" s="89">
        <v>45988</v>
      </c>
      <c r="B12" s="90" t="s">
        <v>25</v>
      </c>
      <c r="C12" s="91" t="s">
        <v>250</v>
      </c>
      <c r="D12" s="90" t="s">
        <v>238</v>
      </c>
      <c r="E12" s="92">
        <v>1.788194444444444</v>
      </c>
      <c r="F12" s="90" t="s">
        <v>30</v>
      </c>
      <c r="G12" s="93">
        <v>11</v>
      </c>
      <c r="H12" s="94">
        <v>539</v>
      </c>
    </row>
    <row r="13" spans="1:8" ht="18" x14ac:dyDescent="0.3">
      <c r="A13" s="89">
        <v>45988</v>
      </c>
      <c r="B13" s="90" t="s">
        <v>25</v>
      </c>
      <c r="C13" s="91" t="s">
        <v>250</v>
      </c>
      <c r="D13" s="90" t="s">
        <v>238</v>
      </c>
      <c r="E13" s="92">
        <v>1.788194444444444</v>
      </c>
      <c r="F13" s="90" t="s">
        <v>33</v>
      </c>
      <c r="G13" s="93">
        <v>11</v>
      </c>
      <c r="H13" s="90" t="s">
        <v>34</v>
      </c>
    </row>
    <row r="14" spans="1:8" ht="18" x14ac:dyDescent="0.3">
      <c r="A14" s="95">
        <v>45988</v>
      </c>
      <c r="B14" s="84" t="s">
        <v>47</v>
      </c>
      <c r="C14" s="85" t="s">
        <v>255</v>
      </c>
      <c r="D14" s="84" t="s">
        <v>238</v>
      </c>
      <c r="E14" s="86">
        <v>1.256944444444444</v>
      </c>
      <c r="F14" s="84" t="s">
        <v>49</v>
      </c>
      <c r="G14" s="87">
        <v>9</v>
      </c>
      <c r="H14" s="96">
        <v>369</v>
      </c>
    </row>
    <row r="15" spans="1:8" ht="18" x14ac:dyDescent="0.3">
      <c r="A15" s="89">
        <v>45988</v>
      </c>
      <c r="B15" s="90" t="s">
        <v>47</v>
      </c>
      <c r="C15" s="91" t="s">
        <v>255</v>
      </c>
      <c r="D15" s="90" t="s">
        <v>238</v>
      </c>
      <c r="E15" s="92">
        <v>1.256944444444444</v>
      </c>
      <c r="F15" s="90" t="s">
        <v>52</v>
      </c>
      <c r="G15" s="93">
        <v>9</v>
      </c>
      <c r="H15" s="94">
        <v>469</v>
      </c>
    </row>
    <row r="16" spans="1:8" ht="18" x14ac:dyDescent="0.3">
      <c r="A16" s="89">
        <v>45988</v>
      </c>
      <c r="B16" s="90" t="s">
        <v>47</v>
      </c>
      <c r="C16" s="91" t="s">
        <v>255</v>
      </c>
      <c r="D16" s="90" t="s">
        <v>238</v>
      </c>
      <c r="E16" s="92">
        <v>1.256944444444444</v>
      </c>
      <c r="F16" s="90" t="s">
        <v>55</v>
      </c>
      <c r="G16" s="93">
        <v>9</v>
      </c>
      <c r="H16" s="94">
        <v>559</v>
      </c>
    </row>
    <row r="17" spans="1:8" ht="18" x14ac:dyDescent="0.3">
      <c r="A17" s="97">
        <v>45988</v>
      </c>
      <c r="B17" s="98" t="s">
        <v>47</v>
      </c>
      <c r="C17" s="99" t="s">
        <v>258</v>
      </c>
      <c r="D17" s="98" t="s">
        <v>238</v>
      </c>
      <c r="E17" s="100">
        <v>1.395833333333333</v>
      </c>
      <c r="F17" s="98" t="s">
        <v>49</v>
      </c>
      <c r="G17" s="101">
        <v>6</v>
      </c>
      <c r="H17" s="102">
        <v>369</v>
      </c>
    </row>
    <row r="18" spans="1:8" ht="18" x14ac:dyDescent="0.3">
      <c r="A18" s="89">
        <v>45988</v>
      </c>
      <c r="B18" s="90" t="s">
        <v>47</v>
      </c>
      <c r="C18" s="91" t="s">
        <v>258</v>
      </c>
      <c r="D18" s="90" t="s">
        <v>238</v>
      </c>
      <c r="E18" s="92">
        <v>1.395833333333333</v>
      </c>
      <c r="F18" s="90" t="s">
        <v>52</v>
      </c>
      <c r="G18" s="93">
        <v>6</v>
      </c>
      <c r="H18" s="94">
        <v>469</v>
      </c>
    </row>
    <row r="19" spans="1:8" ht="18" x14ac:dyDescent="0.3">
      <c r="A19" s="89">
        <v>45988</v>
      </c>
      <c r="B19" s="90" t="s">
        <v>47</v>
      </c>
      <c r="C19" s="91" t="s">
        <v>258</v>
      </c>
      <c r="D19" s="90" t="s">
        <v>238</v>
      </c>
      <c r="E19" s="92">
        <v>1.395833333333333</v>
      </c>
      <c r="F19" s="90" t="s">
        <v>55</v>
      </c>
      <c r="G19" s="93">
        <v>6</v>
      </c>
      <c r="H19" s="94">
        <v>559</v>
      </c>
    </row>
    <row r="20" spans="1:8" ht="18" x14ac:dyDescent="0.3">
      <c r="A20" s="97">
        <v>45988</v>
      </c>
      <c r="B20" s="98" t="s">
        <v>47</v>
      </c>
      <c r="C20" s="99" t="s">
        <v>261</v>
      </c>
      <c r="D20" s="98" t="s">
        <v>238</v>
      </c>
      <c r="E20" s="100">
        <v>1.9027777777777779</v>
      </c>
      <c r="F20" s="98" t="s">
        <v>49</v>
      </c>
      <c r="G20" s="101">
        <v>9</v>
      </c>
      <c r="H20" s="102">
        <v>409</v>
      </c>
    </row>
    <row r="21" spans="1:8" ht="18" x14ac:dyDescent="0.3">
      <c r="A21" s="89">
        <v>45988</v>
      </c>
      <c r="B21" s="90" t="s">
        <v>47</v>
      </c>
      <c r="C21" s="91" t="s">
        <v>261</v>
      </c>
      <c r="D21" s="90" t="s">
        <v>238</v>
      </c>
      <c r="E21" s="92">
        <v>1.9027777777777779</v>
      </c>
      <c r="F21" s="90" t="s">
        <v>52</v>
      </c>
      <c r="G21" s="93">
        <v>9</v>
      </c>
      <c r="H21" s="94">
        <v>509</v>
      </c>
    </row>
    <row r="22" spans="1:8" ht="18" x14ac:dyDescent="0.3">
      <c r="A22" s="89">
        <v>45988</v>
      </c>
      <c r="B22" s="90" t="s">
        <v>47</v>
      </c>
      <c r="C22" s="91" t="s">
        <v>261</v>
      </c>
      <c r="D22" s="90" t="s">
        <v>238</v>
      </c>
      <c r="E22" s="92">
        <v>1.9027777777777779</v>
      </c>
      <c r="F22" s="90" t="s">
        <v>55</v>
      </c>
      <c r="G22" s="93">
        <v>9</v>
      </c>
      <c r="H22" s="94">
        <v>599</v>
      </c>
    </row>
    <row r="23" spans="1:8" ht="18" x14ac:dyDescent="0.3">
      <c r="A23" s="97">
        <v>45988</v>
      </c>
      <c r="B23" s="98" t="s">
        <v>47</v>
      </c>
      <c r="C23" s="99" t="s">
        <v>265</v>
      </c>
      <c r="D23" s="98" t="s">
        <v>238</v>
      </c>
      <c r="E23" s="100">
        <v>1.5173611111111109</v>
      </c>
      <c r="F23" s="98" t="s">
        <v>49</v>
      </c>
      <c r="G23" s="101">
        <v>9</v>
      </c>
      <c r="H23" s="102">
        <v>409</v>
      </c>
    </row>
    <row r="24" spans="1:8" ht="18" x14ac:dyDescent="0.3">
      <c r="A24" s="89">
        <v>45988</v>
      </c>
      <c r="B24" s="90" t="s">
        <v>47</v>
      </c>
      <c r="C24" s="91" t="s">
        <v>265</v>
      </c>
      <c r="D24" s="90" t="s">
        <v>238</v>
      </c>
      <c r="E24" s="92">
        <v>1.5173611111111109</v>
      </c>
      <c r="F24" s="90" t="s">
        <v>52</v>
      </c>
      <c r="G24" s="93">
        <v>9</v>
      </c>
      <c r="H24" s="94">
        <v>509</v>
      </c>
    </row>
    <row r="25" spans="1:8" ht="18" x14ac:dyDescent="0.3">
      <c r="A25" s="89">
        <v>45988</v>
      </c>
      <c r="B25" s="90" t="s">
        <v>47</v>
      </c>
      <c r="C25" s="91" t="s">
        <v>265</v>
      </c>
      <c r="D25" s="90" t="s">
        <v>238</v>
      </c>
      <c r="E25" s="92">
        <v>1.5173611111111109</v>
      </c>
      <c r="F25" s="90" t="s">
        <v>55</v>
      </c>
      <c r="G25" s="93">
        <v>9</v>
      </c>
      <c r="H25" s="94">
        <v>599</v>
      </c>
    </row>
    <row r="26" spans="1:8" ht="18" x14ac:dyDescent="0.3">
      <c r="A26" s="97">
        <v>45988</v>
      </c>
      <c r="B26" s="98" t="s">
        <v>47</v>
      </c>
      <c r="C26" s="99" t="s">
        <v>266</v>
      </c>
      <c r="D26" s="98" t="s">
        <v>238</v>
      </c>
      <c r="E26" s="100">
        <v>1.854166666666667</v>
      </c>
      <c r="F26" s="98" t="s">
        <v>49</v>
      </c>
      <c r="G26" s="101">
        <v>9</v>
      </c>
      <c r="H26" s="102">
        <v>409</v>
      </c>
    </row>
    <row r="27" spans="1:8" ht="18" x14ac:dyDescent="0.3">
      <c r="A27" s="89">
        <v>45988</v>
      </c>
      <c r="B27" s="90" t="s">
        <v>47</v>
      </c>
      <c r="C27" s="91" t="s">
        <v>266</v>
      </c>
      <c r="D27" s="90" t="s">
        <v>238</v>
      </c>
      <c r="E27" s="92">
        <v>1.854166666666667</v>
      </c>
      <c r="F27" s="90" t="s">
        <v>52</v>
      </c>
      <c r="G27" s="93">
        <v>9</v>
      </c>
      <c r="H27" s="94">
        <v>509</v>
      </c>
    </row>
    <row r="28" spans="1:8" ht="18" x14ac:dyDescent="0.3">
      <c r="A28" s="89">
        <v>45988</v>
      </c>
      <c r="B28" s="90" t="s">
        <v>47</v>
      </c>
      <c r="C28" s="91" t="s">
        <v>266</v>
      </c>
      <c r="D28" s="90" t="s">
        <v>238</v>
      </c>
      <c r="E28" s="92">
        <v>1.854166666666667</v>
      </c>
      <c r="F28" s="90" t="s">
        <v>55</v>
      </c>
      <c r="G28" s="93">
        <v>9</v>
      </c>
      <c r="H28" s="94">
        <v>599</v>
      </c>
    </row>
    <row r="29" spans="1:8" ht="18" x14ac:dyDescent="0.3">
      <c r="A29" s="97">
        <v>45988</v>
      </c>
      <c r="B29" s="98" t="s">
        <v>47</v>
      </c>
      <c r="C29" s="99" t="s">
        <v>267</v>
      </c>
      <c r="D29" s="98" t="s">
        <v>238</v>
      </c>
      <c r="E29" s="100">
        <v>1.302083333333333</v>
      </c>
      <c r="F29" s="98" t="s">
        <v>49</v>
      </c>
      <c r="G29" s="101">
        <v>8</v>
      </c>
      <c r="H29" s="102">
        <v>409</v>
      </c>
    </row>
    <row r="30" spans="1:8" ht="18" x14ac:dyDescent="0.3">
      <c r="A30" s="89">
        <v>45988</v>
      </c>
      <c r="B30" s="90" t="s">
        <v>47</v>
      </c>
      <c r="C30" s="91" t="s">
        <v>267</v>
      </c>
      <c r="D30" s="90" t="s">
        <v>238</v>
      </c>
      <c r="E30" s="92">
        <v>1.302083333333333</v>
      </c>
      <c r="F30" s="90" t="s">
        <v>52</v>
      </c>
      <c r="G30" s="93">
        <v>8</v>
      </c>
      <c r="H30" s="94">
        <v>509</v>
      </c>
    </row>
    <row r="31" spans="1:8" ht="18" x14ac:dyDescent="0.3">
      <c r="A31" s="89">
        <v>45988</v>
      </c>
      <c r="B31" s="90" t="s">
        <v>47</v>
      </c>
      <c r="C31" s="91" t="s">
        <v>267</v>
      </c>
      <c r="D31" s="90" t="s">
        <v>238</v>
      </c>
      <c r="E31" s="92">
        <v>1.302083333333333</v>
      </c>
      <c r="F31" s="90" t="s">
        <v>55</v>
      </c>
      <c r="G31" s="93">
        <v>8</v>
      </c>
      <c r="H31" s="94">
        <v>599</v>
      </c>
    </row>
    <row r="32" spans="1:8" ht="18" x14ac:dyDescent="0.3">
      <c r="A32" s="97">
        <v>45988</v>
      </c>
      <c r="B32" s="98" t="s">
        <v>47</v>
      </c>
      <c r="C32" s="99" t="s">
        <v>268</v>
      </c>
      <c r="D32" s="98" t="s">
        <v>238</v>
      </c>
      <c r="E32" s="100">
        <v>1.6597222222222221</v>
      </c>
      <c r="F32" s="98" t="s">
        <v>49</v>
      </c>
      <c r="G32" s="101">
        <v>2</v>
      </c>
      <c r="H32" s="102">
        <v>449</v>
      </c>
    </row>
    <row r="33" spans="1:8" ht="18" x14ac:dyDescent="0.3">
      <c r="A33" s="89">
        <v>45988</v>
      </c>
      <c r="B33" s="90" t="s">
        <v>47</v>
      </c>
      <c r="C33" s="91" t="s">
        <v>268</v>
      </c>
      <c r="D33" s="90" t="s">
        <v>238</v>
      </c>
      <c r="E33" s="92">
        <v>1.6597222222222221</v>
      </c>
      <c r="F33" s="90" t="s">
        <v>52</v>
      </c>
      <c r="G33" s="93">
        <v>2</v>
      </c>
      <c r="H33" s="94">
        <v>549</v>
      </c>
    </row>
    <row r="34" spans="1:8" ht="18" x14ac:dyDescent="0.3">
      <c r="A34" s="89">
        <v>45988</v>
      </c>
      <c r="B34" s="90" t="s">
        <v>47</v>
      </c>
      <c r="C34" s="91" t="s">
        <v>268</v>
      </c>
      <c r="D34" s="90" t="s">
        <v>238</v>
      </c>
      <c r="E34" s="92">
        <v>1.6597222222222221</v>
      </c>
      <c r="F34" s="90" t="s">
        <v>55</v>
      </c>
      <c r="G34" s="93">
        <v>2</v>
      </c>
      <c r="H34" s="94">
        <v>639</v>
      </c>
    </row>
    <row r="35" spans="1:8" ht="18" x14ac:dyDescent="0.3">
      <c r="A35" s="97">
        <v>45988</v>
      </c>
      <c r="B35" s="98" t="s">
        <v>47</v>
      </c>
      <c r="C35" s="99" t="s">
        <v>271</v>
      </c>
      <c r="D35" s="98" t="s">
        <v>238</v>
      </c>
      <c r="E35" s="100">
        <v>1.7986111111111109</v>
      </c>
      <c r="F35" s="98" t="s">
        <v>49</v>
      </c>
      <c r="G35" s="101">
        <v>8</v>
      </c>
      <c r="H35" s="102">
        <v>449</v>
      </c>
    </row>
    <row r="36" spans="1:8" ht="18" x14ac:dyDescent="0.3">
      <c r="A36" s="89">
        <v>45988</v>
      </c>
      <c r="B36" s="90" t="s">
        <v>47</v>
      </c>
      <c r="C36" s="91" t="s">
        <v>271</v>
      </c>
      <c r="D36" s="90" t="s">
        <v>238</v>
      </c>
      <c r="E36" s="92">
        <v>1.7986111111111109</v>
      </c>
      <c r="F36" s="90" t="s">
        <v>52</v>
      </c>
      <c r="G36" s="93">
        <v>8</v>
      </c>
      <c r="H36" s="94">
        <v>549</v>
      </c>
    </row>
    <row r="37" spans="1:8" ht="18" x14ac:dyDescent="0.3">
      <c r="A37" s="89">
        <v>45988</v>
      </c>
      <c r="B37" s="90" t="s">
        <v>47</v>
      </c>
      <c r="C37" s="91" t="s">
        <v>271</v>
      </c>
      <c r="D37" s="90" t="s">
        <v>238</v>
      </c>
      <c r="E37" s="92">
        <v>1.7986111111111109</v>
      </c>
      <c r="F37" s="90" t="s">
        <v>55</v>
      </c>
      <c r="G37" s="93">
        <v>8</v>
      </c>
      <c r="H37" s="94">
        <v>639</v>
      </c>
    </row>
    <row r="38" spans="1:8" ht="18" x14ac:dyDescent="0.3">
      <c r="A38" s="95">
        <v>45988</v>
      </c>
      <c r="B38" s="84" t="s">
        <v>272</v>
      </c>
      <c r="C38" s="85" t="s">
        <v>273</v>
      </c>
      <c r="D38" s="84" t="s">
        <v>238</v>
      </c>
      <c r="E38" s="86">
        <v>1.291666666666667</v>
      </c>
      <c r="F38" s="84" t="s">
        <v>274</v>
      </c>
      <c r="G38" s="87">
        <v>1</v>
      </c>
      <c r="H38" s="96">
        <v>400</v>
      </c>
    </row>
    <row r="39" spans="1:8" ht="18" x14ac:dyDescent="0.3">
      <c r="A39" s="97">
        <v>45988</v>
      </c>
      <c r="B39" s="98" t="s">
        <v>272</v>
      </c>
      <c r="C39" s="99" t="s">
        <v>276</v>
      </c>
      <c r="D39" s="98" t="s">
        <v>238</v>
      </c>
      <c r="E39" s="100">
        <v>1.59375</v>
      </c>
      <c r="F39" s="98" t="s">
        <v>274</v>
      </c>
      <c r="G39" s="101">
        <v>9</v>
      </c>
      <c r="H39" s="102">
        <v>400</v>
      </c>
    </row>
    <row r="40" spans="1:8" ht="18" x14ac:dyDescent="0.3">
      <c r="A40" s="113">
        <v>45988</v>
      </c>
      <c r="B40" s="114" t="s">
        <v>76</v>
      </c>
      <c r="C40" s="115" t="s">
        <v>277</v>
      </c>
      <c r="D40" s="114" t="s">
        <v>238</v>
      </c>
      <c r="E40" s="116">
        <v>1.0486111111111109</v>
      </c>
      <c r="F40" s="114" t="s">
        <v>78</v>
      </c>
      <c r="G40" s="117">
        <v>9</v>
      </c>
      <c r="H40" s="203">
        <v>401</v>
      </c>
    </row>
    <row r="41" spans="1:8" ht="18" x14ac:dyDescent="0.3">
      <c r="A41" s="204">
        <v>45988</v>
      </c>
      <c r="B41" s="205" t="s">
        <v>76</v>
      </c>
      <c r="C41" s="206" t="s">
        <v>282</v>
      </c>
      <c r="D41" s="205" t="s">
        <v>238</v>
      </c>
      <c r="E41" s="207">
        <v>1.364583333333333</v>
      </c>
      <c r="F41" s="205" t="s">
        <v>78</v>
      </c>
      <c r="G41" s="208">
        <v>9</v>
      </c>
      <c r="H41" s="209">
        <v>401</v>
      </c>
    </row>
    <row r="42" spans="1:8" ht="18" x14ac:dyDescent="0.3">
      <c r="A42" s="204">
        <v>45988</v>
      </c>
      <c r="B42" s="205" t="s">
        <v>76</v>
      </c>
      <c r="C42" s="206" t="s">
        <v>285</v>
      </c>
      <c r="D42" s="205" t="s">
        <v>238</v>
      </c>
      <c r="E42" s="207">
        <v>1.2534722222222221</v>
      </c>
      <c r="F42" s="205" t="s">
        <v>78</v>
      </c>
      <c r="G42" s="208">
        <v>9</v>
      </c>
      <c r="H42" s="209">
        <v>401</v>
      </c>
    </row>
    <row r="43" spans="1:8" ht="18" x14ac:dyDescent="0.3">
      <c r="A43" s="204">
        <v>45988</v>
      </c>
      <c r="B43" s="205" t="s">
        <v>76</v>
      </c>
      <c r="C43" s="206" t="s">
        <v>288</v>
      </c>
      <c r="D43" s="205" t="s">
        <v>238</v>
      </c>
      <c r="E43" s="207">
        <v>1.114583333333333</v>
      </c>
      <c r="F43" s="205" t="s">
        <v>78</v>
      </c>
      <c r="G43" s="208">
        <v>9</v>
      </c>
      <c r="H43" s="209">
        <v>401</v>
      </c>
    </row>
    <row r="44" spans="1:8" ht="18" x14ac:dyDescent="0.3">
      <c r="A44" s="204">
        <v>45988</v>
      </c>
      <c r="B44" s="205" t="s">
        <v>76</v>
      </c>
      <c r="C44" s="206" t="s">
        <v>291</v>
      </c>
      <c r="D44" s="205" t="s">
        <v>238</v>
      </c>
      <c r="E44" s="207">
        <v>1.333333333333333</v>
      </c>
      <c r="F44" s="205" t="s">
        <v>78</v>
      </c>
      <c r="G44" s="208">
        <v>9</v>
      </c>
      <c r="H44" s="209">
        <v>401</v>
      </c>
    </row>
    <row r="45" spans="1:8" ht="18" x14ac:dyDescent="0.3">
      <c r="A45" s="204">
        <v>45988</v>
      </c>
      <c r="B45" s="205" t="s">
        <v>76</v>
      </c>
      <c r="C45" s="206" t="s">
        <v>294</v>
      </c>
      <c r="D45" s="205" t="s">
        <v>238</v>
      </c>
      <c r="E45" s="207">
        <v>1.739583333333333</v>
      </c>
      <c r="F45" s="205" t="s">
        <v>78</v>
      </c>
      <c r="G45" s="208">
        <v>9</v>
      </c>
      <c r="H45" s="209">
        <v>436</v>
      </c>
    </row>
    <row r="46" spans="1:8" ht="18" x14ac:dyDescent="0.3">
      <c r="A46" s="204">
        <v>45988</v>
      </c>
      <c r="B46" s="205" t="s">
        <v>76</v>
      </c>
      <c r="C46" s="206" t="s">
        <v>298</v>
      </c>
      <c r="D46" s="205" t="s">
        <v>238</v>
      </c>
      <c r="E46" s="207">
        <v>1.583333333333333</v>
      </c>
      <c r="F46" s="205" t="s">
        <v>105</v>
      </c>
      <c r="G46" s="205"/>
      <c r="H46" s="205" t="s">
        <v>106</v>
      </c>
    </row>
    <row r="47" spans="1:8" ht="18" x14ac:dyDescent="0.3">
      <c r="A47" s="95">
        <v>45988</v>
      </c>
      <c r="B47" s="84" t="s">
        <v>300</v>
      </c>
      <c r="C47" s="85" t="s">
        <v>301</v>
      </c>
      <c r="D47" s="84" t="s">
        <v>238</v>
      </c>
      <c r="E47" s="86">
        <v>1.666666666666667</v>
      </c>
      <c r="F47" s="84" t="s">
        <v>274</v>
      </c>
      <c r="G47" s="87">
        <v>1</v>
      </c>
      <c r="H47" s="96">
        <v>401</v>
      </c>
    </row>
    <row r="48" spans="1:8" ht="18" x14ac:dyDescent="0.3">
      <c r="A48" s="95">
        <v>45988</v>
      </c>
      <c r="B48" s="84" t="s">
        <v>302</v>
      </c>
      <c r="C48" s="85" t="s">
        <v>303</v>
      </c>
      <c r="D48" s="84" t="s">
        <v>238</v>
      </c>
      <c r="E48" s="86">
        <v>1.3298611111111109</v>
      </c>
      <c r="F48" s="84" t="s">
        <v>304</v>
      </c>
      <c r="G48" s="87">
        <v>9</v>
      </c>
      <c r="H48" s="96">
        <v>492</v>
      </c>
    </row>
    <row r="49" spans="1:8" ht="18" x14ac:dyDescent="0.3">
      <c r="A49" s="89">
        <v>45988</v>
      </c>
      <c r="B49" s="90" t="s">
        <v>302</v>
      </c>
      <c r="C49" s="91" t="s">
        <v>303</v>
      </c>
      <c r="D49" s="90" t="s">
        <v>238</v>
      </c>
      <c r="E49" s="92">
        <v>1.3298611111111109</v>
      </c>
      <c r="F49" s="90" t="s">
        <v>33</v>
      </c>
      <c r="G49" s="93">
        <v>9</v>
      </c>
      <c r="H49" s="94">
        <v>615</v>
      </c>
    </row>
    <row r="50" spans="1:8" ht="18" x14ac:dyDescent="0.3">
      <c r="A50" s="95">
        <v>45988</v>
      </c>
      <c r="B50" s="84" t="s">
        <v>35</v>
      </c>
      <c r="C50" s="85" t="s">
        <v>307</v>
      </c>
      <c r="D50" s="84" t="s">
        <v>238</v>
      </c>
      <c r="E50" s="86">
        <v>1.0138888888888891</v>
      </c>
      <c r="F50" s="84" t="s">
        <v>308</v>
      </c>
      <c r="G50" s="87">
        <v>9</v>
      </c>
      <c r="H50" s="96">
        <v>503</v>
      </c>
    </row>
    <row r="51" spans="1:8" ht="18" x14ac:dyDescent="0.3">
      <c r="A51" s="97">
        <v>45988</v>
      </c>
      <c r="B51" s="98" t="s">
        <v>35</v>
      </c>
      <c r="C51" s="99" t="s">
        <v>310</v>
      </c>
      <c r="D51" s="98" t="s">
        <v>238</v>
      </c>
      <c r="E51" s="100">
        <v>1.4861111111111109</v>
      </c>
      <c r="F51" s="98" t="s">
        <v>308</v>
      </c>
      <c r="G51" s="101">
        <v>9</v>
      </c>
      <c r="H51" s="102">
        <v>503</v>
      </c>
    </row>
    <row r="52" spans="1:8" ht="18" x14ac:dyDescent="0.3">
      <c r="A52" s="97">
        <v>45988</v>
      </c>
      <c r="B52" s="98" t="s">
        <v>35</v>
      </c>
      <c r="C52" s="99" t="s">
        <v>311</v>
      </c>
      <c r="D52" s="98" t="s">
        <v>238</v>
      </c>
      <c r="E52" s="100">
        <v>1.145833333333333</v>
      </c>
      <c r="F52" s="98" t="s">
        <v>308</v>
      </c>
      <c r="G52" s="101">
        <v>9</v>
      </c>
      <c r="H52" s="102">
        <v>503</v>
      </c>
    </row>
    <row r="53" spans="1:8" ht="18" x14ac:dyDescent="0.3">
      <c r="A53" s="97">
        <v>45988</v>
      </c>
      <c r="B53" s="98" t="s">
        <v>35</v>
      </c>
      <c r="C53" s="99" t="s">
        <v>312</v>
      </c>
      <c r="D53" s="98" t="s">
        <v>238</v>
      </c>
      <c r="E53" s="100">
        <v>1.2777777777777779</v>
      </c>
      <c r="F53" s="98" t="s">
        <v>308</v>
      </c>
      <c r="G53" s="101">
        <v>9</v>
      </c>
      <c r="H53" s="102">
        <v>503</v>
      </c>
    </row>
    <row r="54" spans="1:8" ht="18" x14ac:dyDescent="0.3">
      <c r="A54" s="97">
        <v>45988</v>
      </c>
      <c r="B54" s="98" t="s">
        <v>35</v>
      </c>
      <c r="C54" s="99" t="s">
        <v>313</v>
      </c>
      <c r="D54" s="98" t="s">
        <v>238</v>
      </c>
      <c r="E54" s="100">
        <v>1.5138888888888891</v>
      </c>
      <c r="F54" s="98" t="s">
        <v>308</v>
      </c>
      <c r="G54" s="101">
        <v>9</v>
      </c>
      <c r="H54" s="102">
        <v>503</v>
      </c>
    </row>
    <row r="55" spans="1:8" ht="18" x14ac:dyDescent="0.3">
      <c r="A55" s="97">
        <v>45988</v>
      </c>
      <c r="B55" s="98" t="s">
        <v>35</v>
      </c>
      <c r="C55" s="99" t="s">
        <v>314</v>
      </c>
      <c r="D55" s="98" t="s">
        <v>238</v>
      </c>
      <c r="E55" s="100">
        <v>1.958333333333333</v>
      </c>
      <c r="F55" s="98" t="s">
        <v>308</v>
      </c>
      <c r="G55" s="101">
        <v>9</v>
      </c>
      <c r="H55" s="102">
        <v>503</v>
      </c>
    </row>
    <row r="56" spans="1:8" ht="18" x14ac:dyDescent="0.3">
      <c r="A56" s="97">
        <v>45988</v>
      </c>
      <c r="B56" s="98" t="s">
        <v>35</v>
      </c>
      <c r="C56" s="99" t="s">
        <v>315</v>
      </c>
      <c r="D56" s="98" t="s">
        <v>238</v>
      </c>
      <c r="E56" s="100">
        <v>1.2222222222222221</v>
      </c>
      <c r="F56" s="98" t="s">
        <v>308</v>
      </c>
      <c r="G56" s="101">
        <v>9</v>
      </c>
      <c r="H56" s="102">
        <v>503</v>
      </c>
    </row>
    <row r="57" spans="1:8" ht="18" x14ac:dyDescent="0.3">
      <c r="A57" s="97">
        <v>45988</v>
      </c>
      <c r="B57" s="98" t="s">
        <v>35</v>
      </c>
      <c r="C57" s="99" t="s">
        <v>316</v>
      </c>
      <c r="D57" s="98" t="s">
        <v>238</v>
      </c>
      <c r="E57" s="100">
        <v>1.774305555555556</v>
      </c>
      <c r="F57" s="98" t="s">
        <v>37</v>
      </c>
      <c r="G57" s="101">
        <v>9</v>
      </c>
      <c r="H57" s="102">
        <v>673</v>
      </c>
    </row>
    <row r="58" spans="1:8" ht="18" x14ac:dyDescent="0.3">
      <c r="A58" s="95">
        <v>45988</v>
      </c>
      <c r="B58" s="84" t="s">
        <v>63</v>
      </c>
      <c r="C58" s="85" t="s">
        <v>318</v>
      </c>
      <c r="D58" s="84" t="s">
        <v>238</v>
      </c>
      <c r="E58" s="86">
        <v>1.243055555555556</v>
      </c>
      <c r="F58" s="84" t="s">
        <v>65</v>
      </c>
      <c r="G58" s="87">
        <v>9</v>
      </c>
      <c r="H58" s="96">
        <v>678</v>
      </c>
    </row>
    <row r="59" spans="1:8" ht="18" x14ac:dyDescent="0.3">
      <c r="A59" s="89">
        <v>45988</v>
      </c>
      <c r="B59" s="90" t="s">
        <v>63</v>
      </c>
      <c r="C59" s="91" t="s">
        <v>318</v>
      </c>
      <c r="D59" s="90" t="s">
        <v>238</v>
      </c>
      <c r="E59" s="92">
        <v>1.243055555555556</v>
      </c>
      <c r="F59" s="90" t="s">
        <v>67</v>
      </c>
      <c r="G59" s="93">
        <v>9</v>
      </c>
      <c r="H59" s="94">
        <v>723</v>
      </c>
    </row>
    <row r="60" spans="1:8" ht="18" x14ac:dyDescent="0.3">
      <c r="A60" s="97">
        <v>45988</v>
      </c>
      <c r="B60" s="98" t="s">
        <v>63</v>
      </c>
      <c r="C60" s="99" t="s">
        <v>321</v>
      </c>
      <c r="D60" s="98" t="s">
        <v>238</v>
      </c>
      <c r="E60" s="100">
        <v>1.1423611111111109</v>
      </c>
      <c r="F60" s="98" t="s">
        <v>65</v>
      </c>
      <c r="G60" s="101">
        <v>9</v>
      </c>
      <c r="H60" s="102">
        <v>678</v>
      </c>
    </row>
    <row r="61" spans="1:8" ht="18" x14ac:dyDescent="0.3">
      <c r="A61" s="89">
        <v>45988</v>
      </c>
      <c r="B61" s="90" t="s">
        <v>63</v>
      </c>
      <c r="C61" s="91" t="s">
        <v>321</v>
      </c>
      <c r="D61" s="90" t="s">
        <v>238</v>
      </c>
      <c r="E61" s="92">
        <v>1.1423611111111109</v>
      </c>
      <c r="F61" s="90" t="s">
        <v>67</v>
      </c>
      <c r="G61" s="93">
        <v>9</v>
      </c>
      <c r="H61" s="94">
        <v>723</v>
      </c>
    </row>
    <row r="62" spans="1:8" ht="18" x14ac:dyDescent="0.3">
      <c r="A62" s="97">
        <v>45988</v>
      </c>
      <c r="B62" s="98" t="s">
        <v>63</v>
      </c>
      <c r="C62" s="99" t="s">
        <v>322</v>
      </c>
      <c r="D62" s="98" t="s">
        <v>238</v>
      </c>
      <c r="E62" s="100">
        <v>1.3784722222222221</v>
      </c>
      <c r="F62" s="98" t="s">
        <v>65</v>
      </c>
      <c r="G62" s="101">
        <v>9</v>
      </c>
      <c r="H62" s="102">
        <v>935</v>
      </c>
    </row>
    <row r="63" spans="1:8" ht="18" x14ac:dyDescent="0.3">
      <c r="A63" s="89">
        <v>45988</v>
      </c>
      <c r="B63" s="90" t="s">
        <v>63</v>
      </c>
      <c r="C63" s="91" t="s">
        <v>322</v>
      </c>
      <c r="D63" s="90" t="s">
        <v>238</v>
      </c>
      <c r="E63" s="92">
        <v>1.3784722222222221</v>
      </c>
      <c r="F63" s="90" t="s">
        <v>67</v>
      </c>
      <c r="G63" s="93">
        <v>9</v>
      </c>
      <c r="H63" s="94">
        <v>980</v>
      </c>
    </row>
    <row r="64" spans="1:8" ht="18" x14ac:dyDescent="0.3">
      <c r="A64" s="97">
        <v>45988</v>
      </c>
      <c r="B64" s="98" t="s">
        <v>63</v>
      </c>
      <c r="C64" s="99" t="s">
        <v>325</v>
      </c>
      <c r="D64" s="98" t="s">
        <v>238</v>
      </c>
      <c r="E64" s="100">
        <v>1.006944444444444</v>
      </c>
      <c r="F64" s="98" t="s">
        <v>65</v>
      </c>
      <c r="G64" s="101">
        <v>9</v>
      </c>
      <c r="H64" s="102">
        <v>935</v>
      </c>
    </row>
    <row r="65" spans="1:8" ht="18" x14ac:dyDescent="0.3">
      <c r="A65" s="89">
        <v>45988</v>
      </c>
      <c r="B65" s="90" t="s">
        <v>63</v>
      </c>
      <c r="C65" s="91" t="s">
        <v>325</v>
      </c>
      <c r="D65" s="90" t="s">
        <v>238</v>
      </c>
      <c r="E65" s="92">
        <v>1.006944444444444</v>
      </c>
      <c r="F65" s="90" t="s">
        <v>67</v>
      </c>
      <c r="G65" s="93">
        <v>9</v>
      </c>
      <c r="H65" s="94">
        <v>980</v>
      </c>
    </row>
    <row r="66" spans="1:8" ht="18" x14ac:dyDescent="0.3">
      <c r="A66" s="97">
        <v>45988</v>
      </c>
      <c r="B66" s="98" t="s">
        <v>63</v>
      </c>
      <c r="C66" s="99" t="s">
        <v>326</v>
      </c>
      <c r="D66" s="98" t="s">
        <v>238</v>
      </c>
      <c r="E66" s="100">
        <v>1.8888888888888891</v>
      </c>
      <c r="F66" s="98" t="s">
        <v>67</v>
      </c>
      <c r="G66" s="101">
        <v>4</v>
      </c>
      <c r="H66" s="98" t="s">
        <v>327</v>
      </c>
    </row>
    <row r="67" spans="1:8" ht="18" x14ac:dyDescent="0.3">
      <c r="A67" s="97">
        <v>45988</v>
      </c>
      <c r="B67" s="98" t="s">
        <v>63</v>
      </c>
      <c r="C67" s="99" t="s">
        <v>328</v>
      </c>
      <c r="D67" s="98" t="s">
        <v>238</v>
      </c>
      <c r="E67" s="100">
        <v>1.302083333333333</v>
      </c>
      <c r="F67" s="98" t="s">
        <v>67</v>
      </c>
      <c r="G67" s="101">
        <v>4</v>
      </c>
      <c r="H67" s="98" t="s">
        <v>327</v>
      </c>
    </row>
    <row r="68" spans="1:8" ht="18" x14ac:dyDescent="0.3">
      <c r="A68" s="97">
        <v>45988</v>
      </c>
      <c r="B68" s="98" t="s">
        <v>63</v>
      </c>
      <c r="C68" s="99" t="s">
        <v>329</v>
      </c>
      <c r="D68" s="98" t="s">
        <v>238</v>
      </c>
      <c r="E68" s="100">
        <v>1.1284722222222221</v>
      </c>
      <c r="F68" s="98" t="s">
        <v>67</v>
      </c>
      <c r="G68" s="101">
        <v>4</v>
      </c>
      <c r="H68" s="98" t="s">
        <v>327</v>
      </c>
    </row>
    <row r="69" spans="1:8" ht="18" x14ac:dyDescent="0.3">
      <c r="A69" s="97">
        <v>45988</v>
      </c>
      <c r="B69" s="98" t="s">
        <v>63</v>
      </c>
      <c r="C69" s="99" t="s">
        <v>330</v>
      </c>
      <c r="D69" s="98" t="s">
        <v>238</v>
      </c>
      <c r="E69" s="100">
        <v>1.71875</v>
      </c>
      <c r="F69" s="98" t="s">
        <v>65</v>
      </c>
      <c r="G69" s="101">
        <v>9</v>
      </c>
      <c r="H69" s="98" t="s">
        <v>331</v>
      </c>
    </row>
    <row r="70" spans="1:8" ht="18" x14ac:dyDescent="0.3">
      <c r="A70" s="89">
        <v>45988</v>
      </c>
      <c r="B70" s="90" t="s">
        <v>63</v>
      </c>
      <c r="C70" s="91" t="s">
        <v>330</v>
      </c>
      <c r="D70" s="90" t="s">
        <v>238</v>
      </c>
      <c r="E70" s="92">
        <v>1.71875</v>
      </c>
      <c r="F70" s="90" t="s">
        <v>67</v>
      </c>
      <c r="G70" s="93">
        <v>9</v>
      </c>
      <c r="H70" s="90" t="s">
        <v>332</v>
      </c>
    </row>
    <row r="71" spans="1:8" ht="18" x14ac:dyDescent="0.3">
      <c r="A71" s="97">
        <v>45988</v>
      </c>
      <c r="B71" s="98" t="s">
        <v>63</v>
      </c>
      <c r="C71" s="99" t="s">
        <v>333</v>
      </c>
      <c r="D71" s="98" t="s">
        <v>238</v>
      </c>
      <c r="E71" s="100">
        <v>1.788194444444444</v>
      </c>
      <c r="F71" s="98" t="s">
        <v>67</v>
      </c>
      <c r="G71" s="101">
        <v>4</v>
      </c>
      <c r="H71" s="98" t="s">
        <v>334</v>
      </c>
    </row>
    <row r="72" spans="1:8" ht="18" x14ac:dyDescent="0.3">
      <c r="A72" s="97">
        <v>45988</v>
      </c>
      <c r="B72" s="98" t="s">
        <v>63</v>
      </c>
      <c r="C72" s="99" t="s">
        <v>335</v>
      </c>
      <c r="D72" s="98" t="s">
        <v>238</v>
      </c>
      <c r="E72" s="100">
        <v>1.930555555555556</v>
      </c>
      <c r="F72" s="98" t="s">
        <v>65</v>
      </c>
      <c r="G72" s="101">
        <v>9</v>
      </c>
      <c r="H72" s="98" t="s">
        <v>336</v>
      </c>
    </row>
    <row r="73" spans="1:8" ht="18" x14ac:dyDescent="0.3">
      <c r="A73" s="89">
        <v>45988</v>
      </c>
      <c r="B73" s="90" t="s">
        <v>63</v>
      </c>
      <c r="C73" s="91" t="s">
        <v>335</v>
      </c>
      <c r="D73" s="90" t="s">
        <v>238</v>
      </c>
      <c r="E73" s="92">
        <v>1.930555555555556</v>
      </c>
      <c r="F73" s="90" t="s">
        <v>67</v>
      </c>
      <c r="G73" s="93">
        <v>9</v>
      </c>
      <c r="H73" s="90" t="s">
        <v>337</v>
      </c>
    </row>
    <row r="74" spans="1:8" ht="18" x14ac:dyDescent="0.3">
      <c r="A74" s="97">
        <v>45988</v>
      </c>
      <c r="B74" s="98" t="s">
        <v>63</v>
      </c>
      <c r="C74" s="99" t="s">
        <v>338</v>
      </c>
      <c r="D74" s="98" t="s">
        <v>238</v>
      </c>
      <c r="E74" s="100">
        <v>1.8298611111111109</v>
      </c>
      <c r="F74" s="98" t="s">
        <v>65</v>
      </c>
      <c r="G74" s="101">
        <v>9</v>
      </c>
      <c r="H74" s="98" t="s">
        <v>339</v>
      </c>
    </row>
    <row r="75" spans="1:8" ht="18" x14ac:dyDescent="0.3">
      <c r="A75" s="89">
        <v>45988</v>
      </c>
      <c r="B75" s="90" t="s">
        <v>63</v>
      </c>
      <c r="C75" s="91" t="s">
        <v>338</v>
      </c>
      <c r="D75" s="90" t="s">
        <v>238</v>
      </c>
      <c r="E75" s="92">
        <v>1.8298611111111109</v>
      </c>
      <c r="F75" s="90" t="s">
        <v>67</v>
      </c>
      <c r="G75" s="93">
        <v>9</v>
      </c>
      <c r="H75" s="90" t="s">
        <v>340</v>
      </c>
    </row>
    <row r="76" spans="1:8" ht="18" x14ac:dyDescent="0.3">
      <c r="A76" s="97">
        <v>45988</v>
      </c>
      <c r="B76" s="98" t="s">
        <v>63</v>
      </c>
      <c r="C76" s="99" t="s">
        <v>341</v>
      </c>
      <c r="D76" s="98" t="s">
        <v>238</v>
      </c>
      <c r="E76" s="100">
        <v>1.6111111111111109</v>
      </c>
      <c r="F76" s="98" t="s">
        <v>65</v>
      </c>
      <c r="G76" s="101">
        <v>6</v>
      </c>
      <c r="H76" s="98" t="s">
        <v>342</v>
      </c>
    </row>
    <row r="77" spans="1:8" ht="18" x14ac:dyDescent="0.3">
      <c r="A77" s="210">
        <v>45988</v>
      </c>
      <c r="B77" s="211" t="s">
        <v>63</v>
      </c>
      <c r="C77" s="212" t="s">
        <v>341</v>
      </c>
      <c r="D77" s="211" t="s">
        <v>238</v>
      </c>
      <c r="E77" s="213">
        <v>1.6111111111111109</v>
      </c>
      <c r="F77" s="211" t="s">
        <v>67</v>
      </c>
      <c r="G77" s="214">
        <v>6</v>
      </c>
      <c r="H77" s="211" t="s">
        <v>343</v>
      </c>
    </row>
    <row r="78" spans="1:8" ht="18" x14ac:dyDescent="0.3">
      <c r="A78" s="83">
        <v>45989</v>
      </c>
      <c r="B78" s="84" t="s">
        <v>25</v>
      </c>
      <c r="C78" s="85" t="s">
        <v>239</v>
      </c>
      <c r="D78" s="84" t="s">
        <v>238</v>
      </c>
      <c r="E78" s="86">
        <v>1.302083333333333</v>
      </c>
      <c r="F78" s="84" t="s">
        <v>27</v>
      </c>
      <c r="G78" s="87">
        <v>7</v>
      </c>
      <c r="H78" s="88">
        <v>359</v>
      </c>
    </row>
    <row r="79" spans="1:8" ht="18" x14ac:dyDescent="0.3">
      <c r="A79" s="89">
        <v>45989</v>
      </c>
      <c r="B79" s="90" t="s">
        <v>25</v>
      </c>
      <c r="C79" s="91" t="s">
        <v>239</v>
      </c>
      <c r="D79" s="90" t="s">
        <v>238</v>
      </c>
      <c r="E79" s="92">
        <v>1.302083333333333</v>
      </c>
      <c r="F79" s="90" t="s">
        <v>30</v>
      </c>
      <c r="G79" s="93">
        <v>7</v>
      </c>
      <c r="H79" s="94">
        <v>509</v>
      </c>
    </row>
    <row r="80" spans="1:8" ht="18" x14ac:dyDescent="0.3">
      <c r="A80" s="89">
        <v>45989</v>
      </c>
      <c r="B80" s="90" t="s">
        <v>25</v>
      </c>
      <c r="C80" s="91" t="s">
        <v>239</v>
      </c>
      <c r="D80" s="90" t="s">
        <v>238</v>
      </c>
      <c r="E80" s="92">
        <v>1.302083333333333</v>
      </c>
      <c r="F80" s="90" t="s">
        <v>33</v>
      </c>
      <c r="G80" s="93">
        <v>7</v>
      </c>
      <c r="H80" s="90" t="s">
        <v>34</v>
      </c>
    </row>
    <row r="81" spans="1:8" ht="18" x14ac:dyDescent="0.3">
      <c r="A81" s="97">
        <v>45989</v>
      </c>
      <c r="B81" s="98" t="s">
        <v>25</v>
      </c>
      <c r="C81" s="99" t="s">
        <v>244</v>
      </c>
      <c r="D81" s="98" t="s">
        <v>238</v>
      </c>
      <c r="E81" s="100">
        <v>1.1284722222222221</v>
      </c>
      <c r="F81" s="98" t="s">
        <v>27</v>
      </c>
      <c r="G81" s="101">
        <v>20</v>
      </c>
      <c r="H81" s="102">
        <v>389</v>
      </c>
    </row>
    <row r="82" spans="1:8" ht="18" x14ac:dyDescent="0.3">
      <c r="A82" s="89">
        <v>45989</v>
      </c>
      <c r="B82" s="90" t="s">
        <v>25</v>
      </c>
      <c r="C82" s="91" t="s">
        <v>244</v>
      </c>
      <c r="D82" s="90" t="s">
        <v>238</v>
      </c>
      <c r="E82" s="92">
        <v>1.1284722222222221</v>
      </c>
      <c r="F82" s="90" t="s">
        <v>30</v>
      </c>
      <c r="G82" s="93">
        <v>20</v>
      </c>
      <c r="H82" s="94">
        <v>539</v>
      </c>
    </row>
    <row r="83" spans="1:8" ht="18" x14ac:dyDescent="0.3">
      <c r="A83" s="89">
        <v>45989</v>
      </c>
      <c r="B83" s="90" t="s">
        <v>25</v>
      </c>
      <c r="C83" s="91" t="s">
        <v>244</v>
      </c>
      <c r="D83" s="90" t="s">
        <v>238</v>
      </c>
      <c r="E83" s="92">
        <v>1.1284722222222221</v>
      </c>
      <c r="F83" s="90" t="s">
        <v>33</v>
      </c>
      <c r="G83" s="93">
        <v>20</v>
      </c>
      <c r="H83" s="90" t="s">
        <v>34</v>
      </c>
    </row>
    <row r="84" spans="1:8" ht="18" x14ac:dyDescent="0.3">
      <c r="A84" s="97">
        <v>45989</v>
      </c>
      <c r="B84" s="98" t="s">
        <v>25</v>
      </c>
      <c r="C84" s="99" t="s">
        <v>250</v>
      </c>
      <c r="D84" s="98" t="s">
        <v>238</v>
      </c>
      <c r="E84" s="100">
        <v>1.788194444444444</v>
      </c>
      <c r="F84" s="98" t="s">
        <v>27</v>
      </c>
      <c r="G84" s="101">
        <v>15</v>
      </c>
      <c r="H84" s="102">
        <v>389</v>
      </c>
    </row>
    <row r="85" spans="1:8" ht="18" x14ac:dyDescent="0.3">
      <c r="A85" s="89">
        <v>45989</v>
      </c>
      <c r="B85" s="90" t="s">
        <v>25</v>
      </c>
      <c r="C85" s="91" t="s">
        <v>250</v>
      </c>
      <c r="D85" s="90" t="s">
        <v>238</v>
      </c>
      <c r="E85" s="92">
        <v>1.788194444444444</v>
      </c>
      <c r="F85" s="90" t="s">
        <v>30</v>
      </c>
      <c r="G85" s="93">
        <v>15</v>
      </c>
      <c r="H85" s="94">
        <v>539</v>
      </c>
    </row>
    <row r="86" spans="1:8" ht="18" x14ac:dyDescent="0.3">
      <c r="A86" s="89">
        <v>45989</v>
      </c>
      <c r="B86" s="90" t="s">
        <v>25</v>
      </c>
      <c r="C86" s="91" t="s">
        <v>250</v>
      </c>
      <c r="D86" s="90" t="s">
        <v>238</v>
      </c>
      <c r="E86" s="92">
        <v>1.788194444444444</v>
      </c>
      <c r="F86" s="90" t="s">
        <v>33</v>
      </c>
      <c r="G86" s="93">
        <v>15</v>
      </c>
      <c r="H86" s="90" t="s">
        <v>34</v>
      </c>
    </row>
    <row r="87" spans="1:8" ht="18" x14ac:dyDescent="0.3">
      <c r="A87" s="97">
        <v>45989</v>
      </c>
      <c r="B87" s="98" t="s">
        <v>25</v>
      </c>
      <c r="C87" s="99" t="s">
        <v>247</v>
      </c>
      <c r="D87" s="98" t="s">
        <v>238</v>
      </c>
      <c r="E87" s="100">
        <v>1.8888888888888891</v>
      </c>
      <c r="F87" s="98" t="s">
        <v>27</v>
      </c>
      <c r="G87" s="101">
        <v>24</v>
      </c>
      <c r="H87" s="102">
        <v>419</v>
      </c>
    </row>
    <row r="88" spans="1:8" ht="18" x14ac:dyDescent="0.3">
      <c r="A88" s="89">
        <v>45989</v>
      </c>
      <c r="B88" s="90" t="s">
        <v>25</v>
      </c>
      <c r="C88" s="91" t="s">
        <v>247</v>
      </c>
      <c r="D88" s="90" t="s">
        <v>238</v>
      </c>
      <c r="E88" s="92">
        <v>1.8888888888888891</v>
      </c>
      <c r="F88" s="90" t="s">
        <v>30</v>
      </c>
      <c r="G88" s="93">
        <v>24</v>
      </c>
      <c r="H88" s="94">
        <v>569</v>
      </c>
    </row>
    <row r="89" spans="1:8" ht="18" x14ac:dyDescent="0.3">
      <c r="A89" s="89">
        <v>45989</v>
      </c>
      <c r="B89" s="90" t="s">
        <v>25</v>
      </c>
      <c r="C89" s="91" t="s">
        <v>247</v>
      </c>
      <c r="D89" s="90" t="s">
        <v>238</v>
      </c>
      <c r="E89" s="92">
        <v>1.8888888888888891</v>
      </c>
      <c r="F89" s="90" t="s">
        <v>33</v>
      </c>
      <c r="G89" s="93">
        <v>24</v>
      </c>
      <c r="H89" s="90" t="s">
        <v>34</v>
      </c>
    </row>
    <row r="90" spans="1:8" ht="18" x14ac:dyDescent="0.3">
      <c r="A90" s="95">
        <v>45989</v>
      </c>
      <c r="B90" s="84" t="s">
        <v>300</v>
      </c>
      <c r="C90" s="85" t="s">
        <v>301</v>
      </c>
      <c r="D90" s="84" t="s">
        <v>238</v>
      </c>
      <c r="E90" s="86">
        <v>1.666666666666667</v>
      </c>
      <c r="F90" s="84" t="s">
        <v>274</v>
      </c>
      <c r="G90" s="87">
        <v>1</v>
      </c>
      <c r="H90" s="96">
        <v>401</v>
      </c>
    </row>
    <row r="91" spans="1:8" ht="18" x14ac:dyDescent="0.3">
      <c r="A91" s="95">
        <v>45989</v>
      </c>
      <c r="B91" s="84" t="s">
        <v>47</v>
      </c>
      <c r="C91" s="85" t="s">
        <v>255</v>
      </c>
      <c r="D91" s="84" t="s">
        <v>238</v>
      </c>
      <c r="E91" s="86">
        <v>1.256944444444444</v>
      </c>
      <c r="F91" s="84" t="s">
        <v>49</v>
      </c>
      <c r="G91" s="87">
        <v>9</v>
      </c>
      <c r="H91" s="96">
        <v>409</v>
      </c>
    </row>
    <row r="92" spans="1:8" ht="18" x14ac:dyDescent="0.3">
      <c r="A92" s="89">
        <v>45989</v>
      </c>
      <c r="B92" s="90" t="s">
        <v>47</v>
      </c>
      <c r="C92" s="91" t="s">
        <v>255</v>
      </c>
      <c r="D92" s="90" t="s">
        <v>238</v>
      </c>
      <c r="E92" s="92">
        <v>1.256944444444444</v>
      </c>
      <c r="F92" s="90" t="s">
        <v>52</v>
      </c>
      <c r="G92" s="93">
        <v>9</v>
      </c>
      <c r="H92" s="94">
        <v>509</v>
      </c>
    </row>
    <row r="93" spans="1:8" ht="18" x14ac:dyDescent="0.3">
      <c r="A93" s="89">
        <v>45989</v>
      </c>
      <c r="B93" s="90" t="s">
        <v>47</v>
      </c>
      <c r="C93" s="91" t="s">
        <v>255</v>
      </c>
      <c r="D93" s="90" t="s">
        <v>238</v>
      </c>
      <c r="E93" s="92">
        <v>1.256944444444444</v>
      </c>
      <c r="F93" s="90" t="s">
        <v>55</v>
      </c>
      <c r="G93" s="93">
        <v>9</v>
      </c>
      <c r="H93" s="94">
        <v>599</v>
      </c>
    </row>
    <row r="94" spans="1:8" ht="18" x14ac:dyDescent="0.3">
      <c r="A94" s="97">
        <v>45989</v>
      </c>
      <c r="B94" s="98" t="s">
        <v>47</v>
      </c>
      <c r="C94" s="99" t="s">
        <v>268</v>
      </c>
      <c r="D94" s="98" t="s">
        <v>238</v>
      </c>
      <c r="E94" s="100">
        <v>1.645833333333333</v>
      </c>
      <c r="F94" s="98" t="s">
        <v>49</v>
      </c>
      <c r="G94" s="101">
        <v>4</v>
      </c>
      <c r="H94" s="102">
        <v>409</v>
      </c>
    </row>
    <row r="95" spans="1:8" ht="18" x14ac:dyDescent="0.3">
      <c r="A95" s="89">
        <v>45989</v>
      </c>
      <c r="B95" s="90" t="s">
        <v>47</v>
      </c>
      <c r="C95" s="91" t="s">
        <v>268</v>
      </c>
      <c r="D95" s="90" t="s">
        <v>238</v>
      </c>
      <c r="E95" s="92">
        <v>1.645833333333333</v>
      </c>
      <c r="F95" s="90" t="s">
        <v>52</v>
      </c>
      <c r="G95" s="93">
        <v>4</v>
      </c>
      <c r="H95" s="94">
        <v>509</v>
      </c>
    </row>
    <row r="96" spans="1:8" ht="18" x14ac:dyDescent="0.3">
      <c r="A96" s="89">
        <v>45989</v>
      </c>
      <c r="B96" s="90" t="s">
        <v>47</v>
      </c>
      <c r="C96" s="91" t="s">
        <v>268</v>
      </c>
      <c r="D96" s="90" t="s">
        <v>238</v>
      </c>
      <c r="E96" s="92">
        <v>1.645833333333333</v>
      </c>
      <c r="F96" s="90" t="s">
        <v>55</v>
      </c>
      <c r="G96" s="93">
        <v>4</v>
      </c>
      <c r="H96" s="94">
        <v>599</v>
      </c>
    </row>
    <row r="97" spans="1:8" ht="18" x14ac:dyDescent="0.3">
      <c r="A97" s="97">
        <v>45989</v>
      </c>
      <c r="B97" s="98" t="s">
        <v>47</v>
      </c>
      <c r="C97" s="99" t="s">
        <v>265</v>
      </c>
      <c r="D97" s="98" t="s">
        <v>238</v>
      </c>
      <c r="E97" s="100">
        <v>1.5173611111111109</v>
      </c>
      <c r="F97" s="98" t="s">
        <v>49</v>
      </c>
      <c r="G97" s="101">
        <v>9</v>
      </c>
      <c r="H97" s="102">
        <v>409</v>
      </c>
    </row>
    <row r="98" spans="1:8" ht="18" x14ac:dyDescent="0.3">
      <c r="A98" s="89">
        <v>45989</v>
      </c>
      <c r="B98" s="90" t="s">
        <v>47</v>
      </c>
      <c r="C98" s="91" t="s">
        <v>265</v>
      </c>
      <c r="D98" s="90" t="s">
        <v>238</v>
      </c>
      <c r="E98" s="92">
        <v>1.5173611111111109</v>
      </c>
      <c r="F98" s="90" t="s">
        <v>52</v>
      </c>
      <c r="G98" s="93">
        <v>9</v>
      </c>
      <c r="H98" s="94">
        <v>509</v>
      </c>
    </row>
    <row r="99" spans="1:8" ht="18" x14ac:dyDescent="0.3">
      <c r="A99" s="89">
        <v>45989</v>
      </c>
      <c r="B99" s="90" t="s">
        <v>47</v>
      </c>
      <c r="C99" s="91" t="s">
        <v>265</v>
      </c>
      <c r="D99" s="90" t="s">
        <v>238</v>
      </c>
      <c r="E99" s="92">
        <v>1.5173611111111109</v>
      </c>
      <c r="F99" s="90" t="s">
        <v>55</v>
      </c>
      <c r="G99" s="93">
        <v>9</v>
      </c>
      <c r="H99" s="94">
        <v>599</v>
      </c>
    </row>
    <row r="100" spans="1:8" ht="18" x14ac:dyDescent="0.3">
      <c r="A100" s="97">
        <v>45989</v>
      </c>
      <c r="B100" s="98" t="s">
        <v>47</v>
      </c>
      <c r="C100" s="99" t="s">
        <v>266</v>
      </c>
      <c r="D100" s="98" t="s">
        <v>238</v>
      </c>
      <c r="E100" s="100">
        <v>1.854166666666667</v>
      </c>
      <c r="F100" s="98" t="s">
        <v>49</v>
      </c>
      <c r="G100" s="101">
        <v>7</v>
      </c>
      <c r="H100" s="102">
        <v>409</v>
      </c>
    </row>
    <row r="101" spans="1:8" ht="18" x14ac:dyDescent="0.3">
      <c r="A101" s="89">
        <v>45989</v>
      </c>
      <c r="B101" s="90" t="s">
        <v>47</v>
      </c>
      <c r="C101" s="91" t="s">
        <v>266</v>
      </c>
      <c r="D101" s="90" t="s">
        <v>238</v>
      </c>
      <c r="E101" s="92">
        <v>1.854166666666667</v>
      </c>
      <c r="F101" s="90" t="s">
        <v>52</v>
      </c>
      <c r="G101" s="93">
        <v>7</v>
      </c>
      <c r="H101" s="94">
        <v>509</v>
      </c>
    </row>
    <row r="102" spans="1:8" ht="18" x14ac:dyDescent="0.3">
      <c r="A102" s="89">
        <v>45989</v>
      </c>
      <c r="B102" s="90" t="s">
        <v>47</v>
      </c>
      <c r="C102" s="91" t="s">
        <v>266</v>
      </c>
      <c r="D102" s="90" t="s">
        <v>238</v>
      </c>
      <c r="E102" s="92">
        <v>1.854166666666667</v>
      </c>
      <c r="F102" s="90" t="s">
        <v>55</v>
      </c>
      <c r="G102" s="93">
        <v>7</v>
      </c>
      <c r="H102" s="94">
        <v>599</v>
      </c>
    </row>
    <row r="103" spans="1:8" ht="18" x14ac:dyDescent="0.3">
      <c r="A103" s="97">
        <v>45989</v>
      </c>
      <c r="B103" s="98" t="s">
        <v>47</v>
      </c>
      <c r="C103" s="99" t="s">
        <v>258</v>
      </c>
      <c r="D103" s="98" t="s">
        <v>238</v>
      </c>
      <c r="E103" s="100">
        <v>1.395833333333333</v>
      </c>
      <c r="F103" s="98" t="s">
        <v>49</v>
      </c>
      <c r="G103" s="101">
        <v>9</v>
      </c>
      <c r="H103" s="102">
        <v>409</v>
      </c>
    </row>
    <row r="104" spans="1:8" ht="18" x14ac:dyDescent="0.3">
      <c r="A104" s="89">
        <v>45989</v>
      </c>
      <c r="B104" s="90" t="s">
        <v>47</v>
      </c>
      <c r="C104" s="91" t="s">
        <v>258</v>
      </c>
      <c r="D104" s="90" t="s">
        <v>238</v>
      </c>
      <c r="E104" s="92">
        <v>1.395833333333333</v>
      </c>
      <c r="F104" s="90" t="s">
        <v>52</v>
      </c>
      <c r="G104" s="93">
        <v>9</v>
      </c>
      <c r="H104" s="94">
        <v>509</v>
      </c>
    </row>
    <row r="105" spans="1:8" ht="18" x14ac:dyDescent="0.3">
      <c r="A105" s="89">
        <v>45989</v>
      </c>
      <c r="B105" s="90" t="s">
        <v>47</v>
      </c>
      <c r="C105" s="91" t="s">
        <v>258</v>
      </c>
      <c r="D105" s="90" t="s">
        <v>238</v>
      </c>
      <c r="E105" s="92">
        <v>1.395833333333333</v>
      </c>
      <c r="F105" s="90" t="s">
        <v>55</v>
      </c>
      <c r="G105" s="93">
        <v>9</v>
      </c>
      <c r="H105" s="94">
        <v>599</v>
      </c>
    </row>
    <row r="106" spans="1:8" ht="18" x14ac:dyDescent="0.3">
      <c r="A106" s="97">
        <v>45989</v>
      </c>
      <c r="B106" s="98" t="s">
        <v>47</v>
      </c>
      <c r="C106" s="99" t="s">
        <v>271</v>
      </c>
      <c r="D106" s="98" t="s">
        <v>238</v>
      </c>
      <c r="E106" s="100">
        <v>1.7986111111111109</v>
      </c>
      <c r="F106" s="98" t="s">
        <v>49</v>
      </c>
      <c r="G106" s="101">
        <v>3</v>
      </c>
      <c r="H106" s="102">
        <v>409</v>
      </c>
    </row>
    <row r="107" spans="1:8" ht="18" x14ac:dyDescent="0.3">
      <c r="A107" s="89">
        <v>45989</v>
      </c>
      <c r="B107" s="90" t="s">
        <v>47</v>
      </c>
      <c r="C107" s="91" t="s">
        <v>271</v>
      </c>
      <c r="D107" s="90" t="s">
        <v>238</v>
      </c>
      <c r="E107" s="92">
        <v>1.7986111111111109</v>
      </c>
      <c r="F107" s="90" t="s">
        <v>52</v>
      </c>
      <c r="G107" s="93">
        <v>3</v>
      </c>
      <c r="H107" s="94">
        <v>509</v>
      </c>
    </row>
    <row r="108" spans="1:8" ht="18" x14ac:dyDescent="0.3">
      <c r="A108" s="89">
        <v>45989</v>
      </c>
      <c r="B108" s="90" t="s">
        <v>47</v>
      </c>
      <c r="C108" s="91" t="s">
        <v>271</v>
      </c>
      <c r="D108" s="90" t="s">
        <v>238</v>
      </c>
      <c r="E108" s="92">
        <v>1.7986111111111109</v>
      </c>
      <c r="F108" s="90" t="s">
        <v>55</v>
      </c>
      <c r="G108" s="93">
        <v>3</v>
      </c>
      <c r="H108" s="94">
        <v>599</v>
      </c>
    </row>
    <row r="109" spans="1:8" ht="18" x14ac:dyDescent="0.3">
      <c r="A109" s="97">
        <v>45989</v>
      </c>
      <c r="B109" s="98" t="s">
        <v>47</v>
      </c>
      <c r="C109" s="99" t="s">
        <v>261</v>
      </c>
      <c r="D109" s="98" t="s">
        <v>238</v>
      </c>
      <c r="E109" s="100">
        <v>1.9027777777777779</v>
      </c>
      <c r="F109" s="98" t="s">
        <v>49</v>
      </c>
      <c r="G109" s="101">
        <v>9</v>
      </c>
      <c r="H109" s="102">
        <v>449</v>
      </c>
    </row>
    <row r="110" spans="1:8" ht="18" x14ac:dyDescent="0.3">
      <c r="A110" s="89">
        <v>45989</v>
      </c>
      <c r="B110" s="90" t="s">
        <v>47</v>
      </c>
      <c r="C110" s="91" t="s">
        <v>261</v>
      </c>
      <c r="D110" s="90" t="s">
        <v>238</v>
      </c>
      <c r="E110" s="92">
        <v>1.9027777777777779</v>
      </c>
      <c r="F110" s="90" t="s">
        <v>52</v>
      </c>
      <c r="G110" s="93">
        <v>9</v>
      </c>
      <c r="H110" s="94">
        <v>549</v>
      </c>
    </row>
    <row r="111" spans="1:8" ht="18" x14ac:dyDescent="0.3">
      <c r="A111" s="89">
        <v>45989</v>
      </c>
      <c r="B111" s="90" t="s">
        <v>47</v>
      </c>
      <c r="C111" s="91" t="s">
        <v>261</v>
      </c>
      <c r="D111" s="90" t="s">
        <v>238</v>
      </c>
      <c r="E111" s="92">
        <v>1.9027777777777779</v>
      </c>
      <c r="F111" s="90" t="s">
        <v>55</v>
      </c>
      <c r="G111" s="93">
        <v>9</v>
      </c>
      <c r="H111" s="94">
        <v>639</v>
      </c>
    </row>
    <row r="112" spans="1:8" ht="18" x14ac:dyDescent="0.3">
      <c r="A112" s="113">
        <v>45989</v>
      </c>
      <c r="B112" s="114" t="s">
        <v>76</v>
      </c>
      <c r="C112" s="115" t="s">
        <v>277</v>
      </c>
      <c r="D112" s="114" t="s">
        <v>238</v>
      </c>
      <c r="E112" s="116">
        <v>1.114583333333333</v>
      </c>
      <c r="F112" s="114" t="s">
        <v>78</v>
      </c>
      <c r="G112" s="117">
        <v>1</v>
      </c>
      <c r="H112" s="203">
        <v>436</v>
      </c>
    </row>
    <row r="113" spans="1:8" ht="18" x14ac:dyDescent="0.3">
      <c r="A113" s="204">
        <v>45989</v>
      </c>
      <c r="B113" s="205" t="s">
        <v>76</v>
      </c>
      <c r="C113" s="206" t="s">
        <v>354</v>
      </c>
      <c r="D113" s="205" t="s">
        <v>238</v>
      </c>
      <c r="E113" s="207">
        <v>1.458333333333333</v>
      </c>
      <c r="F113" s="205" t="s">
        <v>78</v>
      </c>
      <c r="G113" s="208">
        <v>2</v>
      </c>
      <c r="H113" s="209">
        <v>436</v>
      </c>
    </row>
    <row r="114" spans="1:8" ht="18" x14ac:dyDescent="0.3">
      <c r="A114" s="204">
        <v>45989</v>
      </c>
      <c r="B114" s="205" t="s">
        <v>76</v>
      </c>
      <c r="C114" s="206" t="s">
        <v>294</v>
      </c>
      <c r="D114" s="205" t="s">
        <v>238</v>
      </c>
      <c r="E114" s="207">
        <v>1.614583333333333</v>
      </c>
      <c r="F114" s="205" t="s">
        <v>78</v>
      </c>
      <c r="G114" s="208">
        <v>4</v>
      </c>
      <c r="H114" s="209">
        <v>436</v>
      </c>
    </row>
    <row r="115" spans="1:8" ht="18" x14ac:dyDescent="0.3">
      <c r="A115" s="204">
        <v>45989</v>
      </c>
      <c r="B115" s="205" t="s">
        <v>76</v>
      </c>
      <c r="C115" s="206" t="s">
        <v>288</v>
      </c>
      <c r="D115" s="205" t="s">
        <v>238</v>
      </c>
      <c r="E115" s="207">
        <v>1.7361111111111109</v>
      </c>
      <c r="F115" s="205" t="s">
        <v>78</v>
      </c>
      <c r="G115" s="208">
        <v>3</v>
      </c>
      <c r="H115" s="209">
        <v>471</v>
      </c>
    </row>
    <row r="116" spans="1:8" ht="18" x14ac:dyDescent="0.3">
      <c r="A116" s="204">
        <v>45989</v>
      </c>
      <c r="B116" s="205" t="s">
        <v>76</v>
      </c>
      <c r="C116" s="206" t="s">
        <v>291</v>
      </c>
      <c r="D116" s="205" t="s">
        <v>238</v>
      </c>
      <c r="E116" s="207">
        <v>1.319444444444444</v>
      </c>
      <c r="F116" s="205" t="s">
        <v>78</v>
      </c>
      <c r="G116" s="208">
        <v>9</v>
      </c>
      <c r="H116" s="209">
        <v>471</v>
      </c>
    </row>
    <row r="117" spans="1:8" ht="18" x14ac:dyDescent="0.3">
      <c r="A117" s="204">
        <v>45989</v>
      </c>
      <c r="B117" s="205" t="s">
        <v>76</v>
      </c>
      <c r="C117" s="206" t="s">
        <v>363</v>
      </c>
      <c r="D117" s="205" t="s">
        <v>238</v>
      </c>
      <c r="E117" s="207">
        <v>1.9375</v>
      </c>
      <c r="F117" s="205" t="s">
        <v>105</v>
      </c>
      <c r="G117" s="205"/>
      <c r="H117" s="205" t="s">
        <v>106</v>
      </c>
    </row>
    <row r="118" spans="1:8" ht="18" x14ac:dyDescent="0.3">
      <c r="A118" s="95">
        <v>45989</v>
      </c>
      <c r="B118" s="84" t="s">
        <v>302</v>
      </c>
      <c r="C118" s="85" t="s">
        <v>365</v>
      </c>
      <c r="D118" s="84" t="s">
        <v>238</v>
      </c>
      <c r="E118" s="86">
        <v>1.975694444444444</v>
      </c>
      <c r="F118" s="84" t="s">
        <v>304</v>
      </c>
      <c r="G118" s="87">
        <v>9</v>
      </c>
      <c r="H118" s="96">
        <v>456</v>
      </c>
    </row>
    <row r="119" spans="1:8" ht="18" x14ac:dyDescent="0.3">
      <c r="A119" s="89">
        <v>45989</v>
      </c>
      <c r="B119" s="90" t="s">
        <v>302</v>
      </c>
      <c r="C119" s="91" t="s">
        <v>365</v>
      </c>
      <c r="D119" s="90" t="s">
        <v>238</v>
      </c>
      <c r="E119" s="92">
        <v>1.975694444444444</v>
      </c>
      <c r="F119" s="90" t="s">
        <v>33</v>
      </c>
      <c r="G119" s="93">
        <v>9</v>
      </c>
      <c r="H119" s="94">
        <v>579</v>
      </c>
    </row>
    <row r="120" spans="1:8" ht="18" x14ac:dyDescent="0.3">
      <c r="A120" s="97">
        <v>45989</v>
      </c>
      <c r="B120" s="98" t="s">
        <v>302</v>
      </c>
      <c r="C120" s="99" t="s">
        <v>303</v>
      </c>
      <c r="D120" s="98" t="s">
        <v>238</v>
      </c>
      <c r="E120" s="100">
        <v>1.3923611111111109</v>
      </c>
      <c r="F120" s="98" t="s">
        <v>304</v>
      </c>
      <c r="G120" s="101">
        <v>9</v>
      </c>
      <c r="H120" s="102">
        <v>456</v>
      </c>
    </row>
    <row r="121" spans="1:8" ht="18" x14ac:dyDescent="0.3">
      <c r="A121" s="89">
        <v>45989</v>
      </c>
      <c r="B121" s="90" t="s">
        <v>302</v>
      </c>
      <c r="C121" s="91" t="s">
        <v>303</v>
      </c>
      <c r="D121" s="90" t="s">
        <v>238</v>
      </c>
      <c r="E121" s="92">
        <v>1.3923611111111109</v>
      </c>
      <c r="F121" s="90" t="s">
        <v>33</v>
      </c>
      <c r="G121" s="93">
        <v>9</v>
      </c>
      <c r="H121" s="94">
        <v>579</v>
      </c>
    </row>
    <row r="122" spans="1:8" ht="18" x14ac:dyDescent="0.3">
      <c r="A122" s="95">
        <v>45989</v>
      </c>
      <c r="B122" s="84" t="s">
        <v>35</v>
      </c>
      <c r="C122" s="85" t="s">
        <v>307</v>
      </c>
      <c r="D122" s="84" t="s">
        <v>238</v>
      </c>
      <c r="E122" s="86">
        <v>1.0138888888888891</v>
      </c>
      <c r="F122" s="84" t="s">
        <v>308</v>
      </c>
      <c r="G122" s="87">
        <v>9</v>
      </c>
      <c r="H122" s="96">
        <v>503</v>
      </c>
    </row>
    <row r="123" spans="1:8" ht="18" x14ac:dyDescent="0.3">
      <c r="A123" s="97">
        <v>45989</v>
      </c>
      <c r="B123" s="98" t="s">
        <v>35</v>
      </c>
      <c r="C123" s="99" t="s">
        <v>310</v>
      </c>
      <c r="D123" s="98" t="s">
        <v>238</v>
      </c>
      <c r="E123" s="100">
        <v>1.4722222222222221</v>
      </c>
      <c r="F123" s="98" t="s">
        <v>308</v>
      </c>
      <c r="G123" s="101">
        <v>9</v>
      </c>
      <c r="H123" s="102">
        <v>503</v>
      </c>
    </row>
    <row r="124" spans="1:8" ht="18" x14ac:dyDescent="0.3">
      <c r="A124" s="97">
        <v>45989</v>
      </c>
      <c r="B124" s="98" t="s">
        <v>35</v>
      </c>
      <c r="C124" s="99" t="s">
        <v>311</v>
      </c>
      <c r="D124" s="98" t="s">
        <v>238</v>
      </c>
      <c r="E124" s="100">
        <v>1.145833333333333</v>
      </c>
      <c r="F124" s="98" t="s">
        <v>308</v>
      </c>
      <c r="G124" s="101">
        <v>9</v>
      </c>
      <c r="H124" s="102">
        <v>503</v>
      </c>
    </row>
    <row r="125" spans="1:8" ht="18" x14ac:dyDescent="0.3">
      <c r="A125" s="97">
        <v>45989</v>
      </c>
      <c r="B125" s="98" t="s">
        <v>35</v>
      </c>
      <c r="C125" s="99" t="s">
        <v>312</v>
      </c>
      <c r="D125" s="98" t="s">
        <v>238</v>
      </c>
      <c r="E125" s="100">
        <v>1.2777777777777779</v>
      </c>
      <c r="F125" s="98" t="s">
        <v>308</v>
      </c>
      <c r="G125" s="101">
        <v>9</v>
      </c>
      <c r="H125" s="102">
        <v>503</v>
      </c>
    </row>
    <row r="126" spans="1:8" ht="18" x14ac:dyDescent="0.3">
      <c r="A126" s="97">
        <v>45989</v>
      </c>
      <c r="B126" s="98" t="s">
        <v>35</v>
      </c>
      <c r="C126" s="99" t="s">
        <v>315</v>
      </c>
      <c r="D126" s="98" t="s">
        <v>238</v>
      </c>
      <c r="E126" s="100">
        <v>1.229166666666667</v>
      </c>
      <c r="F126" s="98" t="s">
        <v>308</v>
      </c>
      <c r="G126" s="101">
        <v>9</v>
      </c>
      <c r="H126" s="102">
        <v>503</v>
      </c>
    </row>
    <row r="127" spans="1:8" ht="18" x14ac:dyDescent="0.3">
      <c r="A127" s="97">
        <v>45989</v>
      </c>
      <c r="B127" s="98" t="s">
        <v>35</v>
      </c>
      <c r="C127" s="99" t="s">
        <v>314</v>
      </c>
      <c r="D127" s="98" t="s">
        <v>238</v>
      </c>
      <c r="E127" s="100">
        <v>1.958333333333333</v>
      </c>
      <c r="F127" s="98" t="s">
        <v>37</v>
      </c>
      <c r="G127" s="101">
        <v>1</v>
      </c>
      <c r="H127" s="102">
        <v>615</v>
      </c>
    </row>
    <row r="128" spans="1:8" ht="18" x14ac:dyDescent="0.3">
      <c r="A128" s="97">
        <v>45989</v>
      </c>
      <c r="B128" s="98" t="s">
        <v>35</v>
      </c>
      <c r="C128" s="99" t="s">
        <v>316</v>
      </c>
      <c r="D128" s="98" t="s">
        <v>238</v>
      </c>
      <c r="E128" s="100">
        <v>1.770833333333333</v>
      </c>
      <c r="F128" s="98" t="s">
        <v>37</v>
      </c>
      <c r="G128" s="101">
        <v>9</v>
      </c>
      <c r="H128" s="102">
        <v>673</v>
      </c>
    </row>
    <row r="129" spans="1:8" ht="18" x14ac:dyDescent="0.3">
      <c r="A129" s="95">
        <v>45989</v>
      </c>
      <c r="B129" s="84" t="s">
        <v>63</v>
      </c>
      <c r="C129" s="85" t="s">
        <v>322</v>
      </c>
      <c r="D129" s="84" t="s">
        <v>238</v>
      </c>
      <c r="E129" s="86">
        <v>1.3784722222222221</v>
      </c>
      <c r="F129" s="84" t="s">
        <v>65</v>
      </c>
      <c r="G129" s="87">
        <v>9</v>
      </c>
      <c r="H129" s="96">
        <v>935</v>
      </c>
    </row>
    <row r="130" spans="1:8" ht="18" x14ac:dyDescent="0.3">
      <c r="A130" s="89">
        <v>45989</v>
      </c>
      <c r="B130" s="90" t="s">
        <v>63</v>
      </c>
      <c r="C130" s="91" t="s">
        <v>322</v>
      </c>
      <c r="D130" s="90" t="s">
        <v>238</v>
      </c>
      <c r="E130" s="92">
        <v>1.3784722222222221</v>
      </c>
      <c r="F130" s="90" t="s">
        <v>67</v>
      </c>
      <c r="G130" s="93">
        <v>9</v>
      </c>
      <c r="H130" s="94">
        <v>980</v>
      </c>
    </row>
    <row r="131" spans="1:8" ht="18" x14ac:dyDescent="0.3">
      <c r="A131" s="97">
        <v>45989</v>
      </c>
      <c r="B131" s="98" t="s">
        <v>63</v>
      </c>
      <c r="C131" s="99" t="s">
        <v>330</v>
      </c>
      <c r="D131" s="98" t="s">
        <v>238</v>
      </c>
      <c r="E131" s="100">
        <v>1.71875</v>
      </c>
      <c r="F131" s="98" t="s">
        <v>65</v>
      </c>
      <c r="G131" s="101">
        <v>9</v>
      </c>
      <c r="H131" s="102">
        <v>935</v>
      </c>
    </row>
    <row r="132" spans="1:8" ht="18" x14ac:dyDescent="0.3">
      <c r="A132" s="89">
        <v>45989</v>
      </c>
      <c r="B132" s="90" t="s">
        <v>63</v>
      </c>
      <c r="C132" s="91" t="s">
        <v>330</v>
      </c>
      <c r="D132" s="90" t="s">
        <v>238</v>
      </c>
      <c r="E132" s="92">
        <v>1.71875</v>
      </c>
      <c r="F132" s="90" t="s">
        <v>67</v>
      </c>
      <c r="G132" s="93">
        <v>9</v>
      </c>
      <c r="H132" s="94">
        <v>980</v>
      </c>
    </row>
    <row r="133" spans="1:8" ht="18" x14ac:dyDescent="0.3">
      <c r="A133" s="97">
        <v>45989</v>
      </c>
      <c r="B133" s="98" t="s">
        <v>63</v>
      </c>
      <c r="C133" s="99" t="s">
        <v>341</v>
      </c>
      <c r="D133" s="98" t="s">
        <v>238</v>
      </c>
      <c r="E133" s="100">
        <v>1.6111111111111109</v>
      </c>
      <c r="F133" s="98" t="s">
        <v>65</v>
      </c>
      <c r="G133" s="101">
        <v>9</v>
      </c>
      <c r="H133" s="102">
        <v>935</v>
      </c>
    </row>
    <row r="134" spans="1:8" ht="18" x14ac:dyDescent="0.3">
      <c r="A134" s="89">
        <v>45989</v>
      </c>
      <c r="B134" s="90" t="s">
        <v>63</v>
      </c>
      <c r="C134" s="91" t="s">
        <v>341</v>
      </c>
      <c r="D134" s="90" t="s">
        <v>238</v>
      </c>
      <c r="E134" s="92">
        <v>1.6111111111111109</v>
      </c>
      <c r="F134" s="90" t="s">
        <v>67</v>
      </c>
      <c r="G134" s="93">
        <v>9</v>
      </c>
      <c r="H134" s="94">
        <v>980</v>
      </c>
    </row>
    <row r="135" spans="1:8" ht="18" x14ac:dyDescent="0.3">
      <c r="A135" s="97">
        <v>45989</v>
      </c>
      <c r="B135" s="98" t="s">
        <v>63</v>
      </c>
      <c r="C135" s="99" t="s">
        <v>318</v>
      </c>
      <c r="D135" s="98" t="s">
        <v>238</v>
      </c>
      <c r="E135" s="100">
        <v>1.239583333333333</v>
      </c>
      <c r="F135" s="98" t="s">
        <v>65</v>
      </c>
      <c r="G135" s="101">
        <v>9</v>
      </c>
      <c r="H135" s="102">
        <v>935</v>
      </c>
    </row>
    <row r="136" spans="1:8" ht="18" x14ac:dyDescent="0.3">
      <c r="A136" s="89">
        <v>45989</v>
      </c>
      <c r="B136" s="90" t="s">
        <v>63</v>
      </c>
      <c r="C136" s="91" t="s">
        <v>318</v>
      </c>
      <c r="D136" s="90" t="s">
        <v>238</v>
      </c>
      <c r="E136" s="92">
        <v>1.239583333333333</v>
      </c>
      <c r="F136" s="90" t="s">
        <v>67</v>
      </c>
      <c r="G136" s="93">
        <v>9</v>
      </c>
      <c r="H136" s="94">
        <v>980</v>
      </c>
    </row>
    <row r="137" spans="1:8" ht="18" x14ac:dyDescent="0.3">
      <c r="A137" s="97">
        <v>45989</v>
      </c>
      <c r="B137" s="98" t="s">
        <v>63</v>
      </c>
      <c r="C137" s="99" t="s">
        <v>321</v>
      </c>
      <c r="D137" s="98" t="s">
        <v>238</v>
      </c>
      <c r="E137" s="100">
        <v>1.1423611111111109</v>
      </c>
      <c r="F137" s="98" t="s">
        <v>65</v>
      </c>
      <c r="G137" s="101">
        <v>9</v>
      </c>
      <c r="H137" s="102">
        <v>935</v>
      </c>
    </row>
    <row r="138" spans="1:8" ht="18" x14ac:dyDescent="0.3">
      <c r="A138" s="89">
        <v>45989</v>
      </c>
      <c r="B138" s="90" t="s">
        <v>63</v>
      </c>
      <c r="C138" s="91" t="s">
        <v>321</v>
      </c>
      <c r="D138" s="90" t="s">
        <v>238</v>
      </c>
      <c r="E138" s="92">
        <v>1.1423611111111109</v>
      </c>
      <c r="F138" s="90" t="s">
        <v>67</v>
      </c>
      <c r="G138" s="93">
        <v>9</v>
      </c>
      <c r="H138" s="94">
        <v>980</v>
      </c>
    </row>
    <row r="139" spans="1:8" ht="18" x14ac:dyDescent="0.3">
      <c r="A139" s="97">
        <v>45989</v>
      </c>
      <c r="B139" s="98" t="s">
        <v>63</v>
      </c>
      <c r="C139" s="99" t="s">
        <v>335</v>
      </c>
      <c r="D139" s="98" t="s">
        <v>238</v>
      </c>
      <c r="E139" s="100">
        <v>1.930555555555556</v>
      </c>
      <c r="F139" s="98" t="s">
        <v>65</v>
      </c>
      <c r="G139" s="101">
        <v>9</v>
      </c>
      <c r="H139" s="102">
        <v>935</v>
      </c>
    </row>
    <row r="140" spans="1:8" ht="18" x14ac:dyDescent="0.3">
      <c r="A140" s="89">
        <v>45989</v>
      </c>
      <c r="B140" s="90" t="s">
        <v>63</v>
      </c>
      <c r="C140" s="91" t="s">
        <v>335</v>
      </c>
      <c r="D140" s="90" t="s">
        <v>238</v>
      </c>
      <c r="E140" s="92">
        <v>1.930555555555556</v>
      </c>
      <c r="F140" s="90" t="s">
        <v>67</v>
      </c>
      <c r="G140" s="93">
        <v>9</v>
      </c>
      <c r="H140" s="94">
        <v>980</v>
      </c>
    </row>
    <row r="141" spans="1:8" ht="18" x14ac:dyDescent="0.3">
      <c r="A141" s="97">
        <v>45989</v>
      </c>
      <c r="B141" s="98" t="s">
        <v>63</v>
      </c>
      <c r="C141" s="99" t="s">
        <v>338</v>
      </c>
      <c r="D141" s="98" t="s">
        <v>238</v>
      </c>
      <c r="E141" s="100">
        <v>1.8298611111111109</v>
      </c>
      <c r="F141" s="98" t="s">
        <v>65</v>
      </c>
      <c r="G141" s="101">
        <v>9</v>
      </c>
      <c r="H141" s="102">
        <v>935</v>
      </c>
    </row>
    <row r="142" spans="1:8" ht="18" x14ac:dyDescent="0.3">
      <c r="A142" s="89">
        <v>45989</v>
      </c>
      <c r="B142" s="90" t="s">
        <v>63</v>
      </c>
      <c r="C142" s="91" t="s">
        <v>338</v>
      </c>
      <c r="D142" s="90" t="s">
        <v>238</v>
      </c>
      <c r="E142" s="92">
        <v>1.8298611111111109</v>
      </c>
      <c r="F142" s="90" t="s">
        <v>67</v>
      </c>
      <c r="G142" s="93">
        <v>9</v>
      </c>
      <c r="H142" s="94">
        <v>980</v>
      </c>
    </row>
    <row r="143" spans="1:8" ht="18" x14ac:dyDescent="0.3">
      <c r="A143" s="97">
        <v>45989</v>
      </c>
      <c r="B143" s="98" t="s">
        <v>63</v>
      </c>
      <c r="C143" s="99" t="s">
        <v>328</v>
      </c>
      <c r="D143" s="98" t="s">
        <v>238</v>
      </c>
      <c r="E143" s="100">
        <v>1.302083333333333</v>
      </c>
      <c r="F143" s="98" t="s">
        <v>67</v>
      </c>
      <c r="G143" s="101">
        <v>4</v>
      </c>
      <c r="H143" s="98" t="s">
        <v>327</v>
      </c>
    </row>
    <row r="144" spans="1:8" ht="18" x14ac:dyDescent="0.3">
      <c r="A144" s="97">
        <v>45989</v>
      </c>
      <c r="B144" s="98" t="s">
        <v>63</v>
      </c>
      <c r="C144" s="99" t="s">
        <v>329</v>
      </c>
      <c r="D144" s="98" t="s">
        <v>238</v>
      </c>
      <c r="E144" s="100">
        <v>1.1284722222222221</v>
      </c>
      <c r="F144" s="98" t="s">
        <v>67</v>
      </c>
      <c r="G144" s="101">
        <v>4</v>
      </c>
      <c r="H144" s="98" t="s">
        <v>334</v>
      </c>
    </row>
    <row r="145" spans="1:8" ht="18" x14ac:dyDescent="0.3">
      <c r="A145" s="97">
        <v>45989</v>
      </c>
      <c r="B145" s="98" t="s">
        <v>63</v>
      </c>
      <c r="C145" s="99" t="s">
        <v>333</v>
      </c>
      <c r="D145" s="98" t="s">
        <v>238</v>
      </c>
      <c r="E145" s="100">
        <v>1.788194444444444</v>
      </c>
      <c r="F145" s="98" t="s">
        <v>67</v>
      </c>
      <c r="G145" s="101">
        <v>4</v>
      </c>
      <c r="H145" s="98" t="s">
        <v>334</v>
      </c>
    </row>
    <row r="146" spans="1:8" ht="18" x14ac:dyDescent="0.3">
      <c r="A146" s="97">
        <v>45989</v>
      </c>
      <c r="B146" s="98" t="s">
        <v>63</v>
      </c>
      <c r="C146" s="99" t="s">
        <v>325</v>
      </c>
      <c r="D146" s="98" t="s">
        <v>238</v>
      </c>
      <c r="E146" s="100">
        <v>1.006944444444444</v>
      </c>
      <c r="F146" s="98" t="s">
        <v>65</v>
      </c>
      <c r="G146" s="101">
        <v>9</v>
      </c>
      <c r="H146" s="98" t="s">
        <v>336</v>
      </c>
    </row>
    <row r="147" spans="1:8" ht="18" x14ac:dyDescent="0.3">
      <c r="A147" s="89">
        <v>45989</v>
      </c>
      <c r="B147" s="90" t="s">
        <v>63</v>
      </c>
      <c r="C147" s="91" t="s">
        <v>325</v>
      </c>
      <c r="D147" s="90" t="s">
        <v>238</v>
      </c>
      <c r="E147" s="92">
        <v>1.006944444444444</v>
      </c>
      <c r="F147" s="90" t="s">
        <v>67</v>
      </c>
      <c r="G147" s="93">
        <v>9</v>
      </c>
      <c r="H147" s="90" t="s">
        <v>337</v>
      </c>
    </row>
    <row r="148" spans="1:8" ht="18" x14ac:dyDescent="0.3">
      <c r="A148" s="108">
        <v>45989</v>
      </c>
      <c r="B148" s="109" t="s">
        <v>63</v>
      </c>
      <c r="C148" s="110" t="s">
        <v>326</v>
      </c>
      <c r="D148" s="109" t="s">
        <v>238</v>
      </c>
      <c r="E148" s="111">
        <v>1.8888888888888891</v>
      </c>
      <c r="F148" s="109" t="s">
        <v>67</v>
      </c>
      <c r="G148" s="112">
        <v>4</v>
      </c>
      <c r="H148" s="109" t="s">
        <v>368</v>
      </c>
    </row>
    <row r="149" spans="1:8" ht="18" x14ac:dyDescent="0.3">
      <c r="A149" s="83">
        <v>45990</v>
      </c>
      <c r="B149" s="84" t="s">
        <v>300</v>
      </c>
      <c r="C149" s="85" t="s">
        <v>369</v>
      </c>
      <c r="D149" s="84" t="s">
        <v>238</v>
      </c>
      <c r="E149" s="86">
        <v>1.21875</v>
      </c>
      <c r="F149" s="84" t="s">
        <v>274</v>
      </c>
      <c r="G149" s="87">
        <v>9</v>
      </c>
      <c r="H149" s="88">
        <v>310</v>
      </c>
    </row>
    <row r="150" spans="1:8" ht="18" x14ac:dyDescent="0.3">
      <c r="A150" s="97">
        <v>45990</v>
      </c>
      <c r="B150" s="98" t="s">
        <v>300</v>
      </c>
      <c r="C150" s="99" t="s">
        <v>301</v>
      </c>
      <c r="D150" s="98" t="s">
        <v>238</v>
      </c>
      <c r="E150" s="100">
        <v>1.666666666666667</v>
      </c>
      <c r="F150" s="98" t="s">
        <v>274</v>
      </c>
      <c r="G150" s="101">
        <v>5</v>
      </c>
      <c r="H150" s="102">
        <v>401</v>
      </c>
    </row>
    <row r="151" spans="1:8" ht="18" x14ac:dyDescent="0.3">
      <c r="A151" s="95">
        <v>45990</v>
      </c>
      <c r="B151" s="84" t="s">
        <v>25</v>
      </c>
      <c r="C151" s="85" t="s">
        <v>239</v>
      </c>
      <c r="D151" s="84" t="s">
        <v>238</v>
      </c>
      <c r="E151" s="86">
        <v>1.302083333333333</v>
      </c>
      <c r="F151" s="84" t="s">
        <v>27</v>
      </c>
      <c r="G151" s="87">
        <v>4</v>
      </c>
      <c r="H151" s="96">
        <v>389</v>
      </c>
    </row>
    <row r="152" spans="1:8" ht="18" x14ac:dyDescent="0.3">
      <c r="A152" s="89">
        <v>45990</v>
      </c>
      <c r="B152" s="90" t="s">
        <v>25</v>
      </c>
      <c r="C152" s="91" t="s">
        <v>239</v>
      </c>
      <c r="D152" s="90" t="s">
        <v>238</v>
      </c>
      <c r="E152" s="92">
        <v>1.302083333333333</v>
      </c>
      <c r="F152" s="90" t="s">
        <v>30</v>
      </c>
      <c r="G152" s="93">
        <v>4</v>
      </c>
      <c r="H152" s="94">
        <v>539</v>
      </c>
    </row>
    <row r="153" spans="1:8" ht="18" x14ac:dyDescent="0.3">
      <c r="A153" s="89">
        <v>45990</v>
      </c>
      <c r="B153" s="90" t="s">
        <v>25</v>
      </c>
      <c r="C153" s="91" t="s">
        <v>239</v>
      </c>
      <c r="D153" s="90" t="s">
        <v>238</v>
      </c>
      <c r="E153" s="92">
        <v>1.302083333333333</v>
      </c>
      <c r="F153" s="90" t="s">
        <v>33</v>
      </c>
      <c r="G153" s="93">
        <v>4</v>
      </c>
      <c r="H153" s="90" t="s">
        <v>34</v>
      </c>
    </row>
    <row r="154" spans="1:8" ht="18" x14ac:dyDescent="0.3">
      <c r="A154" s="97">
        <v>45990</v>
      </c>
      <c r="B154" s="98" t="s">
        <v>25</v>
      </c>
      <c r="C154" s="99" t="s">
        <v>247</v>
      </c>
      <c r="D154" s="98" t="s">
        <v>238</v>
      </c>
      <c r="E154" s="100">
        <v>1.8888888888888891</v>
      </c>
      <c r="F154" s="98" t="s">
        <v>27</v>
      </c>
      <c r="G154" s="101">
        <v>1</v>
      </c>
      <c r="H154" s="102">
        <v>389</v>
      </c>
    </row>
    <row r="155" spans="1:8" ht="18" x14ac:dyDescent="0.3">
      <c r="A155" s="89">
        <v>45990</v>
      </c>
      <c r="B155" s="90" t="s">
        <v>25</v>
      </c>
      <c r="C155" s="91" t="s">
        <v>247</v>
      </c>
      <c r="D155" s="90" t="s">
        <v>238</v>
      </c>
      <c r="E155" s="92">
        <v>1.8888888888888891</v>
      </c>
      <c r="F155" s="90" t="s">
        <v>30</v>
      </c>
      <c r="G155" s="93">
        <v>1</v>
      </c>
      <c r="H155" s="94">
        <v>539</v>
      </c>
    </row>
    <row r="156" spans="1:8" ht="18" x14ac:dyDescent="0.3">
      <c r="A156" s="89">
        <v>45990</v>
      </c>
      <c r="B156" s="90" t="s">
        <v>25</v>
      </c>
      <c r="C156" s="91" t="s">
        <v>247</v>
      </c>
      <c r="D156" s="90" t="s">
        <v>238</v>
      </c>
      <c r="E156" s="92">
        <v>1.8888888888888891</v>
      </c>
      <c r="F156" s="90" t="s">
        <v>33</v>
      </c>
      <c r="G156" s="93">
        <v>1</v>
      </c>
      <c r="H156" s="90" t="s">
        <v>34</v>
      </c>
    </row>
    <row r="157" spans="1:8" ht="18" x14ac:dyDescent="0.3">
      <c r="A157" s="97">
        <v>45990</v>
      </c>
      <c r="B157" s="98" t="s">
        <v>25</v>
      </c>
      <c r="C157" s="99" t="s">
        <v>244</v>
      </c>
      <c r="D157" s="98" t="s">
        <v>238</v>
      </c>
      <c r="E157" s="100">
        <v>1.1284722222222221</v>
      </c>
      <c r="F157" s="98" t="s">
        <v>27</v>
      </c>
      <c r="G157" s="101">
        <v>6</v>
      </c>
      <c r="H157" s="102">
        <v>419</v>
      </c>
    </row>
    <row r="158" spans="1:8" ht="18" x14ac:dyDescent="0.3">
      <c r="A158" s="89">
        <v>45990</v>
      </c>
      <c r="B158" s="90" t="s">
        <v>25</v>
      </c>
      <c r="C158" s="91" t="s">
        <v>244</v>
      </c>
      <c r="D158" s="90" t="s">
        <v>238</v>
      </c>
      <c r="E158" s="92">
        <v>1.1284722222222221</v>
      </c>
      <c r="F158" s="90" t="s">
        <v>30</v>
      </c>
      <c r="G158" s="93">
        <v>6</v>
      </c>
      <c r="H158" s="94">
        <v>569</v>
      </c>
    </row>
    <row r="159" spans="1:8" ht="18" x14ac:dyDescent="0.3">
      <c r="A159" s="89">
        <v>45990</v>
      </c>
      <c r="B159" s="90" t="s">
        <v>25</v>
      </c>
      <c r="C159" s="91" t="s">
        <v>244</v>
      </c>
      <c r="D159" s="90" t="s">
        <v>238</v>
      </c>
      <c r="E159" s="92">
        <v>1.1284722222222221</v>
      </c>
      <c r="F159" s="90" t="s">
        <v>33</v>
      </c>
      <c r="G159" s="93">
        <v>6</v>
      </c>
      <c r="H159" s="90" t="s">
        <v>34</v>
      </c>
    </row>
    <row r="160" spans="1:8" ht="18" x14ac:dyDescent="0.3">
      <c r="A160" s="97">
        <v>45990</v>
      </c>
      <c r="B160" s="98" t="s">
        <v>25</v>
      </c>
      <c r="C160" s="99" t="s">
        <v>250</v>
      </c>
      <c r="D160" s="98" t="s">
        <v>238</v>
      </c>
      <c r="E160" s="100">
        <v>1.788194444444444</v>
      </c>
      <c r="F160" s="98" t="s">
        <v>27</v>
      </c>
      <c r="G160" s="101">
        <v>8</v>
      </c>
      <c r="H160" s="102">
        <v>419</v>
      </c>
    </row>
    <row r="161" spans="1:8" ht="18" x14ac:dyDescent="0.3">
      <c r="A161" s="89">
        <v>45990</v>
      </c>
      <c r="B161" s="90" t="s">
        <v>25</v>
      </c>
      <c r="C161" s="91" t="s">
        <v>250</v>
      </c>
      <c r="D161" s="90" t="s">
        <v>238</v>
      </c>
      <c r="E161" s="92">
        <v>1.788194444444444</v>
      </c>
      <c r="F161" s="90" t="s">
        <v>30</v>
      </c>
      <c r="G161" s="93">
        <v>8</v>
      </c>
      <c r="H161" s="94">
        <v>569</v>
      </c>
    </row>
    <row r="162" spans="1:8" ht="18" x14ac:dyDescent="0.3">
      <c r="A162" s="89">
        <v>45990</v>
      </c>
      <c r="B162" s="90" t="s">
        <v>25</v>
      </c>
      <c r="C162" s="91" t="s">
        <v>250</v>
      </c>
      <c r="D162" s="90" t="s">
        <v>238</v>
      </c>
      <c r="E162" s="92">
        <v>1.788194444444444</v>
      </c>
      <c r="F162" s="90" t="s">
        <v>33</v>
      </c>
      <c r="G162" s="93">
        <v>8</v>
      </c>
      <c r="H162" s="90" t="s">
        <v>34</v>
      </c>
    </row>
    <row r="163" spans="1:8" ht="18" x14ac:dyDescent="0.3">
      <c r="A163" s="95">
        <v>45990</v>
      </c>
      <c r="B163" s="84" t="s">
        <v>272</v>
      </c>
      <c r="C163" s="85" t="s">
        <v>273</v>
      </c>
      <c r="D163" s="84" t="s">
        <v>238</v>
      </c>
      <c r="E163" s="86">
        <v>1.270833333333333</v>
      </c>
      <c r="F163" s="84" t="s">
        <v>274</v>
      </c>
      <c r="G163" s="87">
        <v>8</v>
      </c>
      <c r="H163" s="96">
        <v>400</v>
      </c>
    </row>
    <row r="164" spans="1:8" ht="18" x14ac:dyDescent="0.3">
      <c r="A164" s="95">
        <v>45990</v>
      </c>
      <c r="B164" s="84" t="s">
        <v>47</v>
      </c>
      <c r="C164" s="85" t="s">
        <v>261</v>
      </c>
      <c r="D164" s="84" t="s">
        <v>238</v>
      </c>
      <c r="E164" s="86">
        <v>1.9027777777777779</v>
      </c>
      <c r="F164" s="84" t="s">
        <v>49</v>
      </c>
      <c r="G164" s="87">
        <v>9</v>
      </c>
      <c r="H164" s="96">
        <v>409</v>
      </c>
    </row>
    <row r="165" spans="1:8" ht="18" x14ac:dyDescent="0.3">
      <c r="A165" s="89">
        <v>45990</v>
      </c>
      <c r="B165" s="90" t="s">
        <v>47</v>
      </c>
      <c r="C165" s="91" t="s">
        <v>261</v>
      </c>
      <c r="D165" s="90" t="s">
        <v>238</v>
      </c>
      <c r="E165" s="92">
        <v>1.9027777777777779</v>
      </c>
      <c r="F165" s="90" t="s">
        <v>52</v>
      </c>
      <c r="G165" s="93">
        <v>9</v>
      </c>
      <c r="H165" s="94">
        <v>509</v>
      </c>
    </row>
    <row r="166" spans="1:8" ht="18" x14ac:dyDescent="0.3">
      <c r="A166" s="89">
        <v>45990</v>
      </c>
      <c r="B166" s="90" t="s">
        <v>47</v>
      </c>
      <c r="C166" s="91" t="s">
        <v>261</v>
      </c>
      <c r="D166" s="90" t="s">
        <v>238</v>
      </c>
      <c r="E166" s="92">
        <v>1.9027777777777779</v>
      </c>
      <c r="F166" s="90" t="s">
        <v>55</v>
      </c>
      <c r="G166" s="93">
        <v>9</v>
      </c>
      <c r="H166" s="94">
        <v>599</v>
      </c>
    </row>
    <row r="167" spans="1:8" ht="18" x14ac:dyDescent="0.3">
      <c r="A167" s="97">
        <v>45990</v>
      </c>
      <c r="B167" s="98" t="s">
        <v>47</v>
      </c>
      <c r="C167" s="99" t="s">
        <v>265</v>
      </c>
      <c r="D167" s="98" t="s">
        <v>238</v>
      </c>
      <c r="E167" s="100">
        <v>1.5173611111111109</v>
      </c>
      <c r="F167" s="98" t="s">
        <v>49</v>
      </c>
      <c r="G167" s="101">
        <v>6</v>
      </c>
      <c r="H167" s="102">
        <v>409</v>
      </c>
    </row>
    <row r="168" spans="1:8" ht="18" x14ac:dyDescent="0.3">
      <c r="A168" s="89">
        <v>45990</v>
      </c>
      <c r="B168" s="90" t="s">
        <v>47</v>
      </c>
      <c r="C168" s="91" t="s">
        <v>265</v>
      </c>
      <c r="D168" s="90" t="s">
        <v>238</v>
      </c>
      <c r="E168" s="92">
        <v>1.5173611111111109</v>
      </c>
      <c r="F168" s="90" t="s">
        <v>52</v>
      </c>
      <c r="G168" s="93">
        <v>6</v>
      </c>
      <c r="H168" s="94">
        <v>509</v>
      </c>
    </row>
    <row r="169" spans="1:8" ht="18" x14ac:dyDescent="0.3">
      <c r="A169" s="89">
        <v>45990</v>
      </c>
      <c r="B169" s="90" t="s">
        <v>47</v>
      </c>
      <c r="C169" s="91" t="s">
        <v>265</v>
      </c>
      <c r="D169" s="90" t="s">
        <v>238</v>
      </c>
      <c r="E169" s="92">
        <v>1.5173611111111109</v>
      </c>
      <c r="F169" s="90" t="s">
        <v>55</v>
      </c>
      <c r="G169" s="93">
        <v>6</v>
      </c>
      <c r="H169" s="94">
        <v>599</v>
      </c>
    </row>
    <row r="170" spans="1:8" ht="18" x14ac:dyDescent="0.3">
      <c r="A170" s="97">
        <v>45990</v>
      </c>
      <c r="B170" s="98" t="s">
        <v>47</v>
      </c>
      <c r="C170" s="99" t="s">
        <v>266</v>
      </c>
      <c r="D170" s="98" t="s">
        <v>238</v>
      </c>
      <c r="E170" s="100">
        <v>1.854166666666667</v>
      </c>
      <c r="F170" s="98" t="s">
        <v>49</v>
      </c>
      <c r="G170" s="101">
        <v>9</v>
      </c>
      <c r="H170" s="102">
        <v>409</v>
      </c>
    </row>
    <row r="171" spans="1:8" ht="18" x14ac:dyDescent="0.3">
      <c r="A171" s="89">
        <v>45990</v>
      </c>
      <c r="B171" s="90" t="s">
        <v>47</v>
      </c>
      <c r="C171" s="91" t="s">
        <v>266</v>
      </c>
      <c r="D171" s="90" t="s">
        <v>238</v>
      </c>
      <c r="E171" s="92">
        <v>1.854166666666667</v>
      </c>
      <c r="F171" s="90" t="s">
        <v>52</v>
      </c>
      <c r="G171" s="93">
        <v>9</v>
      </c>
      <c r="H171" s="94">
        <v>509</v>
      </c>
    </row>
    <row r="172" spans="1:8" ht="18" x14ac:dyDescent="0.3">
      <c r="A172" s="89">
        <v>45990</v>
      </c>
      <c r="B172" s="90" t="s">
        <v>47</v>
      </c>
      <c r="C172" s="91" t="s">
        <v>266</v>
      </c>
      <c r="D172" s="90" t="s">
        <v>238</v>
      </c>
      <c r="E172" s="92">
        <v>1.854166666666667</v>
      </c>
      <c r="F172" s="90" t="s">
        <v>55</v>
      </c>
      <c r="G172" s="93">
        <v>9</v>
      </c>
      <c r="H172" s="94">
        <v>599</v>
      </c>
    </row>
    <row r="173" spans="1:8" ht="18" x14ac:dyDescent="0.3">
      <c r="A173" s="97">
        <v>45990</v>
      </c>
      <c r="B173" s="98" t="s">
        <v>47</v>
      </c>
      <c r="C173" s="99" t="s">
        <v>258</v>
      </c>
      <c r="D173" s="98" t="s">
        <v>238</v>
      </c>
      <c r="E173" s="100">
        <v>1.395833333333333</v>
      </c>
      <c r="F173" s="98" t="s">
        <v>49</v>
      </c>
      <c r="G173" s="101">
        <v>6</v>
      </c>
      <c r="H173" s="102">
        <v>409</v>
      </c>
    </row>
    <row r="174" spans="1:8" ht="18" x14ac:dyDescent="0.3">
      <c r="A174" s="89">
        <v>45990</v>
      </c>
      <c r="B174" s="90" t="s">
        <v>47</v>
      </c>
      <c r="C174" s="91" t="s">
        <v>258</v>
      </c>
      <c r="D174" s="90" t="s">
        <v>238</v>
      </c>
      <c r="E174" s="92">
        <v>1.395833333333333</v>
      </c>
      <c r="F174" s="90" t="s">
        <v>52</v>
      </c>
      <c r="G174" s="93">
        <v>6</v>
      </c>
      <c r="H174" s="94">
        <v>509</v>
      </c>
    </row>
    <row r="175" spans="1:8" ht="18" x14ac:dyDescent="0.3">
      <c r="A175" s="89">
        <v>45990</v>
      </c>
      <c r="B175" s="90" t="s">
        <v>47</v>
      </c>
      <c r="C175" s="91" t="s">
        <v>258</v>
      </c>
      <c r="D175" s="90" t="s">
        <v>238</v>
      </c>
      <c r="E175" s="92">
        <v>1.395833333333333</v>
      </c>
      <c r="F175" s="90" t="s">
        <v>55</v>
      </c>
      <c r="G175" s="93">
        <v>6</v>
      </c>
      <c r="H175" s="94">
        <v>599</v>
      </c>
    </row>
    <row r="176" spans="1:8" ht="18" x14ac:dyDescent="0.3">
      <c r="A176" s="97">
        <v>45990</v>
      </c>
      <c r="B176" s="98" t="s">
        <v>47</v>
      </c>
      <c r="C176" s="99" t="s">
        <v>271</v>
      </c>
      <c r="D176" s="98" t="s">
        <v>238</v>
      </c>
      <c r="E176" s="100">
        <v>1.7986111111111109</v>
      </c>
      <c r="F176" s="98" t="s">
        <v>49</v>
      </c>
      <c r="G176" s="101">
        <v>5</v>
      </c>
      <c r="H176" s="102">
        <v>409</v>
      </c>
    </row>
    <row r="177" spans="1:8" ht="18" x14ac:dyDescent="0.3">
      <c r="A177" s="89">
        <v>45990</v>
      </c>
      <c r="B177" s="90" t="s">
        <v>47</v>
      </c>
      <c r="C177" s="91" t="s">
        <v>271</v>
      </c>
      <c r="D177" s="90" t="s">
        <v>238</v>
      </c>
      <c r="E177" s="92">
        <v>1.7986111111111109</v>
      </c>
      <c r="F177" s="90" t="s">
        <v>52</v>
      </c>
      <c r="G177" s="93">
        <v>5</v>
      </c>
      <c r="H177" s="94">
        <v>509</v>
      </c>
    </row>
    <row r="178" spans="1:8" ht="18" x14ac:dyDescent="0.3">
      <c r="A178" s="89">
        <v>45990</v>
      </c>
      <c r="B178" s="90" t="s">
        <v>47</v>
      </c>
      <c r="C178" s="91" t="s">
        <v>271</v>
      </c>
      <c r="D178" s="90" t="s">
        <v>238</v>
      </c>
      <c r="E178" s="92">
        <v>1.7986111111111109</v>
      </c>
      <c r="F178" s="90" t="s">
        <v>55</v>
      </c>
      <c r="G178" s="93">
        <v>5</v>
      </c>
      <c r="H178" s="94">
        <v>599</v>
      </c>
    </row>
    <row r="179" spans="1:8" ht="18" x14ac:dyDescent="0.3">
      <c r="A179" s="97">
        <v>45990</v>
      </c>
      <c r="B179" s="98" t="s">
        <v>47</v>
      </c>
      <c r="C179" s="99" t="s">
        <v>268</v>
      </c>
      <c r="D179" s="98" t="s">
        <v>238</v>
      </c>
      <c r="E179" s="100">
        <v>1.6597222222222221</v>
      </c>
      <c r="F179" s="98" t="s">
        <v>49</v>
      </c>
      <c r="G179" s="101">
        <v>5</v>
      </c>
      <c r="H179" s="102">
        <v>449</v>
      </c>
    </row>
    <row r="180" spans="1:8" ht="18" x14ac:dyDescent="0.3">
      <c r="A180" s="89">
        <v>45990</v>
      </c>
      <c r="B180" s="90" t="s">
        <v>47</v>
      </c>
      <c r="C180" s="91" t="s">
        <v>268</v>
      </c>
      <c r="D180" s="90" t="s">
        <v>238</v>
      </c>
      <c r="E180" s="92">
        <v>1.6597222222222221</v>
      </c>
      <c r="F180" s="90" t="s">
        <v>52</v>
      </c>
      <c r="G180" s="93">
        <v>5</v>
      </c>
      <c r="H180" s="94">
        <v>549</v>
      </c>
    </row>
    <row r="181" spans="1:8" ht="18" x14ac:dyDescent="0.3">
      <c r="A181" s="89">
        <v>45990</v>
      </c>
      <c r="B181" s="90" t="s">
        <v>47</v>
      </c>
      <c r="C181" s="91" t="s">
        <v>268</v>
      </c>
      <c r="D181" s="90" t="s">
        <v>238</v>
      </c>
      <c r="E181" s="92">
        <v>1.6597222222222221</v>
      </c>
      <c r="F181" s="90" t="s">
        <v>55</v>
      </c>
      <c r="G181" s="93">
        <v>5</v>
      </c>
      <c r="H181" s="94">
        <v>639</v>
      </c>
    </row>
    <row r="182" spans="1:8" ht="18" x14ac:dyDescent="0.3">
      <c r="A182" s="97">
        <v>45990</v>
      </c>
      <c r="B182" s="98" t="s">
        <v>47</v>
      </c>
      <c r="C182" s="99" t="s">
        <v>255</v>
      </c>
      <c r="D182" s="98" t="s">
        <v>238</v>
      </c>
      <c r="E182" s="100">
        <v>1.256944444444444</v>
      </c>
      <c r="F182" s="98" t="s">
        <v>49</v>
      </c>
      <c r="G182" s="101">
        <v>9</v>
      </c>
      <c r="H182" s="102">
        <v>489</v>
      </c>
    </row>
    <row r="183" spans="1:8" ht="18" x14ac:dyDescent="0.3">
      <c r="A183" s="89">
        <v>45990</v>
      </c>
      <c r="B183" s="90" t="s">
        <v>47</v>
      </c>
      <c r="C183" s="91" t="s">
        <v>255</v>
      </c>
      <c r="D183" s="90" t="s">
        <v>238</v>
      </c>
      <c r="E183" s="92">
        <v>1.256944444444444</v>
      </c>
      <c r="F183" s="90" t="s">
        <v>52</v>
      </c>
      <c r="G183" s="93">
        <v>9</v>
      </c>
      <c r="H183" s="94">
        <v>589</v>
      </c>
    </row>
    <row r="184" spans="1:8" ht="18" x14ac:dyDescent="0.3">
      <c r="A184" s="89">
        <v>45990</v>
      </c>
      <c r="B184" s="90" t="s">
        <v>47</v>
      </c>
      <c r="C184" s="91" t="s">
        <v>255</v>
      </c>
      <c r="D184" s="90" t="s">
        <v>238</v>
      </c>
      <c r="E184" s="92">
        <v>1.256944444444444</v>
      </c>
      <c r="F184" s="90" t="s">
        <v>55</v>
      </c>
      <c r="G184" s="93">
        <v>9</v>
      </c>
      <c r="H184" s="94">
        <v>679</v>
      </c>
    </row>
    <row r="185" spans="1:8" ht="18" x14ac:dyDescent="0.3">
      <c r="A185" s="113">
        <v>45990</v>
      </c>
      <c r="B185" s="114" t="s">
        <v>76</v>
      </c>
      <c r="C185" s="115" t="s">
        <v>285</v>
      </c>
      <c r="D185" s="114" t="s">
        <v>238</v>
      </c>
      <c r="E185" s="116">
        <v>1.2361111111111109</v>
      </c>
      <c r="F185" s="114" t="s">
        <v>78</v>
      </c>
      <c r="G185" s="117">
        <v>5</v>
      </c>
      <c r="H185" s="203">
        <v>436</v>
      </c>
    </row>
    <row r="186" spans="1:8" ht="18" x14ac:dyDescent="0.3">
      <c r="A186" s="204">
        <v>45990</v>
      </c>
      <c r="B186" s="205" t="s">
        <v>76</v>
      </c>
      <c r="C186" s="206" t="s">
        <v>292</v>
      </c>
      <c r="D186" s="205" t="s">
        <v>238</v>
      </c>
      <c r="E186" s="207">
        <v>1.333333333333333</v>
      </c>
      <c r="F186" s="205" t="s">
        <v>105</v>
      </c>
      <c r="G186" s="205"/>
      <c r="H186" s="205" t="s">
        <v>106</v>
      </c>
    </row>
    <row r="187" spans="1:8" ht="18" x14ac:dyDescent="0.3">
      <c r="A187" s="204">
        <v>45990</v>
      </c>
      <c r="B187" s="205" t="s">
        <v>76</v>
      </c>
      <c r="C187" s="206" t="s">
        <v>298</v>
      </c>
      <c r="D187" s="205" t="s">
        <v>238</v>
      </c>
      <c r="E187" s="207">
        <v>1.680555555555556</v>
      </c>
      <c r="F187" s="205" t="s">
        <v>105</v>
      </c>
      <c r="G187" s="205"/>
      <c r="H187" s="205" t="s">
        <v>106</v>
      </c>
    </row>
    <row r="188" spans="1:8" ht="18" x14ac:dyDescent="0.3">
      <c r="A188" s="95">
        <v>45990</v>
      </c>
      <c r="B188" s="84" t="s">
        <v>302</v>
      </c>
      <c r="C188" s="85" t="s">
        <v>379</v>
      </c>
      <c r="D188" s="84" t="s">
        <v>238</v>
      </c>
      <c r="E188" s="86">
        <v>1.2152777777777779</v>
      </c>
      <c r="F188" s="84" t="s">
        <v>304</v>
      </c>
      <c r="G188" s="87">
        <v>9</v>
      </c>
      <c r="H188" s="96">
        <v>441</v>
      </c>
    </row>
    <row r="189" spans="1:8" ht="18" x14ac:dyDescent="0.3">
      <c r="A189" s="89">
        <v>45990</v>
      </c>
      <c r="B189" s="90" t="s">
        <v>302</v>
      </c>
      <c r="C189" s="91" t="s">
        <v>379</v>
      </c>
      <c r="D189" s="90" t="s">
        <v>238</v>
      </c>
      <c r="E189" s="92">
        <v>1.2152777777777779</v>
      </c>
      <c r="F189" s="90" t="s">
        <v>33</v>
      </c>
      <c r="G189" s="93">
        <v>9</v>
      </c>
      <c r="H189" s="94">
        <v>564</v>
      </c>
    </row>
    <row r="190" spans="1:8" ht="18" x14ac:dyDescent="0.3">
      <c r="A190" s="97">
        <v>45990</v>
      </c>
      <c r="B190" s="98" t="s">
        <v>302</v>
      </c>
      <c r="C190" s="99" t="s">
        <v>303</v>
      </c>
      <c r="D190" s="98" t="s">
        <v>238</v>
      </c>
      <c r="E190" s="100">
        <v>1.3298611111111109</v>
      </c>
      <c r="F190" s="98" t="s">
        <v>304</v>
      </c>
      <c r="G190" s="101">
        <v>9</v>
      </c>
      <c r="H190" s="102">
        <v>456</v>
      </c>
    </row>
    <row r="191" spans="1:8" ht="18" x14ac:dyDescent="0.3">
      <c r="A191" s="89">
        <v>45990</v>
      </c>
      <c r="B191" s="90" t="s">
        <v>302</v>
      </c>
      <c r="C191" s="91" t="s">
        <v>303</v>
      </c>
      <c r="D191" s="90" t="s">
        <v>238</v>
      </c>
      <c r="E191" s="92">
        <v>1.3298611111111109</v>
      </c>
      <c r="F191" s="90" t="s">
        <v>33</v>
      </c>
      <c r="G191" s="93">
        <v>9</v>
      </c>
      <c r="H191" s="94">
        <v>579</v>
      </c>
    </row>
    <row r="192" spans="1:8" ht="18" x14ac:dyDescent="0.3">
      <c r="A192" s="95">
        <v>45990</v>
      </c>
      <c r="B192" s="84" t="s">
        <v>35</v>
      </c>
      <c r="C192" s="85" t="s">
        <v>312</v>
      </c>
      <c r="D192" s="84" t="s">
        <v>238</v>
      </c>
      <c r="E192" s="86">
        <v>1.28125</v>
      </c>
      <c r="F192" s="84" t="s">
        <v>308</v>
      </c>
      <c r="G192" s="87">
        <v>9</v>
      </c>
      <c r="H192" s="96">
        <v>507</v>
      </c>
    </row>
    <row r="193" spans="1:8" ht="18" x14ac:dyDescent="0.3">
      <c r="A193" s="97">
        <v>45990</v>
      </c>
      <c r="B193" s="98" t="s">
        <v>35</v>
      </c>
      <c r="C193" s="99" t="s">
        <v>315</v>
      </c>
      <c r="D193" s="98" t="s">
        <v>238</v>
      </c>
      <c r="E193" s="100">
        <v>1.229166666666667</v>
      </c>
      <c r="F193" s="98" t="s">
        <v>308</v>
      </c>
      <c r="G193" s="101">
        <v>9</v>
      </c>
      <c r="H193" s="102">
        <v>507</v>
      </c>
    </row>
    <row r="194" spans="1:8" ht="18" x14ac:dyDescent="0.3">
      <c r="A194" s="97">
        <v>45990</v>
      </c>
      <c r="B194" s="98" t="s">
        <v>35</v>
      </c>
      <c r="C194" s="99" t="s">
        <v>307</v>
      </c>
      <c r="D194" s="98" t="s">
        <v>238</v>
      </c>
      <c r="E194" s="100">
        <v>1.0138888888888891</v>
      </c>
      <c r="F194" s="98" t="s">
        <v>37</v>
      </c>
      <c r="G194" s="101">
        <v>1</v>
      </c>
      <c r="H194" s="102">
        <v>619</v>
      </c>
    </row>
    <row r="195" spans="1:8" ht="18" x14ac:dyDescent="0.3">
      <c r="A195" s="97">
        <v>45990</v>
      </c>
      <c r="B195" s="98" t="s">
        <v>35</v>
      </c>
      <c r="C195" s="99" t="s">
        <v>311</v>
      </c>
      <c r="D195" s="98" t="s">
        <v>238</v>
      </c>
      <c r="E195" s="100">
        <v>1.145833333333333</v>
      </c>
      <c r="F195" s="98" t="s">
        <v>37</v>
      </c>
      <c r="G195" s="101">
        <v>1</v>
      </c>
      <c r="H195" s="102">
        <v>842</v>
      </c>
    </row>
    <row r="196" spans="1:8" ht="18" x14ac:dyDescent="0.3">
      <c r="A196" s="97">
        <v>45990</v>
      </c>
      <c r="B196" s="98" t="s">
        <v>35</v>
      </c>
      <c r="C196" s="99" t="s">
        <v>316</v>
      </c>
      <c r="D196" s="98" t="s">
        <v>238</v>
      </c>
      <c r="E196" s="100">
        <v>1.774305555555556</v>
      </c>
      <c r="F196" s="98" t="s">
        <v>37</v>
      </c>
      <c r="G196" s="101">
        <v>3</v>
      </c>
      <c r="H196" s="102">
        <v>842</v>
      </c>
    </row>
    <row r="197" spans="1:8" ht="18" x14ac:dyDescent="0.3">
      <c r="A197" s="95">
        <v>45990</v>
      </c>
      <c r="B197" s="84" t="s">
        <v>63</v>
      </c>
      <c r="C197" s="85" t="s">
        <v>318</v>
      </c>
      <c r="D197" s="84" t="s">
        <v>238</v>
      </c>
      <c r="E197" s="86">
        <v>1.243055555555556</v>
      </c>
      <c r="F197" s="84" t="s">
        <v>65</v>
      </c>
      <c r="G197" s="87">
        <v>9</v>
      </c>
      <c r="H197" s="96">
        <v>678</v>
      </c>
    </row>
    <row r="198" spans="1:8" ht="18" x14ac:dyDescent="0.3">
      <c r="A198" s="89">
        <v>45990</v>
      </c>
      <c r="B198" s="90" t="s">
        <v>63</v>
      </c>
      <c r="C198" s="91" t="s">
        <v>318</v>
      </c>
      <c r="D198" s="90" t="s">
        <v>238</v>
      </c>
      <c r="E198" s="92">
        <v>1.243055555555556</v>
      </c>
      <c r="F198" s="90" t="s">
        <v>67</v>
      </c>
      <c r="G198" s="93">
        <v>9</v>
      </c>
      <c r="H198" s="94">
        <v>723</v>
      </c>
    </row>
    <row r="199" spans="1:8" ht="18" x14ac:dyDescent="0.3">
      <c r="A199" s="97">
        <v>45990</v>
      </c>
      <c r="B199" s="98" t="s">
        <v>63</v>
      </c>
      <c r="C199" s="99" t="s">
        <v>322</v>
      </c>
      <c r="D199" s="98" t="s">
        <v>238</v>
      </c>
      <c r="E199" s="100">
        <v>1.3784722222222221</v>
      </c>
      <c r="F199" s="98" t="s">
        <v>65</v>
      </c>
      <c r="G199" s="101">
        <v>9</v>
      </c>
      <c r="H199" s="102">
        <v>935</v>
      </c>
    </row>
    <row r="200" spans="1:8" ht="18" x14ac:dyDescent="0.3">
      <c r="A200" s="89">
        <v>45990</v>
      </c>
      <c r="B200" s="90" t="s">
        <v>63</v>
      </c>
      <c r="C200" s="91" t="s">
        <v>322</v>
      </c>
      <c r="D200" s="90" t="s">
        <v>238</v>
      </c>
      <c r="E200" s="92">
        <v>1.3784722222222221</v>
      </c>
      <c r="F200" s="90" t="s">
        <v>67</v>
      </c>
      <c r="G200" s="93">
        <v>9</v>
      </c>
      <c r="H200" s="94">
        <v>980</v>
      </c>
    </row>
    <row r="201" spans="1:8" ht="18" x14ac:dyDescent="0.3">
      <c r="A201" s="97">
        <v>45990</v>
      </c>
      <c r="B201" s="98" t="s">
        <v>63</v>
      </c>
      <c r="C201" s="99" t="s">
        <v>325</v>
      </c>
      <c r="D201" s="98" t="s">
        <v>238</v>
      </c>
      <c r="E201" s="100">
        <v>1.006944444444444</v>
      </c>
      <c r="F201" s="98" t="s">
        <v>65</v>
      </c>
      <c r="G201" s="101">
        <v>9</v>
      </c>
      <c r="H201" s="102">
        <v>935</v>
      </c>
    </row>
    <row r="202" spans="1:8" ht="18" x14ac:dyDescent="0.3">
      <c r="A202" s="89">
        <v>45990</v>
      </c>
      <c r="B202" s="90" t="s">
        <v>63</v>
      </c>
      <c r="C202" s="91" t="s">
        <v>325</v>
      </c>
      <c r="D202" s="90" t="s">
        <v>238</v>
      </c>
      <c r="E202" s="92">
        <v>1.006944444444444</v>
      </c>
      <c r="F202" s="90" t="s">
        <v>67</v>
      </c>
      <c r="G202" s="93">
        <v>9</v>
      </c>
      <c r="H202" s="94">
        <v>980</v>
      </c>
    </row>
    <row r="203" spans="1:8" ht="18" x14ac:dyDescent="0.3">
      <c r="A203" s="97">
        <v>45990</v>
      </c>
      <c r="B203" s="98" t="s">
        <v>63</v>
      </c>
      <c r="C203" s="99" t="s">
        <v>321</v>
      </c>
      <c r="D203" s="98" t="s">
        <v>238</v>
      </c>
      <c r="E203" s="100">
        <v>1.1423611111111109</v>
      </c>
      <c r="F203" s="98" t="s">
        <v>65</v>
      </c>
      <c r="G203" s="101">
        <v>9</v>
      </c>
      <c r="H203" s="102">
        <v>935</v>
      </c>
    </row>
    <row r="204" spans="1:8" ht="18" x14ac:dyDescent="0.3">
      <c r="A204" s="89">
        <v>45990</v>
      </c>
      <c r="B204" s="90" t="s">
        <v>63</v>
      </c>
      <c r="C204" s="91" t="s">
        <v>321</v>
      </c>
      <c r="D204" s="90" t="s">
        <v>238</v>
      </c>
      <c r="E204" s="92">
        <v>1.1423611111111109</v>
      </c>
      <c r="F204" s="90" t="s">
        <v>67</v>
      </c>
      <c r="G204" s="93">
        <v>9</v>
      </c>
      <c r="H204" s="94">
        <v>980</v>
      </c>
    </row>
    <row r="205" spans="1:8" ht="18" x14ac:dyDescent="0.3">
      <c r="A205" s="97">
        <v>45990</v>
      </c>
      <c r="B205" s="98" t="s">
        <v>63</v>
      </c>
      <c r="C205" s="99" t="s">
        <v>330</v>
      </c>
      <c r="D205" s="98" t="s">
        <v>238</v>
      </c>
      <c r="E205" s="100">
        <v>1.71875</v>
      </c>
      <c r="F205" s="98" t="s">
        <v>65</v>
      </c>
      <c r="G205" s="101">
        <v>9</v>
      </c>
      <c r="H205" s="98" t="s">
        <v>336</v>
      </c>
    </row>
    <row r="206" spans="1:8" ht="18" x14ac:dyDescent="0.3">
      <c r="A206" s="89">
        <v>45990</v>
      </c>
      <c r="B206" s="90" t="s">
        <v>63</v>
      </c>
      <c r="C206" s="91" t="s">
        <v>330</v>
      </c>
      <c r="D206" s="90" t="s">
        <v>238</v>
      </c>
      <c r="E206" s="92">
        <v>1.71875</v>
      </c>
      <c r="F206" s="90" t="s">
        <v>67</v>
      </c>
      <c r="G206" s="93">
        <v>9</v>
      </c>
      <c r="H206" s="90" t="s">
        <v>337</v>
      </c>
    </row>
    <row r="207" spans="1:8" ht="18" x14ac:dyDescent="0.3">
      <c r="A207" s="97">
        <v>45990</v>
      </c>
      <c r="B207" s="98" t="s">
        <v>63</v>
      </c>
      <c r="C207" s="99" t="s">
        <v>341</v>
      </c>
      <c r="D207" s="98" t="s">
        <v>238</v>
      </c>
      <c r="E207" s="100">
        <v>1.6111111111111109</v>
      </c>
      <c r="F207" s="98" t="s">
        <v>65</v>
      </c>
      <c r="G207" s="101">
        <v>9</v>
      </c>
      <c r="H207" s="98" t="s">
        <v>336</v>
      </c>
    </row>
    <row r="208" spans="1:8" ht="18" x14ac:dyDescent="0.3">
      <c r="A208" s="89">
        <v>45990</v>
      </c>
      <c r="B208" s="90" t="s">
        <v>63</v>
      </c>
      <c r="C208" s="91" t="s">
        <v>341</v>
      </c>
      <c r="D208" s="90" t="s">
        <v>238</v>
      </c>
      <c r="E208" s="92">
        <v>1.6111111111111109</v>
      </c>
      <c r="F208" s="90" t="s">
        <v>67</v>
      </c>
      <c r="G208" s="93">
        <v>9</v>
      </c>
      <c r="H208" s="90" t="s">
        <v>337</v>
      </c>
    </row>
    <row r="209" spans="1:8" ht="18" x14ac:dyDescent="0.3">
      <c r="A209" s="97">
        <v>45990</v>
      </c>
      <c r="B209" s="98" t="s">
        <v>63</v>
      </c>
      <c r="C209" s="99" t="s">
        <v>335</v>
      </c>
      <c r="D209" s="98" t="s">
        <v>238</v>
      </c>
      <c r="E209" s="100">
        <v>1.930555555555556</v>
      </c>
      <c r="F209" s="98" t="s">
        <v>65</v>
      </c>
      <c r="G209" s="101">
        <v>8</v>
      </c>
      <c r="H209" s="98" t="s">
        <v>336</v>
      </c>
    </row>
    <row r="210" spans="1:8" ht="18" x14ac:dyDescent="0.3">
      <c r="A210" s="89">
        <v>45990</v>
      </c>
      <c r="B210" s="90" t="s">
        <v>63</v>
      </c>
      <c r="C210" s="91" t="s">
        <v>335</v>
      </c>
      <c r="D210" s="90" t="s">
        <v>238</v>
      </c>
      <c r="E210" s="92">
        <v>1.930555555555556</v>
      </c>
      <c r="F210" s="90" t="s">
        <v>67</v>
      </c>
      <c r="G210" s="93">
        <v>8</v>
      </c>
      <c r="H210" s="90" t="s">
        <v>337</v>
      </c>
    </row>
    <row r="211" spans="1:8" ht="18" x14ac:dyDescent="0.3">
      <c r="A211" s="97">
        <v>45990</v>
      </c>
      <c r="B211" s="98" t="s">
        <v>63</v>
      </c>
      <c r="C211" s="99" t="s">
        <v>326</v>
      </c>
      <c r="D211" s="98" t="s">
        <v>238</v>
      </c>
      <c r="E211" s="100">
        <v>1.8888888888888891</v>
      </c>
      <c r="F211" s="98" t="s">
        <v>67</v>
      </c>
      <c r="G211" s="101">
        <v>4</v>
      </c>
      <c r="H211" s="98" t="s">
        <v>368</v>
      </c>
    </row>
    <row r="212" spans="1:8" ht="18" x14ac:dyDescent="0.3">
      <c r="A212" s="97">
        <v>45990</v>
      </c>
      <c r="B212" s="98" t="s">
        <v>63</v>
      </c>
      <c r="C212" s="99" t="s">
        <v>328</v>
      </c>
      <c r="D212" s="98" t="s">
        <v>238</v>
      </c>
      <c r="E212" s="100">
        <v>1.302083333333333</v>
      </c>
      <c r="F212" s="98" t="s">
        <v>67</v>
      </c>
      <c r="G212" s="101">
        <v>4</v>
      </c>
      <c r="H212" s="98" t="s">
        <v>368</v>
      </c>
    </row>
    <row r="213" spans="1:8" ht="18" x14ac:dyDescent="0.3">
      <c r="A213" s="97">
        <v>45990</v>
      </c>
      <c r="B213" s="98" t="s">
        <v>63</v>
      </c>
      <c r="C213" s="99" t="s">
        <v>329</v>
      </c>
      <c r="D213" s="98" t="s">
        <v>238</v>
      </c>
      <c r="E213" s="100">
        <v>1.1284722222222221</v>
      </c>
      <c r="F213" s="98" t="s">
        <v>67</v>
      </c>
      <c r="G213" s="101">
        <v>4</v>
      </c>
      <c r="H213" s="98" t="s">
        <v>368</v>
      </c>
    </row>
    <row r="214" spans="1:8" ht="18" x14ac:dyDescent="0.3">
      <c r="A214" s="97">
        <v>45990</v>
      </c>
      <c r="B214" s="98" t="s">
        <v>63</v>
      </c>
      <c r="C214" s="99" t="s">
        <v>333</v>
      </c>
      <c r="D214" s="98" t="s">
        <v>238</v>
      </c>
      <c r="E214" s="100">
        <v>1.788194444444444</v>
      </c>
      <c r="F214" s="98" t="s">
        <v>67</v>
      </c>
      <c r="G214" s="101">
        <v>4</v>
      </c>
      <c r="H214" s="98" t="s">
        <v>368</v>
      </c>
    </row>
    <row r="215" spans="1:8" ht="18" x14ac:dyDescent="0.3">
      <c r="A215" s="97">
        <v>45990</v>
      </c>
      <c r="B215" s="98" t="s">
        <v>63</v>
      </c>
      <c r="C215" s="99" t="s">
        <v>338</v>
      </c>
      <c r="D215" s="98" t="s">
        <v>238</v>
      </c>
      <c r="E215" s="100">
        <v>1.8298611111111109</v>
      </c>
      <c r="F215" s="98" t="s">
        <v>65</v>
      </c>
      <c r="G215" s="101">
        <v>3</v>
      </c>
      <c r="H215" s="98" t="s">
        <v>384</v>
      </c>
    </row>
    <row r="216" spans="1:8" ht="18" x14ac:dyDescent="0.3">
      <c r="A216" s="210">
        <v>45990</v>
      </c>
      <c r="B216" s="211" t="s">
        <v>63</v>
      </c>
      <c r="C216" s="212" t="s">
        <v>338</v>
      </c>
      <c r="D216" s="211" t="s">
        <v>238</v>
      </c>
      <c r="E216" s="213">
        <v>1.8298611111111109</v>
      </c>
      <c r="F216" s="211" t="s">
        <v>67</v>
      </c>
      <c r="G216" s="214">
        <v>3</v>
      </c>
      <c r="H216" s="211" t="s">
        <v>385</v>
      </c>
    </row>
    <row r="217" spans="1:8" ht="18" x14ac:dyDescent="0.3">
      <c r="A217" s="83">
        <v>45991</v>
      </c>
      <c r="B217" s="84" t="s">
        <v>25</v>
      </c>
      <c r="C217" s="85" t="s">
        <v>244</v>
      </c>
      <c r="D217" s="84" t="s">
        <v>238</v>
      </c>
      <c r="E217" s="86">
        <v>1.1284722222222221</v>
      </c>
      <c r="F217" s="84" t="s">
        <v>27</v>
      </c>
      <c r="G217" s="87">
        <v>9</v>
      </c>
      <c r="H217" s="88">
        <v>389</v>
      </c>
    </row>
    <row r="218" spans="1:8" ht="18" x14ac:dyDescent="0.3">
      <c r="A218" s="89">
        <v>45991</v>
      </c>
      <c r="B218" s="90" t="s">
        <v>25</v>
      </c>
      <c r="C218" s="91" t="s">
        <v>244</v>
      </c>
      <c r="D218" s="90" t="s">
        <v>238</v>
      </c>
      <c r="E218" s="92">
        <v>1.1284722222222221</v>
      </c>
      <c r="F218" s="90" t="s">
        <v>30</v>
      </c>
      <c r="G218" s="93">
        <v>9</v>
      </c>
      <c r="H218" s="94">
        <v>539</v>
      </c>
    </row>
    <row r="219" spans="1:8" ht="18" x14ac:dyDescent="0.3">
      <c r="A219" s="89">
        <v>45991</v>
      </c>
      <c r="B219" s="90" t="s">
        <v>25</v>
      </c>
      <c r="C219" s="91" t="s">
        <v>244</v>
      </c>
      <c r="D219" s="90" t="s">
        <v>238</v>
      </c>
      <c r="E219" s="92">
        <v>1.1284722222222221</v>
      </c>
      <c r="F219" s="90" t="s">
        <v>33</v>
      </c>
      <c r="G219" s="93">
        <v>9</v>
      </c>
      <c r="H219" s="90" t="s">
        <v>34</v>
      </c>
    </row>
    <row r="220" spans="1:8" ht="18" x14ac:dyDescent="0.3">
      <c r="A220" s="97">
        <v>45991</v>
      </c>
      <c r="B220" s="98" t="s">
        <v>25</v>
      </c>
      <c r="C220" s="99" t="s">
        <v>250</v>
      </c>
      <c r="D220" s="98" t="s">
        <v>238</v>
      </c>
      <c r="E220" s="100">
        <v>1.788194444444444</v>
      </c>
      <c r="F220" s="98" t="s">
        <v>27</v>
      </c>
      <c r="G220" s="101">
        <v>1</v>
      </c>
      <c r="H220" s="102">
        <v>389</v>
      </c>
    </row>
    <row r="221" spans="1:8" ht="18" x14ac:dyDescent="0.3">
      <c r="A221" s="89">
        <v>45991</v>
      </c>
      <c r="B221" s="90" t="s">
        <v>25</v>
      </c>
      <c r="C221" s="91" t="s">
        <v>250</v>
      </c>
      <c r="D221" s="90" t="s">
        <v>238</v>
      </c>
      <c r="E221" s="92">
        <v>1.788194444444444</v>
      </c>
      <c r="F221" s="90" t="s">
        <v>30</v>
      </c>
      <c r="G221" s="93">
        <v>1</v>
      </c>
      <c r="H221" s="94">
        <v>539</v>
      </c>
    </row>
    <row r="222" spans="1:8" ht="18" x14ac:dyDescent="0.3">
      <c r="A222" s="89">
        <v>45991</v>
      </c>
      <c r="B222" s="90" t="s">
        <v>25</v>
      </c>
      <c r="C222" s="91" t="s">
        <v>250</v>
      </c>
      <c r="D222" s="90" t="s">
        <v>238</v>
      </c>
      <c r="E222" s="92">
        <v>1.788194444444444</v>
      </c>
      <c r="F222" s="90" t="s">
        <v>33</v>
      </c>
      <c r="G222" s="93">
        <v>1</v>
      </c>
      <c r="H222" s="90" t="s">
        <v>34</v>
      </c>
    </row>
    <row r="223" spans="1:8" ht="18" x14ac:dyDescent="0.3">
      <c r="A223" s="97">
        <v>45991</v>
      </c>
      <c r="B223" s="98" t="s">
        <v>25</v>
      </c>
      <c r="C223" s="99" t="s">
        <v>247</v>
      </c>
      <c r="D223" s="98" t="s">
        <v>238</v>
      </c>
      <c r="E223" s="100">
        <v>1.8888888888888891</v>
      </c>
      <c r="F223" s="98" t="s">
        <v>27</v>
      </c>
      <c r="G223" s="101">
        <v>2</v>
      </c>
      <c r="H223" s="102">
        <v>389</v>
      </c>
    </row>
    <row r="224" spans="1:8" ht="18" x14ac:dyDescent="0.3">
      <c r="A224" s="89">
        <v>45991</v>
      </c>
      <c r="B224" s="90" t="s">
        <v>25</v>
      </c>
      <c r="C224" s="91" t="s">
        <v>247</v>
      </c>
      <c r="D224" s="90" t="s">
        <v>238</v>
      </c>
      <c r="E224" s="92">
        <v>1.8888888888888891</v>
      </c>
      <c r="F224" s="90" t="s">
        <v>30</v>
      </c>
      <c r="G224" s="93">
        <v>2</v>
      </c>
      <c r="H224" s="94">
        <v>539</v>
      </c>
    </row>
    <row r="225" spans="1:8" ht="18" x14ac:dyDescent="0.3">
      <c r="A225" s="89">
        <v>45991</v>
      </c>
      <c r="B225" s="90" t="s">
        <v>25</v>
      </c>
      <c r="C225" s="91" t="s">
        <v>247</v>
      </c>
      <c r="D225" s="90" t="s">
        <v>238</v>
      </c>
      <c r="E225" s="92">
        <v>1.8888888888888891</v>
      </c>
      <c r="F225" s="90" t="s">
        <v>33</v>
      </c>
      <c r="G225" s="93">
        <v>2</v>
      </c>
      <c r="H225" s="90" t="s">
        <v>34</v>
      </c>
    </row>
    <row r="226" spans="1:8" ht="18" x14ac:dyDescent="0.3">
      <c r="A226" s="97">
        <v>45991</v>
      </c>
      <c r="B226" s="98" t="s">
        <v>25</v>
      </c>
      <c r="C226" s="99" t="s">
        <v>239</v>
      </c>
      <c r="D226" s="98" t="s">
        <v>238</v>
      </c>
      <c r="E226" s="100">
        <v>1.302083333333333</v>
      </c>
      <c r="F226" s="98" t="s">
        <v>27</v>
      </c>
      <c r="G226" s="101">
        <v>5</v>
      </c>
      <c r="H226" s="102">
        <v>419</v>
      </c>
    </row>
    <row r="227" spans="1:8" ht="18" x14ac:dyDescent="0.3">
      <c r="A227" s="89">
        <v>45991</v>
      </c>
      <c r="B227" s="90" t="s">
        <v>25</v>
      </c>
      <c r="C227" s="91" t="s">
        <v>239</v>
      </c>
      <c r="D227" s="90" t="s">
        <v>238</v>
      </c>
      <c r="E227" s="92">
        <v>1.302083333333333</v>
      </c>
      <c r="F227" s="90" t="s">
        <v>30</v>
      </c>
      <c r="G227" s="93">
        <v>5</v>
      </c>
      <c r="H227" s="94">
        <v>569</v>
      </c>
    </row>
    <row r="228" spans="1:8" ht="18" x14ac:dyDescent="0.3">
      <c r="A228" s="89">
        <v>45991</v>
      </c>
      <c r="B228" s="90" t="s">
        <v>25</v>
      </c>
      <c r="C228" s="91" t="s">
        <v>239</v>
      </c>
      <c r="D228" s="90" t="s">
        <v>238</v>
      </c>
      <c r="E228" s="92">
        <v>1.302083333333333</v>
      </c>
      <c r="F228" s="90" t="s">
        <v>33</v>
      </c>
      <c r="G228" s="93">
        <v>5</v>
      </c>
      <c r="H228" s="90" t="s">
        <v>34</v>
      </c>
    </row>
    <row r="229" spans="1:8" ht="18" x14ac:dyDescent="0.3">
      <c r="A229" s="95">
        <v>45991</v>
      </c>
      <c r="B229" s="84" t="s">
        <v>272</v>
      </c>
      <c r="C229" s="85" t="s">
        <v>273</v>
      </c>
      <c r="D229" s="84" t="s">
        <v>238</v>
      </c>
      <c r="E229" s="86">
        <v>1.274305555555556</v>
      </c>
      <c r="F229" s="84" t="s">
        <v>274</v>
      </c>
      <c r="G229" s="87">
        <v>9</v>
      </c>
      <c r="H229" s="96">
        <v>400</v>
      </c>
    </row>
    <row r="230" spans="1:8" ht="18" x14ac:dyDescent="0.3">
      <c r="A230" s="97">
        <v>45991</v>
      </c>
      <c r="B230" s="98" t="s">
        <v>272</v>
      </c>
      <c r="C230" s="99" t="s">
        <v>386</v>
      </c>
      <c r="D230" s="98" t="s">
        <v>238</v>
      </c>
      <c r="E230" s="100">
        <v>1.3472222222222221</v>
      </c>
      <c r="F230" s="98" t="s">
        <v>274</v>
      </c>
      <c r="G230" s="101">
        <v>1</v>
      </c>
      <c r="H230" s="102">
        <v>745</v>
      </c>
    </row>
    <row r="231" spans="1:8" ht="18" x14ac:dyDescent="0.3">
      <c r="A231" s="95">
        <v>45991</v>
      </c>
      <c r="B231" s="84" t="s">
        <v>300</v>
      </c>
      <c r="C231" s="85" t="s">
        <v>369</v>
      </c>
      <c r="D231" s="84" t="s">
        <v>238</v>
      </c>
      <c r="E231" s="86">
        <v>1.381944444444444</v>
      </c>
      <c r="F231" s="84" t="s">
        <v>274</v>
      </c>
      <c r="G231" s="87">
        <v>6</v>
      </c>
      <c r="H231" s="96">
        <v>401</v>
      </c>
    </row>
    <row r="232" spans="1:8" ht="18" x14ac:dyDescent="0.3">
      <c r="A232" s="97">
        <v>45991</v>
      </c>
      <c r="B232" s="98" t="s">
        <v>300</v>
      </c>
      <c r="C232" s="99" t="s">
        <v>301</v>
      </c>
      <c r="D232" s="98" t="s">
        <v>238</v>
      </c>
      <c r="E232" s="100">
        <v>1.666666666666667</v>
      </c>
      <c r="F232" s="98" t="s">
        <v>274</v>
      </c>
      <c r="G232" s="101">
        <v>7</v>
      </c>
      <c r="H232" s="102">
        <v>503</v>
      </c>
    </row>
    <row r="233" spans="1:8" ht="18" x14ac:dyDescent="0.3">
      <c r="A233" s="95">
        <v>45991</v>
      </c>
      <c r="B233" s="84" t="s">
        <v>302</v>
      </c>
      <c r="C233" s="85" t="s">
        <v>303</v>
      </c>
      <c r="D233" s="84" t="s">
        <v>238</v>
      </c>
      <c r="E233" s="86">
        <v>1.3888888888888891</v>
      </c>
      <c r="F233" s="84" t="s">
        <v>304</v>
      </c>
      <c r="G233" s="87">
        <v>9</v>
      </c>
      <c r="H233" s="96">
        <v>430</v>
      </c>
    </row>
    <row r="234" spans="1:8" ht="18" x14ac:dyDescent="0.3">
      <c r="A234" s="89">
        <v>45991</v>
      </c>
      <c r="B234" s="90" t="s">
        <v>302</v>
      </c>
      <c r="C234" s="91" t="s">
        <v>303</v>
      </c>
      <c r="D234" s="90" t="s">
        <v>238</v>
      </c>
      <c r="E234" s="92">
        <v>1.3888888888888891</v>
      </c>
      <c r="F234" s="90" t="s">
        <v>33</v>
      </c>
      <c r="G234" s="93">
        <v>9</v>
      </c>
      <c r="H234" s="94">
        <v>553</v>
      </c>
    </row>
    <row r="235" spans="1:8" ht="18" x14ac:dyDescent="0.3">
      <c r="A235" s="113">
        <v>45991</v>
      </c>
      <c r="B235" s="114" t="s">
        <v>76</v>
      </c>
      <c r="C235" s="115" t="s">
        <v>277</v>
      </c>
      <c r="D235" s="114" t="s">
        <v>238</v>
      </c>
      <c r="E235" s="116">
        <v>1.083333333333333</v>
      </c>
      <c r="F235" s="114" t="s">
        <v>78</v>
      </c>
      <c r="G235" s="117">
        <v>4</v>
      </c>
      <c r="H235" s="203">
        <v>436</v>
      </c>
    </row>
    <row r="236" spans="1:8" ht="18" x14ac:dyDescent="0.3">
      <c r="A236" s="204">
        <v>45991</v>
      </c>
      <c r="B236" s="205" t="s">
        <v>76</v>
      </c>
      <c r="C236" s="206" t="s">
        <v>282</v>
      </c>
      <c r="D236" s="205" t="s">
        <v>238</v>
      </c>
      <c r="E236" s="207">
        <v>1.333333333333333</v>
      </c>
      <c r="F236" s="205" t="s">
        <v>78</v>
      </c>
      <c r="G236" s="208">
        <v>9</v>
      </c>
      <c r="H236" s="209">
        <v>436</v>
      </c>
    </row>
    <row r="237" spans="1:8" ht="18" x14ac:dyDescent="0.3">
      <c r="A237" s="204">
        <v>45991</v>
      </c>
      <c r="B237" s="205" t="s">
        <v>76</v>
      </c>
      <c r="C237" s="206" t="s">
        <v>291</v>
      </c>
      <c r="D237" s="205" t="s">
        <v>238</v>
      </c>
      <c r="E237" s="207">
        <v>1.319444444444444</v>
      </c>
      <c r="F237" s="205" t="s">
        <v>78</v>
      </c>
      <c r="G237" s="208">
        <v>1</v>
      </c>
      <c r="H237" s="209">
        <v>436</v>
      </c>
    </row>
    <row r="238" spans="1:8" ht="18" x14ac:dyDescent="0.3">
      <c r="A238" s="204">
        <v>45991</v>
      </c>
      <c r="B238" s="205" t="s">
        <v>76</v>
      </c>
      <c r="C238" s="206" t="s">
        <v>363</v>
      </c>
      <c r="D238" s="205" t="s">
        <v>238</v>
      </c>
      <c r="E238" s="207">
        <v>1.510416666666667</v>
      </c>
      <c r="F238" s="205" t="s">
        <v>105</v>
      </c>
      <c r="G238" s="205"/>
      <c r="H238" s="205" t="s">
        <v>106</v>
      </c>
    </row>
    <row r="239" spans="1:8" ht="18" x14ac:dyDescent="0.3">
      <c r="A239" s="204">
        <v>45991</v>
      </c>
      <c r="B239" s="205" t="s">
        <v>76</v>
      </c>
      <c r="C239" s="206" t="s">
        <v>298</v>
      </c>
      <c r="D239" s="205" t="s">
        <v>238</v>
      </c>
      <c r="E239" s="207">
        <v>1.631944444444444</v>
      </c>
      <c r="F239" s="205" t="s">
        <v>105</v>
      </c>
      <c r="G239" s="205"/>
      <c r="H239" s="205" t="s">
        <v>106</v>
      </c>
    </row>
    <row r="240" spans="1:8" ht="18" x14ac:dyDescent="0.3">
      <c r="A240" s="95">
        <v>45991</v>
      </c>
      <c r="B240" s="84" t="s">
        <v>47</v>
      </c>
      <c r="C240" s="85" t="s">
        <v>261</v>
      </c>
      <c r="D240" s="84" t="s">
        <v>238</v>
      </c>
      <c r="E240" s="86">
        <v>1.9027777777777779</v>
      </c>
      <c r="F240" s="84" t="s">
        <v>49</v>
      </c>
      <c r="G240" s="87">
        <v>5</v>
      </c>
      <c r="H240" s="96">
        <v>449</v>
      </c>
    </row>
    <row r="241" spans="1:8" ht="18" x14ac:dyDescent="0.3">
      <c r="A241" s="89">
        <v>45991</v>
      </c>
      <c r="B241" s="90" t="s">
        <v>47</v>
      </c>
      <c r="C241" s="91" t="s">
        <v>261</v>
      </c>
      <c r="D241" s="90" t="s">
        <v>238</v>
      </c>
      <c r="E241" s="92">
        <v>1.9027777777777779</v>
      </c>
      <c r="F241" s="90" t="s">
        <v>52</v>
      </c>
      <c r="G241" s="93">
        <v>5</v>
      </c>
      <c r="H241" s="94">
        <v>549</v>
      </c>
    </row>
    <row r="242" spans="1:8" ht="18" x14ac:dyDescent="0.3">
      <c r="A242" s="89">
        <v>45991</v>
      </c>
      <c r="B242" s="90" t="s">
        <v>47</v>
      </c>
      <c r="C242" s="91" t="s">
        <v>261</v>
      </c>
      <c r="D242" s="90" t="s">
        <v>238</v>
      </c>
      <c r="E242" s="92">
        <v>1.9027777777777779</v>
      </c>
      <c r="F242" s="90" t="s">
        <v>55</v>
      </c>
      <c r="G242" s="93">
        <v>5</v>
      </c>
      <c r="H242" s="94">
        <v>639</v>
      </c>
    </row>
    <row r="243" spans="1:8" ht="18" x14ac:dyDescent="0.3">
      <c r="A243" s="97">
        <v>45991</v>
      </c>
      <c r="B243" s="98" t="s">
        <v>47</v>
      </c>
      <c r="C243" s="99" t="s">
        <v>268</v>
      </c>
      <c r="D243" s="98" t="s">
        <v>238</v>
      </c>
      <c r="E243" s="100">
        <v>1.645833333333333</v>
      </c>
      <c r="F243" s="98" t="s">
        <v>49</v>
      </c>
      <c r="G243" s="101">
        <v>9</v>
      </c>
      <c r="H243" s="102">
        <v>449</v>
      </c>
    </row>
    <row r="244" spans="1:8" ht="18" x14ac:dyDescent="0.3">
      <c r="A244" s="89">
        <v>45991</v>
      </c>
      <c r="B244" s="90" t="s">
        <v>47</v>
      </c>
      <c r="C244" s="91" t="s">
        <v>268</v>
      </c>
      <c r="D244" s="90" t="s">
        <v>238</v>
      </c>
      <c r="E244" s="92">
        <v>1.645833333333333</v>
      </c>
      <c r="F244" s="90" t="s">
        <v>52</v>
      </c>
      <c r="G244" s="93">
        <v>9</v>
      </c>
      <c r="H244" s="94">
        <v>549</v>
      </c>
    </row>
    <row r="245" spans="1:8" ht="18" x14ac:dyDescent="0.3">
      <c r="A245" s="89">
        <v>45991</v>
      </c>
      <c r="B245" s="90" t="s">
        <v>47</v>
      </c>
      <c r="C245" s="91" t="s">
        <v>268</v>
      </c>
      <c r="D245" s="90" t="s">
        <v>238</v>
      </c>
      <c r="E245" s="92">
        <v>1.645833333333333</v>
      </c>
      <c r="F245" s="90" t="s">
        <v>55</v>
      </c>
      <c r="G245" s="93">
        <v>9</v>
      </c>
      <c r="H245" s="94">
        <v>639</v>
      </c>
    </row>
    <row r="246" spans="1:8" ht="18" x14ac:dyDescent="0.3">
      <c r="A246" s="97">
        <v>45991</v>
      </c>
      <c r="B246" s="98" t="s">
        <v>47</v>
      </c>
      <c r="C246" s="99" t="s">
        <v>265</v>
      </c>
      <c r="D246" s="98" t="s">
        <v>238</v>
      </c>
      <c r="E246" s="100">
        <v>1.5173611111111109</v>
      </c>
      <c r="F246" s="98" t="s">
        <v>49</v>
      </c>
      <c r="G246" s="101">
        <v>9</v>
      </c>
      <c r="H246" s="102">
        <v>449</v>
      </c>
    </row>
    <row r="247" spans="1:8" ht="18" x14ac:dyDescent="0.3">
      <c r="A247" s="89">
        <v>45991</v>
      </c>
      <c r="B247" s="90" t="s">
        <v>47</v>
      </c>
      <c r="C247" s="91" t="s">
        <v>265</v>
      </c>
      <c r="D247" s="90" t="s">
        <v>238</v>
      </c>
      <c r="E247" s="92">
        <v>1.5173611111111109</v>
      </c>
      <c r="F247" s="90" t="s">
        <v>52</v>
      </c>
      <c r="G247" s="93">
        <v>9</v>
      </c>
      <c r="H247" s="94">
        <v>549</v>
      </c>
    </row>
    <row r="248" spans="1:8" ht="18" x14ac:dyDescent="0.3">
      <c r="A248" s="89">
        <v>45991</v>
      </c>
      <c r="B248" s="90" t="s">
        <v>47</v>
      </c>
      <c r="C248" s="91" t="s">
        <v>265</v>
      </c>
      <c r="D248" s="90" t="s">
        <v>238</v>
      </c>
      <c r="E248" s="92">
        <v>1.5173611111111109</v>
      </c>
      <c r="F248" s="90" t="s">
        <v>55</v>
      </c>
      <c r="G248" s="93">
        <v>9</v>
      </c>
      <c r="H248" s="94">
        <v>639</v>
      </c>
    </row>
    <row r="249" spans="1:8" ht="18" x14ac:dyDescent="0.3">
      <c r="A249" s="97">
        <v>45991</v>
      </c>
      <c r="B249" s="98" t="s">
        <v>47</v>
      </c>
      <c r="C249" s="99" t="s">
        <v>266</v>
      </c>
      <c r="D249" s="98" t="s">
        <v>238</v>
      </c>
      <c r="E249" s="100">
        <v>1.854166666666667</v>
      </c>
      <c r="F249" s="98" t="s">
        <v>49</v>
      </c>
      <c r="G249" s="101">
        <v>4</v>
      </c>
      <c r="H249" s="102">
        <v>449</v>
      </c>
    </row>
    <row r="250" spans="1:8" ht="18" x14ac:dyDescent="0.3">
      <c r="A250" s="89">
        <v>45991</v>
      </c>
      <c r="B250" s="90" t="s">
        <v>47</v>
      </c>
      <c r="C250" s="91" t="s">
        <v>266</v>
      </c>
      <c r="D250" s="90" t="s">
        <v>238</v>
      </c>
      <c r="E250" s="92">
        <v>1.854166666666667</v>
      </c>
      <c r="F250" s="90" t="s">
        <v>52</v>
      </c>
      <c r="G250" s="93">
        <v>4</v>
      </c>
      <c r="H250" s="94">
        <v>549</v>
      </c>
    </row>
    <row r="251" spans="1:8" ht="18" x14ac:dyDescent="0.3">
      <c r="A251" s="89">
        <v>45991</v>
      </c>
      <c r="B251" s="90" t="s">
        <v>47</v>
      </c>
      <c r="C251" s="91" t="s">
        <v>266</v>
      </c>
      <c r="D251" s="90" t="s">
        <v>238</v>
      </c>
      <c r="E251" s="92">
        <v>1.854166666666667</v>
      </c>
      <c r="F251" s="90" t="s">
        <v>55</v>
      </c>
      <c r="G251" s="93">
        <v>4</v>
      </c>
      <c r="H251" s="94">
        <v>639</v>
      </c>
    </row>
    <row r="252" spans="1:8" ht="18" x14ac:dyDescent="0.3">
      <c r="A252" s="97">
        <v>45991</v>
      </c>
      <c r="B252" s="98" t="s">
        <v>47</v>
      </c>
      <c r="C252" s="99" t="s">
        <v>258</v>
      </c>
      <c r="D252" s="98" t="s">
        <v>238</v>
      </c>
      <c r="E252" s="100">
        <v>1.395833333333333</v>
      </c>
      <c r="F252" s="98" t="s">
        <v>49</v>
      </c>
      <c r="G252" s="101">
        <v>9</v>
      </c>
      <c r="H252" s="102">
        <v>449</v>
      </c>
    </row>
    <row r="253" spans="1:8" ht="18" x14ac:dyDescent="0.3">
      <c r="A253" s="89">
        <v>45991</v>
      </c>
      <c r="B253" s="90" t="s">
        <v>47</v>
      </c>
      <c r="C253" s="91" t="s">
        <v>258</v>
      </c>
      <c r="D253" s="90" t="s">
        <v>238</v>
      </c>
      <c r="E253" s="92">
        <v>1.395833333333333</v>
      </c>
      <c r="F253" s="90" t="s">
        <v>52</v>
      </c>
      <c r="G253" s="93">
        <v>9</v>
      </c>
      <c r="H253" s="94">
        <v>549</v>
      </c>
    </row>
    <row r="254" spans="1:8" ht="18" x14ac:dyDescent="0.3">
      <c r="A254" s="89">
        <v>45991</v>
      </c>
      <c r="B254" s="90" t="s">
        <v>47</v>
      </c>
      <c r="C254" s="91" t="s">
        <v>258</v>
      </c>
      <c r="D254" s="90" t="s">
        <v>238</v>
      </c>
      <c r="E254" s="92">
        <v>1.395833333333333</v>
      </c>
      <c r="F254" s="90" t="s">
        <v>55</v>
      </c>
      <c r="G254" s="93">
        <v>9</v>
      </c>
      <c r="H254" s="94">
        <v>639</v>
      </c>
    </row>
    <row r="255" spans="1:8" ht="18" x14ac:dyDescent="0.3">
      <c r="A255" s="97">
        <v>45991</v>
      </c>
      <c r="B255" s="98" t="s">
        <v>47</v>
      </c>
      <c r="C255" s="99" t="s">
        <v>267</v>
      </c>
      <c r="D255" s="98" t="s">
        <v>238</v>
      </c>
      <c r="E255" s="100">
        <v>1.302083333333333</v>
      </c>
      <c r="F255" s="98" t="s">
        <v>49</v>
      </c>
      <c r="G255" s="101">
        <v>9</v>
      </c>
      <c r="H255" s="102">
        <v>449</v>
      </c>
    </row>
    <row r="256" spans="1:8" ht="18" x14ac:dyDescent="0.3">
      <c r="A256" s="89">
        <v>45991</v>
      </c>
      <c r="B256" s="90" t="s">
        <v>47</v>
      </c>
      <c r="C256" s="91" t="s">
        <v>267</v>
      </c>
      <c r="D256" s="90" t="s">
        <v>238</v>
      </c>
      <c r="E256" s="92">
        <v>1.302083333333333</v>
      </c>
      <c r="F256" s="90" t="s">
        <v>52</v>
      </c>
      <c r="G256" s="93">
        <v>9</v>
      </c>
      <c r="H256" s="94">
        <v>549</v>
      </c>
    </row>
    <row r="257" spans="1:8" ht="18" x14ac:dyDescent="0.3">
      <c r="A257" s="89">
        <v>45991</v>
      </c>
      <c r="B257" s="90" t="s">
        <v>47</v>
      </c>
      <c r="C257" s="91" t="s">
        <v>267</v>
      </c>
      <c r="D257" s="90" t="s">
        <v>238</v>
      </c>
      <c r="E257" s="92">
        <v>1.302083333333333</v>
      </c>
      <c r="F257" s="90" t="s">
        <v>55</v>
      </c>
      <c r="G257" s="93">
        <v>9</v>
      </c>
      <c r="H257" s="94">
        <v>639</v>
      </c>
    </row>
    <row r="258" spans="1:8" ht="18" x14ac:dyDescent="0.3">
      <c r="A258" s="97">
        <v>45991</v>
      </c>
      <c r="B258" s="98" t="s">
        <v>47</v>
      </c>
      <c r="C258" s="99" t="s">
        <v>271</v>
      </c>
      <c r="D258" s="98" t="s">
        <v>238</v>
      </c>
      <c r="E258" s="100">
        <v>1.7986111111111109</v>
      </c>
      <c r="F258" s="98" t="s">
        <v>49</v>
      </c>
      <c r="G258" s="101">
        <v>7</v>
      </c>
      <c r="H258" s="102">
        <v>449</v>
      </c>
    </row>
    <row r="259" spans="1:8" ht="18" x14ac:dyDescent="0.3">
      <c r="A259" s="89">
        <v>45991</v>
      </c>
      <c r="B259" s="90" t="s">
        <v>47</v>
      </c>
      <c r="C259" s="91" t="s">
        <v>271</v>
      </c>
      <c r="D259" s="90" t="s">
        <v>238</v>
      </c>
      <c r="E259" s="92">
        <v>1.7986111111111109</v>
      </c>
      <c r="F259" s="90" t="s">
        <v>52</v>
      </c>
      <c r="G259" s="93">
        <v>7</v>
      </c>
      <c r="H259" s="94">
        <v>549</v>
      </c>
    </row>
    <row r="260" spans="1:8" ht="18" x14ac:dyDescent="0.3">
      <c r="A260" s="89">
        <v>45991</v>
      </c>
      <c r="B260" s="90" t="s">
        <v>47</v>
      </c>
      <c r="C260" s="91" t="s">
        <v>271</v>
      </c>
      <c r="D260" s="90" t="s">
        <v>238</v>
      </c>
      <c r="E260" s="92">
        <v>1.7986111111111109</v>
      </c>
      <c r="F260" s="90" t="s">
        <v>55</v>
      </c>
      <c r="G260" s="93">
        <v>7</v>
      </c>
      <c r="H260" s="94">
        <v>639</v>
      </c>
    </row>
    <row r="261" spans="1:8" ht="18" x14ac:dyDescent="0.3">
      <c r="A261" s="97">
        <v>45991</v>
      </c>
      <c r="B261" s="98" t="s">
        <v>47</v>
      </c>
      <c r="C261" s="99" t="s">
        <v>255</v>
      </c>
      <c r="D261" s="98" t="s">
        <v>238</v>
      </c>
      <c r="E261" s="100">
        <v>1.256944444444444</v>
      </c>
      <c r="F261" s="98" t="s">
        <v>49</v>
      </c>
      <c r="G261" s="101">
        <v>9</v>
      </c>
      <c r="H261" s="102">
        <v>489</v>
      </c>
    </row>
    <row r="262" spans="1:8" ht="18" x14ac:dyDescent="0.3">
      <c r="A262" s="89">
        <v>45991</v>
      </c>
      <c r="B262" s="90" t="s">
        <v>47</v>
      </c>
      <c r="C262" s="91" t="s">
        <v>255</v>
      </c>
      <c r="D262" s="90" t="s">
        <v>238</v>
      </c>
      <c r="E262" s="92">
        <v>1.256944444444444</v>
      </c>
      <c r="F262" s="90" t="s">
        <v>52</v>
      </c>
      <c r="G262" s="93">
        <v>9</v>
      </c>
      <c r="H262" s="94">
        <v>589</v>
      </c>
    </row>
    <row r="263" spans="1:8" ht="18" x14ac:dyDescent="0.3">
      <c r="A263" s="89">
        <v>45991</v>
      </c>
      <c r="B263" s="90" t="s">
        <v>47</v>
      </c>
      <c r="C263" s="91" t="s">
        <v>255</v>
      </c>
      <c r="D263" s="90" t="s">
        <v>238</v>
      </c>
      <c r="E263" s="92">
        <v>1.256944444444444</v>
      </c>
      <c r="F263" s="90" t="s">
        <v>55</v>
      </c>
      <c r="G263" s="93">
        <v>9</v>
      </c>
      <c r="H263" s="94">
        <v>679</v>
      </c>
    </row>
    <row r="264" spans="1:8" ht="18" x14ac:dyDescent="0.3">
      <c r="A264" s="95">
        <v>45991</v>
      </c>
      <c r="B264" s="84" t="s">
        <v>35</v>
      </c>
      <c r="C264" s="85" t="s">
        <v>310</v>
      </c>
      <c r="D264" s="84" t="s">
        <v>238</v>
      </c>
      <c r="E264" s="86">
        <v>1.4861111111111109</v>
      </c>
      <c r="F264" s="84" t="s">
        <v>308</v>
      </c>
      <c r="G264" s="87">
        <v>9</v>
      </c>
      <c r="H264" s="96">
        <v>503</v>
      </c>
    </row>
    <row r="265" spans="1:8" ht="18" x14ac:dyDescent="0.3">
      <c r="A265" s="97">
        <v>45991</v>
      </c>
      <c r="B265" s="98" t="s">
        <v>35</v>
      </c>
      <c r="C265" s="99" t="s">
        <v>311</v>
      </c>
      <c r="D265" s="98" t="s">
        <v>238</v>
      </c>
      <c r="E265" s="100">
        <v>1.145833333333333</v>
      </c>
      <c r="F265" s="98" t="s">
        <v>308</v>
      </c>
      <c r="G265" s="101">
        <v>9</v>
      </c>
      <c r="H265" s="102">
        <v>503</v>
      </c>
    </row>
    <row r="266" spans="1:8" ht="18" x14ac:dyDescent="0.3">
      <c r="A266" s="97">
        <v>45991</v>
      </c>
      <c r="B266" s="98" t="s">
        <v>35</v>
      </c>
      <c r="C266" s="99" t="s">
        <v>315</v>
      </c>
      <c r="D266" s="98" t="s">
        <v>238</v>
      </c>
      <c r="E266" s="100">
        <v>1.2222222222222221</v>
      </c>
      <c r="F266" s="98" t="s">
        <v>308</v>
      </c>
      <c r="G266" s="101">
        <v>9</v>
      </c>
      <c r="H266" s="102">
        <v>507</v>
      </c>
    </row>
    <row r="267" spans="1:8" ht="18" x14ac:dyDescent="0.3">
      <c r="A267" s="97">
        <v>45991</v>
      </c>
      <c r="B267" s="98" t="s">
        <v>35</v>
      </c>
      <c r="C267" s="99" t="s">
        <v>314</v>
      </c>
      <c r="D267" s="98" t="s">
        <v>238</v>
      </c>
      <c r="E267" s="100">
        <v>1.958333333333333</v>
      </c>
      <c r="F267" s="98" t="s">
        <v>37</v>
      </c>
      <c r="G267" s="101">
        <v>3</v>
      </c>
      <c r="H267" s="102">
        <v>673</v>
      </c>
    </row>
    <row r="268" spans="1:8" ht="18" x14ac:dyDescent="0.3">
      <c r="A268" s="97">
        <v>45991</v>
      </c>
      <c r="B268" s="98" t="s">
        <v>35</v>
      </c>
      <c r="C268" s="99" t="s">
        <v>316</v>
      </c>
      <c r="D268" s="98" t="s">
        <v>238</v>
      </c>
      <c r="E268" s="100">
        <v>1.774305555555556</v>
      </c>
      <c r="F268" s="98" t="s">
        <v>37</v>
      </c>
      <c r="G268" s="101">
        <v>4</v>
      </c>
      <c r="H268" s="102">
        <v>673</v>
      </c>
    </row>
    <row r="269" spans="1:8" ht="18" x14ac:dyDescent="0.3">
      <c r="A269" s="97">
        <v>45991</v>
      </c>
      <c r="B269" s="98" t="s">
        <v>35</v>
      </c>
      <c r="C269" s="99" t="s">
        <v>312</v>
      </c>
      <c r="D269" s="98" t="s">
        <v>238</v>
      </c>
      <c r="E269" s="100">
        <v>1.2777777777777779</v>
      </c>
      <c r="F269" s="98" t="s">
        <v>37</v>
      </c>
      <c r="G269" s="101">
        <v>2</v>
      </c>
      <c r="H269" s="102">
        <v>842</v>
      </c>
    </row>
    <row r="270" spans="1:8" ht="18" x14ac:dyDescent="0.3">
      <c r="A270" s="97">
        <v>45991</v>
      </c>
      <c r="B270" s="98" t="s">
        <v>35</v>
      </c>
      <c r="C270" s="99" t="s">
        <v>307</v>
      </c>
      <c r="D270" s="98" t="s">
        <v>238</v>
      </c>
      <c r="E270" s="100">
        <v>1.0138888888888891</v>
      </c>
      <c r="F270" s="98" t="s">
        <v>37</v>
      </c>
      <c r="G270" s="101">
        <v>1</v>
      </c>
      <c r="H270" s="102">
        <v>846</v>
      </c>
    </row>
    <row r="271" spans="1:8" ht="18" x14ac:dyDescent="0.3">
      <c r="A271" s="95">
        <v>45991</v>
      </c>
      <c r="B271" s="84" t="s">
        <v>63</v>
      </c>
      <c r="C271" s="85" t="s">
        <v>322</v>
      </c>
      <c r="D271" s="84" t="s">
        <v>238</v>
      </c>
      <c r="E271" s="86">
        <v>1.3784722222222221</v>
      </c>
      <c r="F271" s="84" t="s">
        <v>65</v>
      </c>
      <c r="G271" s="87">
        <v>9</v>
      </c>
      <c r="H271" s="96">
        <v>935</v>
      </c>
    </row>
    <row r="272" spans="1:8" ht="18" x14ac:dyDescent="0.3">
      <c r="A272" s="89">
        <v>45991</v>
      </c>
      <c r="B272" s="90" t="s">
        <v>63</v>
      </c>
      <c r="C272" s="91" t="s">
        <v>322</v>
      </c>
      <c r="D272" s="90" t="s">
        <v>238</v>
      </c>
      <c r="E272" s="92">
        <v>1.3784722222222221</v>
      </c>
      <c r="F272" s="90" t="s">
        <v>67</v>
      </c>
      <c r="G272" s="93">
        <v>9</v>
      </c>
      <c r="H272" s="94">
        <v>980</v>
      </c>
    </row>
    <row r="273" spans="1:8" ht="18" x14ac:dyDescent="0.3">
      <c r="A273" s="97">
        <v>45991</v>
      </c>
      <c r="B273" s="98" t="s">
        <v>63</v>
      </c>
      <c r="C273" s="99" t="s">
        <v>330</v>
      </c>
      <c r="D273" s="98" t="s">
        <v>238</v>
      </c>
      <c r="E273" s="100">
        <v>1.71875</v>
      </c>
      <c r="F273" s="98" t="s">
        <v>65</v>
      </c>
      <c r="G273" s="101">
        <v>9</v>
      </c>
      <c r="H273" s="102">
        <v>935</v>
      </c>
    </row>
    <row r="274" spans="1:8" ht="18" x14ac:dyDescent="0.3">
      <c r="A274" s="89">
        <v>45991</v>
      </c>
      <c r="B274" s="90" t="s">
        <v>63</v>
      </c>
      <c r="C274" s="91" t="s">
        <v>330</v>
      </c>
      <c r="D274" s="90" t="s">
        <v>238</v>
      </c>
      <c r="E274" s="92">
        <v>1.71875</v>
      </c>
      <c r="F274" s="90" t="s">
        <v>67</v>
      </c>
      <c r="G274" s="93">
        <v>9</v>
      </c>
      <c r="H274" s="94">
        <v>980</v>
      </c>
    </row>
    <row r="275" spans="1:8" ht="18" x14ac:dyDescent="0.3">
      <c r="A275" s="97">
        <v>45991</v>
      </c>
      <c r="B275" s="98" t="s">
        <v>63</v>
      </c>
      <c r="C275" s="99" t="s">
        <v>318</v>
      </c>
      <c r="D275" s="98" t="s">
        <v>238</v>
      </c>
      <c r="E275" s="100">
        <v>1.239583333333333</v>
      </c>
      <c r="F275" s="98" t="s">
        <v>65</v>
      </c>
      <c r="G275" s="101">
        <v>9</v>
      </c>
      <c r="H275" s="102">
        <v>935</v>
      </c>
    </row>
    <row r="276" spans="1:8" ht="18" x14ac:dyDescent="0.3">
      <c r="A276" s="89">
        <v>45991</v>
      </c>
      <c r="B276" s="90" t="s">
        <v>63</v>
      </c>
      <c r="C276" s="91" t="s">
        <v>318</v>
      </c>
      <c r="D276" s="90" t="s">
        <v>238</v>
      </c>
      <c r="E276" s="92">
        <v>1.239583333333333</v>
      </c>
      <c r="F276" s="90" t="s">
        <v>67</v>
      </c>
      <c r="G276" s="93">
        <v>9</v>
      </c>
      <c r="H276" s="94">
        <v>980</v>
      </c>
    </row>
    <row r="277" spans="1:8" ht="18" x14ac:dyDescent="0.3">
      <c r="A277" s="97">
        <v>45991</v>
      </c>
      <c r="B277" s="98" t="s">
        <v>63</v>
      </c>
      <c r="C277" s="99" t="s">
        <v>329</v>
      </c>
      <c r="D277" s="98" t="s">
        <v>238</v>
      </c>
      <c r="E277" s="100">
        <v>1.1284722222222221</v>
      </c>
      <c r="F277" s="98" t="s">
        <v>67</v>
      </c>
      <c r="G277" s="101">
        <v>4</v>
      </c>
      <c r="H277" s="98" t="s">
        <v>334</v>
      </c>
    </row>
    <row r="278" spans="1:8" ht="18" x14ac:dyDescent="0.3">
      <c r="A278" s="97">
        <v>45991</v>
      </c>
      <c r="B278" s="98" t="s">
        <v>63</v>
      </c>
      <c r="C278" s="99" t="s">
        <v>341</v>
      </c>
      <c r="D278" s="98" t="s">
        <v>238</v>
      </c>
      <c r="E278" s="100">
        <v>1.6111111111111109</v>
      </c>
      <c r="F278" s="98" t="s">
        <v>65</v>
      </c>
      <c r="G278" s="101">
        <v>9</v>
      </c>
      <c r="H278" s="98" t="s">
        <v>336</v>
      </c>
    </row>
    <row r="279" spans="1:8" ht="18" x14ac:dyDescent="0.3">
      <c r="A279" s="89">
        <v>45991</v>
      </c>
      <c r="B279" s="90" t="s">
        <v>63</v>
      </c>
      <c r="C279" s="91" t="s">
        <v>341</v>
      </c>
      <c r="D279" s="90" t="s">
        <v>238</v>
      </c>
      <c r="E279" s="92">
        <v>1.6111111111111109</v>
      </c>
      <c r="F279" s="90" t="s">
        <v>67</v>
      </c>
      <c r="G279" s="93">
        <v>9</v>
      </c>
      <c r="H279" s="90" t="s">
        <v>337</v>
      </c>
    </row>
    <row r="280" spans="1:8" ht="18" x14ac:dyDescent="0.3">
      <c r="A280" s="97">
        <v>45991</v>
      </c>
      <c r="B280" s="98" t="s">
        <v>63</v>
      </c>
      <c r="C280" s="99" t="s">
        <v>325</v>
      </c>
      <c r="D280" s="98" t="s">
        <v>238</v>
      </c>
      <c r="E280" s="100">
        <v>1.006944444444444</v>
      </c>
      <c r="F280" s="98" t="s">
        <v>65</v>
      </c>
      <c r="G280" s="101">
        <v>9</v>
      </c>
      <c r="H280" s="98" t="s">
        <v>336</v>
      </c>
    </row>
    <row r="281" spans="1:8" ht="18" x14ac:dyDescent="0.3">
      <c r="A281" s="89">
        <v>45991</v>
      </c>
      <c r="B281" s="90" t="s">
        <v>63</v>
      </c>
      <c r="C281" s="91" t="s">
        <v>325</v>
      </c>
      <c r="D281" s="90" t="s">
        <v>238</v>
      </c>
      <c r="E281" s="92">
        <v>1.006944444444444</v>
      </c>
      <c r="F281" s="90" t="s">
        <v>67</v>
      </c>
      <c r="G281" s="93">
        <v>9</v>
      </c>
      <c r="H281" s="90" t="s">
        <v>337</v>
      </c>
    </row>
    <row r="282" spans="1:8" ht="18" x14ac:dyDescent="0.3">
      <c r="A282" s="97">
        <v>45991</v>
      </c>
      <c r="B282" s="98" t="s">
        <v>63</v>
      </c>
      <c r="C282" s="99" t="s">
        <v>335</v>
      </c>
      <c r="D282" s="98" t="s">
        <v>238</v>
      </c>
      <c r="E282" s="100">
        <v>1.930555555555556</v>
      </c>
      <c r="F282" s="98" t="s">
        <v>65</v>
      </c>
      <c r="G282" s="101">
        <v>9</v>
      </c>
      <c r="H282" s="98" t="s">
        <v>336</v>
      </c>
    </row>
    <row r="283" spans="1:8" ht="18" x14ac:dyDescent="0.3">
      <c r="A283" s="89">
        <v>45991</v>
      </c>
      <c r="B283" s="90" t="s">
        <v>63</v>
      </c>
      <c r="C283" s="91" t="s">
        <v>335</v>
      </c>
      <c r="D283" s="90" t="s">
        <v>238</v>
      </c>
      <c r="E283" s="92">
        <v>1.930555555555556</v>
      </c>
      <c r="F283" s="90" t="s">
        <v>67</v>
      </c>
      <c r="G283" s="93">
        <v>9</v>
      </c>
      <c r="H283" s="90" t="s">
        <v>337</v>
      </c>
    </row>
    <row r="284" spans="1:8" ht="18" x14ac:dyDescent="0.3">
      <c r="A284" s="97">
        <v>45991</v>
      </c>
      <c r="B284" s="98" t="s">
        <v>63</v>
      </c>
      <c r="C284" s="99" t="s">
        <v>326</v>
      </c>
      <c r="D284" s="98" t="s">
        <v>238</v>
      </c>
      <c r="E284" s="100">
        <v>1.8888888888888891</v>
      </c>
      <c r="F284" s="98" t="s">
        <v>67</v>
      </c>
      <c r="G284" s="101">
        <v>4</v>
      </c>
      <c r="H284" s="98" t="s">
        <v>368</v>
      </c>
    </row>
    <row r="285" spans="1:8" ht="18" x14ac:dyDescent="0.3">
      <c r="A285" s="97">
        <v>45991</v>
      </c>
      <c r="B285" s="98" t="s">
        <v>63</v>
      </c>
      <c r="C285" s="99" t="s">
        <v>328</v>
      </c>
      <c r="D285" s="98" t="s">
        <v>238</v>
      </c>
      <c r="E285" s="100">
        <v>1.302083333333333</v>
      </c>
      <c r="F285" s="98" t="s">
        <v>67</v>
      </c>
      <c r="G285" s="101">
        <v>4</v>
      </c>
      <c r="H285" s="98" t="s">
        <v>368</v>
      </c>
    </row>
    <row r="286" spans="1:8" ht="18" x14ac:dyDescent="0.3">
      <c r="A286" s="97">
        <v>45991</v>
      </c>
      <c r="B286" s="98" t="s">
        <v>63</v>
      </c>
      <c r="C286" s="99" t="s">
        <v>333</v>
      </c>
      <c r="D286" s="98" t="s">
        <v>238</v>
      </c>
      <c r="E286" s="100">
        <v>1.788194444444444</v>
      </c>
      <c r="F286" s="98" t="s">
        <v>67</v>
      </c>
      <c r="G286" s="101">
        <v>4</v>
      </c>
      <c r="H286" s="98" t="s">
        <v>368</v>
      </c>
    </row>
    <row r="287" spans="1:8" ht="18" x14ac:dyDescent="0.3">
      <c r="A287" s="97">
        <v>45991</v>
      </c>
      <c r="B287" s="98" t="s">
        <v>63</v>
      </c>
      <c r="C287" s="99" t="s">
        <v>321</v>
      </c>
      <c r="D287" s="98" t="s">
        <v>238</v>
      </c>
      <c r="E287" s="100">
        <v>1.1423611111111109</v>
      </c>
      <c r="F287" s="98" t="s">
        <v>65</v>
      </c>
      <c r="G287" s="101">
        <v>9</v>
      </c>
      <c r="H287" s="98" t="s">
        <v>384</v>
      </c>
    </row>
    <row r="288" spans="1:8" ht="18" x14ac:dyDescent="0.3">
      <c r="A288" s="89">
        <v>45991</v>
      </c>
      <c r="B288" s="90" t="s">
        <v>63</v>
      </c>
      <c r="C288" s="91" t="s">
        <v>321</v>
      </c>
      <c r="D288" s="90" t="s">
        <v>238</v>
      </c>
      <c r="E288" s="92">
        <v>1.1423611111111109</v>
      </c>
      <c r="F288" s="90" t="s">
        <v>67</v>
      </c>
      <c r="G288" s="93">
        <v>9</v>
      </c>
      <c r="H288" s="90" t="s">
        <v>385</v>
      </c>
    </row>
    <row r="289" spans="1:8" ht="18" x14ac:dyDescent="0.3">
      <c r="A289" s="97">
        <v>45991</v>
      </c>
      <c r="B289" s="98" t="s">
        <v>63</v>
      </c>
      <c r="C289" s="99" t="s">
        <v>338</v>
      </c>
      <c r="D289" s="98" t="s">
        <v>238</v>
      </c>
      <c r="E289" s="100">
        <v>1.8298611111111109</v>
      </c>
      <c r="F289" s="98" t="s">
        <v>65</v>
      </c>
      <c r="G289" s="101">
        <v>9</v>
      </c>
      <c r="H289" s="98" t="s">
        <v>384</v>
      </c>
    </row>
    <row r="290" spans="1:8" ht="18" x14ac:dyDescent="0.3">
      <c r="A290" s="210">
        <v>45991</v>
      </c>
      <c r="B290" s="211" t="s">
        <v>63</v>
      </c>
      <c r="C290" s="212" t="s">
        <v>338</v>
      </c>
      <c r="D290" s="211" t="s">
        <v>238</v>
      </c>
      <c r="E290" s="213">
        <v>1.8298611111111109</v>
      </c>
      <c r="F290" s="211" t="s">
        <v>67</v>
      </c>
      <c r="G290" s="214">
        <v>9</v>
      </c>
      <c r="H290" s="211" t="s">
        <v>385</v>
      </c>
    </row>
  </sheetData>
  <dataValidations count="21">
    <dataValidation type="custom" allowBlank="1" showInputMessage="1" promptTitle="LOAD FACTOR ANALYSIS" prompt="SM-424_x000d__x000a_LF 52.0%_x000d__x000a_SOLD 93_x000d__x000a_LST-SOLD 25NOV_x000d__x000a_WEEKLY 9_x000d__x000a_TO-DAY NIL_x000d__x000a_Y-DAY 3_x000d__x000a_LOWEST AVAIL I9_x000d__x000a_CAPACITY 179_x000d__x000a_CLASSES X1 &amp; U1 &amp; O4 &amp; +2 more" sqref="A40 B40 C40 D40 E40 F40 G40 H40" xr:uid="{00000000-0002-0000-0C00-000000000000}">
      <formula1>TRUE</formula1>
    </dataValidation>
    <dataValidation type="custom" allowBlank="1" showInputMessage="1" promptTitle="LOAD FACTOR ANALYSIS" prompt="SM-432_x000d__x000a_LF 46.9%_x000d__x000a_SOLD 84_x000d__x000a_LST-SOLD 25NOV_x000d__x000a_WEEKLY 48_x000d__x000a_TO-DAY NIL_x000d__x000a_Y-DAY 18_x000d__x000a_LOWEST AVAIL I9_x000d__x000a_CAPACITY 179_x000d__x000a_CLASSES S1 &amp; O6 &amp; I77" sqref="A41 B41 C41 D41 E41 F41 G41 H41" xr:uid="{00000000-0002-0000-0C00-000001000000}">
      <formula1>TRUE</formula1>
    </dataValidation>
    <dataValidation type="custom" allowBlank="1" showInputMessage="1" promptTitle="LOAD FACTOR ANALYSIS" prompt="SM-450_x000d__x000a_LF 40.2%_x000d__x000a_SOLD 72_x000d__x000a_LST-SOLD 24NOV_x000d__x000a_WEEKLY 24_x000d__x000a_TO-DAY NIL_x000d__x000a_Y-DAY NIL_x000d__x000a_LOWEST AVAIL I9_x000d__x000a_CAPACITY 179_x000d__x000a_CLASSES I43 &amp; E28 &amp; N1" sqref="A42 B42 C42 D42 E42 F42 G42 H42" xr:uid="{00000000-0002-0000-0C00-000002000000}">
      <formula1>TRUE</formula1>
    </dataValidation>
    <dataValidation type="custom" allowBlank="1" showInputMessage="1" promptTitle="LOAD FACTOR ANALYSIS" prompt="SM-472_x000d__x000a_LF 29.0%_x000d__x000a_SOLD 52_x000d__x000a_LST-SOLD 25NOV_x000d__x000a_WEEKLY 12_x000d__x000a_TO-DAY NIL_x000d__x000a_Y-DAY 2_x000d__x000a_LOWEST AVAIL I9_x000d__x000a_CAPACITY 179_x000d__x000a_CLASSES S1 &amp; U4 &amp; O16 &amp; +1 more" sqref="A43 B43 C43 D43 E43 F43 G43 H43" xr:uid="{00000000-0002-0000-0C00-000003000000}">
      <formula1>TRUE</formula1>
    </dataValidation>
    <dataValidation type="custom" allowBlank="1" showInputMessage="1" promptTitle="LOAD FACTOR ANALYSIS" prompt="SM-476_x000d__x000a_LF 82.1%_x000d__x000a_SOLD 147_x000d__x000a_LST-SOLD 25NOV_x000d__x000a_WEEKLY 4_x000d__x000a_TO-DAY NIL_x000d__x000a_Y-DAY 2_x000d__x000a_LOWEST AVAIL I9_x000d__x000a_CAPACITY 179_x000d__x000a_CLASSES S1 &amp; O3 &amp; I11 &amp; +1 more" sqref="A44 B44 C44 D44 E44 F44 G44 H44" xr:uid="{00000000-0002-0000-0C00-000004000000}">
      <formula1>TRUE</formula1>
    </dataValidation>
    <dataValidation type="custom" allowBlank="1" showInputMessage="1" promptTitle="LOAD FACTOR ANALYSIS" prompt="SM-480_x000d__x000a_LF 78.2%_x000d__x000a_SOLD 140_x000d__x000a_LST-SOLD 25NOV_x000d__x000a_WEEKLY 64_x000d__x000a_TO-DAY NIL_x000d__x000a_Y-DAY 6_x000d__x000a_LOWEST AVAIL O9_x000d__x000a_CAPACITY 179_x000d__x000a_CLASSES S1 &amp; U14 &amp; O34 &amp; +3 more" sqref="A45 B45 C45 D45 E45 F45 G45 H45" xr:uid="{00000000-0002-0000-0C00-000005000000}">
      <formula1>TRUE</formula1>
    </dataValidation>
    <dataValidation type="custom" allowBlank="1" showInputMessage="1" promptTitle="LOAD FACTOR ANALYSIS" prompt="SM478_x000d__x000a_LF 1.0%_x000d__x000a_SOLD 179_x000d__x000a_LST-SOLD 25NOV_x000d__x000a_WEEKLY 56_x000d__x000a_TO-DAY NIL_x000d__x000a_Y-DAY 2_x000d__x000a_LOWEST AVAIL CLOSED_x000d__x000a_CAPACITY 179_x000d__x000a_CLASSES S4 &amp; U6 &amp; O25 &amp; +2 more" sqref="A46 B46 C46 D46 E46 F46 G46 H46" xr:uid="{00000000-0002-0000-0C00-000006000000}">
      <formula1>TRUE</formula1>
    </dataValidation>
    <dataValidation type="custom" allowBlank="1" showInputMessage="1" promptTitle="LOAD FACTOR ANALYSIS" prompt="SM-424_x000d__x000a_LF 47.5%_x000d__x000a_SOLD 85_x000d__x000a_LST-SOLD 25NOV_x000d__x000a_WEEKLY 49_x000d__x000a_TO-DAY NIL_x000d__x000a_Y-DAY 10_x000d__x000a_LOWEST AVAIL O1_x000d__x000a_CAPACITY 179_x000d__x000a_CLASSES B1 &amp; X1 &amp; U4 &amp; +2 more" sqref="A112 B112 C112 D112 E112 F112 G112 H112" xr:uid="{00000000-0002-0000-0C00-000007000000}">
      <formula1>TRUE</formula1>
    </dataValidation>
    <dataValidation type="custom" allowBlank="1" showInputMessage="1" promptTitle="LOAD FACTOR ANALYSIS" prompt="SM-478_x000d__x000a_LF 59.8%_x000d__x000a_SOLD 107_x000d__x000a_LST-SOLD 25NOV_x000d__x000a_WEEKLY 52_x000d__x000a_TO-DAY NIL_x000d__x000a_Y-DAY 3_x000d__x000a_LOWEST AVAIL O2_x000d__x000a_CAPACITY 179_x000d__x000a_CLASSES O23 &amp; I45 &amp; P39" sqref="A113 B113 C113 D113 E113 F113 G113 H113" xr:uid="{00000000-0002-0000-0C00-000008000000}">
      <formula1>TRUE</formula1>
    </dataValidation>
    <dataValidation type="custom" allowBlank="1" showInputMessage="1" promptTitle="LOAD FACTOR ANALYSIS" prompt="SM-480_x000d__x000a_LF 81.0%_x000d__x000a_SOLD 145_x000d__x000a_LST-SOLD 25NOV_x000d__x000a_WEEKLY 40_x000d__x000a_TO-DAY NIL_x000d__x000a_Y-DAY 2_x000d__x000a_LOWEST AVAIL O4_x000d__x000a_CAPACITY 179_x000d__x000a_CLASSES L1 &amp; G1 &amp; S1 &amp; +4 more" sqref="A114 B114 C114 D114 E114 F114 G114 H114" xr:uid="{00000000-0002-0000-0C00-000009000000}">
      <formula1>TRUE</formula1>
    </dataValidation>
    <dataValidation type="custom" allowBlank="1" showInputMessage="1" promptTitle="LOAD FACTOR ANALYSIS" prompt="SM-472_x000d__x000a_LF 60.3%_x000d__x000a_SOLD 108_x000d__x000a_LST-SOLD 24NOV_x000d__x000a_WEEKLY 56_x000d__x000a_TO-DAY NIL_x000d__x000a_Y-DAY NIL_x000d__x000a_LOWEST AVAIL U3_x000d__x000a_CAPACITY 179_x000d__x000a_CLASSES S4 &amp; X2 &amp; U14 &amp; +4 more" sqref="A115 B115 C115 D115 E115 F115 G115 H115" xr:uid="{00000000-0002-0000-0C00-00000A000000}">
      <formula1>TRUE</formula1>
    </dataValidation>
    <dataValidation type="custom" allowBlank="1" showInputMessage="1" promptTitle="LOAD FACTOR ANALYSIS" prompt="SM-476_x000d__x000a_LF 49.2%_x000d__x000a_SOLD 88_x000d__x000a_LST-SOLD 25NOV_x000d__x000a_WEEKLY 46_x000d__x000a_TO-DAY NIL_x000d__x000a_Y-DAY 14_x000d__x000a_LOWEST AVAIL U9_x000d__x000a_CAPACITY 179_x000d__x000a_CLASSES S3 &amp; O10 &amp; I74 &amp; +1 more" sqref="A116 B116 C116 D116 E116 F116 G116 H116" xr:uid="{00000000-0002-0000-0C00-00000B000000}">
      <formula1>TRUE</formula1>
    </dataValidation>
    <dataValidation type="custom" allowBlank="1" showInputMessage="1" promptTitle="LOAD FACTOR ANALYSIS" prompt="SM460_x000d__x000a_LF 93.8%_x000d__x000a_SOLD 168_x000d__x000a_LST-SOLD 23NOV_x000d__x000a_WEEKLY 6_x000d__x000a_TO-DAY NIL_x000d__x000a_Y-DAY NIL_x000d__x000a_LOWEST AVAIL CLOSED_x000d__x000a_CAPACITY 179_x000d__x000a_CLASSES S5 &amp; W3 &amp; U16 &amp; +3 more" sqref="A117 B117 C117 D117 E117 F117 G117 H117" xr:uid="{00000000-0002-0000-0C00-00000C000000}">
      <formula1>TRUE</formula1>
    </dataValidation>
    <dataValidation type="custom" allowBlank="1" showInputMessage="1" promptTitle="LOAD FACTOR ANALYSIS" prompt="SM-450_x000d__x000a_LF 86.0%_x000d__x000a_SOLD 154_x000d__x000a_LST-SOLD 26NOV_x000d__x000a_WEEKLY 47_x000d__x000a_TO-DAY 2_x000d__x000a_Y-DAY 3_x000d__x000a_LOWEST AVAIL O3_x000d__x000a_CAPACITY 179_x000d__x000a_CLASSES S2 &amp; W1 &amp; X3 &amp; +4 more" sqref="A185 B185 C185 D185 E185 F185 G185 H185" xr:uid="{00000000-0002-0000-0C00-00000D000000}">
      <formula1>TRUE</formula1>
    </dataValidation>
    <dataValidation type="custom" allowBlank="1" showInputMessage="1" promptTitle="LOAD FACTOR ANALYSIS" prompt="SM476_x000d__x000a_LF 92.2%_x000d__x000a_SOLD 165_x000d__x000a_LST-SOLD 24NOV_x000d__x000a_WEEKLY 35_x000d__x000a_TO-DAY NIL_x000d__x000a_Y-DAY NIL_x000d__x000a_LOWEST AVAIL CLOSED_x000d__x000a_CAPACITY 179_x000d__x000a_CLASSES S3 &amp; X1 &amp; U10 &amp; +4 more" sqref="A186 B186 C186 D186 E186 F186 G186 H186" xr:uid="{00000000-0002-0000-0C00-00000E000000}">
      <formula1>TRUE</formula1>
    </dataValidation>
    <dataValidation type="custom" allowBlank="1" showInputMessage="1" promptTitle="LOAD FACTOR ANALYSIS" prompt="SM478_x000d__x000a_LF 93.8%_x000d__x000a_SOLD 168_x000d__x000a_LST-SOLD 24NOV_x000d__x000a_WEEKLY 43_x000d__x000a_TO-DAY NIL_x000d__x000a_Y-DAY NIL_x000d__x000a_LOWEST AVAIL CLOSED_x000d__x000a_CAPACITY 179_x000d__x000a_CLASSES S1 &amp; T9 &amp; X11 &amp; +4 more" sqref="A187 B187 C187 D187 E187 F187 G187 H187" xr:uid="{00000000-0002-0000-0C00-00000F000000}">
      <formula1>TRUE</formula1>
    </dataValidation>
    <dataValidation type="custom" allowBlank="1" showInputMessage="1" promptTitle="LOAD FACTOR ANALYSIS" prompt="SM-424_x000d__x000a_LF 72.1%_x000d__x000a_SOLD 129_x000d__x000a_LST-SOLD 25NOV_x000d__x000a_WEEKLY 17_x000d__x000a_TO-DAY NIL_x000d__x000a_Y-DAY 9_x000d__x000a_LOWEST AVAIL O4_x000d__x000a_CAPACITY 179_x000d__x000a_CLASSES S2 &amp; W2 &amp; X3 &amp; +4 more" sqref="A235 B235 C235 D235 E235 F235 G235 H235" xr:uid="{00000000-0002-0000-0C00-000010000000}">
      <formula1>TRUE</formula1>
    </dataValidation>
    <dataValidation type="custom" allowBlank="1" showInputMessage="1" promptTitle="LOAD FACTOR ANALYSIS" prompt="SM-432_x000d__x000a_LF 66.1%_x000d__x000a_SOLD 111_x000d__x000a_LST-SOLD 25NOV_x000d__x000a_WEEKLY 9_x000d__x000a_TO-DAY NIL_x000d__x000a_Y-DAY 2_x000d__x000a_LOWEST AVAIL O9_x000d__x000a_CAPACITY 168_x000d__x000a_CLASSES U4 &amp; O19 &amp; I5 &amp; +1 more" sqref="A236 B236 C236 D236 E236 F236 G236 H236" xr:uid="{00000000-0002-0000-0C00-000011000000}">
      <formula1>TRUE</formula1>
    </dataValidation>
    <dataValidation type="custom" allowBlank="1" showInputMessage="1" promptTitle="LOAD FACTOR ANALYSIS" prompt="SM-476_x000d__x000a_LF 79.9%_x000d__x000a_SOLD 143_x000d__x000a_LST-SOLD 25NOV_x000d__x000a_WEEKLY 55_x000d__x000a_TO-DAY NIL_x000d__x000a_Y-DAY 4_x000d__x000a_LOWEST AVAIL O1_x000d__x000a_CAPACITY 179_x000d__x000a_CLASSES S3 &amp; U4 &amp; O34 &amp; +2 more" sqref="A237 B237 C237 D237 E237 F237 G237 H237" xr:uid="{00000000-0002-0000-0C00-000012000000}">
      <formula1>TRUE</formula1>
    </dataValidation>
    <dataValidation type="custom" allowBlank="1" showInputMessage="1" promptTitle="LOAD FACTOR ANALYSIS" prompt="SM460_x000d__x000a_LF 93.8%_x000d__x000a_SOLD 168_x000d__x000a_LST-SOLD 25NOV_x000d__x000a_WEEKLY 6_x000d__x000a_TO-DAY NIL_x000d__x000a_Y-DAY 1_x000d__x000a_LOWEST AVAIL CLOSED_x000d__x000a_CAPACITY 179_x000d__x000a_CLASSES X3 &amp; O3 &amp; I5 &amp; +1 more" sqref="A238 B238 C238 D238 E238 F238 G238 H238" xr:uid="{00000000-0002-0000-0C00-000013000000}">
      <formula1>TRUE</formula1>
    </dataValidation>
    <dataValidation type="custom" allowBlank="1" showInputMessage="1" promptTitle="LOAD FACTOR ANALYSIS" prompt="SM478_x000d__x000a_LF 96.7%_x000d__x000a_SOLD 173_x000d__x000a_LST-SOLD 21NOV_x000d__x000a_WEEKLY 3_x000d__x000a_TO-DAY NIL_x000d__x000a_Y-DAY NIL_x000d__x000a_LOWEST AVAIL CLOSED_x000d__x000a_CAPACITY 179_x000d__x000a_CLASSES K1 &amp; S4 &amp; X7 &amp; +6 more" sqref="A239 B239 C239 D239 E239 F239 G239 H239" xr:uid="{00000000-0002-0000-0C00-00001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N8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1.55468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471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45987.359151102093</v>
      </c>
      <c r="H2" s="294"/>
      <c r="I2" s="294"/>
      <c r="J2" s="294"/>
      <c r="K2" s="301">
        <v>45987.359151102559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302</v>
      </c>
      <c r="B6" s="8" t="s">
        <v>472</v>
      </c>
      <c r="C6" s="9">
        <v>0.52777777777777779</v>
      </c>
      <c r="D6" s="8" t="s">
        <v>473</v>
      </c>
      <c r="E6" s="8" t="s">
        <v>109</v>
      </c>
      <c r="F6" s="8" t="s">
        <v>474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302</v>
      </c>
      <c r="B7" s="15" t="s">
        <v>472</v>
      </c>
      <c r="C7" s="16">
        <v>0.52777777777777779</v>
      </c>
      <c r="D7" s="15" t="s">
        <v>475</v>
      </c>
      <c r="E7" s="15" t="s">
        <v>111</v>
      </c>
      <c r="F7" s="15" t="s">
        <v>476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302</v>
      </c>
      <c r="B8" s="15" t="s">
        <v>472</v>
      </c>
      <c r="C8" s="16">
        <v>0.52777777777777779</v>
      </c>
      <c r="D8" s="15" t="s">
        <v>33</v>
      </c>
      <c r="E8" s="15" t="s">
        <v>111</v>
      </c>
      <c r="F8" s="15" t="s">
        <v>477</v>
      </c>
      <c r="G8" s="2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302</v>
      </c>
      <c r="B9" s="19" t="s">
        <v>478</v>
      </c>
      <c r="C9" s="20">
        <v>0.79861111111111116</v>
      </c>
      <c r="D9" s="19" t="s">
        <v>473</v>
      </c>
      <c r="E9" s="19" t="s">
        <v>72</v>
      </c>
      <c r="F9" s="19" t="s">
        <v>479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302</v>
      </c>
      <c r="B10" s="15" t="s">
        <v>478</v>
      </c>
      <c r="C10" s="16">
        <v>0.79861111111111116</v>
      </c>
      <c r="D10" s="15" t="s">
        <v>475</v>
      </c>
      <c r="E10" s="15" t="s">
        <v>73</v>
      </c>
      <c r="F10" s="15" t="s">
        <v>480</v>
      </c>
      <c r="G10" s="2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302</v>
      </c>
      <c r="B11" s="15" t="s">
        <v>478</v>
      </c>
      <c r="C11" s="16">
        <v>0.79861111111111116</v>
      </c>
      <c r="D11" s="15" t="s">
        <v>33</v>
      </c>
      <c r="E11" s="15" t="s">
        <v>73</v>
      </c>
      <c r="F11" s="15" t="s">
        <v>481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43" t="s">
        <v>76</v>
      </c>
      <c r="B12" s="143" t="s">
        <v>482</v>
      </c>
      <c r="C12" s="144">
        <v>0.27430555555555552</v>
      </c>
      <c r="D12" s="143" t="s">
        <v>78</v>
      </c>
      <c r="E12" s="143" t="s">
        <v>79</v>
      </c>
      <c r="F12" s="143" t="s">
        <v>483</v>
      </c>
      <c r="G12" s="282"/>
      <c r="H12" s="145" t="s">
        <v>484</v>
      </c>
      <c r="I12" s="146">
        <v>0.97770000000000001</v>
      </c>
      <c r="J12" s="147">
        <v>175</v>
      </c>
      <c r="K12" s="148">
        <v>45983</v>
      </c>
      <c r="L12" s="147">
        <v>3</v>
      </c>
      <c r="M12" s="147">
        <v>0</v>
      </c>
      <c r="N12" s="147">
        <v>0</v>
      </c>
      <c r="O12" s="149" t="s">
        <v>169</v>
      </c>
      <c r="P12" s="150">
        <v>0.27430555555555552</v>
      </c>
      <c r="Q12" s="147">
        <v>179</v>
      </c>
      <c r="R12" s="151" t="s">
        <v>485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7" t="s">
        <v>63</v>
      </c>
      <c r="B13" s="17" t="s">
        <v>486</v>
      </c>
      <c r="C13" s="18">
        <v>0.34027777777777768</v>
      </c>
      <c r="D13" s="17" t="s">
        <v>487</v>
      </c>
      <c r="E13" s="17" t="s">
        <v>38</v>
      </c>
      <c r="F13" s="17" t="s">
        <v>488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63</v>
      </c>
      <c r="B14" s="15" t="s">
        <v>486</v>
      </c>
      <c r="C14" s="16">
        <v>0.34027777777777768</v>
      </c>
      <c r="D14" s="15" t="s">
        <v>65</v>
      </c>
      <c r="E14" s="15" t="s">
        <v>68</v>
      </c>
      <c r="F14" s="15" t="s">
        <v>489</v>
      </c>
      <c r="G14" s="2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5" t="s">
        <v>63</v>
      </c>
      <c r="B15" s="15" t="s">
        <v>486</v>
      </c>
      <c r="C15" s="16">
        <v>0.34027777777777768</v>
      </c>
      <c r="D15" s="15" t="s">
        <v>67</v>
      </c>
      <c r="E15" s="15" t="s">
        <v>68</v>
      </c>
      <c r="F15" s="15" t="s">
        <v>490</v>
      </c>
      <c r="G15" s="2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63</v>
      </c>
      <c r="B16" s="19" t="s">
        <v>491</v>
      </c>
      <c r="C16" s="20">
        <v>0.71180555555555547</v>
      </c>
      <c r="D16" s="19" t="s">
        <v>65</v>
      </c>
      <c r="E16" s="19" t="s">
        <v>92</v>
      </c>
      <c r="F16" s="19" t="s">
        <v>492</v>
      </c>
      <c r="G16" s="2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63</v>
      </c>
      <c r="B17" s="15" t="s">
        <v>491</v>
      </c>
      <c r="C17" s="16">
        <v>0.71180555555555547</v>
      </c>
      <c r="D17" s="15" t="s">
        <v>67</v>
      </c>
      <c r="E17" s="15" t="s">
        <v>53</v>
      </c>
      <c r="F17" s="15" t="s">
        <v>493</v>
      </c>
      <c r="G17" s="2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8" x14ac:dyDescent="0.3">
      <c r="A18" s="303" t="s">
        <v>494</v>
      </c>
      <c r="B18" s="304"/>
      <c r="C18" s="304"/>
      <c r="D18" s="304"/>
      <c r="E18" s="304"/>
      <c r="F18" s="304"/>
      <c r="G18" s="282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9" t="s">
        <v>25</v>
      </c>
      <c r="B19" s="19" t="s">
        <v>239</v>
      </c>
      <c r="C19" s="20" t="s">
        <v>495</v>
      </c>
      <c r="D19" s="19" t="s">
        <v>27</v>
      </c>
      <c r="E19" s="19" t="s">
        <v>496</v>
      </c>
      <c r="F19" s="19" t="s">
        <v>241</v>
      </c>
      <c r="G19" s="282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9" t="s">
        <v>25</v>
      </c>
      <c r="B20" s="19" t="s">
        <v>244</v>
      </c>
      <c r="C20" s="20" t="s">
        <v>497</v>
      </c>
      <c r="D20" s="19" t="s">
        <v>27</v>
      </c>
      <c r="E20" s="19" t="s">
        <v>498</v>
      </c>
      <c r="F20" s="19" t="s">
        <v>241</v>
      </c>
      <c r="G20" s="282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25</v>
      </c>
      <c r="B21" s="19" t="s">
        <v>247</v>
      </c>
      <c r="C21" s="20" t="s">
        <v>499</v>
      </c>
      <c r="D21" s="19" t="s">
        <v>27</v>
      </c>
      <c r="E21" s="19" t="s">
        <v>500</v>
      </c>
      <c r="F21" s="19" t="s">
        <v>241</v>
      </c>
      <c r="G21" s="282"/>
      <c r="H21" s="137"/>
      <c r="I21" s="137"/>
      <c r="J21" s="137"/>
      <c r="K21" s="137"/>
      <c r="L21" s="137"/>
      <c r="M21" s="137"/>
      <c r="N21" s="137"/>
      <c r="O21" s="138"/>
      <c r="P21" s="137"/>
      <c r="Q21" s="139"/>
      <c r="R21" s="139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9" t="s">
        <v>47</v>
      </c>
      <c r="B22" s="19" t="s">
        <v>255</v>
      </c>
      <c r="C22" s="20" t="s">
        <v>501</v>
      </c>
      <c r="D22" s="19" t="s">
        <v>49</v>
      </c>
      <c r="E22" s="19" t="s">
        <v>209</v>
      </c>
      <c r="F22" s="19" t="s">
        <v>256</v>
      </c>
      <c r="G22" s="282"/>
      <c r="H22" s="137"/>
      <c r="I22" s="137"/>
      <c r="J22" s="137"/>
      <c r="K22" s="137"/>
      <c r="L22" s="137"/>
      <c r="M22" s="137"/>
      <c r="N22" s="137"/>
      <c r="O22" s="138"/>
      <c r="P22" s="137"/>
      <c r="Q22" s="139"/>
      <c r="R22" s="139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47</v>
      </c>
      <c r="B23" s="19" t="s">
        <v>258</v>
      </c>
      <c r="C23" s="20" t="s">
        <v>502</v>
      </c>
      <c r="D23" s="19" t="s">
        <v>49</v>
      </c>
      <c r="E23" s="19" t="s">
        <v>503</v>
      </c>
      <c r="F23" s="19" t="s">
        <v>256</v>
      </c>
      <c r="G23" s="282"/>
      <c r="H23" s="137"/>
      <c r="I23" s="137"/>
      <c r="J23" s="137"/>
      <c r="K23" s="137"/>
      <c r="L23" s="137"/>
      <c r="M23" s="137"/>
      <c r="N23" s="137"/>
      <c r="O23" s="138"/>
      <c r="P23" s="137"/>
      <c r="Q23" s="139"/>
      <c r="R23" s="139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25</v>
      </c>
      <c r="B24" s="19" t="s">
        <v>250</v>
      </c>
      <c r="C24" s="20" t="s">
        <v>504</v>
      </c>
      <c r="D24" s="19" t="s">
        <v>27</v>
      </c>
      <c r="E24" s="19" t="s">
        <v>505</v>
      </c>
      <c r="F24" s="19" t="s">
        <v>252</v>
      </c>
      <c r="G24" s="282"/>
      <c r="H24" s="137"/>
      <c r="I24" s="137"/>
      <c r="J24" s="137"/>
      <c r="K24" s="137"/>
      <c r="L24" s="137"/>
      <c r="M24" s="137"/>
      <c r="N24" s="137"/>
      <c r="O24" s="138"/>
      <c r="P24" s="137"/>
      <c r="Q24" s="139"/>
      <c r="R24" s="139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272</v>
      </c>
      <c r="B25" s="19" t="s">
        <v>273</v>
      </c>
      <c r="C25" s="20" t="s">
        <v>506</v>
      </c>
      <c r="D25" s="19" t="s">
        <v>274</v>
      </c>
      <c r="E25" s="19" t="s">
        <v>197</v>
      </c>
      <c r="F25" s="19" t="s">
        <v>275</v>
      </c>
      <c r="G25" s="282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272</v>
      </c>
      <c r="B26" s="19" t="s">
        <v>276</v>
      </c>
      <c r="C26" s="20" t="s">
        <v>507</v>
      </c>
      <c r="D26" s="19" t="s">
        <v>274</v>
      </c>
      <c r="E26" s="19" t="s">
        <v>195</v>
      </c>
      <c r="F26" s="19" t="s">
        <v>275</v>
      </c>
      <c r="G26" s="282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76</v>
      </c>
      <c r="B27" s="19" t="s">
        <v>277</v>
      </c>
      <c r="C27" s="20" t="s">
        <v>508</v>
      </c>
      <c r="D27" s="19" t="s">
        <v>78</v>
      </c>
      <c r="E27" s="19" t="s">
        <v>195</v>
      </c>
      <c r="F27" s="19" t="s">
        <v>278</v>
      </c>
      <c r="G27" s="282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36" t="s">
        <v>76</v>
      </c>
      <c r="B28" s="36" t="s">
        <v>282</v>
      </c>
      <c r="C28" s="37" t="s">
        <v>509</v>
      </c>
      <c r="D28" s="36" t="s">
        <v>78</v>
      </c>
      <c r="E28" s="36" t="s">
        <v>195</v>
      </c>
      <c r="F28" s="36" t="s">
        <v>278</v>
      </c>
      <c r="G28" s="283"/>
      <c r="H28" s="140"/>
      <c r="I28" s="140"/>
      <c r="J28" s="140"/>
      <c r="K28" s="140"/>
      <c r="L28" s="140"/>
      <c r="M28" s="140"/>
      <c r="N28" s="140"/>
      <c r="O28" s="141"/>
      <c r="P28" s="140"/>
      <c r="Q28" s="142"/>
      <c r="R28" s="14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4.4" customHeight="1" x14ac:dyDescent="0.3">
      <c r="A29" s="275"/>
      <c r="B29" s="276"/>
      <c r="C29" s="276"/>
      <c r="D29" s="276"/>
      <c r="E29" s="276"/>
      <c r="F29" s="276"/>
      <c r="G29" s="277"/>
      <c r="H29" s="278"/>
      <c r="I29" s="278"/>
      <c r="J29" s="278"/>
      <c r="K29" s="278"/>
      <c r="L29" s="278"/>
      <c r="M29" s="278"/>
      <c r="N29" s="278"/>
      <c r="O29" s="279"/>
      <c r="P29" s="278"/>
      <c r="Q29" s="277"/>
      <c r="R29" s="280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22.05" customHeight="1" x14ac:dyDescent="0.3">
      <c r="A30" s="289" t="s">
        <v>5</v>
      </c>
      <c r="B30" s="290"/>
      <c r="C30" s="290"/>
      <c r="D30" s="290"/>
      <c r="E30" s="290"/>
      <c r="F30" s="290"/>
      <c r="G30" s="5">
        <v>45989</v>
      </c>
      <c r="H30" s="286" t="s">
        <v>6</v>
      </c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24" customHeight="1" x14ac:dyDescent="0.3">
      <c r="A31" s="30" t="s">
        <v>7</v>
      </c>
      <c r="B31" s="30" t="s">
        <v>8</v>
      </c>
      <c r="C31" s="31" t="s">
        <v>9</v>
      </c>
      <c r="D31" s="30" t="s">
        <v>10</v>
      </c>
      <c r="E31" s="30" t="s">
        <v>11</v>
      </c>
      <c r="F31" s="30" t="s">
        <v>12</v>
      </c>
      <c r="G31" s="32" t="s">
        <v>13</v>
      </c>
      <c r="H31" s="30" t="s">
        <v>14</v>
      </c>
      <c r="I31" s="33" t="s">
        <v>15</v>
      </c>
      <c r="J31" s="34" t="s">
        <v>16</v>
      </c>
      <c r="K31" s="35" t="s">
        <v>17</v>
      </c>
      <c r="L31" s="34" t="s">
        <v>18</v>
      </c>
      <c r="M31" s="34" t="s">
        <v>19</v>
      </c>
      <c r="N31" s="34" t="s">
        <v>20</v>
      </c>
      <c r="O31" s="30" t="s">
        <v>21</v>
      </c>
      <c r="P31" s="31" t="s">
        <v>22</v>
      </c>
      <c r="Q31" s="34" t="s">
        <v>23</v>
      </c>
      <c r="R31" s="30" t="s">
        <v>24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43" t="s">
        <v>76</v>
      </c>
      <c r="B32" s="143" t="s">
        <v>484</v>
      </c>
      <c r="C32" s="144">
        <v>0.41666666666666669</v>
      </c>
      <c r="D32" s="143" t="s">
        <v>105</v>
      </c>
      <c r="E32" s="215"/>
      <c r="F32" s="143" t="s">
        <v>510</v>
      </c>
      <c r="G32" s="281"/>
      <c r="H32" s="145" t="s">
        <v>484</v>
      </c>
      <c r="I32" s="192">
        <v>0.71430000000000005</v>
      </c>
      <c r="J32" s="147">
        <v>120</v>
      </c>
      <c r="K32" s="148">
        <v>45986</v>
      </c>
      <c r="L32" s="147">
        <v>67</v>
      </c>
      <c r="M32" s="147">
        <v>0</v>
      </c>
      <c r="N32" s="147">
        <v>3</v>
      </c>
      <c r="O32" s="149" t="s">
        <v>511</v>
      </c>
      <c r="P32" s="150">
        <v>0.41666666666666669</v>
      </c>
      <c r="Q32" s="147">
        <v>168</v>
      </c>
      <c r="R32" s="151" t="s">
        <v>512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8" x14ac:dyDescent="0.3">
      <c r="A33" s="303" t="s">
        <v>494</v>
      </c>
      <c r="B33" s="304"/>
      <c r="C33" s="304"/>
      <c r="D33" s="304"/>
      <c r="E33" s="304"/>
      <c r="F33" s="304"/>
      <c r="G33" s="282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25</v>
      </c>
      <c r="B34" s="19" t="s">
        <v>239</v>
      </c>
      <c r="C34" s="20" t="s">
        <v>495</v>
      </c>
      <c r="D34" s="19" t="s">
        <v>27</v>
      </c>
      <c r="E34" s="19" t="s">
        <v>205</v>
      </c>
      <c r="F34" s="19" t="s">
        <v>241</v>
      </c>
      <c r="G34" s="282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25</v>
      </c>
      <c r="B35" s="19" t="s">
        <v>244</v>
      </c>
      <c r="C35" s="20" t="s">
        <v>497</v>
      </c>
      <c r="D35" s="19" t="s">
        <v>27</v>
      </c>
      <c r="E35" s="19" t="s">
        <v>204</v>
      </c>
      <c r="F35" s="19" t="s">
        <v>252</v>
      </c>
      <c r="G35" s="282"/>
      <c r="H35" s="137"/>
      <c r="I35" s="137"/>
      <c r="J35" s="137"/>
      <c r="K35" s="137"/>
      <c r="L35" s="137"/>
      <c r="M35" s="137"/>
      <c r="N35" s="137"/>
      <c r="O35" s="138"/>
      <c r="P35" s="137"/>
      <c r="Q35" s="139"/>
      <c r="R35" s="139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25</v>
      </c>
      <c r="B36" s="19" t="s">
        <v>250</v>
      </c>
      <c r="C36" s="20" t="s">
        <v>504</v>
      </c>
      <c r="D36" s="19" t="s">
        <v>27</v>
      </c>
      <c r="E36" s="19" t="s">
        <v>500</v>
      </c>
      <c r="F36" s="19" t="s">
        <v>252</v>
      </c>
      <c r="G36" s="282"/>
      <c r="H36" s="137"/>
      <c r="I36" s="137"/>
      <c r="J36" s="137"/>
      <c r="K36" s="137"/>
      <c r="L36" s="137"/>
      <c r="M36" s="137"/>
      <c r="N36" s="137"/>
      <c r="O36" s="138"/>
      <c r="P36" s="137"/>
      <c r="Q36" s="139"/>
      <c r="R36" s="139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300</v>
      </c>
      <c r="B37" s="19" t="s">
        <v>301</v>
      </c>
      <c r="C37" s="20" t="s">
        <v>513</v>
      </c>
      <c r="D37" s="19" t="s">
        <v>274</v>
      </c>
      <c r="E37" s="19" t="s">
        <v>197</v>
      </c>
      <c r="F37" s="19" t="s">
        <v>278</v>
      </c>
      <c r="G37" s="282"/>
      <c r="H37" s="137"/>
      <c r="I37" s="137"/>
      <c r="J37" s="137"/>
      <c r="K37" s="137"/>
      <c r="L37" s="137"/>
      <c r="M37" s="137"/>
      <c r="N37" s="137"/>
      <c r="O37" s="138"/>
      <c r="P37" s="137"/>
      <c r="Q37" s="139"/>
      <c r="R37" s="139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9" t="s">
        <v>47</v>
      </c>
      <c r="B38" s="19" t="s">
        <v>255</v>
      </c>
      <c r="C38" s="20" t="s">
        <v>501</v>
      </c>
      <c r="D38" s="19" t="s">
        <v>49</v>
      </c>
      <c r="E38" s="19" t="s">
        <v>209</v>
      </c>
      <c r="F38" s="19" t="s">
        <v>263</v>
      </c>
      <c r="G38" s="282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47</v>
      </c>
      <c r="B39" s="19" t="s">
        <v>268</v>
      </c>
      <c r="C39" s="20" t="s">
        <v>514</v>
      </c>
      <c r="D39" s="19" t="s">
        <v>49</v>
      </c>
      <c r="E39" s="19" t="s">
        <v>201</v>
      </c>
      <c r="F39" s="19" t="s">
        <v>263</v>
      </c>
      <c r="G39" s="282"/>
      <c r="H39" s="137"/>
      <c r="I39" s="137"/>
      <c r="J39" s="137"/>
      <c r="K39" s="137"/>
      <c r="L39" s="137"/>
      <c r="M39" s="137"/>
      <c r="N39" s="137"/>
      <c r="O39" s="138"/>
      <c r="P39" s="137"/>
      <c r="Q39" s="139"/>
      <c r="R39" s="139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47</v>
      </c>
      <c r="B40" s="19" t="s">
        <v>265</v>
      </c>
      <c r="C40" s="20" t="s">
        <v>515</v>
      </c>
      <c r="D40" s="19" t="s">
        <v>49</v>
      </c>
      <c r="E40" s="19" t="s">
        <v>209</v>
      </c>
      <c r="F40" s="19" t="s">
        <v>263</v>
      </c>
      <c r="G40" s="282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47</v>
      </c>
      <c r="B41" s="19" t="s">
        <v>266</v>
      </c>
      <c r="C41" s="20" t="s">
        <v>516</v>
      </c>
      <c r="D41" s="19" t="s">
        <v>49</v>
      </c>
      <c r="E41" s="19" t="s">
        <v>205</v>
      </c>
      <c r="F41" s="19" t="s">
        <v>263</v>
      </c>
      <c r="G41" s="282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47</v>
      </c>
      <c r="B42" s="19" t="s">
        <v>258</v>
      </c>
      <c r="C42" s="20" t="s">
        <v>502</v>
      </c>
      <c r="D42" s="19" t="s">
        <v>49</v>
      </c>
      <c r="E42" s="19" t="s">
        <v>209</v>
      </c>
      <c r="F42" s="19" t="s">
        <v>263</v>
      </c>
      <c r="G42" s="282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36" t="s">
        <v>47</v>
      </c>
      <c r="B43" s="36" t="s">
        <v>271</v>
      </c>
      <c r="C43" s="37" t="s">
        <v>517</v>
      </c>
      <c r="D43" s="36" t="s">
        <v>49</v>
      </c>
      <c r="E43" s="36" t="s">
        <v>518</v>
      </c>
      <c r="F43" s="36" t="s">
        <v>263</v>
      </c>
      <c r="G43" s="283"/>
      <c r="H43" s="140"/>
      <c r="I43" s="140"/>
      <c r="J43" s="140"/>
      <c r="K43" s="140"/>
      <c r="L43" s="140"/>
      <c r="M43" s="140"/>
      <c r="N43" s="140"/>
      <c r="O43" s="141"/>
      <c r="P43" s="140"/>
      <c r="Q43" s="142"/>
      <c r="R43" s="14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4.4" customHeight="1" x14ac:dyDescent="0.3">
      <c r="A44" s="275"/>
      <c r="B44" s="276"/>
      <c r="C44" s="276"/>
      <c r="D44" s="276"/>
      <c r="E44" s="276"/>
      <c r="F44" s="276"/>
      <c r="G44" s="277"/>
      <c r="H44" s="278"/>
      <c r="I44" s="278"/>
      <c r="J44" s="278"/>
      <c r="K44" s="278"/>
      <c r="L44" s="278"/>
      <c r="M44" s="278"/>
      <c r="N44" s="278"/>
      <c r="O44" s="279"/>
      <c r="P44" s="278"/>
      <c r="Q44" s="277"/>
      <c r="R44" s="280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22.05" customHeight="1" x14ac:dyDescent="0.3">
      <c r="A45" s="289" t="s">
        <v>5</v>
      </c>
      <c r="B45" s="290"/>
      <c r="C45" s="290"/>
      <c r="D45" s="290"/>
      <c r="E45" s="290"/>
      <c r="F45" s="290"/>
      <c r="G45" s="5">
        <v>45990</v>
      </c>
      <c r="H45" s="286" t="s">
        <v>6</v>
      </c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24" customHeight="1" x14ac:dyDescent="0.3">
      <c r="A46" s="30" t="s">
        <v>7</v>
      </c>
      <c r="B46" s="30" t="s">
        <v>8</v>
      </c>
      <c r="C46" s="31" t="s">
        <v>9</v>
      </c>
      <c r="D46" s="30" t="s">
        <v>10</v>
      </c>
      <c r="E46" s="30" t="s">
        <v>11</v>
      </c>
      <c r="F46" s="30" t="s">
        <v>12</v>
      </c>
      <c r="G46" s="32" t="s">
        <v>13</v>
      </c>
      <c r="H46" s="30" t="s">
        <v>14</v>
      </c>
      <c r="I46" s="33" t="s">
        <v>15</v>
      </c>
      <c r="J46" s="34" t="s">
        <v>16</v>
      </c>
      <c r="K46" s="35" t="s">
        <v>17</v>
      </c>
      <c r="L46" s="34" t="s">
        <v>18</v>
      </c>
      <c r="M46" s="34" t="s">
        <v>19</v>
      </c>
      <c r="N46" s="34" t="s">
        <v>20</v>
      </c>
      <c r="O46" s="30" t="s">
        <v>21</v>
      </c>
      <c r="P46" s="31" t="s">
        <v>22</v>
      </c>
      <c r="Q46" s="34" t="s">
        <v>23</v>
      </c>
      <c r="R46" s="30" t="s">
        <v>24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8" t="s">
        <v>25</v>
      </c>
      <c r="B47" s="8" t="s">
        <v>519</v>
      </c>
      <c r="C47" s="9">
        <v>0.25694444444444448</v>
      </c>
      <c r="D47" s="8" t="s">
        <v>520</v>
      </c>
      <c r="E47" s="8" t="s">
        <v>113</v>
      </c>
      <c r="F47" s="8" t="s">
        <v>521</v>
      </c>
      <c r="G47" s="281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5" t="s">
        <v>25</v>
      </c>
      <c r="B48" s="15" t="s">
        <v>519</v>
      </c>
      <c r="C48" s="16">
        <v>0.25694444444444448</v>
      </c>
      <c r="D48" s="15" t="s">
        <v>473</v>
      </c>
      <c r="E48" s="15" t="s">
        <v>115</v>
      </c>
      <c r="F48" s="15" t="s">
        <v>522</v>
      </c>
      <c r="G48" s="28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5" t="s">
        <v>25</v>
      </c>
      <c r="B49" s="15" t="s">
        <v>519</v>
      </c>
      <c r="C49" s="16">
        <v>0.25694444444444448</v>
      </c>
      <c r="D49" s="15" t="s">
        <v>475</v>
      </c>
      <c r="E49" s="15" t="s">
        <v>115</v>
      </c>
      <c r="F49" s="15" t="s">
        <v>523</v>
      </c>
      <c r="G49" s="28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5" t="s">
        <v>25</v>
      </c>
      <c r="B50" s="15" t="s">
        <v>519</v>
      </c>
      <c r="C50" s="16">
        <v>0.25694444444444448</v>
      </c>
      <c r="D50" s="15" t="s">
        <v>524</v>
      </c>
      <c r="E50" s="15" t="s">
        <v>115</v>
      </c>
      <c r="F50" s="15" t="s">
        <v>525</v>
      </c>
      <c r="G50" s="28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216" t="s">
        <v>76</v>
      </c>
      <c r="B51" s="216" t="s">
        <v>482</v>
      </c>
      <c r="C51" s="217">
        <v>0.79166666666666663</v>
      </c>
      <c r="D51" s="216" t="s">
        <v>78</v>
      </c>
      <c r="E51" s="216" t="s">
        <v>526</v>
      </c>
      <c r="F51" s="216" t="s">
        <v>527</v>
      </c>
      <c r="G51" s="282"/>
      <c r="H51" s="178" t="s">
        <v>484</v>
      </c>
      <c r="I51" s="187">
        <v>0.98809999999999998</v>
      </c>
      <c r="J51" s="180">
        <v>166</v>
      </c>
      <c r="K51" s="181">
        <v>45986</v>
      </c>
      <c r="L51" s="180">
        <v>6</v>
      </c>
      <c r="M51" s="180">
        <v>0</v>
      </c>
      <c r="N51" s="180">
        <v>6</v>
      </c>
      <c r="O51" s="182" t="s">
        <v>163</v>
      </c>
      <c r="P51" s="183">
        <v>0.79166666666666663</v>
      </c>
      <c r="Q51" s="180">
        <v>168</v>
      </c>
      <c r="R51" s="184" t="s">
        <v>528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0" t="s">
        <v>76</v>
      </c>
      <c r="B52" s="190" t="s">
        <v>529</v>
      </c>
      <c r="C52" s="191">
        <v>0.45833333333333331</v>
      </c>
      <c r="D52" s="190" t="s">
        <v>78</v>
      </c>
      <c r="E52" s="190" t="s">
        <v>92</v>
      </c>
      <c r="F52" s="190" t="s">
        <v>527</v>
      </c>
      <c r="G52" s="282"/>
      <c r="H52" s="145" t="s">
        <v>530</v>
      </c>
      <c r="I52" s="146">
        <v>0.99399999999999999</v>
      </c>
      <c r="J52" s="147">
        <v>167</v>
      </c>
      <c r="K52" s="148">
        <v>45987</v>
      </c>
      <c r="L52" s="147">
        <v>4</v>
      </c>
      <c r="M52" s="147">
        <v>1</v>
      </c>
      <c r="N52" s="147">
        <v>3</v>
      </c>
      <c r="O52" s="149" t="s">
        <v>428</v>
      </c>
      <c r="P52" s="150">
        <v>0.45833333333333331</v>
      </c>
      <c r="Q52" s="147">
        <v>168</v>
      </c>
      <c r="R52" s="151" t="s">
        <v>531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7" t="s">
        <v>63</v>
      </c>
      <c r="B53" s="17" t="s">
        <v>486</v>
      </c>
      <c r="C53" s="18">
        <v>0.34027777777777768</v>
      </c>
      <c r="D53" s="17" t="s">
        <v>65</v>
      </c>
      <c r="E53" s="17" t="s">
        <v>38</v>
      </c>
      <c r="F53" s="17" t="s">
        <v>532</v>
      </c>
      <c r="G53" s="2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5" t="s">
        <v>63</v>
      </c>
      <c r="B54" s="15" t="s">
        <v>486</v>
      </c>
      <c r="C54" s="16">
        <v>0.34027777777777768</v>
      </c>
      <c r="D54" s="15" t="s">
        <v>67</v>
      </c>
      <c r="E54" s="15" t="s">
        <v>68</v>
      </c>
      <c r="F54" s="15" t="s">
        <v>533</v>
      </c>
      <c r="G54" s="2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63</v>
      </c>
      <c r="B55" s="19" t="s">
        <v>491</v>
      </c>
      <c r="C55" s="20">
        <v>0.71180555555555547</v>
      </c>
      <c r="D55" s="19" t="s">
        <v>65</v>
      </c>
      <c r="E55" s="19" t="s">
        <v>41</v>
      </c>
      <c r="F55" s="19" t="s">
        <v>532</v>
      </c>
      <c r="G55" s="2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5" t="s">
        <v>63</v>
      </c>
      <c r="B56" s="15" t="s">
        <v>491</v>
      </c>
      <c r="C56" s="16">
        <v>0.71180555555555547</v>
      </c>
      <c r="D56" s="15" t="s">
        <v>67</v>
      </c>
      <c r="E56" s="15" t="s">
        <v>68</v>
      </c>
      <c r="F56" s="15" t="s">
        <v>533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8" x14ac:dyDescent="0.3">
      <c r="A57" s="303" t="s">
        <v>494</v>
      </c>
      <c r="B57" s="304"/>
      <c r="C57" s="304"/>
      <c r="D57" s="304"/>
      <c r="E57" s="304"/>
      <c r="F57" s="304"/>
      <c r="G57" s="282"/>
      <c r="H57" s="137"/>
      <c r="I57" s="137"/>
      <c r="J57" s="137"/>
      <c r="K57" s="137"/>
      <c r="L57" s="137"/>
      <c r="M57" s="137"/>
      <c r="N57" s="137"/>
      <c r="O57" s="138"/>
      <c r="P57" s="137"/>
      <c r="Q57" s="139"/>
      <c r="R57" s="139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300</v>
      </c>
      <c r="B58" s="19" t="s">
        <v>369</v>
      </c>
      <c r="C58" s="20" t="s">
        <v>534</v>
      </c>
      <c r="D58" s="19" t="s">
        <v>274</v>
      </c>
      <c r="E58" s="19" t="s">
        <v>195</v>
      </c>
      <c r="F58" s="19" t="s">
        <v>370</v>
      </c>
      <c r="G58" s="282"/>
      <c r="H58" s="137"/>
      <c r="I58" s="137"/>
      <c r="J58" s="137"/>
      <c r="K58" s="137"/>
      <c r="L58" s="137"/>
      <c r="M58" s="137"/>
      <c r="N58" s="137"/>
      <c r="O58" s="138"/>
      <c r="P58" s="137"/>
      <c r="Q58" s="139"/>
      <c r="R58" s="139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25</v>
      </c>
      <c r="B59" s="19" t="s">
        <v>239</v>
      </c>
      <c r="C59" s="20" t="s">
        <v>495</v>
      </c>
      <c r="D59" s="19" t="s">
        <v>27</v>
      </c>
      <c r="E59" s="19" t="s">
        <v>201</v>
      </c>
      <c r="F59" s="19" t="s">
        <v>252</v>
      </c>
      <c r="G59" s="282"/>
      <c r="H59" s="137"/>
      <c r="I59" s="137"/>
      <c r="J59" s="137"/>
      <c r="K59" s="137"/>
      <c r="L59" s="137"/>
      <c r="M59" s="137"/>
      <c r="N59" s="137"/>
      <c r="O59" s="138"/>
      <c r="P59" s="137"/>
      <c r="Q59" s="139"/>
      <c r="R59" s="139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25</v>
      </c>
      <c r="B60" s="19" t="s">
        <v>247</v>
      </c>
      <c r="C60" s="20" t="s">
        <v>499</v>
      </c>
      <c r="D60" s="19" t="s">
        <v>27</v>
      </c>
      <c r="E60" s="19" t="s">
        <v>197</v>
      </c>
      <c r="F60" s="19" t="s">
        <v>252</v>
      </c>
      <c r="G60" s="282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272</v>
      </c>
      <c r="B61" s="19" t="s">
        <v>273</v>
      </c>
      <c r="C61" s="20" t="s">
        <v>535</v>
      </c>
      <c r="D61" s="19" t="s">
        <v>274</v>
      </c>
      <c r="E61" s="19" t="s">
        <v>212</v>
      </c>
      <c r="F61" s="19" t="s">
        <v>275</v>
      </c>
      <c r="G61" s="282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300</v>
      </c>
      <c r="B62" s="19" t="s">
        <v>301</v>
      </c>
      <c r="C62" s="20" t="s">
        <v>513</v>
      </c>
      <c r="D62" s="19" t="s">
        <v>274</v>
      </c>
      <c r="E62" s="19" t="s">
        <v>210</v>
      </c>
      <c r="F62" s="19" t="s">
        <v>278</v>
      </c>
      <c r="G62" s="282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47</v>
      </c>
      <c r="B63" s="19" t="s">
        <v>261</v>
      </c>
      <c r="C63" s="20" t="s">
        <v>211</v>
      </c>
      <c r="D63" s="19" t="s">
        <v>49</v>
      </c>
      <c r="E63" s="19" t="s">
        <v>209</v>
      </c>
      <c r="F63" s="19" t="s">
        <v>263</v>
      </c>
      <c r="G63" s="282"/>
      <c r="H63" s="137"/>
      <c r="I63" s="137"/>
      <c r="J63" s="137"/>
      <c r="K63" s="137"/>
      <c r="L63" s="137"/>
      <c r="M63" s="137"/>
      <c r="N63" s="137"/>
      <c r="O63" s="138"/>
      <c r="P63" s="137"/>
      <c r="Q63" s="139"/>
      <c r="R63" s="139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47</v>
      </c>
      <c r="B64" s="19" t="s">
        <v>265</v>
      </c>
      <c r="C64" s="20" t="s">
        <v>515</v>
      </c>
      <c r="D64" s="19" t="s">
        <v>49</v>
      </c>
      <c r="E64" s="19" t="s">
        <v>503</v>
      </c>
      <c r="F64" s="19" t="s">
        <v>263</v>
      </c>
      <c r="G64" s="282"/>
      <c r="H64" s="137"/>
      <c r="I64" s="137"/>
      <c r="J64" s="137"/>
      <c r="K64" s="137"/>
      <c r="L64" s="137"/>
      <c r="M64" s="137"/>
      <c r="N64" s="137"/>
      <c r="O64" s="138"/>
      <c r="P64" s="137"/>
      <c r="Q64" s="139"/>
      <c r="R64" s="139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9" t="s">
        <v>47</v>
      </c>
      <c r="B65" s="19" t="s">
        <v>266</v>
      </c>
      <c r="C65" s="20" t="s">
        <v>516</v>
      </c>
      <c r="D65" s="19" t="s">
        <v>49</v>
      </c>
      <c r="E65" s="19" t="s">
        <v>209</v>
      </c>
      <c r="F65" s="19" t="s">
        <v>263</v>
      </c>
      <c r="G65" s="282"/>
      <c r="H65" s="137"/>
      <c r="I65" s="137"/>
      <c r="J65" s="137"/>
      <c r="K65" s="137"/>
      <c r="L65" s="137"/>
      <c r="M65" s="137"/>
      <c r="N65" s="137"/>
      <c r="O65" s="138"/>
      <c r="P65" s="137"/>
      <c r="Q65" s="139"/>
      <c r="R65" s="139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47</v>
      </c>
      <c r="B66" s="19" t="s">
        <v>258</v>
      </c>
      <c r="C66" s="20" t="s">
        <v>502</v>
      </c>
      <c r="D66" s="19" t="s">
        <v>49</v>
      </c>
      <c r="E66" s="19" t="s">
        <v>503</v>
      </c>
      <c r="F66" s="19" t="s">
        <v>263</v>
      </c>
      <c r="G66" s="282"/>
      <c r="H66" s="137"/>
      <c r="I66" s="137"/>
      <c r="J66" s="137"/>
      <c r="K66" s="137"/>
      <c r="L66" s="137"/>
      <c r="M66" s="137"/>
      <c r="N66" s="137"/>
      <c r="O66" s="138"/>
      <c r="P66" s="137"/>
      <c r="Q66" s="139"/>
      <c r="R66" s="139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36" t="s">
        <v>47</v>
      </c>
      <c r="B67" s="36" t="s">
        <v>271</v>
      </c>
      <c r="C67" s="37" t="s">
        <v>517</v>
      </c>
      <c r="D67" s="36" t="s">
        <v>49</v>
      </c>
      <c r="E67" s="36" t="s">
        <v>210</v>
      </c>
      <c r="F67" s="36" t="s">
        <v>263</v>
      </c>
      <c r="G67" s="283"/>
      <c r="H67" s="140"/>
      <c r="I67" s="140"/>
      <c r="J67" s="140"/>
      <c r="K67" s="140"/>
      <c r="L67" s="140"/>
      <c r="M67" s="140"/>
      <c r="N67" s="140"/>
      <c r="O67" s="141"/>
      <c r="P67" s="140"/>
      <c r="Q67" s="142"/>
      <c r="R67" s="142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4.4" customHeight="1" x14ac:dyDescent="0.3">
      <c r="A68" s="275"/>
      <c r="B68" s="276"/>
      <c r="C68" s="276"/>
      <c r="D68" s="276"/>
      <c r="E68" s="276"/>
      <c r="F68" s="276"/>
      <c r="G68" s="277"/>
      <c r="H68" s="278"/>
      <c r="I68" s="278"/>
      <c r="J68" s="278"/>
      <c r="K68" s="278"/>
      <c r="L68" s="278"/>
      <c r="M68" s="278"/>
      <c r="N68" s="278"/>
      <c r="O68" s="279"/>
      <c r="P68" s="278"/>
      <c r="Q68" s="277"/>
      <c r="R68" s="280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22.05" customHeight="1" x14ac:dyDescent="0.3">
      <c r="A69" s="289" t="s">
        <v>5</v>
      </c>
      <c r="B69" s="290"/>
      <c r="C69" s="290"/>
      <c r="D69" s="290"/>
      <c r="E69" s="290"/>
      <c r="F69" s="290"/>
      <c r="G69" s="5">
        <v>45991</v>
      </c>
      <c r="H69" s="286" t="s">
        <v>6</v>
      </c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24" customHeight="1" x14ac:dyDescent="0.3">
      <c r="A70" s="30" t="s">
        <v>7</v>
      </c>
      <c r="B70" s="30" t="s">
        <v>8</v>
      </c>
      <c r="C70" s="31" t="s">
        <v>9</v>
      </c>
      <c r="D70" s="30" t="s">
        <v>10</v>
      </c>
      <c r="E70" s="30" t="s">
        <v>11</v>
      </c>
      <c r="F70" s="30" t="s">
        <v>12</v>
      </c>
      <c r="G70" s="32" t="s">
        <v>13</v>
      </c>
      <c r="H70" s="30" t="s">
        <v>14</v>
      </c>
      <c r="I70" s="33" t="s">
        <v>15</v>
      </c>
      <c r="J70" s="34" t="s">
        <v>16</v>
      </c>
      <c r="K70" s="35" t="s">
        <v>17</v>
      </c>
      <c r="L70" s="34" t="s">
        <v>18</v>
      </c>
      <c r="M70" s="34" t="s">
        <v>19</v>
      </c>
      <c r="N70" s="34" t="s">
        <v>20</v>
      </c>
      <c r="O70" s="30" t="s">
        <v>21</v>
      </c>
      <c r="P70" s="31" t="s">
        <v>22</v>
      </c>
      <c r="Q70" s="34" t="s">
        <v>23</v>
      </c>
      <c r="R70" s="30" t="s">
        <v>24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8" t="s">
        <v>302</v>
      </c>
      <c r="B71" s="8" t="s">
        <v>472</v>
      </c>
      <c r="C71" s="9">
        <v>0.52777777777777779</v>
      </c>
      <c r="D71" s="8" t="s">
        <v>473</v>
      </c>
      <c r="E71" s="8" t="s">
        <v>50</v>
      </c>
      <c r="F71" s="8" t="s">
        <v>536</v>
      </c>
      <c r="G71" s="281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5" t="s">
        <v>302</v>
      </c>
      <c r="B72" s="15" t="s">
        <v>472</v>
      </c>
      <c r="C72" s="16">
        <v>0.52777777777777779</v>
      </c>
      <c r="D72" s="15" t="s">
        <v>475</v>
      </c>
      <c r="E72" s="15" t="s">
        <v>53</v>
      </c>
      <c r="F72" s="15" t="s">
        <v>396</v>
      </c>
      <c r="G72" s="2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302</v>
      </c>
      <c r="B73" s="15" t="s">
        <v>472</v>
      </c>
      <c r="C73" s="16">
        <v>0.52777777777777779</v>
      </c>
      <c r="D73" s="15" t="s">
        <v>33</v>
      </c>
      <c r="E73" s="15" t="s">
        <v>53</v>
      </c>
      <c r="F73" s="15" t="s">
        <v>537</v>
      </c>
      <c r="G73" s="28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7" t="s">
        <v>63</v>
      </c>
      <c r="B74" s="17" t="s">
        <v>491</v>
      </c>
      <c r="C74" s="18">
        <v>0.71180555555555547</v>
      </c>
      <c r="D74" s="17" t="s">
        <v>65</v>
      </c>
      <c r="E74" s="17" t="s">
        <v>50</v>
      </c>
      <c r="F74" s="17" t="s">
        <v>538</v>
      </c>
      <c r="G74" s="28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5" t="s">
        <v>63</v>
      </c>
      <c r="B75" s="15" t="s">
        <v>491</v>
      </c>
      <c r="C75" s="16">
        <v>0.71180555555555547</v>
      </c>
      <c r="D75" s="15" t="s">
        <v>67</v>
      </c>
      <c r="E75" s="15" t="s">
        <v>53</v>
      </c>
      <c r="F75" s="15" t="s">
        <v>539</v>
      </c>
      <c r="G75" s="28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53" t="s">
        <v>76</v>
      </c>
      <c r="B76" s="53" t="s">
        <v>530</v>
      </c>
      <c r="C76" s="54">
        <v>0.48958333333333331</v>
      </c>
      <c r="D76" s="53" t="s">
        <v>105</v>
      </c>
      <c r="E76" s="218"/>
      <c r="F76" s="53" t="s">
        <v>106</v>
      </c>
      <c r="G76" s="282"/>
      <c r="H76" s="55" t="s">
        <v>530</v>
      </c>
      <c r="I76" s="56">
        <v>1</v>
      </c>
      <c r="J76" s="57">
        <v>168</v>
      </c>
      <c r="K76" s="58">
        <v>45986</v>
      </c>
      <c r="L76" s="57">
        <v>3</v>
      </c>
      <c r="M76" s="57">
        <v>0</v>
      </c>
      <c r="N76" s="57">
        <v>2</v>
      </c>
      <c r="O76" s="59" t="s">
        <v>107</v>
      </c>
      <c r="P76" s="60">
        <v>0.48958333333333331</v>
      </c>
      <c r="Q76" s="57">
        <v>168</v>
      </c>
      <c r="R76" s="61" t="s">
        <v>540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65" t="s">
        <v>76</v>
      </c>
      <c r="B77" s="165" t="s">
        <v>484</v>
      </c>
      <c r="C77" s="166">
        <v>0.6875</v>
      </c>
      <c r="D77" s="165" t="s">
        <v>105</v>
      </c>
      <c r="E77" s="197"/>
      <c r="F77" s="165" t="s">
        <v>106</v>
      </c>
      <c r="G77" s="282"/>
      <c r="H77" s="167" t="s">
        <v>484</v>
      </c>
      <c r="I77" s="198">
        <v>1</v>
      </c>
      <c r="J77" s="169">
        <v>168</v>
      </c>
      <c r="K77" s="170">
        <v>45983</v>
      </c>
      <c r="L77" s="169">
        <v>7</v>
      </c>
      <c r="M77" s="169">
        <v>0</v>
      </c>
      <c r="N77" s="169">
        <v>0</v>
      </c>
      <c r="O77" s="171" t="s">
        <v>107</v>
      </c>
      <c r="P77" s="172">
        <v>0.6875</v>
      </c>
      <c r="Q77" s="169">
        <v>168</v>
      </c>
      <c r="R77" s="173" t="s">
        <v>541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8" x14ac:dyDescent="0.3">
      <c r="A78" s="303" t="s">
        <v>494</v>
      </c>
      <c r="B78" s="304"/>
      <c r="C78" s="304"/>
      <c r="D78" s="304"/>
      <c r="E78" s="304"/>
      <c r="F78" s="304"/>
      <c r="G78" s="282"/>
      <c r="H78" s="137"/>
      <c r="I78" s="137"/>
      <c r="J78" s="137"/>
      <c r="K78" s="137"/>
      <c r="L78" s="137"/>
      <c r="M78" s="137"/>
      <c r="N78" s="137"/>
      <c r="O78" s="138"/>
      <c r="P78" s="137"/>
      <c r="Q78" s="139"/>
      <c r="R78" s="139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9" t="s">
        <v>25</v>
      </c>
      <c r="B79" s="19" t="s">
        <v>244</v>
      </c>
      <c r="C79" s="20" t="s">
        <v>497</v>
      </c>
      <c r="D79" s="19" t="s">
        <v>27</v>
      </c>
      <c r="E79" s="19" t="s">
        <v>209</v>
      </c>
      <c r="F79" s="19" t="s">
        <v>252</v>
      </c>
      <c r="G79" s="282"/>
      <c r="H79" s="137"/>
      <c r="I79" s="137"/>
      <c r="J79" s="137"/>
      <c r="K79" s="137"/>
      <c r="L79" s="137"/>
      <c r="M79" s="137"/>
      <c r="N79" s="137"/>
      <c r="O79" s="138"/>
      <c r="P79" s="137"/>
      <c r="Q79" s="139"/>
      <c r="R79" s="139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25</v>
      </c>
      <c r="B80" s="19" t="s">
        <v>250</v>
      </c>
      <c r="C80" s="20" t="s">
        <v>504</v>
      </c>
      <c r="D80" s="19" t="s">
        <v>27</v>
      </c>
      <c r="E80" s="19" t="s">
        <v>197</v>
      </c>
      <c r="F80" s="19" t="s">
        <v>252</v>
      </c>
      <c r="G80" s="282"/>
      <c r="H80" s="137"/>
      <c r="I80" s="137"/>
      <c r="J80" s="137"/>
      <c r="K80" s="137"/>
      <c r="L80" s="137"/>
      <c r="M80" s="137"/>
      <c r="N80" s="137"/>
      <c r="O80" s="138"/>
      <c r="P80" s="137"/>
      <c r="Q80" s="139"/>
      <c r="R80" s="139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9" t="s">
        <v>25</v>
      </c>
      <c r="B81" s="19" t="s">
        <v>247</v>
      </c>
      <c r="C81" s="20" t="s">
        <v>499</v>
      </c>
      <c r="D81" s="19" t="s">
        <v>27</v>
      </c>
      <c r="E81" s="19" t="s">
        <v>542</v>
      </c>
      <c r="F81" s="19" t="s">
        <v>252</v>
      </c>
      <c r="G81" s="282"/>
      <c r="H81" s="137"/>
      <c r="I81" s="137"/>
      <c r="J81" s="137"/>
      <c r="K81" s="137"/>
      <c r="L81" s="137"/>
      <c r="M81" s="137"/>
      <c r="N81" s="137"/>
      <c r="O81" s="138"/>
      <c r="P81" s="137"/>
      <c r="Q81" s="139"/>
      <c r="R81" s="139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9" t="s">
        <v>272</v>
      </c>
      <c r="B82" s="19" t="s">
        <v>273</v>
      </c>
      <c r="C82" s="20" t="s">
        <v>543</v>
      </c>
      <c r="D82" s="19" t="s">
        <v>274</v>
      </c>
      <c r="E82" s="19" t="s">
        <v>195</v>
      </c>
      <c r="F82" s="19" t="s">
        <v>275</v>
      </c>
      <c r="G82" s="282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9" t="s">
        <v>300</v>
      </c>
      <c r="B83" s="19" t="s">
        <v>369</v>
      </c>
      <c r="C83" s="20" t="s">
        <v>544</v>
      </c>
      <c r="D83" s="19" t="s">
        <v>274</v>
      </c>
      <c r="E83" s="19" t="s">
        <v>503</v>
      </c>
      <c r="F83" s="19" t="s">
        <v>278</v>
      </c>
      <c r="G83" s="282"/>
      <c r="H83" s="137"/>
      <c r="I83" s="137"/>
      <c r="J83" s="137"/>
      <c r="K83" s="137"/>
      <c r="L83" s="137"/>
      <c r="M83" s="137"/>
      <c r="N83" s="137"/>
      <c r="O83" s="138"/>
      <c r="P83" s="137"/>
      <c r="Q83" s="139"/>
      <c r="R83" s="139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9" t="s">
        <v>25</v>
      </c>
      <c r="B84" s="19" t="s">
        <v>239</v>
      </c>
      <c r="C84" s="20" t="s">
        <v>495</v>
      </c>
      <c r="D84" s="19" t="s">
        <v>27</v>
      </c>
      <c r="E84" s="19" t="s">
        <v>210</v>
      </c>
      <c r="F84" s="19" t="s">
        <v>346</v>
      </c>
      <c r="G84" s="282"/>
      <c r="H84" s="137"/>
      <c r="I84" s="137"/>
      <c r="J84" s="137"/>
      <c r="K84" s="137"/>
      <c r="L84" s="137"/>
      <c r="M84" s="137"/>
      <c r="N84" s="137"/>
      <c r="O84" s="138"/>
      <c r="P84" s="137"/>
      <c r="Q84" s="139"/>
      <c r="R84" s="139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9" t="s">
        <v>302</v>
      </c>
      <c r="B85" s="19" t="s">
        <v>303</v>
      </c>
      <c r="C85" s="20" t="s">
        <v>545</v>
      </c>
      <c r="D85" s="19" t="s">
        <v>304</v>
      </c>
      <c r="E85" s="19" t="s">
        <v>209</v>
      </c>
      <c r="F85" s="19" t="s">
        <v>389</v>
      </c>
      <c r="G85" s="282"/>
      <c r="H85" s="137"/>
      <c r="I85" s="137"/>
      <c r="J85" s="137"/>
      <c r="K85" s="137"/>
      <c r="L85" s="137"/>
      <c r="M85" s="137"/>
      <c r="N85" s="137"/>
      <c r="O85" s="138"/>
      <c r="P85" s="137"/>
      <c r="Q85" s="139"/>
      <c r="R85" s="139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76</v>
      </c>
      <c r="B86" s="19" t="s">
        <v>277</v>
      </c>
      <c r="C86" s="20" t="s">
        <v>546</v>
      </c>
      <c r="D86" s="19" t="s">
        <v>78</v>
      </c>
      <c r="E86" s="19" t="s">
        <v>201</v>
      </c>
      <c r="F86" s="19" t="s">
        <v>295</v>
      </c>
      <c r="G86" s="282"/>
      <c r="H86" s="137"/>
      <c r="I86" s="137"/>
      <c r="J86" s="137"/>
      <c r="K86" s="137"/>
      <c r="L86" s="137"/>
      <c r="M86" s="137"/>
      <c r="N86" s="137"/>
      <c r="O86" s="138"/>
      <c r="P86" s="137"/>
      <c r="Q86" s="139"/>
      <c r="R86" s="139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9" t="s">
        <v>76</v>
      </c>
      <c r="B87" s="19" t="s">
        <v>282</v>
      </c>
      <c r="C87" s="20" t="s">
        <v>547</v>
      </c>
      <c r="D87" s="19" t="s">
        <v>78</v>
      </c>
      <c r="E87" s="19" t="s">
        <v>195</v>
      </c>
      <c r="F87" s="19" t="s">
        <v>295</v>
      </c>
      <c r="G87" s="282"/>
      <c r="H87" s="137"/>
      <c r="I87" s="137"/>
      <c r="J87" s="137"/>
      <c r="K87" s="137"/>
      <c r="L87" s="137"/>
      <c r="M87" s="137"/>
      <c r="N87" s="137"/>
      <c r="O87" s="138"/>
      <c r="P87" s="137"/>
      <c r="Q87" s="139"/>
      <c r="R87" s="139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36" t="s">
        <v>76</v>
      </c>
      <c r="B88" s="36" t="s">
        <v>291</v>
      </c>
      <c r="C88" s="37" t="s">
        <v>548</v>
      </c>
      <c r="D88" s="36" t="s">
        <v>78</v>
      </c>
      <c r="E88" s="36" t="s">
        <v>197</v>
      </c>
      <c r="F88" s="36" t="s">
        <v>295</v>
      </c>
      <c r="G88" s="283"/>
      <c r="H88" s="140"/>
      <c r="I88" s="140"/>
      <c r="J88" s="140"/>
      <c r="K88" s="140"/>
      <c r="L88" s="140"/>
      <c r="M88" s="140"/>
      <c r="N88" s="140"/>
      <c r="O88" s="141"/>
      <c r="P88" s="140"/>
      <c r="Q88" s="142"/>
      <c r="R88" s="142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4.4" customHeight="1" x14ac:dyDescent="0.3">
      <c r="A89" s="288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80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</sheetData>
  <mergeCells count="29">
    <mergeCell ref="O1:Q1"/>
    <mergeCell ref="G47:G67"/>
    <mergeCell ref="A18:F18"/>
    <mergeCell ref="G32:G43"/>
    <mergeCell ref="J1:M1"/>
    <mergeCell ref="D1:F1"/>
    <mergeCell ref="A1:C1"/>
    <mergeCell ref="G1:H1"/>
    <mergeCell ref="A45:F45"/>
    <mergeCell ref="G6:G28"/>
    <mergeCell ref="A2:F2"/>
    <mergeCell ref="A3:R3"/>
    <mergeCell ref="A33:F33"/>
    <mergeCell ref="G2:J2"/>
    <mergeCell ref="A4:F4"/>
    <mergeCell ref="A29:R29"/>
    <mergeCell ref="K2:R2"/>
    <mergeCell ref="A30:F30"/>
    <mergeCell ref="H30:R30"/>
    <mergeCell ref="A78:F78"/>
    <mergeCell ref="A69:F69"/>
    <mergeCell ref="A89:R89"/>
    <mergeCell ref="H4:R4"/>
    <mergeCell ref="A57:F57"/>
    <mergeCell ref="H69:R69"/>
    <mergeCell ref="H45:R45"/>
    <mergeCell ref="A68:R68"/>
    <mergeCell ref="A44:R44"/>
    <mergeCell ref="G71:G8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484</v>
      </c>
      <c r="D2" s="66">
        <v>0.27430555555555552</v>
      </c>
      <c r="E2" s="65" t="s">
        <v>471</v>
      </c>
      <c r="F2" s="65" t="s">
        <v>153</v>
      </c>
      <c r="G2" s="67">
        <v>0.97770000000000001</v>
      </c>
      <c r="H2" s="68">
        <v>179</v>
      </c>
      <c r="I2" s="68">
        <v>175</v>
      </c>
      <c r="J2" s="68">
        <v>170</v>
      </c>
      <c r="K2" s="64">
        <v>45983</v>
      </c>
      <c r="L2" s="68">
        <v>0</v>
      </c>
      <c r="M2" s="68">
        <v>0</v>
      </c>
      <c r="N2" s="68">
        <v>3</v>
      </c>
      <c r="O2" s="65" t="s">
        <v>169</v>
      </c>
      <c r="P2" s="69"/>
      <c r="Q2" s="69"/>
      <c r="R2" s="69"/>
      <c r="S2" s="69"/>
      <c r="T2" s="69"/>
      <c r="U2" s="69"/>
      <c r="V2" s="69"/>
      <c r="W2" s="68" t="s">
        <v>549</v>
      </c>
      <c r="X2" s="69"/>
      <c r="Y2" s="68" t="s">
        <v>156</v>
      </c>
      <c r="Z2" s="69"/>
      <c r="AA2" s="69"/>
      <c r="AB2" s="68" t="s">
        <v>397</v>
      </c>
      <c r="AC2" s="69"/>
      <c r="AD2" s="69"/>
      <c r="AE2" s="69"/>
      <c r="AF2" s="69"/>
      <c r="AG2" s="69"/>
      <c r="AH2" s="68" t="s">
        <v>550</v>
      </c>
      <c r="AI2" s="69"/>
    </row>
    <row r="3" spans="1:35" ht="18" x14ac:dyDescent="0.3">
      <c r="A3" s="70" t="s">
        <v>417</v>
      </c>
      <c r="B3" s="71">
        <v>45989</v>
      </c>
      <c r="C3" s="72" t="s">
        <v>484</v>
      </c>
      <c r="D3" s="73">
        <v>0.41666666666666669</v>
      </c>
      <c r="E3" s="72" t="s">
        <v>471</v>
      </c>
      <c r="F3" s="72" t="s">
        <v>153</v>
      </c>
      <c r="G3" s="74">
        <v>0.71430000000000005</v>
      </c>
      <c r="H3" s="75">
        <v>168</v>
      </c>
      <c r="I3" s="75">
        <v>120</v>
      </c>
      <c r="J3" s="75">
        <v>0</v>
      </c>
      <c r="K3" s="71">
        <v>45986</v>
      </c>
      <c r="L3" s="75">
        <v>0</v>
      </c>
      <c r="M3" s="75">
        <v>3</v>
      </c>
      <c r="N3" s="75">
        <v>67</v>
      </c>
      <c r="O3" s="72" t="s">
        <v>511</v>
      </c>
      <c r="P3" s="76"/>
      <c r="Q3" s="76"/>
      <c r="R3" s="76"/>
      <c r="S3" s="76"/>
      <c r="T3" s="76"/>
      <c r="U3" s="76"/>
      <c r="V3" s="76"/>
      <c r="W3" s="75" t="s">
        <v>551</v>
      </c>
      <c r="X3" s="75" t="s">
        <v>552</v>
      </c>
      <c r="Y3" s="75" t="s">
        <v>553</v>
      </c>
      <c r="Z3" s="75" t="s">
        <v>554</v>
      </c>
      <c r="AA3" s="75" t="s">
        <v>555</v>
      </c>
      <c r="AB3" s="75" t="s">
        <v>556</v>
      </c>
      <c r="AC3" s="75" t="s">
        <v>454</v>
      </c>
      <c r="AD3" s="76"/>
      <c r="AE3" s="76"/>
      <c r="AF3" s="76"/>
      <c r="AG3" s="76"/>
      <c r="AH3" s="76"/>
      <c r="AI3" s="76"/>
    </row>
    <row r="4" spans="1:35" ht="18" x14ac:dyDescent="0.3">
      <c r="A4" s="63" t="s">
        <v>162</v>
      </c>
      <c r="B4" s="64">
        <v>45990</v>
      </c>
      <c r="C4" s="65" t="s">
        <v>530</v>
      </c>
      <c r="D4" s="66">
        <v>0.45833333333333331</v>
      </c>
      <c r="E4" s="65" t="s">
        <v>471</v>
      </c>
      <c r="F4" s="65" t="s">
        <v>153</v>
      </c>
      <c r="G4" s="67">
        <v>0.99399999999999999</v>
      </c>
      <c r="H4" s="68">
        <v>168</v>
      </c>
      <c r="I4" s="68">
        <v>167</v>
      </c>
      <c r="J4" s="68">
        <v>138</v>
      </c>
      <c r="K4" s="64">
        <v>45987</v>
      </c>
      <c r="L4" s="68">
        <v>1</v>
      </c>
      <c r="M4" s="68">
        <v>3</v>
      </c>
      <c r="N4" s="68">
        <v>4</v>
      </c>
      <c r="O4" s="65" t="s">
        <v>428</v>
      </c>
      <c r="P4" s="69"/>
      <c r="Q4" s="69"/>
      <c r="R4" s="69"/>
      <c r="S4" s="69"/>
      <c r="T4" s="69"/>
      <c r="U4" s="69"/>
      <c r="V4" s="69"/>
      <c r="W4" s="69"/>
      <c r="X4" s="68" t="s">
        <v>557</v>
      </c>
      <c r="Y4" s="68" t="s">
        <v>421</v>
      </c>
      <c r="Z4" s="69"/>
      <c r="AA4" s="68" t="s">
        <v>558</v>
      </c>
      <c r="AB4" s="68" t="s">
        <v>559</v>
      </c>
      <c r="AC4" s="69"/>
      <c r="AD4" s="69"/>
      <c r="AE4" s="69"/>
      <c r="AF4" s="69"/>
      <c r="AG4" s="69"/>
      <c r="AH4" s="68" t="s">
        <v>560</v>
      </c>
      <c r="AI4" s="69"/>
    </row>
    <row r="5" spans="1:35" ht="18" x14ac:dyDescent="0.3">
      <c r="A5" s="70" t="s">
        <v>162</v>
      </c>
      <c r="B5" s="71">
        <v>45990</v>
      </c>
      <c r="C5" s="72" t="s">
        <v>484</v>
      </c>
      <c r="D5" s="73">
        <v>0.79166666666666663</v>
      </c>
      <c r="E5" s="72" t="s">
        <v>471</v>
      </c>
      <c r="F5" s="72" t="s">
        <v>153</v>
      </c>
      <c r="G5" s="74">
        <v>0.98809999999999998</v>
      </c>
      <c r="H5" s="75">
        <v>168</v>
      </c>
      <c r="I5" s="75">
        <v>166</v>
      </c>
      <c r="J5" s="75">
        <v>119</v>
      </c>
      <c r="K5" s="71">
        <v>45986</v>
      </c>
      <c r="L5" s="75">
        <v>0</v>
      </c>
      <c r="M5" s="75">
        <v>6</v>
      </c>
      <c r="N5" s="75">
        <v>6</v>
      </c>
      <c r="O5" s="72" t="s">
        <v>163</v>
      </c>
      <c r="P5" s="76"/>
      <c r="Q5" s="76"/>
      <c r="R5" s="76"/>
      <c r="S5" s="76"/>
      <c r="T5" s="76"/>
      <c r="U5" s="76"/>
      <c r="V5" s="76"/>
      <c r="W5" s="76"/>
      <c r="X5" s="75" t="s">
        <v>561</v>
      </c>
      <c r="Y5" s="75" t="s">
        <v>562</v>
      </c>
      <c r="Z5" s="76"/>
      <c r="AA5" s="76"/>
      <c r="AB5" s="75" t="s">
        <v>465</v>
      </c>
      <c r="AC5" s="75" t="s">
        <v>563</v>
      </c>
      <c r="AD5" s="75" t="s">
        <v>407</v>
      </c>
      <c r="AE5" s="75" t="s">
        <v>468</v>
      </c>
      <c r="AF5" s="76"/>
      <c r="AG5" s="76"/>
      <c r="AH5" s="75" t="s">
        <v>564</v>
      </c>
      <c r="AI5" s="76"/>
    </row>
    <row r="6" spans="1:35" ht="18" x14ac:dyDescent="0.3">
      <c r="A6" s="63" t="s">
        <v>168</v>
      </c>
      <c r="B6" s="64">
        <v>45991</v>
      </c>
      <c r="C6" s="65" t="s">
        <v>530</v>
      </c>
      <c r="D6" s="66">
        <v>0.48958333333333331</v>
      </c>
      <c r="E6" s="65" t="s">
        <v>471</v>
      </c>
      <c r="F6" s="65" t="s">
        <v>153</v>
      </c>
      <c r="G6" s="67">
        <v>1</v>
      </c>
      <c r="H6" s="68">
        <v>168</v>
      </c>
      <c r="I6" s="68">
        <v>168</v>
      </c>
      <c r="J6" s="68">
        <v>138</v>
      </c>
      <c r="K6" s="64">
        <v>45986</v>
      </c>
      <c r="L6" s="68">
        <v>0</v>
      </c>
      <c r="M6" s="68">
        <v>2</v>
      </c>
      <c r="N6" s="68">
        <v>3</v>
      </c>
      <c r="O6" s="65" t="s">
        <v>107</v>
      </c>
      <c r="P6" s="69"/>
      <c r="Q6" s="69"/>
      <c r="R6" s="69"/>
      <c r="S6" s="69"/>
      <c r="T6" s="69"/>
      <c r="U6" s="69"/>
      <c r="V6" s="69"/>
      <c r="W6" s="69"/>
      <c r="X6" s="68" t="s">
        <v>428</v>
      </c>
      <c r="Y6" s="68" t="s">
        <v>156</v>
      </c>
      <c r="Z6" s="69"/>
      <c r="AA6" s="69"/>
      <c r="AB6" s="68" t="s">
        <v>174</v>
      </c>
      <c r="AC6" s="68" t="s">
        <v>563</v>
      </c>
      <c r="AD6" s="68" t="s">
        <v>467</v>
      </c>
      <c r="AE6" s="68" t="s">
        <v>468</v>
      </c>
      <c r="AF6" s="68" t="s">
        <v>223</v>
      </c>
      <c r="AG6" s="69"/>
      <c r="AH6" s="68" t="s">
        <v>565</v>
      </c>
      <c r="AI6" s="68" t="s">
        <v>161</v>
      </c>
    </row>
    <row r="7" spans="1:35" ht="18" x14ac:dyDescent="0.3">
      <c r="A7" s="70" t="s">
        <v>168</v>
      </c>
      <c r="B7" s="71">
        <v>45991</v>
      </c>
      <c r="C7" s="72" t="s">
        <v>484</v>
      </c>
      <c r="D7" s="73">
        <v>0.6875</v>
      </c>
      <c r="E7" s="72" t="s">
        <v>471</v>
      </c>
      <c r="F7" s="72" t="s">
        <v>153</v>
      </c>
      <c r="G7" s="74">
        <v>1</v>
      </c>
      <c r="H7" s="75">
        <v>168</v>
      </c>
      <c r="I7" s="75">
        <v>168</v>
      </c>
      <c r="J7" s="75">
        <v>138</v>
      </c>
      <c r="K7" s="71">
        <v>45983</v>
      </c>
      <c r="L7" s="75">
        <v>0</v>
      </c>
      <c r="M7" s="75">
        <v>0</v>
      </c>
      <c r="N7" s="75">
        <v>7</v>
      </c>
      <c r="O7" s="72" t="s">
        <v>107</v>
      </c>
      <c r="P7" s="76"/>
      <c r="Q7" s="76"/>
      <c r="R7" s="76"/>
      <c r="S7" s="76"/>
      <c r="T7" s="76"/>
      <c r="U7" s="76"/>
      <c r="V7" s="76"/>
      <c r="W7" s="76"/>
      <c r="X7" s="75" t="s">
        <v>428</v>
      </c>
      <c r="Y7" s="75" t="s">
        <v>171</v>
      </c>
      <c r="Z7" s="75" t="s">
        <v>566</v>
      </c>
      <c r="AA7" s="75" t="s">
        <v>567</v>
      </c>
      <c r="AB7" s="75" t="s">
        <v>218</v>
      </c>
      <c r="AC7" s="76"/>
      <c r="AD7" s="76"/>
      <c r="AE7" s="76"/>
      <c r="AF7" s="76"/>
      <c r="AG7" s="76"/>
      <c r="AH7" s="75" t="s">
        <v>568</v>
      </c>
      <c r="AI7" s="75" t="s">
        <v>416</v>
      </c>
    </row>
    <row r="8" spans="1:35" ht="18" x14ac:dyDescent="0.3">
      <c r="A8" s="77" t="s">
        <v>178</v>
      </c>
      <c r="B8" s="78"/>
      <c r="C8" s="79">
        <f>COUNTA(C2:C7)</f>
        <v>6</v>
      </c>
      <c r="D8" s="78"/>
      <c r="E8" s="78"/>
      <c r="F8" s="78"/>
      <c r="G8" s="80">
        <f>AVERAGE(G2:G7)</f>
        <v>0.94568333333333332</v>
      </c>
      <c r="H8" s="81">
        <f>SUM(H2:H7)</f>
        <v>1019</v>
      </c>
      <c r="I8" s="81">
        <f>SUM(I2:I7)</f>
        <v>964</v>
      </c>
      <c r="J8" s="81">
        <f>SUM(J2:J7)</f>
        <v>703</v>
      </c>
      <c r="K8" s="78"/>
      <c r="L8" s="81">
        <f>SUM(L2:L7)</f>
        <v>1</v>
      </c>
      <c r="M8" s="81">
        <f>SUM(M2:M7)</f>
        <v>14</v>
      </c>
      <c r="N8" s="81">
        <f>SUM(N2:N7)</f>
        <v>90</v>
      </c>
      <c r="O8" s="78"/>
      <c r="P8" s="81">
        <f t="shared" ref="P8:AI8" si="0">SUMPRODUCT(--IFERROR(VALUE(SUBSTITUTE(SUBSTITUTE(SUBSTITUTE(SUBSTITUTE(SUBSTITUTE(SUBSTITUTE(SUBSTITUTE(SUBSTITUTE(SUBSTITUTE(SUBSTITUTE(SUBSTITUTE(SUBSTITUTE(SUBSTITUTE(SUBSTITUTE(SUBSTITUTE(SUBSTITUTE(SUBSTITUTE(SUBSTITUTE(SUBSTITUTE(SUBSTITUTE(P2:P7,"Y",""),"B",""),"M",""),"H",""),"Q",""),"K",""),"V",""),"L",""),"G",""),"S",""),"W",""),"T",""),"X",""),"U",""),"O",""),"I",""),"E",""),"A",""),"P",""),"N","")),0))</f>
        <v>0</v>
      </c>
      <c r="Q8" s="81">
        <f t="shared" si="0"/>
        <v>0</v>
      </c>
      <c r="R8" s="81">
        <f t="shared" si="0"/>
        <v>0</v>
      </c>
      <c r="S8" s="81">
        <f t="shared" si="0"/>
        <v>0</v>
      </c>
      <c r="T8" s="81">
        <f t="shared" si="0"/>
        <v>0</v>
      </c>
      <c r="U8" s="81">
        <f t="shared" si="0"/>
        <v>0</v>
      </c>
      <c r="V8" s="81">
        <f t="shared" si="0"/>
        <v>0</v>
      </c>
      <c r="W8" s="81">
        <f t="shared" si="0"/>
        <v>0</v>
      </c>
      <c r="X8" s="81">
        <f t="shared" si="0"/>
        <v>0</v>
      </c>
      <c r="Y8" s="81">
        <f t="shared" si="0"/>
        <v>0</v>
      </c>
      <c r="Z8" s="81">
        <f t="shared" si="0"/>
        <v>0</v>
      </c>
      <c r="AA8" s="81">
        <f t="shared" si="0"/>
        <v>0</v>
      </c>
      <c r="AB8" s="81">
        <f t="shared" si="0"/>
        <v>0</v>
      </c>
      <c r="AC8" s="81">
        <f t="shared" si="0"/>
        <v>0</v>
      </c>
      <c r="AD8" s="81">
        <f t="shared" si="0"/>
        <v>0</v>
      </c>
      <c r="AE8" s="81">
        <f t="shared" si="0"/>
        <v>0</v>
      </c>
      <c r="AF8" s="81">
        <f t="shared" si="0"/>
        <v>0</v>
      </c>
      <c r="AG8" s="81">
        <f t="shared" si="0"/>
        <v>0</v>
      </c>
      <c r="AH8" s="81">
        <f t="shared" si="0"/>
        <v>0</v>
      </c>
      <c r="AI8" s="81">
        <f t="shared" si="0"/>
        <v>0</v>
      </c>
    </row>
  </sheetData>
  <autoFilter ref="A1:AI7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5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302</v>
      </c>
      <c r="C2" s="85" t="s">
        <v>472</v>
      </c>
      <c r="D2" s="84" t="s">
        <v>471</v>
      </c>
      <c r="E2" s="86">
        <v>1.5277777777777779</v>
      </c>
      <c r="F2" s="84" t="s">
        <v>473</v>
      </c>
      <c r="G2" s="87">
        <v>9</v>
      </c>
      <c r="H2" s="88">
        <v>530</v>
      </c>
    </row>
    <row r="3" spans="1:8" ht="18" x14ac:dyDescent="0.3">
      <c r="A3" s="89">
        <v>45988</v>
      </c>
      <c r="B3" s="90" t="s">
        <v>302</v>
      </c>
      <c r="C3" s="91" t="s">
        <v>472</v>
      </c>
      <c r="D3" s="90" t="s">
        <v>471</v>
      </c>
      <c r="E3" s="92">
        <v>1.5277777777777779</v>
      </c>
      <c r="F3" s="90" t="s">
        <v>475</v>
      </c>
      <c r="G3" s="93">
        <v>9</v>
      </c>
      <c r="H3" s="94">
        <v>584</v>
      </c>
    </row>
    <row r="4" spans="1:8" ht="18" x14ac:dyDescent="0.3">
      <c r="A4" s="89">
        <v>45988</v>
      </c>
      <c r="B4" s="90" t="s">
        <v>302</v>
      </c>
      <c r="C4" s="91" t="s">
        <v>472</v>
      </c>
      <c r="D4" s="90" t="s">
        <v>471</v>
      </c>
      <c r="E4" s="92">
        <v>1.5277777777777779</v>
      </c>
      <c r="F4" s="90" t="s">
        <v>33</v>
      </c>
      <c r="G4" s="93">
        <v>9</v>
      </c>
      <c r="H4" s="94">
        <v>653</v>
      </c>
    </row>
    <row r="5" spans="1:8" ht="18" x14ac:dyDescent="0.3">
      <c r="A5" s="97">
        <v>45988</v>
      </c>
      <c r="B5" s="98" t="s">
        <v>302</v>
      </c>
      <c r="C5" s="99" t="s">
        <v>478</v>
      </c>
      <c r="D5" s="98" t="s">
        <v>471</v>
      </c>
      <c r="E5" s="100">
        <v>1.7986111111111109</v>
      </c>
      <c r="F5" s="98" t="s">
        <v>473</v>
      </c>
      <c r="G5" s="101">
        <v>8</v>
      </c>
      <c r="H5" s="102">
        <v>598</v>
      </c>
    </row>
    <row r="6" spans="1:8" ht="18" x14ac:dyDescent="0.3">
      <c r="A6" s="89">
        <v>45988</v>
      </c>
      <c r="B6" s="90" t="s">
        <v>302</v>
      </c>
      <c r="C6" s="91" t="s">
        <v>478</v>
      </c>
      <c r="D6" s="90" t="s">
        <v>471</v>
      </c>
      <c r="E6" s="92">
        <v>1.7986111111111109</v>
      </c>
      <c r="F6" s="90" t="s">
        <v>475</v>
      </c>
      <c r="G6" s="93">
        <v>8</v>
      </c>
      <c r="H6" s="94">
        <v>664</v>
      </c>
    </row>
    <row r="7" spans="1:8" ht="18" x14ac:dyDescent="0.3">
      <c r="A7" s="89">
        <v>45988</v>
      </c>
      <c r="B7" s="90" t="s">
        <v>302</v>
      </c>
      <c r="C7" s="91" t="s">
        <v>478</v>
      </c>
      <c r="D7" s="90" t="s">
        <v>471</v>
      </c>
      <c r="E7" s="92">
        <v>1.7986111111111109</v>
      </c>
      <c r="F7" s="90" t="s">
        <v>33</v>
      </c>
      <c r="G7" s="93">
        <v>8</v>
      </c>
      <c r="H7" s="94">
        <v>721</v>
      </c>
    </row>
    <row r="8" spans="1:8" ht="18" x14ac:dyDescent="0.3">
      <c r="A8" s="113">
        <v>45988</v>
      </c>
      <c r="B8" s="114" t="s">
        <v>76</v>
      </c>
      <c r="C8" s="115" t="s">
        <v>482</v>
      </c>
      <c r="D8" s="114" t="s">
        <v>471</v>
      </c>
      <c r="E8" s="116">
        <v>1.274305555555556</v>
      </c>
      <c r="F8" s="114" t="s">
        <v>78</v>
      </c>
      <c r="G8" s="117">
        <v>4</v>
      </c>
      <c r="H8" s="203">
        <v>856</v>
      </c>
    </row>
    <row r="9" spans="1:8" ht="18" x14ac:dyDescent="0.3">
      <c r="A9" s="95">
        <v>45988</v>
      </c>
      <c r="B9" s="84" t="s">
        <v>63</v>
      </c>
      <c r="C9" s="85" t="s">
        <v>486</v>
      </c>
      <c r="D9" s="84" t="s">
        <v>471</v>
      </c>
      <c r="E9" s="86">
        <v>1.3402777777777779</v>
      </c>
      <c r="F9" s="84" t="s">
        <v>487</v>
      </c>
      <c r="G9" s="87">
        <v>9</v>
      </c>
      <c r="H9" s="96">
        <v>865</v>
      </c>
    </row>
    <row r="10" spans="1:8" ht="18" x14ac:dyDescent="0.3">
      <c r="A10" s="89">
        <v>45988</v>
      </c>
      <c r="B10" s="90" t="s">
        <v>63</v>
      </c>
      <c r="C10" s="91" t="s">
        <v>486</v>
      </c>
      <c r="D10" s="90" t="s">
        <v>471</v>
      </c>
      <c r="E10" s="92">
        <v>1.3402777777777779</v>
      </c>
      <c r="F10" s="90" t="s">
        <v>65</v>
      </c>
      <c r="G10" s="93">
        <v>9</v>
      </c>
      <c r="H10" s="90" t="s">
        <v>489</v>
      </c>
    </row>
    <row r="11" spans="1:8" ht="18" x14ac:dyDescent="0.3">
      <c r="A11" s="89">
        <v>45988</v>
      </c>
      <c r="B11" s="90" t="s">
        <v>63</v>
      </c>
      <c r="C11" s="91" t="s">
        <v>486</v>
      </c>
      <c r="D11" s="90" t="s">
        <v>471</v>
      </c>
      <c r="E11" s="92">
        <v>1.3402777777777779</v>
      </c>
      <c r="F11" s="90" t="s">
        <v>67</v>
      </c>
      <c r="G11" s="93">
        <v>9</v>
      </c>
      <c r="H11" s="90" t="s">
        <v>490</v>
      </c>
    </row>
    <row r="12" spans="1:8" ht="18" x14ac:dyDescent="0.3">
      <c r="A12" s="97">
        <v>45988</v>
      </c>
      <c r="B12" s="98" t="s">
        <v>63</v>
      </c>
      <c r="C12" s="99" t="s">
        <v>491</v>
      </c>
      <c r="D12" s="98" t="s">
        <v>471</v>
      </c>
      <c r="E12" s="100">
        <v>1.711805555555556</v>
      </c>
      <c r="F12" s="98" t="s">
        <v>65</v>
      </c>
      <c r="G12" s="101">
        <v>1</v>
      </c>
      <c r="H12" s="98" t="s">
        <v>492</v>
      </c>
    </row>
    <row r="13" spans="1:8" ht="18" x14ac:dyDescent="0.3">
      <c r="A13" s="89">
        <v>45988</v>
      </c>
      <c r="B13" s="90" t="s">
        <v>63</v>
      </c>
      <c r="C13" s="91" t="s">
        <v>491</v>
      </c>
      <c r="D13" s="90" t="s">
        <v>471</v>
      </c>
      <c r="E13" s="92">
        <v>1.711805555555556</v>
      </c>
      <c r="F13" s="90" t="s">
        <v>67</v>
      </c>
      <c r="G13" s="93">
        <v>1</v>
      </c>
      <c r="H13" s="90" t="s">
        <v>493</v>
      </c>
    </row>
    <row r="14" spans="1:8" ht="15.6" x14ac:dyDescent="0.3">
      <c r="A14" s="152"/>
      <c r="B14" s="152"/>
      <c r="C14" s="152"/>
      <c r="D14" s="152"/>
      <c r="E14" s="153" t="s">
        <v>569</v>
      </c>
      <c r="F14" s="152"/>
      <c r="G14" s="152"/>
      <c r="H14" s="3"/>
    </row>
    <row r="15" spans="1:8" ht="18" x14ac:dyDescent="0.3">
      <c r="A15" s="95">
        <v>45988</v>
      </c>
      <c r="B15" s="84" t="s">
        <v>25</v>
      </c>
      <c r="C15" s="85" t="s">
        <v>239</v>
      </c>
      <c r="D15" s="84" t="s">
        <v>238</v>
      </c>
      <c r="E15" s="86">
        <v>1.302083333333333</v>
      </c>
      <c r="F15" s="84" t="s">
        <v>27</v>
      </c>
      <c r="G15" s="87">
        <v>23</v>
      </c>
      <c r="H15" s="96">
        <v>359</v>
      </c>
    </row>
    <row r="16" spans="1:8" ht="18" x14ac:dyDescent="0.3">
      <c r="A16" s="97">
        <v>45988</v>
      </c>
      <c r="B16" s="98" t="s">
        <v>25</v>
      </c>
      <c r="C16" s="99" t="s">
        <v>244</v>
      </c>
      <c r="D16" s="98" t="s">
        <v>238</v>
      </c>
      <c r="E16" s="100">
        <v>1.1284722222222221</v>
      </c>
      <c r="F16" s="98" t="s">
        <v>27</v>
      </c>
      <c r="G16" s="101">
        <v>17</v>
      </c>
      <c r="H16" s="102">
        <v>359</v>
      </c>
    </row>
    <row r="17" spans="1:8" ht="18" x14ac:dyDescent="0.3">
      <c r="A17" s="97">
        <v>45988</v>
      </c>
      <c r="B17" s="98" t="s">
        <v>25</v>
      </c>
      <c r="C17" s="99" t="s">
        <v>247</v>
      </c>
      <c r="D17" s="98" t="s">
        <v>238</v>
      </c>
      <c r="E17" s="100">
        <v>1.8888888888888891</v>
      </c>
      <c r="F17" s="98" t="s">
        <v>27</v>
      </c>
      <c r="G17" s="101">
        <v>15</v>
      </c>
      <c r="H17" s="102">
        <v>359</v>
      </c>
    </row>
    <row r="18" spans="1:8" ht="18" x14ac:dyDescent="0.3">
      <c r="A18" s="97">
        <v>45988</v>
      </c>
      <c r="B18" s="98" t="s">
        <v>25</v>
      </c>
      <c r="C18" s="99" t="s">
        <v>250</v>
      </c>
      <c r="D18" s="98" t="s">
        <v>238</v>
      </c>
      <c r="E18" s="100">
        <v>1.788194444444444</v>
      </c>
      <c r="F18" s="98" t="s">
        <v>27</v>
      </c>
      <c r="G18" s="101">
        <v>11</v>
      </c>
      <c r="H18" s="102">
        <v>389</v>
      </c>
    </row>
    <row r="19" spans="1:8" ht="18" x14ac:dyDescent="0.3">
      <c r="A19" s="95">
        <v>45988</v>
      </c>
      <c r="B19" s="84" t="s">
        <v>47</v>
      </c>
      <c r="C19" s="85" t="s">
        <v>255</v>
      </c>
      <c r="D19" s="84" t="s">
        <v>238</v>
      </c>
      <c r="E19" s="86">
        <v>1.256944444444444</v>
      </c>
      <c r="F19" s="84" t="s">
        <v>49</v>
      </c>
      <c r="G19" s="87">
        <v>9</v>
      </c>
      <c r="H19" s="96">
        <v>369</v>
      </c>
    </row>
    <row r="20" spans="1:8" ht="18" x14ac:dyDescent="0.3">
      <c r="A20" s="97">
        <v>45988</v>
      </c>
      <c r="B20" s="98" t="s">
        <v>47</v>
      </c>
      <c r="C20" s="99" t="s">
        <v>258</v>
      </c>
      <c r="D20" s="98" t="s">
        <v>238</v>
      </c>
      <c r="E20" s="100">
        <v>1.395833333333333</v>
      </c>
      <c r="F20" s="98" t="s">
        <v>49</v>
      </c>
      <c r="G20" s="101">
        <v>6</v>
      </c>
      <c r="H20" s="102">
        <v>369</v>
      </c>
    </row>
    <row r="21" spans="1:8" ht="18" x14ac:dyDescent="0.3">
      <c r="A21" s="95">
        <v>45988</v>
      </c>
      <c r="B21" s="84" t="s">
        <v>272</v>
      </c>
      <c r="C21" s="85" t="s">
        <v>273</v>
      </c>
      <c r="D21" s="84" t="s">
        <v>238</v>
      </c>
      <c r="E21" s="86">
        <v>1.291666666666667</v>
      </c>
      <c r="F21" s="84" t="s">
        <v>274</v>
      </c>
      <c r="G21" s="87">
        <v>1</v>
      </c>
      <c r="H21" s="96">
        <v>400</v>
      </c>
    </row>
    <row r="22" spans="1:8" ht="18" x14ac:dyDescent="0.3">
      <c r="A22" s="97">
        <v>45988</v>
      </c>
      <c r="B22" s="98" t="s">
        <v>272</v>
      </c>
      <c r="C22" s="99" t="s">
        <v>276</v>
      </c>
      <c r="D22" s="98" t="s">
        <v>238</v>
      </c>
      <c r="E22" s="100">
        <v>1.59375</v>
      </c>
      <c r="F22" s="98" t="s">
        <v>274</v>
      </c>
      <c r="G22" s="101">
        <v>9</v>
      </c>
      <c r="H22" s="102">
        <v>400</v>
      </c>
    </row>
    <row r="23" spans="1:8" ht="18" x14ac:dyDescent="0.3">
      <c r="A23" s="113">
        <v>45988</v>
      </c>
      <c r="B23" s="114" t="s">
        <v>76</v>
      </c>
      <c r="C23" s="115" t="s">
        <v>277</v>
      </c>
      <c r="D23" s="114" t="s">
        <v>238</v>
      </c>
      <c r="E23" s="116">
        <v>1.0486111111111109</v>
      </c>
      <c r="F23" s="114" t="s">
        <v>78</v>
      </c>
      <c r="G23" s="117">
        <v>9</v>
      </c>
      <c r="H23" s="203">
        <v>401</v>
      </c>
    </row>
    <row r="24" spans="1:8" ht="18" x14ac:dyDescent="0.3">
      <c r="A24" s="219">
        <v>45988</v>
      </c>
      <c r="B24" s="220" t="s">
        <v>76</v>
      </c>
      <c r="C24" s="221" t="s">
        <v>282</v>
      </c>
      <c r="D24" s="220" t="s">
        <v>238</v>
      </c>
      <c r="E24" s="222">
        <v>1.364583333333333</v>
      </c>
      <c r="F24" s="220" t="s">
        <v>78</v>
      </c>
      <c r="G24" s="223">
        <v>9</v>
      </c>
      <c r="H24" s="224">
        <v>401</v>
      </c>
    </row>
    <row r="25" spans="1:8" ht="18" x14ac:dyDescent="0.3">
      <c r="A25" s="160">
        <v>45989</v>
      </c>
      <c r="B25" s="114" t="s">
        <v>76</v>
      </c>
      <c r="C25" s="115" t="s">
        <v>484</v>
      </c>
      <c r="D25" s="114" t="s">
        <v>471</v>
      </c>
      <c r="E25" s="116">
        <v>1.416666666666667</v>
      </c>
      <c r="F25" s="114" t="s">
        <v>105</v>
      </c>
      <c r="G25" s="114"/>
      <c r="H25" s="161" t="s">
        <v>510</v>
      </c>
    </row>
    <row r="26" spans="1:8" ht="15.6" x14ac:dyDescent="0.3">
      <c r="A26" s="152"/>
      <c r="B26" s="152"/>
      <c r="C26" s="152"/>
      <c r="D26" s="152"/>
      <c r="E26" s="153" t="s">
        <v>569</v>
      </c>
      <c r="F26" s="152"/>
      <c r="G26" s="152"/>
      <c r="H26" s="3"/>
    </row>
    <row r="27" spans="1:8" ht="18" x14ac:dyDescent="0.3">
      <c r="A27" s="95">
        <v>45989</v>
      </c>
      <c r="B27" s="84" t="s">
        <v>25</v>
      </c>
      <c r="C27" s="85" t="s">
        <v>239</v>
      </c>
      <c r="D27" s="84" t="s">
        <v>238</v>
      </c>
      <c r="E27" s="86">
        <v>1.302083333333333</v>
      </c>
      <c r="F27" s="84" t="s">
        <v>27</v>
      </c>
      <c r="G27" s="87">
        <v>7</v>
      </c>
      <c r="H27" s="96">
        <v>359</v>
      </c>
    </row>
    <row r="28" spans="1:8" ht="18" x14ac:dyDescent="0.3">
      <c r="A28" s="97">
        <v>45989</v>
      </c>
      <c r="B28" s="98" t="s">
        <v>25</v>
      </c>
      <c r="C28" s="99" t="s">
        <v>244</v>
      </c>
      <c r="D28" s="98" t="s">
        <v>238</v>
      </c>
      <c r="E28" s="100">
        <v>1.1284722222222221</v>
      </c>
      <c r="F28" s="98" t="s">
        <v>27</v>
      </c>
      <c r="G28" s="101">
        <v>20</v>
      </c>
      <c r="H28" s="102">
        <v>389</v>
      </c>
    </row>
    <row r="29" spans="1:8" ht="18" x14ac:dyDescent="0.3">
      <c r="A29" s="97">
        <v>45989</v>
      </c>
      <c r="B29" s="98" t="s">
        <v>25</v>
      </c>
      <c r="C29" s="99" t="s">
        <v>250</v>
      </c>
      <c r="D29" s="98" t="s">
        <v>238</v>
      </c>
      <c r="E29" s="100">
        <v>1.788194444444444</v>
      </c>
      <c r="F29" s="98" t="s">
        <v>27</v>
      </c>
      <c r="G29" s="101">
        <v>15</v>
      </c>
      <c r="H29" s="102">
        <v>389</v>
      </c>
    </row>
    <row r="30" spans="1:8" ht="18" x14ac:dyDescent="0.3">
      <c r="A30" s="95">
        <v>45989</v>
      </c>
      <c r="B30" s="84" t="s">
        <v>300</v>
      </c>
      <c r="C30" s="85" t="s">
        <v>301</v>
      </c>
      <c r="D30" s="84" t="s">
        <v>238</v>
      </c>
      <c r="E30" s="86">
        <v>1.666666666666667</v>
      </c>
      <c r="F30" s="84" t="s">
        <v>274</v>
      </c>
      <c r="G30" s="87">
        <v>1</v>
      </c>
      <c r="H30" s="96">
        <v>401</v>
      </c>
    </row>
    <row r="31" spans="1:8" ht="18" x14ac:dyDescent="0.3">
      <c r="A31" s="95">
        <v>45989</v>
      </c>
      <c r="B31" s="84" t="s">
        <v>47</v>
      </c>
      <c r="C31" s="85" t="s">
        <v>255</v>
      </c>
      <c r="D31" s="84" t="s">
        <v>238</v>
      </c>
      <c r="E31" s="86">
        <v>1.256944444444444</v>
      </c>
      <c r="F31" s="84" t="s">
        <v>49</v>
      </c>
      <c r="G31" s="87">
        <v>9</v>
      </c>
      <c r="H31" s="96">
        <v>409</v>
      </c>
    </row>
    <row r="32" spans="1:8" ht="18" x14ac:dyDescent="0.3">
      <c r="A32" s="97">
        <v>45989</v>
      </c>
      <c r="B32" s="98" t="s">
        <v>47</v>
      </c>
      <c r="C32" s="99" t="s">
        <v>268</v>
      </c>
      <c r="D32" s="98" t="s">
        <v>238</v>
      </c>
      <c r="E32" s="100">
        <v>1.645833333333333</v>
      </c>
      <c r="F32" s="98" t="s">
        <v>49</v>
      </c>
      <c r="G32" s="101">
        <v>4</v>
      </c>
      <c r="H32" s="102">
        <v>409</v>
      </c>
    </row>
    <row r="33" spans="1:8" ht="18" x14ac:dyDescent="0.3">
      <c r="A33" s="97">
        <v>45989</v>
      </c>
      <c r="B33" s="98" t="s">
        <v>47</v>
      </c>
      <c r="C33" s="99" t="s">
        <v>265</v>
      </c>
      <c r="D33" s="98" t="s">
        <v>238</v>
      </c>
      <c r="E33" s="100">
        <v>1.5173611111111109</v>
      </c>
      <c r="F33" s="98" t="s">
        <v>49</v>
      </c>
      <c r="G33" s="101">
        <v>9</v>
      </c>
      <c r="H33" s="102">
        <v>409</v>
      </c>
    </row>
    <row r="34" spans="1:8" ht="18" x14ac:dyDescent="0.3">
      <c r="A34" s="97">
        <v>45989</v>
      </c>
      <c r="B34" s="98" t="s">
        <v>47</v>
      </c>
      <c r="C34" s="99" t="s">
        <v>266</v>
      </c>
      <c r="D34" s="98" t="s">
        <v>238</v>
      </c>
      <c r="E34" s="100">
        <v>1.854166666666667</v>
      </c>
      <c r="F34" s="98" t="s">
        <v>49</v>
      </c>
      <c r="G34" s="101">
        <v>7</v>
      </c>
      <c r="H34" s="102">
        <v>409</v>
      </c>
    </row>
    <row r="35" spans="1:8" ht="18" x14ac:dyDescent="0.3">
      <c r="A35" s="97">
        <v>45989</v>
      </c>
      <c r="B35" s="98" t="s">
        <v>47</v>
      </c>
      <c r="C35" s="99" t="s">
        <v>258</v>
      </c>
      <c r="D35" s="98" t="s">
        <v>238</v>
      </c>
      <c r="E35" s="100">
        <v>1.395833333333333</v>
      </c>
      <c r="F35" s="98" t="s">
        <v>49</v>
      </c>
      <c r="G35" s="101">
        <v>9</v>
      </c>
      <c r="H35" s="102">
        <v>409</v>
      </c>
    </row>
    <row r="36" spans="1:8" ht="18" x14ac:dyDescent="0.3">
      <c r="A36" s="108">
        <v>45989</v>
      </c>
      <c r="B36" s="109" t="s">
        <v>47</v>
      </c>
      <c r="C36" s="110" t="s">
        <v>271</v>
      </c>
      <c r="D36" s="109" t="s">
        <v>238</v>
      </c>
      <c r="E36" s="111">
        <v>1.7986111111111109</v>
      </c>
      <c r="F36" s="109" t="s">
        <v>49</v>
      </c>
      <c r="G36" s="112">
        <v>3</v>
      </c>
      <c r="H36" s="225">
        <v>409</v>
      </c>
    </row>
    <row r="37" spans="1:8" ht="18" x14ac:dyDescent="0.3">
      <c r="A37" s="83">
        <v>45990</v>
      </c>
      <c r="B37" s="84" t="s">
        <v>25</v>
      </c>
      <c r="C37" s="85" t="s">
        <v>519</v>
      </c>
      <c r="D37" s="84" t="s">
        <v>471</v>
      </c>
      <c r="E37" s="86">
        <v>1.256944444444444</v>
      </c>
      <c r="F37" s="84" t="s">
        <v>520</v>
      </c>
      <c r="G37" s="87">
        <v>5</v>
      </c>
      <c r="H37" s="88">
        <v>629</v>
      </c>
    </row>
    <row r="38" spans="1:8" ht="18" x14ac:dyDescent="0.3">
      <c r="A38" s="89">
        <v>45990</v>
      </c>
      <c r="B38" s="90" t="s">
        <v>25</v>
      </c>
      <c r="C38" s="91" t="s">
        <v>519</v>
      </c>
      <c r="D38" s="90" t="s">
        <v>471</v>
      </c>
      <c r="E38" s="92">
        <v>1.256944444444444</v>
      </c>
      <c r="F38" s="90" t="s">
        <v>473</v>
      </c>
      <c r="G38" s="93">
        <v>5</v>
      </c>
      <c r="H38" s="94">
        <v>688</v>
      </c>
    </row>
    <row r="39" spans="1:8" ht="18" x14ac:dyDescent="0.3">
      <c r="A39" s="89">
        <v>45990</v>
      </c>
      <c r="B39" s="90" t="s">
        <v>25</v>
      </c>
      <c r="C39" s="91" t="s">
        <v>519</v>
      </c>
      <c r="D39" s="90" t="s">
        <v>471</v>
      </c>
      <c r="E39" s="92">
        <v>1.256944444444444</v>
      </c>
      <c r="F39" s="90" t="s">
        <v>475</v>
      </c>
      <c r="G39" s="93">
        <v>5</v>
      </c>
      <c r="H39" s="94">
        <v>712</v>
      </c>
    </row>
    <row r="40" spans="1:8" ht="18" x14ac:dyDescent="0.3">
      <c r="A40" s="89">
        <v>45990</v>
      </c>
      <c r="B40" s="90" t="s">
        <v>25</v>
      </c>
      <c r="C40" s="91" t="s">
        <v>519</v>
      </c>
      <c r="D40" s="90" t="s">
        <v>471</v>
      </c>
      <c r="E40" s="92">
        <v>1.256944444444444</v>
      </c>
      <c r="F40" s="90" t="s">
        <v>524</v>
      </c>
      <c r="G40" s="93">
        <v>5</v>
      </c>
      <c r="H40" s="94">
        <v>879</v>
      </c>
    </row>
    <row r="41" spans="1:8" ht="18" x14ac:dyDescent="0.3">
      <c r="A41" s="113">
        <v>45990</v>
      </c>
      <c r="B41" s="114" t="s">
        <v>76</v>
      </c>
      <c r="C41" s="115" t="s">
        <v>482</v>
      </c>
      <c r="D41" s="114" t="s">
        <v>471</v>
      </c>
      <c r="E41" s="116">
        <v>1.791666666666667</v>
      </c>
      <c r="F41" s="114" t="s">
        <v>78</v>
      </c>
      <c r="G41" s="117">
        <v>2</v>
      </c>
      <c r="H41" s="203">
        <v>781</v>
      </c>
    </row>
    <row r="42" spans="1:8" ht="18" x14ac:dyDescent="0.3">
      <c r="A42" s="204">
        <v>45990</v>
      </c>
      <c r="B42" s="205" t="s">
        <v>76</v>
      </c>
      <c r="C42" s="206" t="s">
        <v>529</v>
      </c>
      <c r="D42" s="205" t="s">
        <v>471</v>
      </c>
      <c r="E42" s="207">
        <v>1.458333333333333</v>
      </c>
      <c r="F42" s="205" t="s">
        <v>78</v>
      </c>
      <c r="G42" s="208">
        <v>1</v>
      </c>
      <c r="H42" s="209">
        <v>781</v>
      </c>
    </row>
    <row r="43" spans="1:8" ht="18" x14ac:dyDescent="0.3">
      <c r="A43" s="95">
        <v>45990</v>
      </c>
      <c r="B43" s="84" t="s">
        <v>63</v>
      </c>
      <c r="C43" s="85" t="s">
        <v>486</v>
      </c>
      <c r="D43" s="84" t="s">
        <v>471</v>
      </c>
      <c r="E43" s="86">
        <v>1.3402777777777779</v>
      </c>
      <c r="F43" s="84" t="s">
        <v>65</v>
      </c>
      <c r="G43" s="87">
        <v>9</v>
      </c>
      <c r="H43" s="84" t="s">
        <v>532</v>
      </c>
    </row>
    <row r="44" spans="1:8" ht="18" x14ac:dyDescent="0.3">
      <c r="A44" s="89">
        <v>45990</v>
      </c>
      <c r="B44" s="90" t="s">
        <v>63</v>
      </c>
      <c r="C44" s="91" t="s">
        <v>486</v>
      </c>
      <c r="D44" s="90" t="s">
        <v>471</v>
      </c>
      <c r="E44" s="92">
        <v>1.3402777777777779</v>
      </c>
      <c r="F44" s="90" t="s">
        <v>67</v>
      </c>
      <c r="G44" s="93">
        <v>9</v>
      </c>
      <c r="H44" s="90" t="s">
        <v>533</v>
      </c>
    </row>
    <row r="45" spans="1:8" ht="18" x14ac:dyDescent="0.3">
      <c r="A45" s="97">
        <v>45990</v>
      </c>
      <c r="B45" s="98" t="s">
        <v>63</v>
      </c>
      <c r="C45" s="99" t="s">
        <v>491</v>
      </c>
      <c r="D45" s="98" t="s">
        <v>471</v>
      </c>
      <c r="E45" s="100">
        <v>1.711805555555556</v>
      </c>
      <c r="F45" s="98" t="s">
        <v>65</v>
      </c>
      <c r="G45" s="101">
        <v>9</v>
      </c>
      <c r="H45" s="98" t="s">
        <v>532</v>
      </c>
    </row>
    <row r="46" spans="1:8" ht="18" x14ac:dyDescent="0.3">
      <c r="A46" s="89">
        <v>45990</v>
      </c>
      <c r="B46" s="90" t="s">
        <v>63</v>
      </c>
      <c r="C46" s="91" t="s">
        <v>491</v>
      </c>
      <c r="D46" s="90" t="s">
        <v>471</v>
      </c>
      <c r="E46" s="92">
        <v>1.711805555555556</v>
      </c>
      <c r="F46" s="90" t="s">
        <v>67</v>
      </c>
      <c r="G46" s="93">
        <v>9</v>
      </c>
      <c r="H46" s="90" t="s">
        <v>533</v>
      </c>
    </row>
    <row r="47" spans="1:8" ht="15.6" x14ac:dyDescent="0.3">
      <c r="A47" s="152"/>
      <c r="B47" s="152"/>
      <c r="C47" s="152"/>
      <c r="D47" s="152"/>
      <c r="E47" s="153" t="s">
        <v>569</v>
      </c>
      <c r="F47" s="152"/>
      <c r="G47" s="152"/>
      <c r="H47" s="3"/>
    </row>
    <row r="48" spans="1:8" ht="18" x14ac:dyDescent="0.3">
      <c r="A48" s="95">
        <v>45990</v>
      </c>
      <c r="B48" s="84" t="s">
        <v>300</v>
      </c>
      <c r="C48" s="85" t="s">
        <v>369</v>
      </c>
      <c r="D48" s="84" t="s">
        <v>238</v>
      </c>
      <c r="E48" s="86">
        <v>1.21875</v>
      </c>
      <c r="F48" s="84" t="s">
        <v>274</v>
      </c>
      <c r="G48" s="87">
        <v>9</v>
      </c>
      <c r="H48" s="96">
        <v>310</v>
      </c>
    </row>
    <row r="49" spans="1:8" ht="18" x14ac:dyDescent="0.3">
      <c r="A49" s="97">
        <v>45990</v>
      </c>
      <c r="B49" s="98" t="s">
        <v>300</v>
      </c>
      <c r="C49" s="99" t="s">
        <v>301</v>
      </c>
      <c r="D49" s="98" t="s">
        <v>238</v>
      </c>
      <c r="E49" s="100">
        <v>1.666666666666667</v>
      </c>
      <c r="F49" s="98" t="s">
        <v>274</v>
      </c>
      <c r="G49" s="101">
        <v>5</v>
      </c>
      <c r="H49" s="102">
        <v>401</v>
      </c>
    </row>
    <row r="50" spans="1:8" ht="18" x14ac:dyDescent="0.3">
      <c r="A50" s="95">
        <v>45990</v>
      </c>
      <c r="B50" s="84" t="s">
        <v>25</v>
      </c>
      <c r="C50" s="85" t="s">
        <v>239</v>
      </c>
      <c r="D50" s="84" t="s">
        <v>238</v>
      </c>
      <c r="E50" s="86">
        <v>1.302083333333333</v>
      </c>
      <c r="F50" s="84" t="s">
        <v>27</v>
      </c>
      <c r="G50" s="87">
        <v>4</v>
      </c>
      <c r="H50" s="96">
        <v>389</v>
      </c>
    </row>
    <row r="51" spans="1:8" ht="18" x14ac:dyDescent="0.3">
      <c r="A51" s="97">
        <v>45990</v>
      </c>
      <c r="B51" s="98" t="s">
        <v>25</v>
      </c>
      <c r="C51" s="99" t="s">
        <v>247</v>
      </c>
      <c r="D51" s="98" t="s">
        <v>238</v>
      </c>
      <c r="E51" s="100">
        <v>1.8888888888888891</v>
      </c>
      <c r="F51" s="98" t="s">
        <v>27</v>
      </c>
      <c r="G51" s="101">
        <v>1</v>
      </c>
      <c r="H51" s="102">
        <v>389</v>
      </c>
    </row>
    <row r="52" spans="1:8" ht="18" x14ac:dyDescent="0.3">
      <c r="A52" s="95">
        <v>45990</v>
      </c>
      <c r="B52" s="84" t="s">
        <v>272</v>
      </c>
      <c r="C52" s="85" t="s">
        <v>273</v>
      </c>
      <c r="D52" s="84" t="s">
        <v>238</v>
      </c>
      <c r="E52" s="86">
        <v>1.270833333333333</v>
      </c>
      <c r="F52" s="84" t="s">
        <v>274</v>
      </c>
      <c r="G52" s="87">
        <v>8</v>
      </c>
      <c r="H52" s="96">
        <v>400</v>
      </c>
    </row>
    <row r="53" spans="1:8" ht="18" x14ac:dyDescent="0.3">
      <c r="A53" s="95">
        <v>45990</v>
      </c>
      <c r="B53" s="84" t="s">
        <v>47</v>
      </c>
      <c r="C53" s="85" t="s">
        <v>261</v>
      </c>
      <c r="D53" s="84" t="s">
        <v>238</v>
      </c>
      <c r="E53" s="86">
        <v>1.9027777777777779</v>
      </c>
      <c r="F53" s="84" t="s">
        <v>49</v>
      </c>
      <c r="G53" s="87">
        <v>9</v>
      </c>
      <c r="H53" s="96">
        <v>409</v>
      </c>
    </row>
    <row r="54" spans="1:8" ht="18" x14ac:dyDescent="0.3">
      <c r="A54" s="97">
        <v>45990</v>
      </c>
      <c r="B54" s="98" t="s">
        <v>47</v>
      </c>
      <c r="C54" s="99" t="s">
        <v>265</v>
      </c>
      <c r="D54" s="98" t="s">
        <v>238</v>
      </c>
      <c r="E54" s="100">
        <v>1.5173611111111109</v>
      </c>
      <c r="F54" s="98" t="s">
        <v>49</v>
      </c>
      <c r="G54" s="101">
        <v>6</v>
      </c>
      <c r="H54" s="102">
        <v>409</v>
      </c>
    </row>
    <row r="55" spans="1:8" ht="18" x14ac:dyDescent="0.3">
      <c r="A55" s="97">
        <v>45990</v>
      </c>
      <c r="B55" s="98" t="s">
        <v>47</v>
      </c>
      <c r="C55" s="99" t="s">
        <v>266</v>
      </c>
      <c r="D55" s="98" t="s">
        <v>238</v>
      </c>
      <c r="E55" s="100">
        <v>1.854166666666667</v>
      </c>
      <c r="F55" s="98" t="s">
        <v>49</v>
      </c>
      <c r="G55" s="101">
        <v>9</v>
      </c>
      <c r="H55" s="102">
        <v>409</v>
      </c>
    </row>
    <row r="56" spans="1:8" ht="18" x14ac:dyDescent="0.3">
      <c r="A56" s="97">
        <v>45990</v>
      </c>
      <c r="B56" s="98" t="s">
        <v>47</v>
      </c>
      <c r="C56" s="99" t="s">
        <v>258</v>
      </c>
      <c r="D56" s="98" t="s">
        <v>238</v>
      </c>
      <c r="E56" s="100">
        <v>1.395833333333333</v>
      </c>
      <c r="F56" s="98" t="s">
        <v>49</v>
      </c>
      <c r="G56" s="101">
        <v>6</v>
      </c>
      <c r="H56" s="102">
        <v>409</v>
      </c>
    </row>
    <row r="57" spans="1:8" ht="18" x14ac:dyDescent="0.3">
      <c r="A57" s="108">
        <v>45990</v>
      </c>
      <c r="B57" s="109" t="s">
        <v>47</v>
      </c>
      <c r="C57" s="110" t="s">
        <v>271</v>
      </c>
      <c r="D57" s="109" t="s">
        <v>238</v>
      </c>
      <c r="E57" s="111">
        <v>1.7986111111111109</v>
      </c>
      <c r="F57" s="109" t="s">
        <v>49</v>
      </c>
      <c r="G57" s="112">
        <v>5</v>
      </c>
      <c r="H57" s="225">
        <v>409</v>
      </c>
    </row>
    <row r="58" spans="1:8" ht="18" x14ac:dyDescent="0.3">
      <c r="A58" s="83">
        <v>45991</v>
      </c>
      <c r="B58" s="84" t="s">
        <v>302</v>
      </c>
      <c r="C58" s="85" t="s">
        <v>472</v>
      </c>
      <c r="D58" s="84" t="s">
        <v>471</v>
      </c>
      <c r="E58" s="86">
        <v>1.5277777777777779</v>
      </c>
      <c r="F58" s="84" t="s">
        <v>473</v>
      </c>
      <c r="G58" s="87">
        <v>1</v>
      </c>
      <c r="H58" s="88">
        <v>774</v>
      </c>
    </row>
    <row r="59" spans="1:8" ht="18" x14ac:dyDescent="0.3">
      <c r="A59" s="89">
        <v>45991</v>
      </c>
      <c r="B59" s="90" t="s">
        <v>302</v>
      </c>
      <c r="C59" s="91" t="s">
        <v>472</v>
      </c>
      <c r="D59" s="90" t="s">
        <v>471</v>
      </c>
      <c r="E59" s="92">
        <v>1.5277777777777779</v>
      </c>
      <c r="F59" s="90" t="s">
        <v>475</v>
      </c>
      <c r="G59" s="93">
        <v>1</v>
      </c>
      <c r="H59" s="94">
        <v>846</v>
      </c>
    </row>
    <row r="60" spans="1:8" ht="18" x14ac:dyDescent="0.3">
      <c r="A60" s="89">
        <v>45991</v>
      </c>
      <c r="B60" s="90" t="s">
        <v>302</v>
      </c>
      <c r="C60" s="91" t="s">
        <v>472</v>
      </c>
      <c r="D60" s="90" t="s">
        <v>471</v>
      </c>
      <c r="E60" s="92">
        <v>1.5277777777777779</v>
      </c>
      <c r="F60" s="90" t="s">
        <v>33</v>
      </c>
      <c r="G60" s="93">
        <v>1</v>
      </c>
      <c r="H60" s="94">
        <v>902</v>
      </c>
    </row>
    <row r="61" spans="1:8" ht="18" x14ac:dyDescent="0.3">
      <c r="A61" s="95">
        <v>45991</v>
      </c>
      <c r="B61" s="84" t="s">
        <v>63</v>
      </c>
      <c r="C61" s="85" t="s">
        <v>491</v>
      </c>
      <c r="D61" s="84" t="s">
        <v>471</v>
      </c>
      <c r="E61" s="86">
        <v>1.711805555555556</v>
      </c>
      <c r="F61" s="84" t="s">
        <v>65</v>
      </c>
      <c r="G61" s="87">
        <v>1</v>
      </c>
      <c r="H61" s="84" t="s">
        <v>538</v>
      </c>
    </row>
    <row r="62" spans="1:8" ht="18" x14ac:dyDescent="0.3">
      <c r="A62" s="89">
        <v>45991</v>
      </c>
      <c r="B62" s="90" t="s">
        <v>63</v>
      </c>
      <c r="C62" s="91" t="s">
        <v>491</v>
      </c>
      <c r="D62" s="90" t="s">
        <v>471</v>
      </c>
      <c r="E62" s="92">
        <v>1.711805555555556</v>
      </c>
      <c r="F62" s="90" t="s">
        <v>67</v>
      </c>
      <c r="G62" s="93">
        <v>1</v>
      </c>
      <c r="H62" s="90" t="s">
        <v>539</v>
      </c>
    </row>
    <row r="63" spans="1:8" ht="18" x14ac:dyDescent="0.3">
      <c r="A63" s="113">
        <v>45991</v>
      </c>
      <c r="B63" s="114" t="s">
        <v>76</v>
      </c>
      <c r="C63" s="115" t="s">
        <v>530</v>
      </c>
      <c r="D63" s="114" t="s">
        <v>471</v>
      </c>
      <c r="E63" s="116">
        <v>1.489583333333333</v>
      </c>
      <c r="F63" s="114" t="s">
        <v>105</v>
      </c>
      <c r="G63" s="114"/>
      <c r="H63" s="114" t="s">
        <v>106</v>
      </c>
    </row>
    <row r="64" spans="1:8" ht="18" x14ac:dyDescent="0.3">
      <c r="A64" s="204">
        <v>45991</v>
      </c>
      <c r="B64" s="205" t="s">
        <v>76</v>
      </c>
      <c r="C64" s="206" t="s">
        <v>484</v>
      </c>
      <c r="D64" s="205" t="s">
        <v>471</v>
      </c>
      <c r="E64" s="207">
        <v>1.6875</v>
      </c>
      <c r="F64" s="205" t="s">
        <v>105</v>
      </c>
      <c r="G64" s="205"/>
      <c r="H64" s="205" t="s">
        <v>106</v>
      </c>
    </row>
    <row r="65" spans="1:8" ht="15.6" x14ac:dyDescent="0.3">
      <c r="A65" s="152"/>
      <c r="B65" s="152"/>
      <c r="C65" s="152"/>
      <c r="D65" s="152"/>
      <c r="E65" s="153" t="s">
        <v>569</v>
      </c>
      <c r="F65" s="152"/>
      <c r="G65" s="152"/>
      <c r="H65" s="3"/>
    </row>
    <row r="66" spans="1:8" ht="18" x14ac:dyDescent="0.3">
      <c r="A66" s="95">
        <v>45991</v>
      </c>
      <c r="B66" s="84" t="s">
        <v>25</v>
      </c>
      <c r="C66" s="85" t="s">
        <v>244</v>
      </c>
      <c r="D66" s="84" t="s">
        <v>238</v>
      </c>
      <c r="E66" s="86">
        <v>1.1284722222222221</v>
      </c>
      <c r="F66" s="84" t="s">
        <v>27</v>
      </c>
      <c r="G66" s="87">
        <v>9</v>
      </c>
      <c r="H66" s="96">
        <v>389</v>
      </c>
    </row>
    <row r="67" spans="1:8" ht="18" x14ac:dyDescent="0.3">
      <c r="A67" s="97">
        <v>45991</v>
      </c>
      <c r="B67" s="98" t="s">
        <v>25</v>
      </c>
      <c r="C67" s="99" t="s">
        <v>250</v>
      </c>
      <c r="D67" s="98" t="s">
        <v>238</v>
      </c>
      <c r="E67" s="100">
        <v>1.788194444444444</v>
      </c>
      <c r="F67" s="98" t="s">
        <v>27</v>
      </c>
      <c r="G67" s="101">
        <v>1</v>
      </c>
      <c r="H67" s="102">
        <v>389</v>
      </c>
    </row>
    <row r="68" spans="1:8" ht="18" x14ac:dyDescent="0.3">
      <c r="A68" s="97">
        <v>45991</v>
      </c>
      <c r="B68" s="98" t="s">
        <v>25</v>
      </c>
      <c r="C68" s="99" t="s">
        <v>247</v>
      </c>
      <c r="D68" s="98" t="s">
        <v>238</v>
      </c>
      <c r="E68" s="100">
        <v>1.8888888888888891</v>
      </c>
      <c r="F68" s="98" t="s">
        <v>27</v>
      </c>
      <c r="G68" s="101">
        <v>2</v>
      </c>
      <c r="H68" s="102">
        <v>389</v>
      </c>
    </row>
    <row r="69" spans="1:8" ht="18" x14ac:dyDescent="0.3">
      <c r="A69" s="97">
        <v>45991</v>
      </c>
      <c r="B69" s="98" t="s">
        <v>25</v>
      </c>
      <c r="C69" s="99" t="s">
        <v>239</v>
      </c>
      <c r="D69" s="98" t="s">
        <v>238</v>
      </c>
      <c r="E69" s="100">
        <v>1.302083333333333</v>
      </c>
      <c r="F69" s="98" t="s">
        <v>27</v>
      </c>
      <c r="G69" s="101">
        <v>5</v>
      </c>
      <c r="H69" s="102">
        <v>419</v>
      </c>
    </row>
    <row r="70" spans="1:8" ht="18" x14ac:dyDescent="0.3">
      <c r="A70" s="95">
        <v>45991</v>
      </c>
      <c r="B70" s="84" t="s">
        <v>272</v>
      </c>
      <c r="C70" s="85" t="s">
        <v>273</v>
      </c>
      <c r="D70" s="84" t="s">
        <v>238</v>
      </c>
      <c r="E70" s="86">
        <v>1.274305555555556</v>
      </c>
      <c r="F70" s="84" t="s">
        <v>274</v>
      </c>
      <c r="G70" s="87">
        <v>9</v>
      </c>
      <c r="H70" s="96">
        <v>400</v>
      </c>
    </row>
    <row r="71" spans="1:8" ht="18" x14ac:dyDescent="0.3">
      <c r="A71" s="95">
        <v>45991</v>
      </c>
      <c r="B71" s="84" t="s">
        <v>300</v>
      </c>
      <c r="C71" s="85" t="s">
        <v>369</v>
      </c>
      <c r="D71" s="84" t="s">
        <v>238</v>
      </c>
      <c r="E71" s="86">
        <v>1.381944444444444</v>
      </c>
      <c r="F71" s="84" t="s">
        <v>274</v>
      </c>
      <c r="G71" s="87">
        <v>6</v>
      </c>
      <c r="H71" s="96">
        <v>401</v>
      </c>
    </row>
    <row r="72" spans="1:8" ht="18" x14ac:dyDescent="0.3">
      <c r="A72" s="95">
        <v>45991</v>
      </c>
      <c r="B72" s="84" t="s">
        <v>302</v>
      </c>
      <c r="C72" s="85" t="s">
        <v>303</v>
      </c>
      <c r="D72" s="84" t="s">
        <v>238</v>
      </c>
      <c r="E72" s="86">
        <v>1.3888888888888891</v>
      </c>
      <c r="F72" s="84" t="s">
        <v>304</v>
      </c>
      <c r="G72" s="87">
        <v>9</v>
      </c>
      <c r="H72" s="96">
        <v>430</v>
      </c>
    </row>
    <row r="73" spans="1:8" ht="18" x14ac:dyDescent="0.3">
      <c r="A73" s="113">
        <v>45991</v>
      </c>
      <c r="B73" s="114" t="s">
        <v>76</v>
      </c>
      <c r="C73" s="115" t="s">
        <v>277</v>
      </c>
      <c r="D73" s="114" t="s">
        <v>238</v>
      </c>
      <c r="E73" s="116">
        <v>1.083333333333333</v>
      </c>
      <c r="F73" s="114" t="s">
        <v>78</v>
      </c>
      <c r="G73" s="117">
        <v>4</v>
      </c>
      <c r="H73" s="203">
        <v>436</v>
      </c>
    </row>
    <row r="74" spans="1:8" ht="18" x14ac:dyDescent="0.3">
      <c r="A74" s="204">
        <v>45991</v>
      </c>
      <c r="B74" s="205" t="s">
        <v>76</v>
      </c>
      <c r="C74" s="206" t="s">
        <v>282</v>
      </c>
      <c r="D74" s="205" t="s">
        <v>238</v>
      </c>
      <c r="E74" s="207">
        <v>1.333333333333333</v>
      </c>
      <c r="F74" s="205" t="s">
        <v>78</v>
      </c>
      <c r="G74" s="208">
        <v>9</v>
      </c>
      <c r="H74" s="209">
        <v>436</v>
      </c>
    </row>
    <row r="75" spans="1:8" ht="18" x14ac:dyDescent="0.3">
      <c r="A75" s="219">
        <v>45991</v>
      </c>
      <c r="B75" s="220" t="s">
        <v>76</v>
      </c>
      <c r="C75" s="221" t="s">
        <v>291</v>
      </c>
      <c r="D75" s="220" t="s">
        <v>238</v>
      </c>
      <c r="E75" s="222">
        <v>1.319444444444444</v>
      </c>
      <c r="F75" s="220" t="s">
        <v>78</v>
      </c>
      <c r="G75" s="223">
        <v>1</v>
      </c>
      <c r="H75" s="224">
        <v>436</v>
      </c>
    </row>
  </sheetData>
  <dataValidations count="9">
    <dataValidation type="custom" allowBlank="1" showInputMessage="1" promptTitle="LOAD FACTOR ANALYSIS" prompt="SM-452_x000d__x000a_LF 97.8%_x000d__x000a_SOLD 175_x000d__x000a_LST-SOLD 22NOV_x000d__x000a_WEEKLY 3_x000d__x000a_TO-DAY NIL_x000d__x000a_Y-DAY NIL_x000d__x000a_LOWEST AVAIL L4_x000d__x000a_CAPACITY 179_x000d__x000a_CLASSES L3 &amp; S1 &amp; X1 &amp; +1 more" sqref="A8 B8 C8 D8 E8 F8 G8 H8" xr:uid="{00000000-0002-0000-0F00-000000000000}">
      <formula1>TRUE</formula1>
    </dataValidation>
    <dataValidation type="custom" allowBlank="1" showInputMessage="1" promptTitle="LOAD FACTOR ANALYSIS" prompt="SM-424_x000d__x000a_LF -_x000d__x000a_SOLD -_x000d__x000a_LST-SOLD -_x000d__x000a_WEEKLY -_x000d__x000a_TO-DAY -_x000d__x000a_Y-DAY -_x000d__x000a_LOWEST AVAIL -_x000d__x000a_CAPACITY -_x000d__x000a_CLASSES -" sqref="A23 A73 B23 B73 C23 C73 D23 D73 E23 E73 F23 F73 G23 G73 H23 H73" xr:uid="{00000000-0002-0000-0F00-000001000000}">
      <formula1>TRUE</formula1>
    </dataValidation>
    <dataValidation type="custom" allowBlank="1" showInputMessage="1" promptTitle="LOAD FACTOR ANALYSIS" prompt="SM-432_x000d__x000a_LF -_x000d__x000a_SOLD -_x000d__x000a_LST-SOLD -_x000d__x000a_WEEKLY -_x000d__x000a_TO-DAY -_x000d__x000a_Y-DAY -_x000d__x000a_LOWEST AVAIL -_x000d__x000a_CAPACITY -_x000d__x000a_CLASSES -" sqref="A24 A74 B24 B74 C24 C74 D24 D74 E24 E74 F24 F74 G24 G74 H24 H74" xr:uid="{00000000-0002-0000-0F00-000002000000}">
      <formula1>TRUE</formula1>
    </dataValidation>
    <dataValidation type="custom" allowBlank="1" showInputMessage="1" promptTitle="LOAD FACTOR ANALYSIS" prompt="SM452_x000d__x000a_LF 71.4%_x000d__x000a_SOLD 120_x000d__x000a_LST-SOLD 25NOV_x000d__x000a_WEEKLY 67_x000d__x000a_TO-DAY NIL_x000d__x000a_Y-DAY 3_x000d__x000a_LOWEST AVAIL L5_x000d__x000a_CAPACITY 168_x000d__x000a_CLASSES L10 &amp; G15 &amp; S15 &amp; +4 more" sqref="A25 B25 C25 D25 E25 F25 G25 H25" xr:uid="{00000000-0002-0000-0F00-000003000000}">
      <formula1>TRUE</formula1>
    </dataValidation>
    <dataValidation type="custom" allowBlank="1" showInputMessage="1" promptTitle="LOAD FACTOR ANALYSIS" prompt="SM-452_x000d__x000a_LF 98.8%_x000d__x000a_SOLD 166_x000d__x000a_LST-SOLD 25NOV_x000d__x000a_WEEKLY 6_x000d__x000a_TO-DAY NIL_x000d__x000a_Y-DAY 6_x000d__x000a_LOWEST AVAIL G2_x000d__x000a_CAPACITY 168_x000d__x000a_CLASSES G8 &amp; S11 &amp; X7 &amp; +4 more" sqref="A41 B41 C41 D41 E41 F41 G41 H41" xr:uid="{00000000-0002-0000-0F00-000004000000}">
      <formula1>TRUE</formula1>
    </dataValidation>
    <dataValidation type="custom" allowBlank="1" showInputMessage="1" promptTitle="LOAD FACTOR ANALYSIS" prompt="SM-458_x000d__x000a_LF 99.4%_x000d__x000a_SOLD 167_x000d__x000a_LST-SOLD 26NOV_x000d__x000a_WEEKLY 4_x000d__x000a_TO-DAY 1_x000d__x000a_Y-DAY 3_x000d__x000a_LOWEST AVAIL G1_x000d__x000a_CAPACITY 168_x000d__x000a_CLASSES G7 &amp; S3 &amp; T1 &amp; +2 more" sqref="A42 B42 C42 D42 E42 F42 G42 H42" xr:uid="{00000000-0002-0000-0F00-000005000000}">
      <formula1>TRUE</formula1>
    </dataValidation>
    <dataValidation type="custom" allowBlank="1" showInputMessage="1" promptTitle="LOAD FACTOR ANALYSIS" prompt="SM458_x000d__x000a_LF 1.0%_x000d__x000a_SOLD 168_x000d__x000a_LST-SOLD 25NOV_x000d__x000a_WEEKLY 3_x000d__x000a_TO-DAY NIL_x000d__x000a_Y-DAY 2_x000d__x000a_LOWEST AVAIL CLOSED_x000d__x000a_CAPACITY 168_x000d__x000a_CLASSES G1 &amp; S1 &amp; X4 &amp; +6 more" sqref="A63 B63 C63 D63 E63 F63 G63 H63" xr:uid="{00000000-0002-0000-0F00-000006000000}">
      <formula1>TRUE</formula1>
    </dataValidation>
    <dataValidation type="custom" allowBlank="1" showInputMessage="1" promptTitle="LOAD FACTOR ANALYSIS" prompt="SM452_x000d__x000a_LF 1.0%_x000d__x000a_SOLD 168_x000d__x000a_LST-SOLD 22NOV_x000d__x000a_WEEKLY 7_x000d__x000a_TO-DAY NIL_x000d__x000a_Y-DAY NIL_x000d__x000a_LOWEST AVAIL CLOSED_x000d__x000a_CAPACITY 168_x000d__x000a_CLASSES G1 &amp; S4 &amp; W6 &amp; +4 more" sqref="A64 B64 C64 D64 E64 F64 G64 H64" xr:uid="{00000000-0002-0000-0F00-000007000000}">
      <formula1>TRUE</formula1>
    </dataValidation>
    <dataValidation type="custom" allowBlank="1" showInputMessage="1" promptTitle="LOAD FACTOR ANALYSIS" prompt="SM-476_x000d__x000a_LF -_x000d__x000a_SOLD -_x000d__x000a_LST-SOLD -_x000d__x000a_WEEKLY -_x000d__x000a_TO-DAY -_x000d__x000a_Y-DAY -_x000d__x000a_LOWEST AVAIL -_x000d__x000a_CAPACITY -_x000d__x000a_CLASSES -" sqref="A75 B75 C75 D75 E75 F75 G75 H75" xr:uid="{00000000-0002-0000-0F00-000008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N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441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570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45987.359154436723</v>
      </c>
      <c r="H2" s="294"/>
      <c r="I2" s="294"/>
      <c r="J2" s="294"/>
      <c r="K2" s="301">
        <v>45987.359154437247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216" t="s">
        <v>76</v>
      </c>
      <c r="B6" s="216" t="s">
        <v>571</v>
      </c>
      <c r="C6" s="217">
        <v>8.3333333333333329E-2</v>
      </c>
      <c r="D6" s="216" t="s">
        <v>78</v>
      </c>
      <c r="E6" s="216" t="s">
        <v>38</v>
      </c>
      <c r="F6" s="216" t="s">
        <v>295</v>
      </c>
      <c r="G6" s="281"/>
      <c r="H6" s="178" t="s">
        <v>572</v>
      </c>
      <c r="I6" s="179">
        <v>0.38690000000000002</v>
      </c>
      <c r="J6" s="180">
        <v>65</v>
      </c>
      <c r="K6" s="181">
        <v>45987</v>
      </c>
      <c r="L6" s="180">
        <v>44</v>
      </c>
      <c r="M6" s="180">
        <v>6</v>
      </c>
      <c r="N6" s="180">
        <v>16</v>
      </c>
      <c r="O6" s="182" t="s">
        <v>158</v>
      </c>
      <c r="P6" s="183">
        <v>8.3333333333333329E-2</v>
      </c>
      <c r="Q6" s="180">
        <v>168</v>
      </c>
      <c r="R6" s="184" t="s">
        <v>573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74" t="s">
        <v>76</v>
      </c>
      <c r="B7" s="174" t="s">
        <v>574</v>
      </c>
      <c r="C7" s="175">
        <v>0.48958333333333331</v>
      </c>
      <c r="D7" s="174" t="s">
        <v>78</v>
      </c>
      <c r="E7" s="174" t="s">
        <v>41</v>
      </c>
      <c r="F7" s="174" t="s">
        <v>295</v>
      </c>
      <c r="G7" s="282"/>
      <c r="H7" s="55" t="s">
        <v>575</v>
      </c>
      <c r="I7" s="162">
        <v>0.84519999999999995</v>
      </c>
      <c r="J7" s="57">
        <v>142</v>
      </c>
      <c r="K7" s="58">
        <v>45986</v>
      </c>
      <c r="L7" s="57">
        <v>33</v>
      </c>
      <c r="M7" s="57">
        <v>0</v>
      </c>
      <c r="N7" s="57">
        <v>12</v>
      </c>
      <c r="O7" s="59" t="s">
        <v>158</v>
      </c>
      <c r="P7" s="60">
        <v>0.48958333333333331</v>
      </c>
      <c r="Q7" s="57">
        <v>168</v>
      </c>
      <c r="R7" s="61" t="s">
        <v>576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4" t="s">
        <v>76</v>
      </c>
      <c r="B8" s="194" t="s">
        <v>577</v>
      </c>
      <c r="C8" s="195">
        <v>0.70833333333333337</v>
      </c>
      <c r="D8" s="194" t="s">
        <v>78</v>
      </c>
      <c r="E8" s="194" t="s">
        <v>41</v>
      </c>
      <c r="F8" s="194" t="s">
        <v>358</v>
      </c>
      <c r="G8" s="282"/>
      <c r="H8" s="130" t="s">
        <v>578</v>
      </c>
      <c r="I8" s="226">
        <v>0.65359999999999996</v>
      </c>
      <c r="J8" s="132">
        <v>117</v>
      </c>
      <c r="K8" s="133">
        <v>45986</v>
      </c>
      <c r="L8" s="132">
        <v>46</v>
      </c>
      <c r="M8" s="132">
        <v>0</v>
      </c>
      <c r="N8" s="132">
        <v>9</v>
      </c>
      <c r="O8" s="134" t="s">
        <v>361</v>
      </c>
      <c r="P8" s="135">
        <v>0.70833333333333337</v>
      </c>
      <c r="Q8" s="132">
        <v>179</v>
      </c>
      <c r="R8" s="136" t="s">
        <v>579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35</v>
      </c>
      <c r="B9" s="17" t="s">
        <v>580</v>
      </c>
      <c r="C9" s="18">
        <v>0.48958333333333331</v>
      </c>
      <c r="D9" s="17" t="s">
        <v>308</v>
      </c>
      <c r="E9" s="17" t="s">
        <v>79</v>
      </c>
      <c r="F9" s="17" t="s">
        <v>581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8" x14ac:dyDescent="0.3">
      <c r="A10" s="303" t="s">
        <v>494</v>
      </c>
      <c r="B10" s="304"/>
      <c r="C10" s="304"/>
      <c r="D10" s="304"/>
      <c r="E10" s="304"/>
      <c r="F10" s="304"/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239</v>
      </c>
      <c r="C11" s="20" t="s">
        <v>495</v>
      </c>
      <c r="D11" s="19" t="s">
        <v>27</v>
      </c>
      <c r="E11" s="19" t="s">
        <v>496</v>
      </c>
      <c r="F11" s="19" t="s">
        <v>241</v>
      </c>
      <c r="G11" s="282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244</v>
      </c>
      <c r="C12" s="20" t="s">
        <v>497</v>
      </c>
      <c r="D12" s="19" t="s">
        <v>27</v>
      </c>
      <c r="E12" s="19" t="s">
        <v>498</v>
      </c>
      <c r="F12" s="19" t="s">
        <v>241</v>
      </c>
      <c r="G12" s="282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25</v>
      </c>
      <c r="B13" s="19" t="s">
        <v>247</v>
      </c>
      <c r="C13" s="20" t="s">
        <v>499</v>
      </c>
      <c r="D13" s="19" t="s">
        <v>27</v>
      </c>
      <c r="E13" s="19" t="s">
        <v>500</v>
      </c>
      <c r="F13" s="19" t="s">
        <v>241</v>
      </c>
      <c r="G13" s="282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47</v>
      </c>
      <c r="B14" s="19" t="s">
        <v>255</v>
      </c>
      <c r="C14" s="20" t="s">
        <v>501</v>
      </c>
      <c r="D14" s="19" t="s">
        <v>49</v>
      </c>
      <c r="E14" s="19" t="s">
        <v>209</v>
      </c>
      <c r="F14" s="19" t="s">
        <v>256</v>
      </c>
      <c r="G14" s="282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47</v>
      </c>
      <c r="B15" s="19" t="s">
        <v>258</v>
      </c>
      <c r="C15" s="20" t="s">
        <v>502</v>
      </c>
      <c r="D15" s="19" t="s">
        <v>49</v>
      </c>
      <c r="E15" s="19" t="s">
        <v>503</v>
      </c>
      <c r="F15" s="19" t="s">
        <v>256</v>
      </c>
      <c r="G15" s="282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25</v>
      </c>
      <c r="B16" s="19" t="s">
        <v>250</v>
      </c>
      <c r="C16" s="20" t="s">
        <v>504</v>
      </c>
      <c r="D16" s="19" t="s">
        <v>27</v>
      </c>
      <c r="E16" s="19" t="s">
        <v>505</v>
      </c>
      <c r="F16" s="19" t="s">
        <v>252</v>
      </c>
      <c r="G16" s="282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272</v>
      </c>
      <c r="B17" s="19" t="s">
        <v>273</v>
      </c>
      <c r="C17" s="20" t="s">
        <v>506</v>
      </c>
      <c r="D17" s="19" t="s">
        <v>274</v>
      </c>
      <c r="E17" s="19" t="s">
        <v>197</v>
      </c>
      <c r="F17" s="19" t="s">
        <v>275</v>
      </c>
      <c r="G17" s="282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272</v>
      </c>
      <c r="B18" s="19" t="s">
        <v>276</v>
      </c>
      <c r="C18" s="20" t="s">
        <v>507</v>
      </c>
      <c r="D18" s="19" t="s">
        <v>274</v>
      </c>
      <c r="E18" s="19" t="s">
        <v>195</v>
      </c>
      <c r="F18" s="19" t="s">
        <v>275</v>
      </c>
      <c r="G18" s="282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9" t="s">
        <v>76</v>
      </c>
      <c r="B19" s="19" t="s">
        <v>277</v>
      </c>
      <c r="C19" s="20" t="s">
        <v>508</v>
      </c>
      <c r="D19" s="19" t="s">
        <v>78</v>
      </c>
      <c r="E19" s="19" t="s">
        <v>195</v>
      </c>
      <c r="F19" s="19" t="s">
        <v>278</v>
      </c>
      <c r="G19" s="282"/>
      <c r="H19" s="137"/>
      <c r="I19" s="137"/>
      <c r="J19" s="137"/>
      <c r="K19" s="137"/>
      <c r="L19" s="137"/>
      <c r="M19" s="137"/>
      <c r="N19" s="137"/>
      <c r="O19" s="138"/>
      <c r="P19" s="137"/>
      <c r="Q19" s="139"/>
      <c r="R19" s="13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36" t="s">
        <v>76</v>
      </c>
      <c r="B20" s="36" t="s">
        <v>282</v>
      </c>
      <c r="C20" s="37" t="s">
        <v>509</v>
      </c>
      <c r="D20" s="36" t="s">
        <v>78</v>
      </c>
      <c r="E20" s="36" t="s">
        <v>195</v>
      </c>
      <c r="F20" s="36" t="s">
        <v>278</v>
      </c>
      <c r="G20" s="283"/>
      <c r="H20" s="140"/>
      <c r="I20" s="140"/>
      <c r="J20" s="140"/>
      <c r="K20" s="140"/>
      <c r="L20" s="140"/>
      <c r="M20" s="140"/>
      <c r="N20" s="140"/>
      <c r="O20" s="141"/>
      <c r="P20" s="140"/>
      <c r="Q20" s="142"/>
      <c r="R20" s="14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4.4" customHeight="1" x14ac:dyDescent="0.3">
      <c r="A21" s="288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80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2.05" customHeight="1" x14ac:dyDescent="0.3">
      <c r="A22" s="289" t="s">
        <v>5</v>
      </c>
      <c r="B22" s="290"/>
      <c r="C22" s="290"/>
      <c r="D22" s="290"/>
      <c r="E22" s="290"/>
      <c r="F22" s="290"/>
      <c r="G22" s="5">
        <v>45989</v>
      </c>
      <c r="H22" s="286" t="s">
        <v>6</v>
      </c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4" customHeight="1" x14ac:dyDescent="0.3">
      <c r="A23" s="30" t="s">
        <v>7</v>
      </c>
      <c r="B23" s="30" t="s">
        <v>8</v>
      </c>
      <c r="C23" s="31" t="s">
        <v>9</v>
      </c>
      <c r="D23" s="30" t="s">
        <v>10</v>
      </c>
      <c r="E23" s="30" t="s">
        <v>11</v>
      </c>
      <c r="F23" s="30" t="s">
        <v>12</v>
      </c>
      <c r="G23" s="32" t="s">
        <v>13</v>
      </c>
      <c r="H23" s="30" t="s">
        <v>14</v>
      </c>
      <c r="I23" s="33" t="s">
        <v>15</v>
      </c>
      <c r="J23" s="34" t="s">
        <v>16</v>
      </c>
      <c r="K23" s="35" t="s">
        <v>17</v>
      </c>
      <c r="L23" s="34" t="s">
        <v>18</v>
      </c>
      <c r="M23" s="34" t="s">
        <v>19</v>
      </c>
      <c r="N23" s="34" t="s">
        <v>20</v>
      </c>
      <c r="O23" s="30" t="s">
        <v>21</v>
      </c>
      <c r="P23" s="31" t="s">
        <v>22</v>
      </c>
      <c r="Q23" s="34" t="s">
        <v>23</v>
      </c>
      <c r="R23" s="30" t="s">
        <v>24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9" t="s">
        <v>76</v>
      </c>
      <c r="B24" s="199" t="s">
        <v>582</v>
      </c>
      <c r="C24" s="200">
        <v>0.29166666666666669</v>
      </c>
      <c r="D24" s="199" t="s">
        <v>78</v>
      </c>
      <c r="E24" s="199" t="s">
        <v>202</v>
      </c>
      <c r="F24" s="199" t="s">
        <v>583</v>
      </c>
      <c r="G24" s="281"/>
      <c r="H24" s="167" t="s">
        <v>584</v>
      </c>
      <c r="I24" s="185">
        <v>0.64290000000000003</v>
      </c>
      <c r="J24" s="169">
        <v>108</v>
      </c>
      <c r="K24" s="170">
        <v>45986</v>
      </c>
      <c r="L24" s="169">
        <v>43</v>
      </c>
      <c r="M24" s="169">
        <v>0</v>
      </c>
      <c r="N24" s="169">
        <v>5</v>
      </c>
      <c r="O24" s="171" t="s">
        <v>445</v>
      </c>
      <c r="P24" s="172">
        <v>0.29166666666666669</v>
      </c>
      <c r="Q24" s="169">
        <v>168</v>
      </c>
      <c r="R24" s="173" t="s">
        <v>585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8" x14ac:dyDescent="0.3">
      <c r="A25" s="303" t="s">
        <v>494</v>
      </c>
      <c r="B25" s="304"/>
      <c r="C25" s="304"/>
      <c r="D25" s="304"/>
      <c r="E25" s="304"/>
      <c r="F25" s="304"/>
      <c r="G25" s="282"/>
      <c r="H25" s="137"/>
      <c r="I25" s="137"/>
      <c r="J25" s="137"/>
      <c r="K25" s="137"/>
      <c r="L25" s="137"/>
      <c r="M25" s="137"/>
      <c r="N25" s="137"/>
      <c r="O25" s="138"/>
      <c r="P25" s="137"/>
      <c r="Q25" s="139"/>
      <c r="R25" s="139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25</v>
      </c>
      <c r="B26" s="19" t="s">
        <v>239</v>
      </c>
      <c r="C26" s="20" t="s">
        <v>495</v>
      </c>
      <c r="D26" s="19" t="s">
        <v>27</v>
      </c>
      <c r="E26" s="19" t="s">
        <v>205</v>
      </c>
      <c r="F26" s="19" t="s">
        <v>241</v>
      </c>
      <c r="G26" s="282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25</v>
      </c>
      <c r="B27" s="19" t="s">
        <v>244</v>
      </c>
      <c r="C27" s="20" t="s">
        <v>497</v>
      </c>
      <c r="D27" s="19" t="s">
        <v>27</v>
      </c>
      <c r="E27" s="19" t="s">
        <v>204</v>
      </c>
      <c r="F27" s="19" t="s">
        <v>252</v>
      </c>
      <c r="G27" s="282"/>
      <c r="H27" s="137"/>
      <c r="I27" s="137"/>
      <c r="J27" s="137"/>
      <c r="K27" s="137"/>
      <c r="L27" s="137"/>
      <c r="M27" s="137"/>
      <c r="N27" s="137"/>
      <c r="O27" s="138"/>
      <c r="P27" s="137"/>
      <c r="Q27" s="139"/>
      <c r="R27" s="139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25</v>
      </c>
      <c r="B28" s="19" t="s">
        <v>250</v>
      </c>
      <c r="C28" s="20" t="s">
        <v>504</v>
      </c>
      <c r="D28" s="19" t="s">
        <v>27</v>
      </c>
      <c r="E28" s="19" t="s">
        <v>500</v>
      </c>
      <c r="F28" s="19" t="s">
        <v>252</v>
      </c>
      <c r="G28" s="282"/>
      <c r="H28" s="137"/>
      <c r="I28" s="137"/>
      <c r="J28" s="137"/>
      <c r="K28" s="137"/>
      <c r="L28" s="137"/>
      <c r="M28" s="137"/>
      <c r="N28" s="137"/>
      <c r="O28" s="138"/>
      <c r="P28" s="137"/>
      <c r="Q28" s="139"/>
      <c r="R28" s="139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300</v>
      </c>
      <c r="B29" s="19" t="s">
        <v>301</v>
      </c>
      <c r="C29" s="20" t="s">
        <v>513</v>
      </c>
      <c r="D29" s="19" t="s">
        <v>274</v>
      </c>
      <c r="E29" s="19" t="s">
        <v>197</v>
      </c>
      <c r="F29" s="19" t="s">
        <v>278</v>
      </c>
      <c r="G29" s="282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47</v>
      </c>
      <c r="B30" s="19" t="s">
        <v>255</v>
      </c>
      <c r="C30" s="20" t="s">
        <v>501</v>
      </c>
      <c r="D30" s="19" t="s">
        <v>49</v>
      </c>
      <c r="E30" s="19" t="s">
        <v>209</v>
      </c>
      <c r="F30" s="19" t="s">
        <v>263</v>
      </c>
      <c r="G30" s="282"/>
      <c r="H30" s="137"/>
      <c r="I30" s="137"/>
      <c r="J30" s="137"/>
      <c r="K30" s="137"/>
      <c r="L30" s="137"/>
      <c r="M30" s="137"/>
      <c r="N30" s="137"/>
      <c r="O30" s="138"/>
      <c r="P30" s="137"/>
      <c r="Q30" s="139"/>
      <c r="R30" s="139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47</v>
      </c>
      <c r="B31" s="19" t="s">
        <v>268</v>
      </c>
      <c r="C31" s="20" t="s">
        <v>514</v>
      </c>
      <c r="D31" s="19" t="s">
        <v>49</v>
      </c>
      <c r="E31" s="19" t="s">
        <v>201</v>
      </c>
      <c r="F31" s="19" t="s">
        <v>263</v>
      </c>
      <c r="G31" s="282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47</v>
      </c>
      <c r="B32" s="19" t="s">
        <v>265</v>
      </c>
      <c r="C32" s="20" t="s">
        <v>515</v>
      </c>
      <c r="D32" s="19" t="s">
        <v>49</v>
      </c>
      <c r="E32" s="19" t="s">
        <v>209</v>
      </c>
      <c r="F32" s="19" t="s">
        <v>263</v>
      </c>
      <c r="G32" s="282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47</v>
      </c>
      <c r="B33" s="19" t="s">
        <v>266</v>
      </c>
      <c r="C33" s="20" t="s">
        <v>516</v>
      </c>
      <c r="D33" s="19" t="s">
        <v>49</v>
      </c>
      <c r="E33" s="19" t="s">
        <v>205</v>
      </c>
      <c r="F33" s="19" t="s">
        <v>263</v>
      </c>
      <c r="G33" s="282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47</v>
      </c>
      <c r="B34" s="19" t="s">
        <v>258</v>
      </c>
      <c r="C34" s="20" t="s">
        <v>502</v>
      </c>
      <c r="D34" s="19" t="s">
        <v>49</v>
      </c>
      <c r="E34" s="19" t="s">
        <v>209</v>
      </c>
      <c r="F34" s="19" t="s">
        <v>263</v>
      </c>
      <c r="G34" s="282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36" t="s">
        <v>47</v>
      </c>
      <c r="B35" s="36" t="s">
        <v>271</v>
      </c>
      <c r="C35" s="37" t="s">
        <v>517</v>
      </c>
      <c r="D35" s="36" t="s">
        <v>49</v>
      </c>
      <c r="E35" s="36" t="s">
        <v>518</v>
      </c>
      <c r="F35" s="36" t="s">
        <v>263</v>
      </c>
      <c r="G35" s="283"/>
      <c r="H35" s="140"/>
      <c r="I35" s="140"/>
      <c r="J35" s="140"/>
      <c r="K35" s="140"/>
      <c r="L35" s="140"/>
      <c r="M35" s="140"/>
      <c r="N35" s="140"/>
      <c r="O35" s="141"/>
      <c r="P35" s="140"/>
      <c r="Q35" s="142"/>
      <c r="R35" s="14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4.4" customHeight="1" x14ac:dyDescent="0.3">
      <c r="A36" s="275"/>
      <c r="B36" s="276"/>
      <c r="C36" s="276"/>
      <c r="D36" s="276"/>
      <c r="E36" s="276"/>
      <c r="F36" s="276"/>
      <c r="G36" s="277"/>
      <c r="H36" s="278"/>
      <c r="I36" s="278"/>
      <c r="J36" s="278"/>
      <c r="K36" s="278"/>
      <c r="L36" s="278"/>
      <c r="M36" s="278"/>
      <c r="N36" s="278"/>
      <c r="O36" s="279"/>
      <c r="P36" s="278"/>
      <c r="Q36" s="277"/>
      <c r="R36" s="280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22.05" customHeight="1" x14ac:dyDescent="0.3">
      <c r="A37" s="289" t="s">
        <v>5</v>
      </c>
      <c r="B37" s="290"/>
      <c r="C37" s="290"/>
      <c r="D37" s="290"/>
      <c r="E37" s="290"/>
      <c r="F37" s="290"/>
      <c r="G37" s="5">
        <v>45990</v>
      </c>
      <c r="H37" s="286" t="s">
        <v>6</v>
      </c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24" customHeight="1" x14ac:dyDescent="0.3">
      <c r="A38" s="30" t="s">
        <v>7</v>
      </c>
      <c r="B38" s="30" t="s">
        <v>8</v>
      </c>
      <c r="C38" s="31" t="s">
        <v>9</v>
      </c>
      <c r="D38" s="30" t="s">
        <v>10</v>
      </c>
      <c r="E38" s="30" t="s">
        <v>11</v>
      </c>
      <c r="F38" s="30" t="s">
        <v>12</v>
      </c>
      <c r="G38" s="32" t="s">
        <v>13</v>
      </c>
      <c r="H38" s="30" t="s">
        <v>14</v>
      </c>
      <c r="I38" s="33" t="s">
        <v>15</v>
      </c>
      <c r="J38" s="34" t="s">
        <v>16</v>
      </c>
      <c r="K38" s="35" t="s">
        <v>17</v>
      </c>
      <c r="L38" s="34" t="s">
        <v>18</v>
      </c>
      <c r="M38" s="34" t="s">
        <v>19</v>
      </c>
      <c r="N38" s="34" t="s">
        <v>20</v>
      </c>
      <c r="O38" s="30" t="s">
        <v>21</v>
      </c>
      <c r="P38" s="31" t="s">
        <v>22</v>
      </c>
      <c r="Q38" s="34" t="s">
        <v>23</v>
      </c>
      <c r="R38" s="30" t="s">
        <v>24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216" t="s">
        <v>76</v>
      </c>
      <c r="B39" s="216" t="s">
        <v>582</v>
      </c>
      <c r="C39" s="217">
        <v>0.30208333333333331</v>
      </c>
      <c r="D39" s="216" t="s">
        <v>78</v>
      </c>
      <c r="E39" s="216" t="s">
        <v>50</v>
      </c>
      <c r="F39" s="216" t="s">
        <v>358</v>
      </c>
      <c r="G39" s="281"/>
      <c r="H39" s="178" t="s">
        <v>584</v>
      </c>
      <c r="I39" s="201">
        <v>0.83930000000000005</v>
      </c>
      <c r="J39" s="180">
        <v>141</v>
      </c>
      <c r="K39" s="181">
        <v>45986</v>
      </c>
      <c r="L39" s="180">
        <v>23</v>
      </c>
      <c r="M39" s="180">
        <v>0</v>
      </c>
      <c r="N39" s="180">
        <v>4</v>
      </c>
      <c r="O39" s="182" t="s">
        <v>398</v>
      </c>
      <c r="P39" s="183">
        <v>0.30208333333333331</v>
      </c>
      <c r="Q39" s="180">
        <v>168</v>
      </c>
      <c r="R39" s="184" t="s">
        <v>586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4" t="s">
        <v>76</v>
      </c>
      <c r="B40" s="194" t="s">
        <v>577</v>
      </c>
      <c r="C40" s="195">
        <v>0.6875</v>
      </c>
      <c r="D40" s="194" t="s">
        <v>78</v>
      </c>
      <c r="E40" s="194" t="s">
        <v>72</v>
      </c>
      <c r="F40" s="194" t="s">
        <v>583</v>
      </c>
      <c r="G40" s="282"/>
      <c r="H40" s="130" t="s">
        <v>578</v>
      </c>
      <c r="I40" s="131">
        <v>0.95240000000000002</v>
      </c>
      <c r="J40" s="132">
        <v>160</v>
      </c>
      <c r="K40" s="133">
        <v>45985</v>
      </c>
      <c r="L40" s="132">
        <v>8</v>
      </c>
      <c r="M40" s="132">
        <v>0</v>
      </c>
      <c r="N40" s="132">
        <v>0</v>
      </c>
      <c r="O40" s="134" t="s">
        <v>587</v>
      </c>
      <c r="P40" s="135">
        <v>0.6875</v>
      </c>
      <c r="Q40" s="132">
        <v>168</v>
      </c>
      <c r="R40" s="136" t="s">
        <v>588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8" x14ac:dyDescent="0.3">
      <c r="A41" s="303" t="s">
        <v>494</v>
      </c>
      <c r="B41" s="304"/>
      <c r="C41" s="304"/>
      <c r="D41" s="304"/>
      <c r="E41" s="304"/>
      <c r="F41" s="304"/>
      <c r="G41" s="282"/>
      <c r="H41" s="137"/>
      <c r="I41" s="137"/>
      <c r="J41" s="137"/>
      <c r="K41" s="137"/>
      <c r="L41" s="137"/>
      <c r="M41" s="137"/>
      <c r="N41" s="137"/>
      <c r="O41" s="138"/>
      <c r="P41" s="137"/>
      <c r="Q41" s="139"/>
      <c r="R41" s="139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300</v>
      </c>
      <c r="B42" s="19" t="s">
        <v>369</v>
      </c>
      <c r="C42" s="20" t="s">
        <v>534</v>
      </c>
      <c r="D42" s="19" t="s">
        <v>274</v>
      </c>
      <c r="E42" s="19" t="s">
        <v>195</v>
      </c>
      <c r="F42" s="19" t="s">
        <v>370</v>
      </c>
      <c r="G42" s="282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25</v>
      </c>
      <c r="B43" s="19" t="s">
        <v>239</v>
      </c>
      <c r="C43" s="20" t="s">
        <v>495</v>
      </c>
      <c r="D43" s="19" t="s">
        <v>27</v>
      </c>
      <c r="E43" s="19" t="s">
        <v>201</v>
      </c>
      <c r="F43" s="19" t="s">
        <v>252</v>
      </c>
      <c r="G43" s="282"/>
      <c r="H43" s="137"/>
      <c r="I43" s="137"/>
      <c r="J43" s="137"/>
      <c r="K43" s="137"/>
      <c r="L43" s="137"/>
      <c r="M43" s="137"/>
      <c r="N43" s="137"/>
      <c r="O43" s="138"/>
      <c r="P43" s="137"/>
      <c r="Q43" s="139"/>
      <c r="R43" s="139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25</v>
      </c>
      <c r="B44" s="19" t="s">
        <v>247</v>
      </c>
      <c r="C44" s="20" t="s">
        <v>499</v>
      </c>
      <c r="D44" s="19" t="s">
        <v>27</v>
      </c>
      <c r="E44" s="19" t="s">
        <v>197</v>
      </c>
      <c r="F44" s="19" t="s">
        <v>252</v>
      </c>
      <c r="G44" s="282"/>
      <c r="H44" s="137"/>
      <c r="I44" s="137"/>
      <c r="J44" s="137"/>
      <c r="K44" s="137"/>
      <c r="L44" s="137"/>
      <c r="M44" s="137"/>
      <c r="N44" s="137"/>
      <c r="O44" s="138"/>
      <c r="P44" s="137"/>
      <c r="Q44" s="139"/>
      <c r="R44" s="139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272</v>
      </c>
      <c r="B45" s="19" t="s">
        <v>273</v>
      </c>
      <c r="C45" s="20" t="s">
        <v>535</v>
      </c>
      <c r="D45" s="19" t="s">
        <v>274</v>
      </c>
      <c r="E45" s="19" t="s">
        <v>212</v>
      </c>
      <c r="F45" s="19" t="s">
        <v>275</v>
      </c>
      <c r="G45" s="282"/>
      <c r="H45" s="137"/>
      <c r="I45" s="137"/>
      <c r="J45" s="137"/>
      <c r="K45" s="137"/>
      <c r="L45" s="137"/>
      <c r="M45" s="137"/>
      <c r="N45" s="137"/>
      <c r="O45" s="138"/>
      <c r="P45" s="137"/>
      <c r="Q45" s="139"/>
      <c r="R45" s="139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300</v>
      </c>
      <c r="B46" s="19" t="s">
        <v>301</v>
      </c>
      <c r="C46" s="20" t="s">
        <v>513</v>
      </c>
      <c r="D46" s="19" t="s">
        <v>274</v>
      </c>
      <c r="E46" s="19" t="s">
        <v>210</v>
      </c>
      <c r="F46" s="19" t="s">
        <v>278</v>
      </c>
      <c r="G46" s="282"/>
      <c r="H46" s="137"/>
      <c r="I46" s="137"/>
      <c r="J46" s="137"/>
      <c r="K46" s="137"/>
      <c r="L46" s="137"/>
      <c r="M46" s="137"/>
      <c r="N46" s="137"/>
      <c r="O46" s="138"/>
      <c r="P46" s="137"/>
      <c r="Q46" s="139"/>
      <c r="R46" s="139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47</v>
      </c>
      <c r="B47" s="19" t="s">
        <v>261</v>
      </c>
      <c r="C47" s="20" t="s">
        <v>211</v>
      </c>
      <c r="D47" s="19" t="s">
        <v>49</v>
      </c>
      <c r="E47" s="19" t="s">
        <v>209</v>
      </c>
      <c r="F47" s="19" t="s">
        <v>263</v>
      </c>
      <c r="G47" s="282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47</v>
      </c>
      <c r="B48" s="19" t="s">
        <v>265</v>
      </c>
      <c r="C48" s="20" t="s">
        <v>515</v>
      </c>
      <c r="D48" s="19" t="s">
        <v>49</v>
      </c>
      <c r="E48" s="19" t="s">
        <v>503</v>
      </c>
      <c r="F48" s="19" t="s">
        <v>263</v>
      </c>
      <c r="G48" s="282"/>
      <c r="H48" s="137"/>
      <c r="I48" s="137"/>
      <c r="J48" s="137"/>
      <c r="K48" s="137"/>
      <c r="L48" s="137"/>
      <c r="M48" s="137"/>
      <c r="N48" s="137"/>
      <c r="O48" s="138"/>
      <c r="P48" s="137"/>
      <c r="Q48" s="139"/>
      <c r="R48" s="139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47</v>
      </c>
      <c r="B49" s="19" t="s">
        <v>266</v>
      </c>
      <c r="C49" s="20" t="s">
        <v>516</v>
      </c>
      <c r="D49" s="19" t="s">
        <v>49</v>
      </c>
      <c r="E49" s="19" t="s">
        <v>209</v>
      </c>
      <c r="F49" s="19" t="s">
        <v>263</v>
      </c>
      <c r="G49" s="282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47</v>
      </c>
      <c r="B50" s="19" t="s">
        <v>258</v>
      </c>
      <c r="C50" s="20" t="s">
        <v>502</v>
      </c>
      <c r="D50" s="19" t="s">
        <v>49</v>
      </c>
      <c r="E50" s="19" t="s">
        <v>503</v>
      </c>
      <c r="F50" s="19" t="s">
        <v>263</v>
      </c>
      <c r="G50" s="282"/>
      <c r="H50" s="137"/>
      <c r="I50" s="137"/>
      <c r="J50" s="137"/>
      <c r="K50" s="137"/>
      <c r="L50" s="137"/>
      <c r="M50" s="137"/>
      <c r="N50" s="137"/>
      <c r="O50" s="138"/>
      <c r="P50" s="137"/>
      <c r="Q50" s="139"/>
      <c r="R50" s="139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36" t="s">
        <v>47</v>
      </c>
      <c r="B51" s="36" t="s">
        <v>271</v>
      </c>
      <c r="C51" s="37" t="s">
        <v>517</v>
      </c>
      <c r="D51" s="36" t="s">
        <v>49</v>
      </c>
      <c r="E51" s="36" t="s">
        <v>210</v>
      </c>
      <c r="F51" s="36" t="s">
        <v>263</v>
      </c>
      <c r="G51" s="283"/>
      <c r="H51" s="140"/>
      <c r="I51" s="140"/>
      <c r="J51" s="140"/>
      <c r="K51" s="140"/>
      <c r="L51" s="140"/>
      <c r="M51" s="140"/>
      <c r="N51" s="140"/>
      <c r="O51" s="141"/>
      <c r="P51" s="140"/>
      <c r="Q51" s="142"/>
      <c r="R51" s="142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4.4" customHeight="1" x14ac:dyDescent="0.3">
      <c r="A52" s="275"/>
      <c r="B52" s="276"/>
      <c r="C52" s="276"/>
      <c r="D52" s="276"/>
      <c r="E52" s="276"/>
      <c r="F52" s="276"/>
      <c r="G52" s="277"/>
      <c r="H52" s="278"/>
      <c r="I52" s="278"/>
      <c r="J52" s="278"/>
      <c r="K52" s="278"/>
      <c r="L52" s="278"/>
      <c r="M52" s="278"/>
      <c r="N52" s="278"/>
      <c r="O52" s="279"/>
      <c r="P52" s="278"/>
      <c r="Q52" s="277"/>
      <c r="R52" s="280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22.05" customHeight="1" x14ac:dyDescent="0.3">
      <c r="A53" s="289" t="s">
        <v>5</v>
      </c>
      <c r="B53" s="290"/>
      <c r="C53" s="290"/>
      <c r="D53" s="290"/>
      <c r="E53" s="290"/>
      <c r="F53" s="290"/>
      <c r="G53" s="5">
        <v>45991</v>
      </c>
      <c r="H53" s="286" t="s">
        <v>6</v>
      </c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24" customHeight="1" x14ac:dyDescent="0.3">
      <c r="A54" s="30" t="s">
        <v>7</v>
      </c>
      <c r="B54" s="30" t="s">
        <v>8</v>
      </c>
      <c r="C54" s="31" t="s">
        <v>9</v>
      </c>
      <c r="D54" s="30" t="s">
        <v>10</v>
      </c>
      <c r="E54" s="30" t="s">
        <v>11</v>
      </c>
      <c r="F54" s="30" t="s">
        <v>12</v>
      </c>
      <c r="G54" s="32" t="s">
        <v>13</v>
      </c>
      <c r="H54" s="30" t="s">
        <v>14</v>
      </c>
      <c r="I54" s="33" t="s">
        <v>15</v>
      </c>
      <c r="J54" s="34" t="s">
        <v>16</v>
      </c>
      <c r="K54" s="35" t="s">
        <v>17</v>
      </c>
      <c r="L54" s="34" t="s">
        <v>18</v>
      </c>
      <c r="M54" s="34" t="s">
        <v>19</v>
      </c>
      <c r="N54" s="34" t="s">
        <v>20</v>
      </c>
      <c r="O54" s="30" t="s">
        <v>21</v>
      </c>
      <c r="P54" s="31" t="s">
        <v>22</v>
      </c>
      <c r="Q54" s="34" t="s">
        <v>23</v>
      </c>
      <c r="R54" s="30" t="s">
        <v>24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8" t="s">
        <v>25</v>
      </c>
      <c r="B55" s="8" t="s">
        <v>589</v>
      </c>
      <c r="C55" s="9">
        <v>0.28472222222222221</v>
      </c>
      <c r="D55" s="8" t="s">
        <v>520</v>
      </c>
      <c r="E55" s="8" t="s">
        <v>109</v>
      </c>
      <c r="F55" s="8" t="s">
        <v>590</v>
      </c>
      <c r="G55" s="281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5" t="s">
        <v>25</v>
      </c>
      <c r="B56" s="15" t="s">
        <v>589</v>
      </c>
      <c r="C56" s="16">
        <v>0.28472222222222221</v>
      </c>
      <c r="D56" s="15" t="s">
        <v>473</v>
      </c>
      <c r="E56" s="15" t="s">
        <v>111</v>
      </c>
      <c r="F56" s="15" t="s">
        <v>591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5" t="s">
        <v>25</v>
      </c>
      <c r="B57" s="15" t="s">
        <v>589</v>
      </c>
      <c r="C57" s="16">
        <v>0.28472222222222221</v>
      </c>
      <c r="D57" s="15" t="s">
        <v>475</v>
      </c>
      <c r="E57" s="15" t="s">
        <v>111</v>
      </c>
      <c r="F57" s="15" t="s">
        <v>592</v>
      </c>
      <c r="G57" s="2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5" t="s">
        <v>25</v>
      </c>
      <c r="B58" s="15" t="s">
        <v>589</v>
      </c>
      <c r="C58" s="16">
        <v>0.28472222222222221</v>
      </c>
      <c r="D58" s="15" t="s">
        <v>524</v>
      </c>
      <c r="E58" s="15" t="s">
        <v>111</v>
      </c>
      <c r="F58" s="15" t="s">
        <v>367</v>
      </c>
      <c r="G58" s="28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216" t="s">
        <v>76</v>
      </c>
      <c r="B59" s="216" t="s">
        <v>577</v>
      </c>
      <c r="C59" s="217">
        <v>0.85069444444444453</v>
      </c>
      <c r="D59" s="216" t="s">
        <v>78</v>
      </c>
      <c r="E59" s="216" t="s">
        <v>38</v>
      </c>
      <c r="F59" s="216" t="s">
        <v>583</v>
      </c>
      <c r="G59" s="282"/>
      <c r="H59" s="178" t="s">
        <v>578</v>
      </c>
      <c r="I59" s="201">
        <v>0.63690000000000002</v>
      </c>
      <c r="J59" s="180">
        <v>107</v>
      </c>
      <c r="K59" s="181">
        <v>45985</v>
      </c>
      <c r="L59" s="180">
        <v>40</v>
      </c>
      <c r="M59" s="180">
        <v>0</v>
      </c>
      <c r="N59" s="180">
        <v>0</v>
      </c>
      <c r="O59" s="182" t="s">
        <v>222</v>
      </c>
      <c r="P59" s="183">
        <v>0.85069444444444453</v>
      </c>
      <c r="Q59" s="180">
        <v>168</v>
      </c>
      <c r="R59" s="184" t="s">
        <v>593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65" t="s">
        <v>76</v>
      </c>
      <c r="B60" s="165" t="s">
        <v>582</v>
      </c>
      <c r="C60" s="166">
        <v>0.76736111111111116</v>
      </c>
      <c r="D60" s="165" t="s">
        <v>78</v>
      </c>
      <c r="E60" s="165" t="s">
        <v>259</v>
      </c>
      <c r="F60" s="165" t="s">
        <v>583</v>
      </c>
      <c r="G60" s="282"/>
      <c r="H60" s="167" t="s">
        <v>584</v>
      </c>
      <c r="I60" s="198">
        <v>0.89290000000000003</v>
      </c>
      <c r="J60" s="169">
        <v>150</v>
      </c>
      <c r="K60" s="170">
        <v>45986</v>
      </c>
      <c r="L60" s="169">
        <v>38</v>
      </c>
      <c r="M60" s="169">
        <v>0</v>
      </c>
      <c r="N60" s="169">
        <v>7</v>
      </c>
      <c r="O60" s="171" t="s">
        <v>594</v>
      </c>
      <c r="P60" s="172">
        <v>0.76736111111111116</v>
      </c>
      <c r="Q60" s="169">
        <v>168</v>
      </c>
      <c r="R60" s="173" t="s">
        <v>595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8" x14ac:dyDescent="0.3">
      <c r="A61" s="303" t="s">
        <v>494</v>
      </c>
      <c r="B61" s="304"/>
      <c r="C61" s="304"/>
      <c r="D61" s="304"/>
      <c r="E61" s="304"/>
      <c r="F61" s="304"/>
      <c r="G61" s="282"/>
      <c r="H61" s="137"/>
      <c r="I61" s="137"/>
      <c r="J61" s="137"/>
      <c r="K61" s="137"/>
      <c r="L61" s="137"/>
      <c r="M61" s="137"/>
      <c r="N61" s="137"/>
      <c r="O61" s="138"/>
      <c r="P61" s="137"/>
      <c r="Q61" s="139"/>
      <c r="R61" s="139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25</v>
      </c>
      <c r="B62" s="19" t="s">
        <v>244</v>
      </c>
      <c r="C62" s="20" t="s">
        <v>497</v>
      </c>
      <c r="D62" s="19" t="s">
        <v>27</v>
      </c>
      <c r="E62" s="19" t="s">
        <v>209</v>
      </c>
      <c r="F62" s="19" t="s">
        <v>252</v>
      </c>
      <c r="G62" s="282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25</v>
      </c>
      <c r="B63" s="19" t="s">
        <v>250</v>
      </c>
      <c r="C63" s="20" t="s">
        <v>504</v>
      </c>
      <c r="D63" s="19" t="s">
        <v>27</v>
      </c>
      <c r="E63" s="19" t="s">
        <v>197</v>
      </c>
      <c r="F63" s="19" t="s">
        <v>252</v>
      </c>
      <c r="G63" s="282"/>
      <c r="H63" s="137"/>
      <c r="I63" s="137"/>
      <c r="J63" s="137"/>
      <c r="K63" s="137"/>
      <c r="L63" s="137"/>
      <c r="M63" s="137"/>
      <c r="N63" s="137"/>
      <c r="O63" s="138"/>
      <c r="P63" s="137"/>
      <c r="Q63" s="139"/>
      <c r="R63" s="139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25</v>
      </c>
      <c r="B64" s="19" t="s">
        <v>247</v>
      </c>
      <c r="C64" s="20" t="s">
        <v>499</v>
      </c>
      <c r="D64" s="19" t="s">
        <v>27</v>
      </c>
      <c r="E64" s="19" t="s">
        <v>542</v>
      </c>
      <c r="F64" s="19" t="s">
        <v>252</v>
      </c>
      <c r="G64" s="282"/>
      <c r="H64" s="137"/>
      <c r="I64" s="137"/>
      <c r="J64" s="137"/>
      <c r="K64" s="137"/>
      <c r="L64" s="137"/>
      <c r="M64" s="137"/>
      <c r="N64" s="137"/>
      <c r="O64" s="138"/>
      <c r="P64" s="137"/>
      <c r="Q64" s="139"/>
      <c r="R64" s="139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9" t="s">
        <v>272</v>
      </c>
      <c r="B65" s="19" t="s">
        <v>273</v>
      </c>
      <c r="C65" s="20" t="s">
        <v>543</v>
      </c>
      <c r="D65" s="19" t="s">
        <v>274</v>
      </c>
      <c r="E65" s="19" t="s">
        <v>195</v>
      </c>
      <c r="F65" s="19" t="s">
        <v>275</v>
      </c>
      <c r="G65" s="282"/>
      <c r="H65" s="137"/>
      <c r="I65" s="137"/>
      <c r="J65" s="137"/>
      <c r="K65" s="137"/>
      <c r="L65" s="137"/>
      <c r="M65" s="137"/>
      <c r="N65" s="137"/>
      <c r="O65" s="138"/>
      <c r="P65" s="137"/>
      <c r="Q65" s="139"/>
      <c r="R65" s="139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300</v>
      </c>
      <c r="B66" s="19" t="s">
        <v>369</v>
      </c>
      <c r="C66" s="20" t="s">
        <v>544</v>
      </c>
      <c r="D66" s="19" t="s">
        <v>274</v>
      </c>
      <c r="E66" s="19" t="s">
        <v>503</v>
      </c>
      <c r="F66" s="19" t="s">
        <v>278</v>
      </c>
      <c r="G66" s="282"/>
      <c r="H66" s="137"/>
      <c r="I66" s="137"/>
      <c r="J66" s="137"/>
      <c r="K66" s="137"/>
      <c r="L66" s="137"/>
      <c r="M66" s="137"/>
      <c r="N66" s="137"/>
      <c r="O66" s="138"/>
      <c r="P66" s="137"/>
      <c r="Q66" s="139"/>
      <c r="R66" s="139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9" t="s">
        <v>25</v>
      </c>
      <c r="B67" s="19" t="s">
        <v>239</v>
      </c>
      <c r="C67" s="20" t="s">
        <v>495</v>
      </c>
      <c r="D67" s="19" t="s">
        <v>27</v>
      </c>
      <c r="E67" s="19" t="s">
        <v>210</v>
      </c>
      <c r="F67" s="19" t="s">
        <v>346</v>
      </c>
      <c r="G67" s="282"/>
      <c r="H67" s="137"/>
      <c r="I67" s="137"/>
      <c r="J67" s="137"/>
      <c r="K67" s="137"/>
      <c r="L67" s="137"/>
      <c r="M67" s="137"/>
      <c r="N67" s="137"/>
      <c r="O67" s="138"/>
      <c r="P67" s="137"/>
      <c r="Q67" s="139"/>
      <c r="R67" s="139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302</v>
      </c>
      <c r="B68" s="19" t="s">
        <v>303</v>
      </c>
      <c r="C68" s="20" t="s">
        <v>545</v>
      </c>
      <c r="D68" s="19" t="s">
        <v>304</v>
      </c>
      <c r="E68" s="19" t="s">
        <v>209</v>
      </c>
      <c r="F68" s="19" t="s">
        <v>389</v>
      </c>
      <c r="G68" s="282"/>
      <c r="H68" s="137"/>
      <c r="I68" s="137"/>
      <c r="J68" s="137"/>
      <c r="K68" s="137"/>
      <c r="L68" s="137"/>
      <c r="M68" s="137"/>
      <c r="N68" s="137"/>
      <c r="O68" s="138"/>
      <c r="P68" s="137"/>
      <c r="Q68" s="139"/>
      <c r="R68" s="139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76</v>
      </c>
      <c r="B69" s="19" t="s">
        <v>277</v>
      </c>
      <c r="C69" s="20" t="s">
        <v>546</v>
      </c>
      <c r="D69" s="19" t="s">
        <v>78</v>
      </c>
      <c r="E69" s="19" t="s">
        <v>201</v>
      </c>
      <c r="F69" s="19" t="s">
        <v>295</v>
      </c>
      <c r="G69" s="282"/>
      <c r="H69" s="137"/>
      <c r="I69" s="137"/>
      <c r="J69" s="137"/>
      <c r="K69" s="137"/>
      <c r="L69" s="137"/>
      <c r="M69" s="137"/>
      <c r="N69" s="137"/>
      <c r="O69" s="138"/>
      <c r="P69" s="137"/>
      <c r="Q69" s="139"/>
      <c r="R69" s="139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76</v>
      </c>
      <c r="B70" s="19" t="s">
        <v>282</v>
      </c>
      <c r="C70" s="20" t="s">
        <v>547</v>
      </c>
      <c r="D70" s="19" t="s">
        <v>78</v>
      </c>
      <c r="E70" s="19" t="s">
        <v>195</v>
      </c>
      <c r="F70" s="19" t="s">
        <v>295</v>
      </c>
      <c r="G70" s="282"/>
      <c r="H70" s="137"/>
      <c r="I70" s="137"/>
      <c r="J70" s="137"/>
      <c r="K70" s="137"/>
      <c r="L70" s="137"/>
      <c r="M70" s="137"/>
      <c r="N70" s="137"/>
      <c r="O70" s="138"/>
      <c r="P70" s="137"/>
      <c r="Q70" s="139"/>
      <c r="R70" s="139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36" t="s">
        <v>76</v>
      </c>
      <c r="B71" s="36" t="s">
        <v>291</v>
      </c>
      <c r="C71" s="37" t="s">
        <v>548</v>
      </c>
      <c r="D71" s="36" t="s">
        <v>78</v>
      </c>
      <c r="E71" s="36" t="s">
        <v>197</v>
      </c>
      <c r="F71" s="36" t="s">
        <v>295</v>
      </c>
      <c r="G71" s="283"/>
      <c r="H71" s="140"/>
      <c r="I71" s="140"/>
      <c r="J71" s="140"/>
      <c r="K71" s="140"/>
      <c r="L71" s="140"/>
      <c r="M71" s="140"/>
      <c r="N71" s="140"/>
      <c r="O71" s="141"/>
      <c r="P71" s="140"/>
      <c r="Q71" s="142"/>
      <c r="R71" s="142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4.4" customHeight="1" x14ac:dyDescent="0.3">
      <c r="A72" s="288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80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</sheetData>
  <mergeCells count="29">
    <mergeCell ref="A53:F53"/>
    <mergeCell ref="J1:M1"/>
    <mergeCell ref="A10:F10"/>
    <mergeCell ref="A72:R72"/>
    <mergeCell ref="A52:R52"/>
    <mergeCell ref="K2:R2"/>
    <mergeCell ref="G55:G71"/>
    <mergeCell ref="H37:R37"/>
    <mergeCell ref="A61:F61"/>
    <mergeCell ref="A41:F41"/>
    <mergeCell ref="H53:R53"/>
    <mergeCell ref="G39:G51"/>
    <mergeCell ref="A37:F37"/>
    <mergeCell ref="H4:R4"/>
    <mergeCell ref="A2:F2"/>
    <mergeCell ref="A3:R3"/>
    <mergeCell ref="A21:R21"/>
    <mergeCell ref="A22:F22"/>
    <mergeCell ref="G2:J2"/>
    <mergeCell ref="D1:F1"/>
    <mergeCell ref="H22:R22"/>
    <mergeCell ref="A1:C1"/>
    <mergeCell ref="G1:H1"/>
    <mergeCell ref="A36:R36"/>
    <mergeCell ref="G24:G35"/>
    <mergeCell ref="A25:F25"/>
    <mergeCell ref="O1:Q1"/>
    <mergeCell ref="A4:F4"/>
    <mergeCell ref="G6:G2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572</v>
      </c>
      <c r="D2" s="66">
        <v>8.3333333333333329E-2</v>
      </c>
      <c r="E2" s="65" t="s">
        <v>570</v>
      </c>
      <c r="F2" s="65" t="s">
        <v>153</v>
      </c>
      <c r="G2" s="67">
        <v>0.38690000000000002</v>
      </c>
      <c r="H2" s="68">
        <v>168</v>
      </c>
      <c r="I2" s="68">
        <v>65</v>
      </c>
      <c r="J2" s="68">
        <v>0</v>
      </c>
      <c r="K2" s="64">
        <v>45987</v>
      </c>
      <c r="L2" s="68">
        <v>6</v>
      </c>
      <c r="M2" s="68">
        <v>16</v>
      </c>
      <c r="N2" s="68">
        <v>44</v>
      </c>
      <c r="O2" s="65" t="s">
        <v>158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156</v>
      </c>
      <c r="Z2" s="69"/>
      <c r="AA2" s="69"/>
      <c r="AB2" s="69"/>
      <c r="AC2" s="68" t="s">
        <v>466</v>
      </c>
      <c r="AD2" s="68" t="s">
        <v>419</v>
      </c>
      <c r="AE2" s="68" t="s">
        <v>414</v>
      </c>
      <c r="AF2" s="69"/>
      <c r="AG2" s="69"/>
      <c r="AH2" s="69"/>
      <c r="AI2" s="69"/>
    </row>
    <row r="3" spans="1:35" ht="18" x14ac:dyDescent="0.3">
      <c r="A3" s="70" t="s">
        <v>152</v>
      </c>
      <c r="B3" s="71">
        <v>45988</v>
      </c>
      <c r="C3" s="72" t="s">
        <v>575</v>
      </c>
      <c r="D3" s="73">
        <v>0.48958333333333331</v>
      </c>
      <c r="E3" s="72" t="s">
        <v>570</v>
      </c>
      <c r="F3" s="72" t="s">
        <v>153</v>
      </c>
      <c r="G3" s="74">
        <v>0.84519999999999995</v>
      </c>
      <c r="H3" s="75">
        <v>168</v>
      </c>
      <c r="I3" s="75">
        <v>142</v>
      </c>
      <c r="J3" s="75">
        <v>95</v>
      </c>
      <c r="K3" s="71">
        <v>45986</v>
      </c>
      <c r="L3" s="75">
        <v>0</v>
      </c>
      <c r="M3" s="75">
        <v>12</v>
      </c>
      <c r="N3" s="75">
        <v>33</v>
      </c>
      <c r="O3" s="72" t="s">
        <v>158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5" t="s">
        <v>359</v>
      </c>
      <c r="AD3" s="75" t="s">
        <v>460</v>
      </c>
      <c r="AE3" s="75" t="s">
        <v>430</v>
      </c>
      <c r="AF3" s="76"/>
      <c r="AG3" s="76"/>
      <c r="AH3" s="75" t="s">
        <v>451</v>
      </c>
      <c r="AI3" s="76"/>
    </row>
    <row r="4" spans="1:35" ht="18" x14ac:dyDescent="0.3">
      <c r="A4" s="63" t="s">
        <v>152</v>
      </c>
      <c r="B4" s="64">
        <v>45988</v>
      </c>
      <c r="C4" s="65" t="s">
        <v>578</v>
      </c>
      <c r="D4" s="66">
        <v>0.70833333333333337</v>
      </c>
      <c r="E4" s="65" t="s">
        <v>570</v>
      </c>
      <c r="F4" s="65" t="s">
        <v>153</v>
      </c>
      <c r="G4" s="67">
        <v>0.65359999999999996</v>
      </c>
      <c r="H4" s="68">
        <v>179</v>
      </c>
      <c r="I4" s="68">
        <v>117</v>
      </c>
      <c r="J4" s="68">
        <v>44</v>
      </c>
      <c r="K4" s="64">
        <v>45986</v>
      </c>
      <c r="L4" s="68">
        <v>0</v>
      </c>
      <c r="M4" s="68">
        <v>9</v>
      </c>
      <c r="N4" s="68">
        <v>46</v>
      </c>
      <c r="O4" s="65" t="s">
        <v>361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8" t="s">
        <v>596</v>
      </c>
      <c r="AB4" s="68" t="s">
        <v>230</v>
      </c>
      <c r="AC4" s="68" t="s">
        <v>439</v>
      </c>
      <c r="AD4" s="68" t="s">
        <v>597</v>
      </c>
      <c r="AE4" s="68" t="s">
        <v>598</v>
      </c>
      <c r="AF4" s="69"/>
      <c r="AG4" s="69"/>
      <c r="AH4" s="68" t="s">
        <v>599</v>
      </c>
      <c r="AI4" s="69"/>
    </row>
    <row r="5" spans="1:35" ht="18" x14ac:dyDescent="0.3">
      <c r="A5" s="70" t="s">
        <v>417</v>
      </c>
      <c r="B5" s="71">
        <v>45989</v>
      </c>
      <c r="C5" s="72" t="s">
        <v>584</v>
      </c>
      <c r="D5" s="73">
        <v>0.29166666666666669</v>
      </c>
      <c r="E5" s="72" t="s">
        <v>570</v>
      </c>
      <c r="F5" s="72" t="s">
        <v>153</v>
      </c>
      <c r="G5" s="74">
        <v>0.64290000000000003</v>
      </c>
      <c r="H5" s="75">
        <v>168</v>
      </c>
      <c r="I5" s="75">
        <v>108</v>
      </c>
      <c r="J5" s="75">
        <v>2</v>
      </c>
      <c r="K5" s="71">
        <v>45986</v>
      </c>
      <c r="L5" s="75">
        <v>0</v>
      </c>
      <c r="M5" s="75">
        <v>5</v>
      </c>
      <c r="N5" s="75">
        <v>43</v>
      </c>
      <c r="O5" s="72" t="s">
        <v>445</v>
      </c>
      <c r="P5" s="76"/>
      <c r="Q5" s="76"/>
      <c r="R5" s="76"/>
      <c r="S5" s="76"/>
      <c r="T5" s="76"/>
      <c r="U5" s="76"/>
      <c r="V5" s="76"/>
      <c r="W5" s="76"/>
      <c r="X5" s="76"/>
      <c r="Y5" s="75" t="s">
        <v>421</v>
      </c>
      <c r="Z5" s="75" t="s">
        <v>444</v>
      </c>
      <c r="AA5" s="76"/>
      <c r="AB5" s="75" t="s">
        <v>600</v>
      </c>
      <c r="AC5" s="75" t="s">
        <v>454</v>
      </c>
      <c r="AD5" s="75" t="s">
        <v>601</v>
      </c>
      <c r="AE5" s="75" t="s">
        <v>602</v>
      </c>
      <c r="AF5" s="76"/>
      <c r="AG5" s="76"/>
      <c r="AH5" s="75" t="s">
        <v>435</v>
      </c>
      <c r="AI5" s="76"/>
    </row>
    <row r="6" spans="1:35" ht="18" x14ac:dyDescent="0.3">
      <c r="A6" s="63" t="s">
        <v>162</v>
      </c>
      <c r="B6" s="64">
        <v>45990</v>
      </c>
      <c r="C6" s="65" t="s">
        <v>584</v>
      </c>
      <c r="D6" s="66">
        <v>0.30208333333333331</v>
      </c>
      <c r="E6" s="65" t="s">
        <v>570</v>
      </c>
      <c r="F6" s="65" t="s">
        <v>153</v>
      </c>
      <c r="G6" s="67">
        <v>0.83930000000000005</v>
      </c>
      <c r="H6" s="68">
        <v>168</v>
      </c>
      <c r="I6" s="68">
        <v>141</v>
      </c>
      <c r="J6" s="68">
        <v>95</v>
      </c>
      <c r="K6" s="64">
        <v>45986</v>
      </c>
      <c r="L6" s="68">
        <v>0</v>
      </c>
      <c r="M6" s="68">
        <v>4</v>
      </c>
      <c r="N6" s="68">
        <v>23</v>
      </c>
      <c r="O6" s="65" t="s">
        <v>398</v>
      </c>
      <c r="P6" s="69"/>
      <c r="Q6" s="69"/>
      <c r="R6" s="69"/>
      <c r="S6" s="69"/>
      <c r="T6" s="69"/>
      <c r="U6" s="69"/>
      <c r="V6" s="69"/>
      <c r="W6" s="69"/>
      <c r="X6" s="69"/>
      <c r="Y6" s="68" t="s">
        <v>233</v>
      </c>
      <c r="Z6" s="68" t="s">
        <v>172</v>
      </c>
      <c r="AA6" s="69"/>
      <c r="AB6" s="68" t="s">
        <v>603</v>
      </c>
      <c r="AC6" s="68" t="s">
        <v>454</v>
      </c>
      <c r="AD6" s="68" t="s">
        <v>355</v>
      </c>
      <c r="AE6" s="68" t="s">
        <v>177</v>
      </c>
      <c r="AF6" s="69"/>
      <c r="AG6" s="69"/>
      <c r="AH6" s="68" t="s">
        <v>451</v>
      </c>
      <c r="AI6" s="69"/>
    </row>
    <row r="7" spans="1:35" ht="18" x14ac:dyDescent="0.3">
      <c r="A7" s="70" t="s">
        <v>162</v>
      </c>
      <c r="B7" s="71">
        <v>45990</v>
      </c>
      <c r="C7" s="72" t="s">
        <v>578</v>
      </c>
      <c r="D7" s="73">
        <v>0.6875</v>
      </c>
      <c r="E7" s="72" t="s">
        <v>570</v>
      </c>
      <c r="F7" s="72" t="s">
        <v>153</v>
      </c>
      <c r="G7" s="74">
        <v>0.95240000000000002</v>
      </c>
      <c r="H7" s="75">
        <v>168</v>
      </c>
      <c r="I7" s="75">
        <v>160</v>
      </c>
      <c r="J7" s="75">
        <v>135</v>
      </c>
      <c r="K7" s="71">
        <v>45985</v>
      </c>
      <c r="L7" s="75">
        <v>0</v>
      </c>
      <c r="M7" s="75">
        <v>0</v>
      </c>
      <c r="N7" s="75">
        <v>8</v>
      </c>
      <c r="O7" s="72" t="s">
        <v>587</v>
      </c>
      <c r="P7" s="76"/>
      <c r="Q7" s="76"/>
      <c r="R7" s="76"/>
      <c r="S7" s="76"/>
      <c r="T7" s="76"/>
      <c r="U7" s="76"/>
      <c r="V7" s="76"/>
      <c r="W7" s="76"/>
      <c r="X7" s="76"/>
      <c r="Y7" s="75" t="s">
        <v>156</v>
      </c>
      <c r="Z7" s="75" t="s">
        <v>444</v>
      </c>
      <c r="AA7" s="75" t="s">
        <v>596</v>
      </c>
      <c r="AB7" s="75" t="s">
        <v>230</v>
      </c>
      <c r="AC7" s="75" t="s">
        <v>604</v>
      </c>
      <c r="AD7" s="76"/>
      <c r="AE7" s="75" t="s">
        <v>177</v>
      </c>
      <c r="AF7" s="76"/>
      <c r="AG7" s="76"/>
      <c r="AH7" s="75" t="s">
        <v>605</v>
      </c>
      <c r="AI7" s="76"/>
    </row>
    <row r="8" spans="1:35" ht="18" x14ac:dyDescent="0.3">
      <c r="A8" s="63" t="s">
        <v>168</v>
      </c>
      <c r="B8" s="64">
        <v>45991</v>
      </c>
      <c r="C8" s="65" t="s">
        <v>584</v>
      </c>
      <c r="D8" s="66">
        <v>0.76736111111111116</v>
      </c>
      <c r="E8" s="65" t="s">
        <v>570</v>
      </c>
      <c r="F8" s="65" t="s">
        <v>153</v>
      </c>
      <c r="G8" s="67">
        <v>0.89290000000000003</v>
      </c>
      <c r="H8" s="68">
        <v>168</v>
      </c>
      <c r="I8" s="68">
        <v>150</v>
      </c>
      <c r="J8" s="68">
        <v>75</v>
      </c>
      <c r="K8" s="64">
        <v>45986</v>
      </c>
      <c r="L8" s="68">
        <v>0</v>
      </c>
      <c r="M8" s="68">
        <v>7</v>
      </c>
      <c r="N8" s="68">
        <v>38</v>
      </c>
      <c r="O8" s="65" t="s">
        <v>594</v>
      </c>
      <c r="P8" s="69"/>
      <c r="Q8" s="69"/>
      <c r="R8" s="69"/>
      <c r="S8" s="69"/>
      <c r="T8" s="69"/>
      <c r="U8" s="69"/>
      <c r="V8" s="69"/>
      <c r="W8" s="69"/>
      <c r="X8" s="69"/>
      <c r="Y8" s="68" t="s">
        <v>606</v>
      </c>
      <c r="Z8" s="69"/>
      <c r="AA8" s="69"/>
      <c r="AB8" s="68" t="s">
        <v>222</v>
      </c>
      <c r="AC8" s="68" t="s">
        <v>607</v>
      </c>
      <c r="AD8" s="68" t="s">
        <v>608</v>
      </c>
      <c r="AE8" s="68" t="s">
        <v>609</v>
      </c>
      <c r="AF8" s="69"/>
      <c r="AG8" s="69"/>
      <c r="AH8" s="68" t="s">
        <v>610</v>
      </c>
      <c r="AI8" s="69"/>
    </row>
    <row r="9" spans="1:35" ht="18" x14ac:dyDescent="0.3">
      <c r="A9" s="70" t="s">
        <v>168</v>
      </c>
      <c r="B9" s="71">
        <v>45991</v>
      </c>
      <c r="C9" s="72" t="s">
        <v>578</v>
      </c>
      <c r="D9" s="73">
        <v>0.85069444444444453</v>
      </c>
      <c r="E9" s="72" t="s">
        <v>570</v>
      </c>
      <c r="F9" s="72" t="s">
        <v>153</v>
      </c>
      <c r="G9" s="74">
        <v>0.63690000000000002</v>
      </c>
      <c r="H9" s="75">
        <v>168</v>
      </c>
      <c r="I9" s="75">
        <v>107</v>
      </c>
      <c r="J9" s="75">
        <v>45</v>
      </c>
      <c r="K9" s="71">
        <v>45985</v>
      </c>
      <c r="L9" s="75">
        <v>0</v>
      </c>
      <c r="M9" s="75">
        <v>0</v>
      </c>
      <c r="N9" s="75">
        <v>40</v>
      </c>
      <c r="O9" s="72" t="s">
        <v>222</v>
      </c>
      <c r="P9" s="76"/>
      <c r="Q9" s="76"/>
      <c r="R9" s="76"/>
      <c r="S9" s="76"/>
      <c r="T9" s="76"/>
      <c r="U9" s="76"/>
      <c r="V9" s="76"/>
      <c r="W9" s="76"/>
      <c r="X9" s="76"/>
      <c r="Y9" s="75" t="s">
        <v>156</v>
      </c>
      <c r="Z9" s="75" t="s">
        <v>457</v>
      </c>
      <c r="AA9" s="76"/>
      <c r="AB9" s="75" t="s">
        <v>230</v>
      </c>
      <c r="AC9" s="75" t="s">
        <v>361</v>
      </c>
      <c r="AD9" s="75" t="s">
        <v>158</v>
      </c>
      <c r="AE9" s="75" t="s">
        <v>434</v>
      </c>
      <c r="AF9" s="75" t="s">
        <v>611</v>
      </c>
      <c r="AG9" s="76"/>
      <c r="AH9" s="76"/>
      <c r="AI9" s="76"/>
    </row>
    <row r="10" spans="1:35" ht="18" x14ac:dyDescent="0.3">
      <c r="A10" s="77" t="s">
        <v>178</v>
      </c>
      <c r="B10" s="78"/>
      <c r="C10" s="79">
        <f>COUNTA(C2:C9)</f>
        <v>8</v>
      </c>
      <c r="D10" s="78"/>
      <c r="E10" s="78"/>
      <c r="F10" s="78"/>
      <c r="G10" s="80">
        <f>AVERAGE(G2:G9)</f>
        <v>0.73126250000000004</v>
      </c>
      <c r="H10" s="81">
        <f>SUM(H2:H9)</f>
        <v>1355</v>
      </c>
      <c r="I10" s="81">
        <f>SUM(I2:I9)</f>
        <v>990</v>
      </c>
      <c r="J10" s="81">
        <f>SUM(J2:J9)</f>
        <v>491</v>
      </c>
      <c r="K10" s="78"/>
      <c r="L10" s="81">
        <f>SUM(L2:L9)</f>
        <v>6</v>
      </c>
      <c r="M10" s="81">
        <f>SUM(M2:M9)</f>
        <v>53</v>
      </c>
      <c r="N10" s="81">
        <f>SUM(N2:N9)</f>
        <v>275</v>
      </c>
      <c r="O10" s="78"/>
      <c r="P10" s="81">
        <f t="shared" ref="P10:AI10" si="0">SUMPRODUCT(--IFERROR(VALUE(SUBSTITUTE(SUBSTITUTE(SUBSTITUTE(SUBSTITUTE(SUBSTITUTE(SUBSTITUTE(SUBSTITUTE(SUBSTITUTE(SUBSTITUTE(SUBSTITUTE(SUBSTITUTE(SUBSTITUTE(SUBSTITUTE(SUBSTITUTE(SUBSTITUTE(SUBSTITUTE(SUBSTITUTE(SUBSTITUTE(SUBSTITUTE(SUBSTITUTE(P2:P9,"Y",""),"B",""),"M",""),"H",""),"Q",""),"K",""),"V",""),"L",""),"G",""),"S",""),"W",""),"T",""),"X",""),"U",""),"O",""),"I",""),"E",""),"A",""),"P",""),"N","")),0))</f>
        <v>0</v>
      </c>
      <c r="Q10" s="81">
        <f t="shared" si="0"/>
        <v>0</v>
      </c>
      <c r="R10" s="81">
        <f t="shared" si="0"/>
        <v>0</v>
      </c>
      <c r="S10" s="81">
        <f t="shared" si="0"/>
        <v>0</v>
      </c>
      <c r="T10" s="81">
        <f t="shared" si="0"/>
        <v>0</v>
      </c>
      <c r="U10" s="81">
        <f t="shared" si="0"/>
        <v>0</v>
      </c>
      <c r="V10" s="81">
        <f t="shared" si="0"/>
        <v>0</v>
      </c>
      <c r="W10" s="81">
        <f t="shared" si="0"/>
        <v>0</v>
      </c>
      <c r="X10" s="81">
        <f t="shared" si="0"/>
        <v>0</v>
      </c>
      <c r="Y10" s="81">
        <f t="shared" si="0"/>
        <v>0</v>
      </c>
      <c r="Z10" s="81">
        <f t="shared" si="0"/>
        <v>0</v>
      </c>
      <c r="AA10" s="81">
        <f t="shared" si="0"/>
        <v>0</v>
      </c>
      <c r="AB10" s="81">
        <f t="shared" si="0"/>
        <v>0</v>
      </c>
      <c r="AC10" s="81">
        <f t="shared" si="0"/>
        <v>0</v>
      </c>
      <c r="AD10" s="81">
        <f t="shared" si="0"/>
        <v>0</v>
      </c>
      <c r="AE10" s="81">
        <f t="shared" si="0"/>
        <v>0</v>
      </c>
      <c r="AF10" s="81">
        <f t="shared" si="0"/>
        <v>0</v>
      </c>
      <c r="AG10" s="81">
        <f t="shared" si="0"/>
        <v>0</v>
      </c>
      <c r="AH10" s="81">
        <f t="shared" si="0"/>
        <v>0</v>
      </c>
      <c r="AI10" s="81">
        <f t="shared" si="0"/>
        <v>0</v>
      </c>
    </row>
  </sheetData>
  <autoFilter ref="A1:AI9" xr:uid="{00000000-0009-0000-0000-000011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8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4.886718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160">
        <v>45988</v>
      </c>
      <c r="B2" s="114" t="s">
        <v>76</v>
      </c>
      <c r="C2" s="115" t="s">
        <v>571</v>
      </c>
      <c r="D2" s="114" t="s">
        <v>570</v>
      </c>
      <c r="E2" s="116">
        <v>1.083333333333333</v>
      </c>
      <c r="F2" s="114" t="s">
        <v>78</v>
      </c>
      <c r="G2" s="117">
        <v>9</v>
      </c>
      <c r="H2" s="163">
        <v>436</v>
      </c>
    </row>
    <row r="3" spans="1:8" ht="18" x14ac:dyDescent="0.3">
      <c r="A3" s="204">
        <v>45988</v>
      </c>
      <c r="B3" s="205" t="s">
        <v>76</v>
      </c>
      <c r="C3" s="206" t="s">
        <v>574</v>
      </c>
      <c r="D3" s="205" t="s">
        <v>570</v>
      </c>
      <c r="E3" s="207">
        <v>1.489583333333333</v>
      </c>
      <c r="F3" s="205" t="s">
        <v>78</v>
      </c>
      <c r="G3" s="208">
        <v>9</v>
      </c>
      <c r="H3" s="209">
        <v>436</v>
      </c>
    </row>
    <row r="4" spans="1:8" ht="18" x14ac:dyDescent="0.3">
      <c r="A4" s="204">
        <v>45988</v>
      </c>
      <c r="B4" s="205" t="s">
        <v>76</v>
      </c>
      <c r="C4" s="206" t="s">
        <v>577</v>
      </c>
      <c r="D4" s="205" t="s">
        <v>570</v>
      </c>
      <c r="E4" s="207">
        <v>1.708333333333333</v>
      </c>
      <c r="F4" s="205" t="s">
        <v>78</v>
      </c>
      <c r="G4" s="208">
        <v>9</v>
      </c>
      <c r="H4" s="209">
        <v>471</v>
      </c>
    </row>
    <row r="5" spans="1:8" ht="18" x14ac:dyDescent="0.3">
      <c r="A5" s="95">
        <v>45988</v>
      </c>
      <c r="B5" s="84" t="s">
        <v>35</v>
      </c>
      <c r="C5" s="85" t="s">
        <v>580</v>
      </c>
      <c r="D5" s="84" t="s">
        <v>570</v>
      </c>
      <c r="E5" s="86">
        <v>1.489583333333333</v>
      </c>
      <c r="F5" s="84" t="s">
        <v>308</v>
      </c>
      <c r="G5" s="87">
        <v>4</v>
      </c>
      <c r="H5" s="96">
        <v>640</v>
      </c>
    </row>
    <row r="6" spans="1:8" ht="15.6" x14ac:dyDescent="0.3">
      <c r="A6" s="152"/>
      <c r="B6" s="152"/>
      <c r="C6" s="152"/>
      <c r="D6" s="152"/>
      <c r="E6" s="153" t="s">
        <v>569</v>
      </c>
      <c r="F6" s="152"/>
      <c r="G6" s="152"/>
      <c r="H6" s="3"/>
    </row>
    <row r="7" spans="1:8" ht="18" x14ac:dyDescent="0.3">
      <c r="A7" s="95">
        <v>45988</v>
      </c>
      <c r="B7" s="84" t="s">
        <v>25</v>
      </c>
      <c r="C7" s="85" t="s">
        <v>239</v>
      </c>
      <c r="D7" s="84" t="s">
        <v>238</v>
      </c>
      <c r="E7" s="86">
        <v>1.302083333333333</v>
      </c>
      <c r="F7" s="84" t="s">
        <v>27</v>
      </c>
      <c r="G7" s="87">
        <v>23</v>
      </c>
      <c r="H7" s="96">
        <v>359</v>
      </c>
    </row>
    <row r="8" spans="1:8" ht="18" x14ac:dyDescent="0.3">
      <c r="A8" s="97">
        <v>45988</v>
      </c>
      <c r="B8" s="98" t="s">
        <v>25</v>
      </c>
      <c r="C8" s="99" t="s">
        <v>244</v>
      </c>
      <c r="D8" s="98" t="s">
        <v>238</v>
      </c>
      <c r="E8" s="100">
        <v>1.1284722222222221</v>
      </c>
      <c r="F8" s="98" t="s">
        <v>27</v>
      </c>
      <c r="G8" s="101">
        <v>17</v>
      </c>
      <c r="H8" s="102">
        <v>359</v>
      </c>
    </row>
    <row r="9" spans="1:8" ht="18" x14ac:dyDescent="0.3">
      <c r="A9" s="97">
        <v>45988</v>
      </c>
      <c r="B9" s="98" t="s">
        <v>25</v>
      </c>
      <c r="C9" s="99" t="s">
        <v>247</v>
      </c>
      <c r="D9" s="98" t="s">
        <v>238</v>
      </c>
      <c r="E9" s="100">
        <v>1.8888888888888891</v>
      </c>
      <c r="F9" s="98" t="s">
        <v>27</v>
      </c>
      <c r="G9" s="101">
        <v>15</v>
      </c>
      <c r="H9" s="102">
        <v>359</v>
      </c>
    </row>
    <row r="10" spans="1:8" ht="18" x14ac:dyDescent="0.3">
      <c r="A10" s="97">
        <v>45988</v>
      </c>
      <c r="B10" s="98" t="s">
        <v>25</v>
      </c>
      <c r="C10" s="99" t="s">
        <v>250</v>
      </c>
      <c r="D10" s="98" t="s">
        <v>238</v>
      </c>
      <c r="E10" s="100">
        <v>1.788194444444444</v>
      </c>
      <c r="F10" s="98" t="s">
        <v>27</v>
      </c>
      <c r="G10" s="101">
        <v>11</v>
      </c>
      <c r="H10" s="102">
        <v>389</v>
      </c>
    </row>
    <row r="11" spans="1:8" ht="18" x14ac:dyDescent="0.3">
      <c r="A11" s="95">
        <v>45988</v>
      </c>
      <c r="B11" s="84" t="s">
        <v>47</v>
      </c>
      <c r="C11" s="85" t="s">
        <v>255</v>
      </c>
      <c r="D11" s="84" t="s">
        <v>238</v>
      </c>
      <c r="E11" s="86">
        <v>1.256944444444444</v>
      </c>
      <c r="F11" s="84" t="s">
        <v>49</v>
      </c>
      <c r="G11" s="87">
        <v>9</v>
      </c>
      <c r="H11" s="96">
        <v>369</v>
      </c>
    </row>
    <row r="12" spans="1:8" ht="18" x14ac:dyDescent="0.3">
      <c r="A12" s="97">
        <v>45988</v>
      </c>
      <c r="B12" s="98" t="s">
        <v>47</v>
      </c>
      <c r="C12" s="99" t="s">
        <v>258</v>
      </c>
      <c r="D12" s="98" t="s">
        <v>238</v>
      </c>
      <c r="E12" s="100">
        <v>1.395833333333333</v>
      </c>
      <c r="F12" s="98" t="s">
        <v>49</v>
      </c>
      <c r="G12" s="101">
        <v>6</v>
      </c>
      <c r="H12" s="102">
        <v>369</v>
      </c>
    </row>
    <row r="13" spans="1:8" ht="18" x14ac:dyDescent="0.3">
      <c r="A13" s="95">
        <v>45988</v>
      </c>
      <c r="B13" s="84" t="s">
        <v>272</v>
      </c>
      <c r="C13" s="85" t="s">
        <v>273</v>
      </c>
      <c r="D13" s="84" t="s">
        <v>238</v>
      </c>
      <c r="E13" s="86">
        <v>1.291666666666667</v>
      </c>
      <c r="F13" s="84" t="s">
        <v>274</v>
      </c>
      <c r="G13" s="87">
        <v>1</v>
      </c>
      <c r="H13" s="96">
        <v>400</v>
      </c>
    </row>
    <row r="14" spans="1:8" ht="18" x14ac:dyDescent="0.3">
      <c r="A14" s="97">
        <v>45988</v>
      </c>
      <c r="B14" s="98" t="s">
        <v>272</v>
      </c>
      <c r="C14" s="99" t="s">
        <v>276</v>
      </c>
      <c r="D14" s="98" t="s">
        <v>238</v>
      </c>
      <c r="E14" s="100">
        <v>1.59375</v>
      </c>
      <c r="F14" s="98" t="s">
        <v>274</v>
      </c>
      <c r="G14" s="101">
        <v>9</v>
      </c>
      <c r="H14" s="102">
        <v>400</v>
      </c>
    </row>
    <row r="15" spans="1:8" ht="18" x14ac:dyDescent="0.3">
      <c r="A15" s="113">
        <v>45988</v>
      </c>
      <c r="B15" s="114" t="s">
        <v>76</v>
      </c>
      <c r="C15" s="115" t="s">
        <v>277</v>
      </c>
      <c r="D15" s="114" t="s">
        <v>238</v>
      </c>
      <c r="E15" s="116">
        <v>1.0486111111111109</v>
      </c>
      <c r="F15" s="114" t="s">
        <v>78</v>
      </c>
      <c r="G15" s="117">
        <v>9</v>
      </c>
      <c r="H15" s="203">
        <v>401</v>
      </c>
    </row>
    <row r="16" spans="1:8" ht="18" x14ac:dyDescent="0.3">
      <c r="A16" s="219">
        <v>45988</v>
      </c>
      <c r="B16" s="220" t="s">
        <v>76</v>
      </c>
      <c r="C16" s="221" t="s">
        <v>282</v>
      </c>
      <c r="D16" s="220" t="s">
        <v>238</v>
      </c>
      <c r="E16" s="222">
        <v>1.364583333333333</v>
      </c>
      <c r="F16" s="220" t="s">
        <v>78</v>
      </c>
      <c r="G16" s="223">
        <v>9</v>
      </c>
      <c r="H16" s="224">
        <v>401</v>
      </c>
    </row>
    <row r="17" spans="1:8" ht="18" x14ac:dyDescent="0.3">
      <c r="A17" s="160">
        <v>45989</v>
      </c>
      <c r="B17" s="114" t="s">
        <v>76</v>
      </c>
      <c r="C17" s="115" t="s">
        <v>582</v>
      </c>
      <c r="D17" s="114" t="s">
        <v>570</v>
      </c>
      <c r="E17" s="116">
        <v>1.291666666666667</v>
      </c>
      <c r="F17" s="114" t="s">
        <v>78</v>
      </c>
      <c r="G17" s="117">
        <v>3</v>
      </c>
      <c r="H17" s="163">
        <v>526</v>
      </c>
    </row>
    <row r="18" spans="1:8" ht="15.6" x14ac:dyDescent="0.3">
      <c r="A18" s="152"/>
      <c r="B18" s="152"/>
      <c r="C18" s="152"/>
      <c r="D18" s="152"/>
      <c r="E18" s="153" t="s">
        <v>569</v>
      </c>
      <c r="F18" s="152"/>
      <c r="G18" s="152"/>
      <c r="H18" s="3"/>
    </row>
    <row r="19" spans="1:8" ht="18" x14ac:dyDescent="0.3">
      <c r="A19" s="95">
        <v>45989</v>
      </c>
      <c r="B19" s="84" t="s">
        <v>25</v>
      </c>
      <c r="C19" s="85" t="s">
        <v>239</v>
      </c>
      <c r="D19" s="84" t="s">
        <v>238</v>
      </c>
      <c r="E19" s="86">
        <v>1.302083333333333</v>
      </c>
      <c r="F19" s="84" t="s">
        <v>27</v>
      </c>
      <c r="G19" s="87">
        <v>7</v>
      </c>
      <c r="H19" s="96">
        <v>359</v>
      </c>
    </row>
    <row r="20" spans="1:8" ht="18" x14ac:dyDescent="0.3">
      <c r="A20" s="97">
        <v>45989</v>
      </c>
      <c r="B20" s="98" t="s">
        <v>25</v>
      </c>
      <c r="C20" s="99" t="s">
        <v>244</v>
      </c>
      <c r="D20" s="98" t="s">
        <v>238</v>
      </c>
      <c r="E20" s="100">
        <v>1.1284722222222221</v>
      </c>
      <c r="F20" s="98" t="s">
        <v>27</v>
      </c>
      <c r="G20" s="101">
        <v>20</v>
      </c>
      <c r="H20" s="102">
        <v>389</v>
      </c>
    </row>
    <row r="21" spans="1:8" ht="18" x14ac:dyDescent="0.3">
      <c r="A21" s="97">
        <v>45989</v>
      </c>
      <c r="B21" s="98" t="s">
        <v>25</v>
      </c>
      <c r="C21" s="99" t="s">
        <v>250</v>
      </c>
      <c r="D21" s="98" t="s">
        <v>238</v>
      </c>
      <c r="E21" s="100">
        <v>1.788194444444444</v>
      </c>
      <c r="F21" s="98" t="s">
        <v>27</v>
      </c>
      <c r="G21" s="101">
        <v>15</v>
      </c>
      <c r="H21" s="102">
        <v>389</v>
      </c>
    </row>
    <row r="22" spans="1:8" ht="18" x14ac:dyDescent="0.3">
      <c r="A22" s="95">
        <v>45989</v>
      </c>
      <c r="B22" s="84" t="s">
        <v>300</v>
      </c>
      <c r="C22" s="85" t="s">
        <v>301</v>
      </c>
      <c r="D22" s="84" t="s">
        <v>238</v>
      </c>
      <c r="E22" s="86">
        <v>1.666666666666667</v>
      </c>
      <c r="F22" s="84" t="s">
        <v>274</v>
      </c>
      <c r="G22" s="87">
        <v>1</v>
      </c>
      <c r="H22" s="96">
        <v>401</v>
      </c>
    </row>
    <row r="23" spans="1:8" ht="18" x14ac:dyDescent="0.3">
      <c r="A23" s="95">
        <v>45989</v>
      </c>
      <c r="B23" s="84" t="s">
        <v>47</v>
      </c>
      <c r="C23" s="85" t="s">
        <v>255</v>
      </c>
      <c r="D23" s="84" t="s">
        <v>238</v>
      </c>
      <c r="E23" s="86">
        <v>1.256944444444444</v>
      </c>
      <c r="F23" s="84" t="s">
        <v>49</v>
      </c>
      <c r="G23" s="87">
        <v>9</v>
      </c>
      <c r="H23" s="96">
        <v>409</v>
      </c>
    </row>
    <row r="24" spans="1:8" ht="18" x14ac:dyDescent="0.3">
      <c r="A24" s="97">
        <v>45989</v>
      </c>
      <c r="B24" s="98" t="s">
        <v>47</v>
      </c>
      <c r="C24" s="99" t="s">
        <v>268</v>
      </c>
      <c r="D24" s="98" t="s">
        <v>238</v>
      </c>
      <c r="E24" s="100">
        <v>1.645833333333333</v>
      </c>
      <c r="F24" s="98" t="s">
        <v>49</v>
      </c>
      <c r="G24" s="101">
        <v>4</v>
      </c>
      <c r="H24" s="102">
        <v>409</v>
      </c>
    </row>
    <row r="25" spans="1:8" ht="18" x14ac:dyDescent="0.3">
      <c r="A25" s="97">
        <v>45989</v>
      </c>
      <c r="B25" s="98" t="s">
        <v>47</v>
      </c>
      <c r="C25" s="99" t="s">
        <v>265</v>
      </c>
      <c r="D25" s="98" t="s">
        <v>238</v>
      </c>
      <c r="E25" s="100">
        <v>1.5173611111111109</v>
      </c>
      <c r="F25" s="98" t="s">
        <v>49</v>
      </c>
      <c r="G25" s="101">
        <v>9</v>
      </c>
      <c r="H25" s="102">
        <v>409</v>
      </c>
    </row>
    <row r="26" spans="1:8" ht="18" x14ac:dyDescent="0.3">
      <c r="A26" s="97">
        <v>45989</v>
      </c>
      <c r="B26" s="98" t="s">
        <v>47</v>
      </c>
      <c r="C26" s="99" t="s">
        <v>266</v>
      </c>
      <c r="D26" s="98" t="s">
        <v>238</v>
      </c>
      <c r="E26" s="100">
        <v>1.854166666666667</v>
      </c>
      <c r="F26" s="98" t="s">
        <v>49</v>
      </c>
      <c r="G26" s="101">
        <v>7</v>
      </c>
      <c r="H26" s="102">
        <v>409</v>
      </c>
    </row>
    <row r="27" spans="1:8" ht="18" x14ac:dyDescent="0.3">
      <c r="A27" s="97">
        <v>45989</v>
      </c>
      <c r="B27" s="98" t="s">
        <v>47</v>
      </c>
      <c r="C27" s="99" t="s">
        <v>258</v>
      </c>
      <c r="D27" s="98" t="s">
        <v>238</v>
      </c>
      <c r="E27" s="100">
        <v>1.395833333333333</v>
      </c>
      <c r="F27" s="98" t="s">
        <v>49</v>
      </c>
      <c r="G27" s="101">
        <v>9</v>
      </c>
      <c r="H27" s="102">
        <v>409</v>
      </c>
    </row>
    <row r="28" spans="1:8" ht="18" x14ac:dyDescent="0.3">
      <c r="A28" s="108">
        <v>45989</v>
      </c>
      <c r="B28" s="109" t="s">
        <v>47</v>
      </c>
      <c r="C28" s="110" t="s">
        <v>271</v>
      </c>
      <c r="D28" s="109" t="s">
        <v>238</v>
      </c>
      <c r="E28" s="111">
        <v>1.7986111111111109</v>
      </c>
      <c r="F28" s="109" t="s">
        <v>49</v>
      </c>
      <c r="G28" s="112">
        <v>3</v>
      </c>
      <c r="H28" s="225">
        <v>409</v>
      </c>
    </row>
    <row r="29" spans="1:8" ht="18" x14ac:dyDescent="0.3">
      <c r="A29" s="160">
        <v>45990</v>
      </c>
      <c r="B29" s="114" t="s">
        <v>76</v>
      </c>
      <c r="C29" s="115" t="s">
        <v>582</v>
      </c>
      <c r="D29" s="114" t="s">
        <v>570</v>
      </c>
      <c r="E29" s="116">
        <v>1.302083333333333</v>
      </c>
      <c r="F29" s="114" t="s">
        <v>78</v>
      </c>
      <c r="G29" s="117">
        <v>1</v>
      </c>
      <c r="H29" s="163">
        <v>471</v>
      </c>
    </row>
    <row r="30" spans="1:8" ht="18" x14ac:dyDescent="0.3">
      <c r="A30" s="204">
        <v>45990</v>
      </c>
      <c r="B30" s="205" t="s">
        <v>76</v>
      </c>
      <c r="C30" s="206" t="s">
        <v>577</v>
      </c>
      <c r="D30" s="205" t="s">
        <v>570</v>
      </c>
      <c r="E30" s="207">
        <v>1.6875</v>
      </c>
      <c r="F30" s="205" t="s">
        <v>78</v>
      </c>
      <c r="G30" s="208">
        <v>8</v>
      </c>
      <c r="H30" s="209">
        <v>526</v>
      </c>
    </row>
    <row r="31" spans="1:8" ht="15.6" x14ac:dyDescent="0.3">
      <c r="A31" s="152"/>
      <c r="B31" s="152"/>
      <c r="C31" s="152"/>
      <c r="D31" s="152"/>
      <c r="E31" s="153" t="s">
        <v>569</v>
      </c>
      <c r="F31" s="152"/>
      <c r="G31" s="152"/>
      <c r="H31" s="3"/>
    </row>
    <row r="32" spans="1:8" ht="18" x14ac:dyDescent="0.3">
      <c r="A32" s="95">
        <v>45990</v>
      </c>
      <c r="B32" s="84" t="s">
        <v>300</v>
      </c>
      <c r="C32" s="85" t="s">
        <v>369</v>
      </c>
      <c r="D32" s="84" t="s">
        <v>238</v>
      </c>
      <c r="E32" s="86">
        <v>1.21875</v>
      </c>
      <c r="F32" s="84" t="s">
        <v>274</v>
      </c>
      <c r="G32" s="87">
        <v>9</v>
      </c>
      <c r="H32" s="96">
        <v>310</v>
      </c>
    </row>
    <row r="33" spans="1:8" ht="18" x14ac:dyDescent="0.3">
      <c r="A33" s="97">
        <v>45990</v>
      </c>
      <c r="B33" s="98" t="s">
        <v>300</v>
      </c>
      <c r="C33" s="99" t="s">
        <v>301</v>
      </c>
      <c r="D33" s="98" t="s">
        <v>238</v>
      </c>
      <c r="E33" s="100">
        <v>1.666666666666667</v>
      </c>
      <c r="F33" s="98" t="s">
        <v>274</v>
      </c>
      <c r="G33" s="101">
        <v>5</v>
      </c>
      <c r="H33" s="102">
        <v>401</v>
      </c>
    </row>
    <row r="34" spans="1:8" ht="18" x14ac:dyDescent="0.3">
      <c r="A34" s="95">
        <v>45990</v>
      </c>
      <c r="B34" s="84" t="s">
        <v>25</v>
      </c>
      <c r="C34" s="85" t="s">
        <v>239</v>
      </c>
      <c r="D34" s="84" t="s">
        <v>238</v>
      </c>
      <c r="E34" s="86">
        <v>1.302083333333333</v>
      </c>
      <c r="F34" s="84" t="s">
        <v>27</v>
      </c>
      <c r="G34" s="87">
        <v>4</v>
      </c>
      <c r="H34" s="96">
        <v>389</v>
      </c>
    </row>
    <row r="35" spans="1:8" ht="18" x14ac:dyDescent="0.3">
      <c r="A35" s="97">
        <v>45990</v>
      </c>
      <c r="B35" s="98" t="s">
        <v>25</v>
      </c>
      <c r="C35" s="99" t="s">
        <v>247</v>
      </c>
      <c r="D35" s="98" t="s">
        <v>238</v>
      </c>
      <c r="E35" s="100">
        <v>1.8888888888888891</v>
      </c>
      <c r="F35" s="98" t="s">
        <v>27</v>
      </c>
      <c r="G35" s="101">
        <v>1</v>
      </c>
      <c r="H35" s="102">
        <v>389</v>
      </c>
    </row>
    <row r="36" spans="1:8" ht="18" x14ac:dyDescent="0.3">
      <c r="A36" s="95">
        <v>45990</v>
      </c>
      <c r="B36" s="84" t="s">
        <v>272</v>
      </c>
      <c r="C36" s="85" t="s">
        <v>273</v>
      </c>
      <c r="D36" s="84" t="s">
        <v>238</v>
      </c>
      <c r="E36" s="86">
        <v>1.270833333333333</v>
      </c>
      <c r="F36" s="84" t="s">
        <v>274</v>
      </c>
      <c r="G36" s="87">
        <v>8</v>
      </c>
      <c r="H36" s="96">
        <v>400</v>
      </c>
    </row>
    <row r="37" spans="1:8" ht="18" x14ac:dyDescent="0.3">
      <c r="A37" s="95">
        <v>45990</v>
      </c>
      <c r="B37" s="84" t="s">
        <v>47</v>
      </c>
      <c r="C37" s="85" t="s">
        <v>261</v>
      </c>
      <c r="D37" s="84" t="s">
        <v>238</v>
      </c>
      <c r="E37" s="86">
        <v>1.9027777777777779</v>
      </c>
      <c r="F37" s="84" t="s">
        <v>49</v>
      </c>
      <c r="G37" s="87">
        <v>9</v>
      </c>
      <c r="H37" s="96">
        <v>409</v>
      </c>
    </row>
    <row r="38" spans="1:8" ht="18" x14ac:dyDescent="0.3">
      <c r="A38" s="97">
        <v>45990</v>
      </c>
      <c r="B38" s="98" t="s">
        <v>47</v>
      </c>
      <c r="C38" s="99" t="s">
        <v>265</v>
      </c>
      <c r="D38" s="98" t="s">
        <v>238</v>
      </c>
      <c r="E38" s="100">
        <v>1.5173611111111109</v>
      </c>
      <c r="F38" s="98" t="s">
        <v>49</v>
      </c>
      <c r="G38" s="101">
        <v>6</v>
      </c>
      <c r="H38" s="102">
        <v>409</v>
      </c>
    </row>
    <row r="39" spans="1:8" ht="18" x14ac:dyDescent="0.3">
      <c r="A39" s="97">
        <v>45990</v>
      </c>
      <c r="B39" s="98" t="s">
        <v>47</v>
      </c>
      <c r="C39" s="99" t="s">
        <v>266</v>
      </c>
      <c r="D39" s="98" t="s">
        <v>238</v>
      </c>
      <c r="E39" s="100">
        <v>1.854166666666667</v>
      </c>
      <c r="F39" s="98" t="s">
        <v>49</v>
      </c>
      <c r="G39" s="101">
        <v>9</v>
      </c>
      <c r="H39" s="102">
        <v>409</v>
      </c>
    </row>
    <row r="40" spans="1:8" ht="18" x14ac:dyDescent="0.3">
      <c r="A40" s="97">
        <v>45990</v>
      </c>
      <c r="B40" s="98" t="s">
        <v>47</v>
      </c>
      <c r="C40" s="99" t="s">
        <v>258</v>
      </c>
      <c r="D40" s="98" t="s">
        <v>238</v>
      </c>
      <c r="E40" s="100">
        <v>1.395833333333333</v>
      </c>
      <c r="F40" s="98" t="s">
        <v>49</v>
      </c>
      <c r="G40" s="101">
        <v>6</v>
      </c>
      <c r="H40" s="102">
        <v>409</v>
      </c>
    </row>
    <row r="41" spans="1:8" ht="18" x14ac:dyDescent="0.3">
      <c r="A41" s="108">
        <v>45990</v>
      </c>
      <c r="B41" s="109" t="s">
        <v>47</v>
      </c>
      <c r="C41" s="110" t="s">
        <v>271</v>
      </c>
      <c r="D41" s="109" t="s">
        <v>238</v>
      </c>
      <c r="E41" s="111">
        <v>1.7986111111111109</v>
      </c>
      <c r="F41" s="109" t="s">
        <v>49</v>
      </c>
      <c r="G41" s="112">
        <v>5</v>
      </c>
      <c r="H41" s="225">
        <v>409</v>
      </c>
    </row>
    <row r="42" spans="1:8" ht="18" x14ac:dyDescent="0.3">
      <c r="A42" s="83">
        <v>45991</v>
      </c>
      <c r="B42" s="84" t="s">
        <v>25</v>
      </c>
      <c r="C42" s="85" t="s">
        <v>589</v>
      </c>
      <c r="D42" s="84" t="s">
        <v>570</v>
      </c>
      <c r="E42" s="86">
        <v>1.2847222222222221</v>
      </c>
      <c r="F42" s="84" t="s">
        <v>520</v>
      </c>
      <c r="G42" s="87">
        <v>9</v>
      </c>
      <c r="H42" s="88">
        <v>329</v>
      </c>
    </row>
    <row r="43" spans="1:8" ht="18" x14ac:dyDescent="0.3">
      <c r="A43" s="89">
        <v>45991</v>
      </c>
      <c r="B43" s="90" t="s">
        <v>25</v>
      </c>
      <c r="C43" s="91" t="s">
        <v>589</v>
      </c>
      <c r="D43" s="90" t="s">
        <v>570</v>
      </c>
      <c r="E43" s="92">
        <v>1.2847222222222221</v>
      </c>
      <c r="F43" s="90" t="s">
        <v>473</v>
      </c>
      <c r="G43" s="93">
        <v>9</v>
      </c>
      <c r="H43" s="94">
        <v>388</v>
      </c>
    </row>
    <row r="44" spans="1:8" ht="18" x14ac:dyDescent="0.3">
      <c r="A44" s="89">
        <v>45991</v>
      </c>
      <c r="B44" s="90" t="s">
        <v>25</v>
      </c>
      <c r="C44" s="91" t="s">
        <v>589</v>
      </c>
      <c r="D44" s="90" t="s">
        <v>570</v>
      </c>
      <c r="E44" s="92">
        <v>1.2847222222222221</v>
      </c>
      <c r="F44" s="90" t="s">
        <v>475</v>
      </c>
      <c r="G44" s="93">
        <v>9</v>
      </c>
      <c r="H44" s="94">
        <v>412</v>
      </c>
    </row>
    <row r="45" spans="1:8" ht="18" x14ac:dyDescent="0.3">
      <c r="A45" s="89">
        <v>45991</v>
      </c>
      <c r="B45" s="90" t="s">
        <v>25</v>
      </c>
      <c r="C45" s="91" t="s">
        <v>589</v>
      </c>
      <c r="D45" s="90" t="s">
        <v>570</v>
      </c>
      <c r="E45" s="92">
        <v>1.2847222222222221</v>
      </c>
      <c r="F45" s="90" t="s">
        <v>524</v>
      </c>
      <c r="G45" s="93">
        <v>9</v>
      </c>
      <c r="H45" s="94">
        <v>579</v>
      </c>
    </row>
    <row r="46" spans="1:8" ht="18" x14ac:dyDescent="0.3">
      <c r="A46" s="113">
        <v>45991</v>
      </c>
      <c r="B46" s="114" t="s">
        <v>76</v>
      </c>
      <c r="C46" s="115" t="s">
        <v>577</v>
      </c>
      <c r="D46" s="114" t="s">
        <v>570</v>
      </c>
      <c r="E46" s="116">
        <v>1.850694444444444</v>
      </c>
      <c r="F46" s="114" t="s">
        <v>78</v>
      </c>
      <c r="G46" s="117">
        <v>9</v>
      </c>
      <c r="H46" s="203">
        <v>526</v>
      </c>
    </row>
    <row r="47" spans="1:8" ht="18" x14ac:dyDescent="0.3">
      <c r="A47" s="204">
        <v>45991</v>
      </c>
      <c r="B47" s="205" t="s">
        <v>76</v>
      </c>
      <c r="C47" s="206" t="s">
        <v>582</v>
      </c>
      <c r="D47" s="205" t="s">
        <v>570</v>
      </c>
      <c r="E47" s="207">
        <v>1.7673611111111109</v>
      </c>
      <c r="F47" s="205" t="s">
        <v>78</v>
      </c>
      <c r="G47" s="208">
        <v>6</v>
      </c>
      <c r="H47" s="209">
        <v>526</v>
      </c>
    </row>
    <row r="48" spans="1:8" ht="15.6" x14ac:dyDescent="0.3">
      <c r="A48" s="152"/>
      <c r="B48" s="152"/>
      <c r="C48" s="152"/>
      <c r="D48" s="152"/>
      <c r="E48" s="153" t="s">
        <v>569</v>
      </c>
      <c r="F48" s="152"/>
      <c r="G48" s="152"/>
      <c r="H48" s="3"/>
    </row>
    <row r="49" spans="1:8" ht="18" x14ac:dyDescent="0.3">
      <c r="A49" s="95">
        <v>45991</v>
      </c>
      <c r="B49" s="84" t="s">
        <v>25</v>
      </c>
      <c r="C49" s="85" t="s">
        <v>244</v>
      </c>
      <c r="D49" s="84" t="s">
        <v>238</v>
      </c>
      <c r="E49" s="86">
        <v>1.1284722222222221</v>
      </c>
      <c r="F49" s="84" t="s">
        <v>27</v>
      </c>
      <c r="G49" s="87">
        <v>9</v>
      </c>
      <c r="H49" s="96">
        <v>389</v>
      </c>
    </row>
    <row r="50" spans="1:8" ht="18" x14ac:dyDescent="0.3">
      <c r="A50" s="97">
        <v>45991</v>
      </c>
      <c r="B50" s="98" t="s">
        <v>25</v>
      </c>
      <c r="C50" s="99" t="s">
        <v>250</v>
      </c>
      <c r="D50" s="98" t="s">
        <v>238</v>
      </c>
      <c r="E50" s="100">
        <v>1.788194444444444</v>
      </c>
      <c r="F50" s="98" t="s">
        <v>27</v>
      </c>
      <c r="G50" s="101">
        <v>1</v>
      </c>
      <c r="H50" s="102">
        <v>389</v>
      </c>
    </row>
    <row r="51" spans="1:8" ht="18" x14ac:dyDescent="0.3">
      <c r="A51" s="97">
        <v>45991</v>
      </c>
      <c r="B51" s="98" t="s">
        <v>25</v>
      </c>
      <c r="C51" s="99" t="s">
        <v>247</v>
      </c>
      <c r="D51" s="98" t="s">
        <v>238</v>
      </c>
      <c r="E51" s="100">
        <v>1.8888888888888891</v>
      </c>
      <c r="F51" s="98" t="s">
        <v>27</v>
      </c>
      <c r="G51" s="101">
        <v>2</v>
      </c>
      <c r="H51" s="102">
        <v>389</v>
      </c>
    </row>
    <row r="52" spans="1:8" ht="18" x14ac:dyDescent="0.3">
      <c r="A52" s="97">
        <v>45991</v>
      </c>
      <c r="B52" s="98" t="s">
        <v>25</v>
      </c>
      <c r="C52" s="99" t="s">
        <v>239</v>
      </c>
      <c r="D52" s="98" t="s">
        <v>238</v>
      </c>
      <c r="E52" s="100">
        <v>1.302083333333333</v>
      </c>
      <c r="F52" s="98" t="s">
        <v>27</v>
      </c>
      <c r="G52" s="101">
        <v>5</v>
      </c>
      <c r="H52" s="102">
        <v>419</v>
      </c>
    </row>
    <row r="53" spans="1:8" ht="18" x14ac:dyDescent="0.3">
      <c r="A53" s="95">
        <v>45991</v>
      </c>
      <c r="B53" s="84" t="s">
        <v>272</v>
      </c>
      <c r="C53" s="85" t="s">
        <v>273</v>
      </c>
      <c r="D53" s="84" t="s">
        <v>238</v>
      </c>
      <c r="E53" s="86">
        <v>1.274305555555556</v>
      </c>
      <c r="F53" s="84" t="s">
        <v>274</v>
      </c>
      <c r="G53" s="87">
        <v>9</v>
      </c>
      <c r="H53" s="96">
        <v>400</v>
      </c>
    </row>
    <row r="54" spans="1:8" ht="18" x14ac:dyDescent="0.3">
      <c r="A54" s="95">
        <v>45991</v>
      </c>
      <c r="B54" s="84" t="s">
        <v>300</v>
      </c>
      <c r="C54" s="85" t="s">
        <v>369</v>
      </c>
      <c r="D54" s="84" t="s">
        <v>238</v>
      </c>
      <c r="E54" s="86">
        <v>1.381944444444444</v>
      </c>
      <c r="F54" s="84" t="s">
        <v>274</v>
      </c>
      <c r="G54" s="87">
        <v>6</v>
      </c>
      <c r="H54" s="96">
        <v>401</v>
      </c>
    </row>
    <row r="55" spans="1:8" ht="18" x14ac:dyDescent="0.3">
      <c r="A55" s="95">
        <v>45991</v>
      </c>
      <c r="B55" s="84" t="s">
        <v>302</v>
      </c>
      <c r="C55" s="85" t="s">
        <v>303</v>
      </c>
      <c r="D55" s="84" t="s">
        <v>238</v>
      </c>
      <c r="E55" s="86">
        <v>1.3888888888888891</v>
      </c>
      <c r="F55" s="84" t="s">
        <v>304</v>
      </c>
      <c r="G55" s="87">
        <v>9</v>
      </c>
      <c r="H55" s="96">
        <v>430</v>
      </c>
    </row>
    <row r="56" spans="1:8" ht="18" x14ac:dyDescent="0.3">
      <c r="A56" s="113">
        <v>45991</v>
      </c>
      <c r="B56" s="114" t="s">
        <v>76</v>
      </c>
      <c r="C56" s="115" t="s">
        <v>277</v>
      </c>
      <c r="D56" s="114" t="s">
        <v>238</v>
      </c>
      <c r="E56" s="116">
        <v>1.083333333333333</v>
      </c>
      <c r="F56" s="114" t="s">
        <v>78</v>
      </c>
      <c r="G56" s="117">
        <v>4</v>
      </c>
      <c r="H56" s="203">
        <v>436</v>
      </c>
    </row>
    <row r="57" spans="1:8" ht="18" x14ac:dyDescent="0.3">
      <c r="A57" s="204">
        <v>45991</v>
      </c>
      <c r="B57" s="205" t="s">
        <v>76</v>
      </c>
      <c r="C57" s="206" t="s">
        <v>282</v>
      </c>
      <c r="D57" s="205" t="s">
        <v>238</v>
      </c>
      <c r="E57" s="207">
        <v>1.333333333333333</v>
      </c>
      <c r="F57" s="205" t="s">
        <v>78</v>
      </c>
      <c r="G57" s="208">
        <v>9</v>
      </c>
      <c r="H57" s="209">
        <v>436</v>
      </c>
    </row>
    <row r="58" spans="1:8" ht="18" x14ac:dyDescent="0.3">
      <c r="A58" s="219">
        <v>45991</v>
      </c>
      <c r="B58" s="220" t="s">
        <v>76</v>
      </c>
      <c r="C58" s="221" t="s">
        <v>291</v>
      </c>
      <c r="D58" s="220" t="s">
        <v>238</v>
      </c>
      <c r="E58" s="222">
        <v>1.319444444444444</v>
      </c>
      <c r="F58" s="220" t="s">
        <v>78</v>
      </c>
      <c r="G58" s="223">
        <v>1</v>
      </c>
      <c r="H58" s="224">
        <v>436</v>
      </c>
    </row>
  </sheetData>
  <dataValidations count="11">
    <dataValidation type="custom" allowBlank="1" showInputMessage="1" promptTitle="LOAD FACTOR ANALYSIS" prompt="SM-422_x000d__x000a_LF 38.7%_x000d__x000a_SOLD 65_x000d__x000a_LST-SOLD 26NOV_x000d__x000a_WEEKLY 44_x000d__x000a_TO-DAY 6_x000d__x000a_Y-DAY 16_x000d__x000a_LOWEST AVAIL O9_x000d__x000a_CAPACITY 168_x000d__x000a_CLASSES S1 &amp; U8 &amp; O11 &amp; +1 more" sqref="A2 B2 C2 D2 E2 F2 G2 H2" xr:uid="{00000000-0002-0000-1200-000000000000}">
      <formula1>TRUE</formula1>
    </dataValidation>
    <dataValidation type="custom" allowBlank="1" showInputMessage="1" promptTitle="LOAD FACTOR ANALYSIS" prompt="SM-454_x000d__x000a_LF 84.5%_x000d__x000a_SOLD 142_x000d__x000a_LST-SOLD 25NOV_x000d__x000a_WEEKLY 33_x000d__x000a_TO-DAY NIL_x000d__x000a_Y-DAY 12_x000d__x000a_LOWEST AVAIL O9_x000d__x000a_CAPACITY 168_x000d__x000a_CLASSES U3 &amp; O19 &amp; I25 &amp; +1 more" sqref="A3 B3 C3 D3 E3 F3 G3 H3" xr:uid="{00000000-0002-0000-1200-000001000000}">
      <formula1>TRUE</formula1>
    </dataValidation>
    <dataValidation type="custom" allowBlank="1" showInputMessage="1" promptTitle="LOAD FACTOR ANALYSIS" prompt="SM-456_x000d__x000a_LF 65.4%_x000d__x000a_SOLD 117_x000d__x000a_LST-SOLD 25NOV_x000d__x000a_WEEKLY 46_x000d__x000a_TO-DAY NIL_x000d__x000a_Y-DAY 9_x000d__x000a_LOWEST AVAIL U9_x000d__x000a_CAPACITY 179_x000d__x000a_CLASSES T2 &amp; X5 &amp; U16 &amp; +3 more" sqref="A4 B4 C4 D4 E4 F4 G4 H4" xr:uid="{00000000-0002-0000-1200-000002000000}">
      <formula1>TRUE</formula1>
    </dataValidation>
    <dataValidation type="custom" allowBlank="1" showInputMessage="1" promptTitle="LOAD FACTOR ANALYSIS" prompt="SM-424_x000d__x000a_LF -_x000d__x000a_SOLD -_x000d__x000a_LST-SOLD -_x000d__x000a_WEEKLY -_x000d__x000a_TO-DAY -_x000d__x000a_Y-DAY -_x000d__x000a_LOWEST AVAIL -_x000d__x000a_CAPACITY -_x000d__x000a_CLASSES -" sqref="A15 A56 B15 B56 C15 C56 D15 D56 E15 E56 F15 F56 G15 G56 H15 H56" xr:uid="{00000000-0002-0000-1200-000003000000}">
      <formula1>TRUE</formula1>
    </dataValidation>
    <dataValidation type="custom" allowBlank="1" showInputMessage="1" promptTitle="LOAD FACTOR ANALYSIS" prompt="SM-432_x000d__x000a_LF -_x000d__x000a_SOLD -_x000d__x000a_LST-SOLD -_x000d__x000a_WEEKLY -_x000d__x000a_TO-DAY -_x000d__x000a_Y-DAY -_x000d__x000a_LOWEST AVAIL -_x000d__x000a_CAPACITY -_x000d__x000a_CLASSES -" sqref="A16 A57 B16 B57 C16 C57 D16 D57 E16 E57 F16 F57 G16 G57 H16 H57" xr:uid="{00000000-0002-0000-1200-000004000000}">
      <formula1>TRUE</formula1>
    </dataValidation>
    <dataValidation type="custom" allowBlank="1" showInputMessage="1" promptTitle="LOAD FACTOR ANALYSIS" prompt="SM-492_x000d__x000a_LF 64.3%_x000d__x000a_SOLD 108_x000d__x000a_LST-SOLD 25NOV_x000d__x000a_WEEKLY 43_x000d__x000a_TO-DAY NIL_x000d__x000a_Y-DAY 5_x000d__x000a_LOWEST AVAIL X3_x000d__x000a_CAPACITY 168_x000d__x000a_CLASSES S3 &amp; W1 &amp; X12 &amp; +4 more" sqref="A17 B17 C17 D17 E17 F17 G17 H17" xr:uid="{00000000-0002-0000-1200-000005000000}">
      <formula1>TRUE</formula1>
    </dataValidation>
    <dataValidation type="custom" allowBlank="1" showInputMessage="1" promptTitle="LOAD FACTOR ANALYSIS" prompt="SM-492_x000d__x000a_LF 83.9%_x000d__x000a_SOLD 141_x000d__x000a_LST-SOLD 25NOV_x000d__x000a_WEEKLY 23_x000d__x000a_TO-DAY NIL_x000d__x000a_Y-DAY 4_x000d__x000a_LOWEST AVAIL U1_x000d__x000a_CAPACITY 168_x000d__x000a_CLASSES S8 &amp; W4 &amp; X13 &amp; +4 more" sqref="A29 B29 C29 D29 E29 F29 G29 H29" xr:uid="{00000000-0002-0000-1200-000006000000}">
      <formula1>TRUE</formula1>
    </dataValidation>
    <dataValidation type="custom" allowBlank="1" showInputMessage="1" promptTitle="LOAD FACTOR ANALYSIS" prompt="SM-456_x000d__x000a_LF 95.2%_x000d__x000a_SOLD 160_x000d__x000a_LST-SOLD 24NOV_x000d__x000a_WEEKLY 8_x000d__x000a_TO-DAY NIL_x000d__x000a_Y-DAY NIL_x000d__x000a_LOWEST AVAIL X8_x000d__x000a_CAPACITY 168_x000d__x000a_CLASSES S1 &amp; W1 &amp; T2 &amp; +4 more" sqref="A30 B30 C30 D30 E30 F30 G30 H30" xr:uid="{00000000-0002-0000-1200-000007000000}">
      <formula1>TRUE</formula1>
    </dataValidation>
    <dataValidation type="custom" allowBlank="1" showInputMessage="1" promptTitle="LOAD FACTOR ANALYSIS" prompt="SM-456_x000d__x000a_LF 63.7%_x000d__x000a_SOLD 107_x000d__x000a_LST-SOLD 24NOV_x000d__x000a_WEEKLY 40_x000d__x000a_TO-DAY NIL_x000d__x000a_Y-DAY NIL_x000d__x000a_LOWEST AVAIL X9_x000d__x000a_CAPACITY 168_x000d__x000a_CLASSES S1 &amp; W2 &amp; X5 &amp; +4 more" sqref="A46 B46 C46 D46 E46 F46 G46 H46" xr:uid="{00000000-0002-0000-1200-000008000000}">
      <formula1>TRUE</formula1>
    </dataValidation>
    <dataValidation type="custom" allowBlank="1" showInputMessage="1" promptTitle="LOAD FACTOR ANALYSIS" prompt="SM-492_x000d__x000a_LF 89.3%_x000d__x000a_SOLD 150_x000d__x000a_LST-SOLD 25NOV_x000d__x000a_WEEKLY 38_x000d__x000a_TO-DAY NIL_x000d__x000a_Y-DAY 7_x000d__x000a_LOWEST AVAIL X6_x000d__x000a_CAPACITY 168_x000d__x000a_CLASSES S6 &amp; X9 &amp; U19 &amp; +3 more" sqref="A47 B47 C47 D47 E47 F47 G47 H47" xr:uid="{00000000-0002-0000-1200-000009000000}">
      <formula1>TRUE</formula1>
    </dataValidation>
    <dataValidation type="custom" allowBlank="1" showInputMessage="1" promptTitle="LOAD FACTOR ANALYSIS" prompt="SM-476_x000d__x000a_LF -_x000d__x000a_SOLD -_x000d__x000a_LST-SOLD -_x000d__x000a_WEEKLY -_x000d__x000a_TO-DAY -_x000d__x000a_Y-DAY -_x000d__x000a_LOWEST AVAIL -_x000d__x000a_CAPACITY -_x000d__x000a_CLASSES -" sqref="A58 B58 C58 D58 E58 F58 G58 H58" xr:uid="{00000000-0002-0000-1200-00000A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N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3.21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612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45987.359157865219</v>
      </c>
      <c r="H2" s="294"/>
      <c r="I2" s="294"/>
      <c r="J2" s="294"/>
      <c r="K2" s="301">
        <v>45987.359157865743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45991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27" t="s">
        <v>272</v>
      </c>
      <c r="B6" s="227" t="s">
        <v>613</v>
      </c>
      <c r="C6" s="228">
        <v>0.1875</v>
      </c>
      <c r="D6" s="227" t="s">
        <v>274</v>
      </c>
      <c r="E6" s="227" t="s">
        <v>121</v>
      </c>
      <c r="F6" s="227" t="s">
        <v>387</v>
      </c>
      <c r="G6" s="305"/>
      <c r="H6" s="38"/>
      <c r="I6" s="39"/>
      <c r="J6" s="39"/>
      <c r="K6" s="39"/>
      <c r="L6" s="39"/>
      <c r="M6" s="39"/>
      <c r="N6" s="39"/>
      <c r="O6" s="40"/>
      <c r="P6" s="39"/>
      <c r="Q6" s="41"/>
      <c r="R6" s="4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29">
        <v>45991</v>
      </c>
      <c r="B2" s="156" t="s">
        <v>272</v>
      </c>
      <c r="C2" s="157" t="s">
        <v>613</v>
      </c>
      <c r="D2" s="156" t="s">
        <v>612</v>
      </c>
      <c r="E2" s="158">
        <v>1.1875</v>
      </c>
      <c r="F2" s="156" t="s">
        <v>274</v>
      </c>
      <c r="G2" s="159">
        <v>8</v>
      </c>
      <c r="H2" s="230">
        <v>745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N5"/>
  <sheetViews>
    <sheetView zoomScale="85" workbookViewId="0"/>
  </sheetViews>
  <sheetFormatPr defaultRowHeight="14.4" x14ac:dyDescent="0.3"/>
  <cols>
    <col min="14" max="14" width="7.77734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614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45987.359158246458</v>
      </c>
      <c r="H2" s="294"/>
      <c r="I2" s="294"/>
      <c r="J2" s="294"/>
      <c r="K2" s="301">
        <v>45987.35915824704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1.6" customHeight="1" x14ac:dyDescent="0.3">
      <c r="A4" s="231"/>
      <c r="B4" s="231"/>
      <c r="C4" s="231"/>
      <c r="D4" s="231"/>
      <c r="E4" s="231"/>
      <c r="F4" s="231"/>
      <c r="G4" s="232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"/>
  <sheetViews>
    <sheetView workbookViewId="0"/>
  </sheetViews>
  <sheetFormatPr defaultRowHeight="14.4" x14ac:dyDescent="0.3"/>
  <cols>
    <col min="1" max="1" width="5.44140625" bestFit="1" customWidth="1"/>
    <col min="2" max="2" width="7.6640625" bestFit="1" customWidth="1"/>
    <col min="3" max="3" width="11.6640625" bestFit="1" customWidth="1"/>
    <col min="4" max="4" width="6.77734375" bestFit="1" customWidth="1"/>
    <col min="5" max="5" width="11.109375" bestFit="1" customWidth="1"/>
    <col min="6" max="6" width="9.21875" bestFit="1" customWidth="1"/>
    <col min="7" max="7" width="12.44140625" bestFit="1" customWidth="1"/>
    <col min="8" max="8" width="15.2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N2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615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45987.359158519153</v>
      </c>
      <c r="H2" s="294"/>
      <c r="I2" s="294"/>
      <c r="J2" s="294"/>
      <c r="K2" s="301">
        <v>45987.359158519699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63</v>
      </c>
      <c r="B6" s="8" t="s">
        <v>616</v>
      </c>
      <c r="C6" s="9">
        <v>0.60416666666666663</v>
      </c>
      <c r="D6" s="8" t="s">
        <v>65</v>
      </c>
      <c r="E6" s="8" t="s">
        <v>38</v>
      </c>
      <c r="F6" s="8" t="s">
        <v>617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188" t="s">
        <v>63</v>
      </c>
      <c r="B7" s="188" t="s">
        <v>616</v>
      </c>
      <c r="C7" s="189">
        <v>0.60416666666666663</v>
      </c>
      <c r="D7" s="188" t="s">
        <v>67</v>
      </c>
      <c r="E7" s="188" t="s">
        <v>68</v>
      </c>
      <c r="F7" s="188" t="s">
        <v>618</v>
      </c>
      <c r="G7" s="283"/>
      <c r="H7" s="38"/>
      <c r="I7" s="39"/>
      <c r="J7" s="39"/>
      <c r="K7" s="39"/>
      <c r="L7" s="39"/>
      <c r="M7" s="39"/>
      <c r="N7" s="39"/>
      <c r="O7" s="40"/>
      <c r="P7" s="39"/>
      <c r="Q7" s="41"/>
      <c r="R7" s="4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4.4" customHeight="1" x14ac:dyDescent="0.3">
      <c r="A8" s="275"/>
      <c r="B8" s="276"/>
      <c r="C8" s="276"/>
      <c r="D8" s="276"/>
      <c r="E8" s="276"/>
      <c r="F8" s="276"/>
      <c r="G8" s="277"/>
      <c r="H8" s="278"/>
      <c r="I8" s="278"/>
      <c r="J8" s="278"/>
      <c r="K8" s="278"/>
      <c r="L8" s="278"/>
      <c r="M8" s="278"/>
      <c r="N8" s="278"/>
      <c r="O8" s="279"/>
      <c r="P8" s="278"/>
      <c r="Q8" s="277"/>
      <c r="R8" s="280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2.05" customHeight="1" x14ac:dyDescent="0.3">
      <c r="A9" s="289" t="s">
        <v>5</v>
      </c>
      <c r="B9" s="290"/>
      <c r="C9" s="290"/>
      <c r="D9" s="290"/>
      <c r="E9" s="290"/>
      <c r="F9" s="290"/>
      <c r="G9" s="5">
        <v>45990</v>
      </c>
      <c r="H9" s="286" t="s">
        <v>6</v>
      </c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24" customHeight="1" x14ac:dyDescent="0.3">
      <c r="A10" s="30" t="s">
        <v>7</v>
      </c>
      <c r="B10" s="30" t="s">
        <v>8</v>
      </c>
      <c r="C10" s="31" t="s">
        <v>9</v>
      </c>
      <c r="D10" s="30" t="s">
        <v>10</v>
      </c>
      <c r="E10" s="30" t="s">
        <v>11</v>
      </c>
      <c r="F10" s="30" t="s">
        <v>12</v>
      </c>
      <c r="G10" s="32" t="s">
        <v>13</v>
      </c>
      <c r="H10" s="30" t="s">
        <v>14</v>
      </c>
      <c r="I10" s="33" t="s">
        <v>15</v>
      </c>
      <c r="J10" s="34" t="s">
        <v>16</v>
      </c>
      <c r="K10" s="35" t="s">
        <v>17</v>
      </c>
      <c r="L10" s="34" t="s">
        <v>18</v>
      </c>
      <c r="M10" s="34" t="s">
        <v>19</v>
      </c>
      <c r="N10" s="34" t="s">
        <v>20</v>
      </c>
      <c r="O10" s="30" t="s">
        <v>21</v>
      </c>
      <c r="P10" s="31" t="s">
        <v>22</v>
      </c>
      <c r="Q10" s="34" t="s">
        <v>23</v>
      </c>
      <c r="R10" s="30" t="s">
        <v>24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8" t="s">
        <v>63</v>
      </c>
      <c r="B11" s="8" t="s">
        <v>616</v>
      </c>
      <c r="C11" s="9">
        <v>0.60069444444444442</v>
      </c>
      <c r="D11" s="8" t="s">
        <v>487</v>
      </c>
      <c r="E11" s="8" t="s">
        <v>113</v>
      </c>
      <c r="F11" s="8" t="s">
        <v>619</v>
      </c>
      <c r="G11" s="281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15" t="s">
        <v>63</v>
      </c>
      <c r="B12" s="15" t="s">
        <v>616</v>
      </c>
      <c r="C12" s="16">
        <v>0.60069444444444442</v>
      </c>
      <c r="D12" s="15" t="s">
        <v>65</v>
      </c>
      <c r="E12" s="15" t="s">
        <v>115</v>
      </c>
      <c r="F12" s="15" t="s">
        <v>56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188" t="s">
        <v>63</v>
      </c>
      <c r="B13" s="188" t="s">
        <v>616</v>
      </c>
      <c r="C13" s="189">
        <v>0.60069444444444442</v>
      </c>
      <c r="D13" s="188" t="s">
        <v>67</v>
      </c>
      <c r="E13" s="188" t="s">
        <v>115</v>
      </c>
      <c r="F13" s="188" t="s">
        <v>620</v>
      </c>
      <c r="G13" s="283"/>
      <c r="H13" s="38"/>
      <c r="I13" s="39"/>
      <c r="J13" s="39"/>
      <c r="K13" s="39"/>
      <c r="L13" s="39"/>
      <c r="M13" s="39"/>
      <c r="N13" s="39"/>
      <c r="O13" s="40"/>
      <c r="P13" s="39"/>
      <c r="Q13" s="41"/>
      <c r="R13" s="4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4.4" customHeight="1" x14ac:dyDescent="0.3">
      <c r="A14" s="288"/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80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2.05" customHeight="1" x14ac:dyDescent="0.3">
      <c r="A15" s="289" t="s">
        <v>5</v>
      </c>
      <c r="B15" s="290"/>
      <c r="C15" s="290"/>
      <c r="D15" s="290"/>
      <c r="E15" s="290"/>
      <c r="F15" s="290"/>
      <c r="G15" s="5">
        <v>45991</v>
      </c>
      <c r="H15" s="286" t="s">
        <v>6</v>
      </c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4" customHeight="1" x14ac:dyDescent="0.3">
      <c r="A16" s="30" t="s">
        <v>7</v>
      </c>
      <c r="B16" s="30" t="s">
        <v>8</v>
      </c>
      <c r="C16" s="31" t="s">
        <v>9</v>
      </c>
      <c r="D16" s="30" t="s">
        <v>10</v>
      </c>
      <c r="E16" s="30" t="s">
        <v>11</v>
      </c>
      <c r="F16" s="30" t="s">
        <v>12</v>
      </c>
      <c r="G16" s="32" t="s">
        <v>13</v>
      </c>
      <c r="H16" s="30" t="s">
        <v>14</v>
      </c>
      <c r="I16" s="33" t="s">
        <v>15</v>
      </c>
      <c r="J16" s="34" t="s">
        <v>16</v>
      </c>
      <c r="K16" s="35" t="s">
        <v>17</v>
      </c>
      <c r="L16" s="34" t="s">
        <v>18</v>
      </c>
      <c r="M16" s="34" t="s">
        <v>19</v>
      </c>
      <c r="N16" s="34" t="s">
        <v>20</v>
      </c>
      <c r="O16" s="30" t="s">
        <v>21</v>
      </c>
      <c r="P16" s="31" t="s">
        <v>22</v>
      </c>
      <c r="Q16" s="34" t="s">
        <v>23</v>
      </c>
      <c r="R16" s="30" t="s">
        <v>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8" t="s">
        <v>63</v>
      </c>
      <c r="B17" s="8" t="s">
        <v>616</v>
      </c>
      <c r="C17" s="9">
        <v>0.60069444444444442</v>
      </c>
      <c r="D17" s="8" t="s">
        <v>487</v>
      </c>
      <c r="E17" s="8" t="s">
        <v>38</v>
      </c>
      <c r="F17" s="8" t="s">
        <v>621</v>
      </c>
      <c r="G17" s="281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15" t="s">
        <v>63</v>
      </c>
      <c r="B18" s="15" t="s">
        <v>616</v>
      </c>
      <c r="C18" s="16">
        <v>0.60069444444444442</v>
      </c>
      <c r="D18" s="15" t="s">
        <v>65</v>
      </c>
      <c r="E18" s="15" t="s">
        <v>68</v>
      </c>
      <c r="F18" s="15" t="s">
        <v>622</v>
      </c>
      <c r="G18" s="2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188" t="s">
        <v>63</v>
      </c>
      <c r="B19" s="188" t="s">
        <v>616</v>
      </c>
      <c r="C19" s="189">
        <v>0.60069444444444442</v>
      </c>
      <c r="D19" s="188" t="s">
        <v>67</v>
      </c>
      <c r="E19" s="188" t="s">
        <v>68</v>
      </c>
      <c r="F19" s="188" t="s">
        <v>623</v>
      </c>
      <c r="G19" s="283"/>
      <c r="H19" s="38"/>
      <c r="I19" s="39"/>
      <c r="J19" s="39"/>
      <c r="K19" s="39"/>
      <c r="L19" s="39"/>
      <c r="M19" s="39"/>
      <c r="N19" s="39"/>
      <c r="O19" s="40"/>
      <c r="P19" s="39"/>
      <c r="Q19" s="41"/>
      <c r="R19" s="4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88"/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80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</sheetData>
  <mergeCells count="21">
    <mergeCell ref="J1:M1"/>
    <mergeCell ref="D1:F1"/>
    <mergeCell ref="A1:C1"/>
    <mergeCell ref="G1:H1"/>
    <mergeCell ref="O1:Q1"/>
    <mergeCell ref="A20:R20"/>
    <mergeCell ref="G17:G19"/>
    <mergeCell ref="G11:G13"/>
    <mergeCell ref="A9:F9"/>
    <mergeCell ref="K2:R2"/>
    <mergeCell ref="A15:F15"/>
    <mergeCell ref="H15:R15"/>
    <mergeCell ref="A14:R14"/>
    <mergeCell ref="G2:J2"/>
    <mergeCell ref="A4:F4"/>
    <mergeCell ref="A8:R8"/>
    <mergeCell ref="H4:R4"/>
    <mergeCell ref="A2:F2"/>
    <mergeCell ref="A3:R3"/>
    <mergeCell ref="H9:R9"/>
    <mergeCell ref="G6:G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6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63</v>
      </c>
      <c r="C2" s="85" t="s">
        <v>616</v>
      </c>
      <c r="D2" s="84" t="s">
        <v>615</v>
      </c>
      <c r="E2" s="86">
        <v>1.604166666666667</v>
      </c>
      <c r="F2" s="84" t="s">
        <v>65</v>
      </c>
      <c r="G2" s="87">
        <v>9</v>
      </c>
      <c r="H2" s="154" t="s">
        <v>617</v>
      </c>
    </row>
    <row r="3" spans="1:8" ht="18" x14ac:dyDescent="0.3">
      <c r="A3" s="210">
        <v>45988</v>
      </c>
      <c r="B3" s="211" t="s">
        <v>63</v>
      </c>
      <c r="C3" s="212" t="s">
        <v>616</v>
      </c>
      <c r="D3" s="211" t="s">
        <v>615</v>
      </c>
      <c r="E3" s="213">
        <v>1.604166666666667</v>
      </c>
      <c r="F3" s="211" t="s">
        <v>67</v>
      </c>
      <c r="G3" s="214">
        <v>9</v>
      </c>
      <c r="H3" s="211" t="s">
        <v>618</v>
      </c>
    </row>
    <row r="4" spans="1:8" ht="18" x14ac:dyDescent="0.3">
      <c r="A4" s="83">
        <v>45990</v>
      </c>
      <c r="B4" s="84" t="s">
        <v>63</v>
      </c>
      <c r="C4" s="85" t="s">
        <v>616</v>
      </c>
      <c r="D4" s="84" t="s">
        <v>615</v>
      </c>
      <c r="E4" s="86">
        <v>1.600694444444444</v>
      </c>
      <c r="F4" s="84" t="s">
        <v>487</v>
      </c>
      <c r="G4" s="87">
        <v>5</v>
      </c>
      <c r="H4" s="88">
        <v>551</v>
      </c>
    </row>
    <row r="5" spans="1:8" ht="18" x14ac:dyDescent="0.3">
      <c r="A5" s="89">
        <v>45990</v>
      </c>
      <c r="B5" s="90" t="s">
        <v>63</v>
      </c>
      <c r="C5" s="91" t="s">
        <v>616</v>
      </c>
      <c r="D5" s="90" t="s">
        <v>615</v>
      </c>
      <c r="E5" s="92">
        <v>1.600694444444444</v>
      </c>
      <c r="F5" s="90" t="s">
        <v>65</v>
      </c>
      <c r="G5" s="93">
        <v>5</v>
      </c>
      <c r="H5" s="94">
        <v>829</v>
      </c>
    </row>
    <row r="6" spans="1:8" ht="18" x14ac:dyDescent="0.3">
      <c r="A6" s="210">
        <v>45990</v>
      </c>
      <c r="B6" s="211" t="s">
        <v>63</v>
      </c>
      <c r="C6" s="212" t="s">
        <v>616</v>
      </c>
      <c r="D6" s="211" t="s">
        <v>615</v>
      </c>
      <c r="E6" s="213">
        <v>1.600694444444444</v>
      </c>
      <c r="F6" s="211" t="s">
        <v>67</v>
      </c>
      <c r="G6" s="214">
        <v>5</v>
      </c>
      <c r="H6" s="234">
        <v>901</v>
      </c>
    </row>
    <row r="7" spans="1:8" ht="18" x14ac:dyDescent="0.3">
      <c r="A7" s="83">
        <v>45991</v>
      </c>
      <c r="B7" s="84" t="s">
        <v>63</v>
      </c>
      <c r="C7" s="85" t="s">
        <v>616</v>
      </c>
      <c r="D7" s="84" t="s">
        <v>615</v>
      </c>
      <c r="E7" s="86">
        <v>1.600694444444444</v>
      </c>
      <c r="F7" s="84" t="s">
        <v>487</v>
      </c>
      <c r="G7" s="87">
        <v>9</v>
      </c>
      <c r="H7" s="88">
        <v>756</v>
      </c>
    </row>
    <row r="8" spans="1:8" ht="18" x14ac:dyDescent="0.3">
      <c r="A8" s="89">
        <v>45991</v>
      </c>
      <c r="B8" s="90" t="s">
        <v>63</v>
      </c>
      <c r="C8" s="91" t="s">
        <v>616</v>
      </c>
      <c r="D8" s="90" t="s">
        <v>615</v>
      </c>
      <c r="E8" s="92">
        <v>1.600694444444444</v>
      </c>
      <c r="F8" s="90" t="s">
        <v>65</v>
      </c>
      <c r="G8" s="93">
        <v>9</v>
      </c>
      <c r="H8" s="90" t="s">
        <v>622</v>
      </c>
    </row>
    <row r="9" spans="1:8" ht="18" x14ac:dyDescent="0.3">
      <c r="A9" s="210">
        <v>45991</v>
      </c>
      <c r="B9" s="211" t="s">
        <v>63</v>
      </c>
      <c r="C9" s="212" t="s">
        <v>616</v>
      </c>
      <c r="D9" s="211" t="s">
        <v>615</v>
      </c>
      <c r="E9" s="213">
        <v>1.600694444444444</v>
      </c>
      <c r="F9" s="211" t="s">
        <v>67</v>
      </c>
      <c r="G9" s="214">
        <v>9</v>
      </c>
      <c r="H9" s="211" t="s">
        <v>623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N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624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45987.359159377418</v>
      </c>
      <c r="H2" s="294"/>
      <c r="I2" s="294"/>
      <c r="J2" s="294"/>
      <c r="K2" s="301">
        <v>45987.359159378408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45990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27" t="s">
        <v>300</v>
      </c>
      <c r="B6" s="227" t="s">
        <v>625</v>
      </c>
      <c r="C6" s="228">
        <v>0.87152777777777779</v>
      </c>
      <c r="D6" s="227" t="s">
        <v>274</v>
      </c>
      <c r="E6" s="227" t="s">
        <v>38</v>
      </c>
      <c r="F6" s="227" t="s">
        <v>626</v>
      </c>
      <c r="G6" s="305"/>
      <c r="H6" s="38"/>
      <c r="I6" s="39"/>
      <c r="J6" s="39"/>
      <c r="K6" s="39"/>
      <c r="L6" s="39"/>
      <c r="M6" s="39"/>
      <c r="N6" s="39"/>
      <c r="O6" s="40"/>
      <c r="P6" s="39"/>
      <c r="Q6" s="41"/>
      <c r="R6" s="4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29">
        <v>45990</v>
      </c>
      <c r="B2" s="156" t="s">
        <v>300</v>
      </c>
      <c r="C2" s="157" t="s">
        <v>625</v>
      </c>
      <c r="D2" s="156" t="s">
        <v>624</v>
      </c>
      <c r="E2" s="158">
        <v>1.8715277777777779</v>
      </c>
      <c r="F2" s="156" t="s">
        <v>274</v>
      </c>
      <c r="G2" s="159">
        <v>9</v>
      </c>
      <c r="H2" s="230">
        <v>364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N2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109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627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45987.359159720327</v>
      </c>
      <c r="H2" s="294"/>
      <c r="I2" s="294"/>
      <c r="J2" s="294"/>
      <c r="K2" s="301">
        <v>45987.359159720741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628</v>
      </c>
      <c r="C6" s="9">
        <v>0.44791666666666669</v>
      </c>
      <c r="D6" s="8" t="s">
        <v>27</v>
      </c>
      <c r="E6" s="8" t="s">
        <v>121</v>
      </c>
      <c r="F6" s="8" t="s">
        <v>629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628</v>
      </c>
      <c r="C7" s="16">
        <v>0.44791666666666669</v>
      </c>
      <c r="D7" s="15" t="s">
        <v>30</v>
      </c>
      <c r="E7" s="15" t="s">
        <v>73</v>
      </c>
      <c r="F7" s="15" t="s">
        <v>630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628</v>
      </c>
      <c r="C8" s="16">
        <v>0.44791666666666669</v>
      </c>
      <c r="D8" s="15" t="s">
        <v>33</v>
      </c>
      <c r="E8" s="15" t="s">
        <v>73</v>
      </c>
      <c r="F8" s="15" t="s">
        <v>631</v>
      </c>
      <c r="G8" s="2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632</v>
      </c>
      <c r="C9" s="20">
        <v>0.5</v>
      </c>
      <c r="D9" s="19" t="s">
        <v>27</v>
      </c>
      <c r="E9" s="19" t="s">
        <v>633</v>
      </c>
      <c r="F9" s="19" t="s">
        <v>629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25</v>
      </c>
      <c r="B10" s="15" t="s">
        <v>632</v>
      </c>
      <c r="C10" s="16">
        <v>0.5</v>
      </c>
      <c r="D10" s="15" t="s">
        <v>30</v>
      </c>
      <c r="E10" s="15" t="s">
        <v>96</v>
      </c>
      <c r="F10" s="15" t="s">
        <v>630</v>
      </c>
      <c r="G10" s="2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25</v>
      </c>
      <c r="B11" s="15" t="s">
        <v>632</v>
      </c>
      <c r="C11" s="16">
        <v>0.5</v>
      </c>
      <c r="D11" s="15" t="s">
        <v>33</v>
      </c>
      <c r="E11" s="15" t="s">
        <v>96</v>
      </c>
      <c r="F11" s="15" t="s">
        <v>631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634</v>
      </c>
      <c r="C12" s="20">
        <v>0.76041666666666663</v>
      </c>
      <c r="D12" s="19" t="s">
        <v>27</v>
      </c>
      <c r="E12" s="19" t="s">
        <v>371</v>
      </c>
      <c r="F12" s="19" t="s">
        <v>635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25</v>
      </c>
      <c r="B13" s="15" t="s">
        <v>634</v>
      </c>
      <c r="C13" s="16">
        <v>0.76041666666666663</v>
      </c>
      <c r="D13" s="15" t="s">
        <v>30</v>
      </c>
      <c r="E13" s="15" t="s">
        <v>115</v>
      </c>
      <c r="F13" s="15" t="s">
        <v>367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25</v>
      </c>
      <c r="B14" s="15" t="s">
        <v>634</v>
      </c>
      <c r="C14" s="16">
        <v>0.76041666666666663</v>
      </c>
      <c r="D14" s="15" t="s">
        <v>33</v>
      </c>
      <c r="E14" s="15" t="s">
        <v>115</v>
      </c>
      <c r="F14" s="15" t="s">
        <v>636</v>
      </c>
      <c r="G14" s="2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637</v>
      </c>
      <c r="C15" s="20">
        <v>0.81597222222222221</v>
      </c>
      <c r="D15" s="19" t="s">
        <v>27</v>
      </c>
      <c r="E15" s="19" t="s">
        <v>349</v>
      </c>
      <c r="F15" s="19" t="s">
        <v>635</v>
      </c>
      <c r="G15" s="2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25</v>
      </c>
      <c r="B16" s="15" t="s">
        <v>637</v>
      </c>
      <c r="C16" s="16">
        <v>0.81597222222222221</v>
      </c>
      <c r="D16" s="15" t="s">
        <v>30</v>
      </c>
      <c r="E16" s="15" t="s">
        <v>88</v>
      </c>
      <c r="F16" s="15" t="s">
        <v>367</v>
      </c>
      <c r="G16" s="2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25</v>
      </c>
      <c r="B17" s="15" t="s">
        <v>637</v>
      </c>
      <c r="C17" s="16">
        <v>0.81597222222222221</v>
      </c>
      <c r="D17" s="15" t="s">
        <v>33</v>
      </c>
      <c r="E17" s="15" t="s">
        <v>88</v>
      </c>
      <c r="F17" s="15" t="s">
        <v>59</v>
      </c>
      <c r="G17" s="2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7" t="s">
        <v>47</v>
      </c>
      <c r="B18" s="17" t="s">
        <v>638</v>
      </c>
      <c r="C18" s="18">
        <v>0.30555555555555552</v>
      </c>
      <c r="D18" s="17" t="s">
        <v>49</v>
      </c>
      <c r="E18" s="17" t="s">
        <v>79</v>
      </c>
      <c r="F18" s="17" t="s">
        <v>590</v>
      </c>
      <c r="G18" s="2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47</v>
      </c>
      <c r="B19" s="15" t="s">
        <v>638</v>
      </c>
      <c r="C19" s="16">
        <v>0.30555555555555552</v>
      </c>
      <c r="D19" s="15" t="s">
        <v>52</v>
      </c>
      <c r="E19" s="15" t="s">
        <v>60</v>
      </c>
      <c r="F19" s="15" t="s">
        <v>635</v>
      </c>
      <c r="G19" s="2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" t="s">
        <v>47</v>
      </c>
      <c r="B20" s="15" t="s">
        <v>638</v>
      </c>
      <c r="C20" s="16">
        <v>0.30555555555555552</v>
      </c>
      <c r="D20" s="15" t="s">
        <v>55</v>
      </c>
      <c r="E20" s="15" t="s">
        <v>60</v>
      </c>
      <c r="F20" s="15" t="s">
        <v>639</v>
      </c>
      <c r="G20" s="28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47</v>
      </c>
      <c r="B21" s="19" t="s">
        <v>640</v>
      </c>
      <c r="C21" s="20">
        <v>0.5</v>
      </c>
      <c r="D21" s="19" t="s">
        <v>49</v>
      </c>
      <c r="E21" s="19" t="s">
        <v>92</v>
      </c>
      <c r="F21" s="19" t="s">
        <v>590</v>
      </c>
      <c r="G21" s="282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47</v>
      </c>
      <c r="B22" s="15" t="s">
        <v>640</v>
      </c>
      <c r="C22" s="16">
        <v>0.5</v>
      </c>
      <c r="D22" s="15" t="s">
        <v>52</v>
      </c>
      <c r="E22" s="15" t="s">
        <v>53</v>
      </c>
      <c r="F22" s="15" t="s">
        <v>635</v>
      </c>
      <c r="G22" s="282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47</v>
      </c>
      <c r="B23" s="15" t="s">
        <v>640</v>
      </c>
      <c r="C23" s="16">
        <v>0.5</v>
      </c>
      <c r="D23" s="15" t="s">
        <v>55</v>
      </c>
      <c r="E23" s="15" t="s">
        <v>53</v>
      </c>
      <c r="F23" s="15" t="s">
        <v>639</v>
      </c>
      <c r="G23" s="282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47</v>
      </c>
      <c r="B24" s="19" t="s">
        <v>641</v>
      </c>
      <c r="C24" s="20">
        <v>0.42708333333333331</v>
      </c>
      <c r="D24" s="19" t="s">
        <v>49</v>
      </c>
      <c r="E24" s="19" t="s">
        <v>92</v>
      </c>
      <c r="F24" s="19" t="s">
        <v>590</v>
      </c>
      <c r="G24" s="282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47</v>
      </c>
      <c r="B25" s="15" t="s">
        <v>641</v>
      </c>
      <c r="C25" s="16">
        <v>0.42708333333333331</v>
      </c>
      <c r="D25" s="15" t="s">
        <v>52</v>
      </c>
      <c r="E25" s="15" t="s">
        <v>53</v>
      </c>
      <c r="F25" s="15" t="s">
        <v>635</v>
      </c>
      <c r="G25" s="2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47</v>
      </c>
      <c r="B26" s="15" t="s">
        <v>641</v>
      </c>
      <c r="C26" s="16">
        <v>0.42708333333333331</v>
      </c>
      <c r="D26" s="15" t="s">
        <v>55</v>
      </c>
      <c r="E26" s="15" t="s">
        <v>53</v>
      </c>
      <c r="F26" s="15" t="s">
        <v>639</v>
      </c>
      <c r="G26" s="28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47</v>
      </c>
      <c r="B27" s="19" t="s">
        <v>642</v>
      </c>
      <c r="C27" s="20">
        <v>0.375</v>
      </c>
      <c r="D27" s="19" t="s">
        <v>49</v>
      </c>
      <c r="E27" s="19" t="s">
        <v>262</v>
      </c>
      <c r="F27" s="19" t="s">
        <v>590</v>
      </c>
      <c r="G27" s="282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47</v>
      </c>
      <c r="B28" s="15" t="s">
        <v>642</v>
      </c>
      <c r="C28" s="16">
        <v>0.375</v>
      </c>
      <c r="D28" s="15" t="s">
        <v>52</v>
      </c>
      <c r="E28" s="15" t="s">
        <v>111</v>
      </c>
      <c r="F28" s="15" t="s">
        <v>635</v>
      </c>
      <c r="G28" s="282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47</v>
      </c>
      <c r="B29" s="15" t="s">
        <v>642</v>
      </c>
      <c r="C29" s="16">
        <v>0.375</v>
      </c>
      <c r="D29" s="15" t="s">
        <v>55</v>
      </c>
      <c r="E29" s="15" t="s">
        <v>111</v>
      </c>
      <c r="F29" s="15" t="s">
        <v>639</v>
      </c>
      <c r="G29" s="282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47</v>
      </c>
      <c r="B30" s="19" t="s">
        <v>643</v>
      </c>
      <c r="C30" s="20">
        <v>0.56597222222222221</v>
      </c>
      <c r="D30" s="19" t="s">
        <v>49</v>
      </c>
      <c r="E30" s="19" t="s">
        <v>262</v>
      </c>
      <c r="F30" s="19" t="s">
        <v>256</v>
      </c>
      <c r="G30" s="282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47</v>
      </c>
      <c r="B31" s="15" t="s">
        <v>643</v>
      </c>
      <c r="C31" s="16">
        <v>0.56597222222222221</v>
      </c>
      <c r="D31" s="15" t="s">
        <v>52</v>
      </c>
      <c r="E31" s="15" t="s">
        <v>111</v>
      </c>
      <c r="F31" s="15" t="s">
        <v>257</v>
      </c>
      <c r="G31" s="28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47</v>
      </c>
      <c r="B32" s="15" t="s">
        <v>643</v>
      </c>
      <c r="C32" s="16">
        <v>0.56597222222222221</v>
      </c>
      <c r="D32" s="15" t="s">
        <v>55</v>
      </c>
      <c r="E32" s="15" t="s">
        <v>111</v>
      </c>
      <c r="F32" s="15" t="s">
        <v>29</v>
      </c>
      <c r="G32" s="28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47</v>
      </c>
      <c r="B33" s="19" t="s">
        <v>644</v>
      </c>
      <c r="C33" s="20">
        <v>0.82638888888888884</v>
      </c>
      <c r="D33" s="19" t="s">
        <v>49</v>
      </c>
      <c r="E33" s="19" t="s">
        <v>262</v>
      </c>
      <c r="F33" s="19" t="s">
        <v>372</v>
      </c>
      <c r="G33" s="2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47</v>
      </c>
      <c r="B34" s="15" t="s">
        <v>644</v>
      </c>
      <c r="C34" s="16">
        <v>0.82638888888888884</v>
      </c>
      <c r="D34" s="15" t="s">
        <v>52</v>
      </c>
      <c r="E34" s="15" t="s">
        <v>111</v>
      </c>
      <c r="F34" s="15" t="s">
        <v>373</v>
      </c>
      <c r="G34" s="2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47</v>
      </c>
      <c r="B35" s="15" t="s">
        <v>644</v>
      </c>
      <c r="C35" s="16">
        <v>0.82638888888888884</v>
      </c>
      <c r="D35" s="15" t="s">
        <v>55</v>
      </c>
      <c r="E35" s="15" t="s">
        <v>111</v>
      </c>
      <c r="F35" s="15" t="s">
        <v>374</v>
      </c>
      <c r="G35" s="28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47</v>
      </c>
      <c r="B36" s="19" t="s">
        <v>645</v>
      </c>
      <c r="C36" s="20">
        <v>0.6875</v>
      </c>
      <c r="D36" s="19" t="s">
        <v>49</v>
      </c>
      <c r="E36" s="19" t="s">
        <v>262</v>
      </c>
      <c r="F36" s="19" t="s">
        <v>372</v>
      </c>
      <c r="G36" s="28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5" t="s">
        <v>47</v>
      </c>
      <c r="B37" s="15" t="s">
        <v>645</v>
      </c>
      <c r="C37" s="16">
        <v>0.6875</v>
      </c>
      <c r="D37" s="15" t="s">
        <v>52</v>
      </c>
      <c r="E37" s="15" t="s">
        <v>111</v>
      </c>
      <c r="F37" s="15" t="s">
        <v>373</v>
      </c>
      <c r="G37" s="2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47</v>
      </c>
      <c r="B38" s="15" t="s">
        <v>645</v>
      </c>
      <c r="C38" s="16">
        <v>0.6875</v>
      </c>
      <c r="D38" s="15" t="s">
        <v>55</v>
      </c>
      <c r="E38" s="15" t="s">
        <v>111</v>
      </c>
      <c r="F38" s="15" t="s">
        <v>374</v>
      </c>
      <c r="G38" s="282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7" t="s">
        <v>272</v>
      </c>
      <c r="B39" s="17" t="s">
        <v>646</v>
      </c>
      <c r="C39" s="18">
        <v>0.87847222222222221</v>
      </c>
      <c r="D39" s="17" t="s">
        <v>78</v>
      </c>
      <c r="E39" s="17" t="s">
        <v>38</v>
      </c>
      <c r="F39" s="17" t="s">
        <v>647</v>
      </c>
      <c r="G39" s="282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7" t="s">
        <v>300</v>
      </c>
      <c r="B40" s="17" t="s">
        <v>648</v>
      </c>
      <c r="C40" s="18">
        <v>0.35416666666666669</v>
      </c>
      <c r="D40" s="17" t="s">
        <v>78</v>
      </c>
      <c r="E40" s="17" t="s">
        <v>38</v>
      </c>
      <c r="F40" s="17" t="s">
        <v>649</v>
      </c>
      <c r="G40" s="282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300</v>
      </c>
      <c r="B41" s="19" t="s">
        <v>650</v>
      </c>
      <c r="C41" s="20">
        <v>0.85763888888888884</v>
      </c>
      <c r="D41" s="19" t="s">
        <v>78</v>
      </c>
      <c r="E41" s="19" t="s">
        <v>72</v>
      </c>
      <c r="F41" s="19" t="s">
        <v>649</v>
      </c>
      <c r="G41" s="282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9" t="s">
        <v>76</v>
      </c>
      <c r="B42" s="199" t="s">
        <v>651</v>
      </c>
      <c r="C42" s="200">
        <v>0.61111111111111105</v>
      </c>
      <c r="D42" s="199" t="s">
        <v>78</v>
      </c>
      <c r="E42" s="199" t="s">
        <v>38</v>
      </c>
      <c r="F42" s="199" t="s">
        <v>652</v>
      </c>
      <c r="G42" s="282"/>
      <c r="H42" s="167" t="s">
        <v>653</v>
      </c>
      <c r="I42" s="185">
        <v>0.67859999999999998</v>
      </c>
      <c r="J42" s="169">
        <v>114</v>
      </c>
      <c r="K42" s="170">
        <v>45986</v>
      </c>
      <c r="L42" s="169">
        <v>31</v>
      </c>
      <c r="M42" s="169">
        <v>0</v>
      </c>
      <c r="N42" s="169">
        <v>4</v>
      </c>
      <c r="O42" s="171" t="s">
        <v>361</v>
      </c>
      <c r="P42" s="172">
        <v>0.61111111111111105</v>
      </c>
      <c r="Q42" s="169">
        <v>168</v>
      </c>
      <c r="R42" s="173" t="s">
        <v>654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7" t="s">
        <v>302</v>
      </c>
      <c r="B43" s="17" t="s">
        <v>655</v>
      </c>
      <c r="C43" s="18">
        <v>0.62152777777777779</v>
      </c>
      <c r="D43" s="17" t="s">
        <v>304</v>
      </c>
      <c r="E43" s="17" t="s">
        <v>109</v>
      </c>
      <c r="F43" s="17" t="s">
        <v>656</v>
      </c>
      <c r="G43" s="282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302</v>
      </c>
      <c r="B44" s="15" t="s">
        <v>655</v>
      </c>
      <c r="C44" s="16">
        <v>0.62152777777777779</v>
      </c>
      <c r="D44" s="15" t="s">
        <v>33</v>
      </c>
      <c r="E44" s="15" t="s">
        <v>111</v>
      </c>
      <c r="F44" s="15" t="s">
        <v>657</v>
      </c>
      <c r="G44" s="282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7" t="s">
        <v>35</v>
      </c>
      <c r="B45" s="17" t="s">
        <v>658</v>
      </c>
      <c r="C45" s="18">
        <v>0.54166666666666663</v>
      </c>
      <c r="D45" s="17" t="s">
        <v>37</v>
      </c>
      <c r="E45" s="17" t="s">
        <v>50</v>
      </c>
      <c r="F45" s="17" t="s">
        <v>659</v>
      </c>
      <c r="G45" s="282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35</v>
      </c>
      <c r="B46" s="19" t="s">
        <v>660</v>
      </c>
      <c r="C46" s="20">
        <v>0.16666666666666671</v>
      </c>
      <c r="D46" s="19" t="s">
        <v>37</v>
      </c>
      <c r="E46" s="19" t="s">
        <v>92</v>
      </c>
      <c r="F46" s="19" t="s">
        <v>661</v>
      </c>
      <c r="G46" s="282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35</v>
      </c>
      <c r="B47" s="19" t="s">
        <v>662</v>
      </c>
      <c r="C47" s="20">
        <v>0.91666666666666663</v>
      </c>
      <c r="D47" s="19" t="s">
        <v>37</v>
      </c>
      <c r="E47" s="19" t="s">
        <v>92</v>
      </c>
      <c r="F47" s="19" t="s">
        <v>663</v>
      </c>
      <c r="G47" s="282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7" t="s">
        <v>63</v>
      </c>
      <c r="B48" s="17" t="s">
        <v>664</v>
      </c>
      <c r="C48" s="18">
        <v>0.2986111111111111</v>
      </c>
      <c r="D48" s="17" t="s">
        <v>65</v>
      </c>
      <c r="E48" s="17" t="s">
        <v>50</v>
      </c>
      <c r="F48" s="17" t="s">
        <v>89</v>
      </c>
      <c r="G48" s="28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5" t="s">
        <v>63</v>
      </c>
      <c r="B49" s="15" t="s">
        <v>664</v>
      </c>
      <c r="C49" s="16">
        <v>0.2986111111111111</v>
      </c>
      <c r="D49" s="15" t="s">
        <v>67</v>
      </c>
      <c r="E49" s="15" t="s">
        <v>53</v>
      </c>
      <c r="F49" s="15" t="s">
        <v>631</v>
      </c>
      <c r="G49" s="28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63</v>
      </c>
      <c r="B50" s="19" t="s">
        <v>665</v>
      </c>
      <c r="C50" s="20">
        <v>0.68402777777777779</v>
      </c>
      <c r="D50" s="19" t="s">
        <v>65</v>
      </c>
      <c r="E50" s="19" t="s">
        <v>92</v>
      </c>
      <c r="F50" s="19" t="s">
        <v>666</v>
      </c>
      <c r="G50" s="28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5" t="s">
        <v>63</v>
      </c>
      <c r="B51" s="15" t="s">
        <v>665</v>
      </c>
      <c r="C51" s="16">
        <v>0.68402777777777779</v>
      </c>
      <c r="D51" s="15" t="s">
        <v>67</v>
      </c>
      <c r="E51" s="15" t="s">
        <v>53</v>
      </c>
      <c r="F51" s="15" t="s">
        <v>667</v>
      </c>
      <c r="G51" s="282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63</v>
      </c>
      <c r="B52" s="19" t="s">
        <v>668</v>
      </c>
      <c r="C52" s="20">
        <v>0.4826388888888889</v>
      </c>
      <c r="D52" s="19" t="s">
        <v>65</v>
      </c>
      <c r="E52" s="19" t="s">
        <v>41</v>
      </c>
      <c r="F52" s="19" t="s">
        <v>666</v>
      </c>
      <c r="G52" s="282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5" t="s">
        <v>63</v>
      </c>
      <c r="B53" s="15" t="s">
        <v>668</v>
      </c>
      <c r="C53" s="16">
        <v>0.4826388888888889</v>
      </c>
      <c r="D53" s="15" t="s">
        <v>67</v>
      </c>
      <c r="E53" s="15" t="s">
        <v>68</v>
      </c>
      <c r="F53" s="15" t="s">
        <v>667</v>
      </c>
      <c r="G53" s="2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63</v>
      </c>
      <c r="B54" s="19" t="s">
        <v>669</v>
      </c>
      <c r="C54" s="20">
        <v>0.5</v>
      </c>
      <c r="D54" s="19" t="s">
        <v>67</v>
      </c>
      <c r="E54" s="19" t="s">
        <v>58</v>
      </c>
      <c r="F54" s="19" t="s">
        <v>670</v>
      </c>
      <c r="G54" s="2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63</v>
      </c>
      <c r="B55" s="19" t="s">
        <v>671</v>
      </c>
      <c r="C55" s="20">
        <v>0.81597222222222221</v>
      </c>
      <c r="D55" s="19" t="s">
        <v>67</v>
      </c>
      <c r="E55" s="19" t="s">
        <v>58</v>
      </c>
      <c r="F55" s="19" t="s">
        <v>672</v>
      </c>
      <c r="G55" s="2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63</v>
      </c>
      <c r="B56" s="19" t="s">
        <v>673</v>
      </c>
      <c r="C56" s="20">
        <v>0.76041666666666663</v>
      </c>
      <c r="D56" s="19" t="s">
        <v>67</v>
      </c>
      <c r="E56" s="19" t="s">
        <v>58</v>
      </c>
      <c r="F56" s="19" t="s">
        <v>674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63</v>
      </c>
      <c r="B57" s="19" t="s">
        <v>675</v>
      </c>
      <c r="C57" s="20">
        <v>0.83680555555555547</v>
      </c>
      <c r="D57" s="19" t="s">
        <v>65</v>
      </c>
      <c r="E57" s="19" t="s">
        <v>41</v>
      </c>
      <c r="F57" s="19" t="s">
        <v>676</v>
      </c>
      <c r="G57" s="2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88" t="s">
        <v>63</v>
      </c>
      <c r="B58" s="188" t="s">
        <v>675</v>
      </c>
      <c r="C58" s="189">
        <v>0.83680555555555547</v>
      </c>
      <c r="D58" s="188" t="s">
        <v>67</v>
      </c>
      <c r="E58" s="188" t="s">
        <v>68</v>
      </c>
      <c r="F58" s="188" t="s">
        <v>677</v>
      </c>
      <c r="G58" s="283"/>
      <c r="H58" s="38"/>
      <c r="I58" s="39"/>
      <c r="J58" s="39"/>
      <c r="K58" s="39"/>
      <c r="L58" s="39"/>
      <c r="M58" s="39"/>
      <c r="N58" s="39"/>
      <c r="O58" s="40"/>
      <c r="P58" s="39"/>
      <c r="Q58" s="41"/>
      <c r="R58" s="42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4.4" customHeight="1" x14ac:dyDescent="0.3">
      <c r="A59" s="275"/>
      <c r="B59" s="276"/>
      <c r="C59" s="276"/>
      <c r="D59" s="276"/>
      <c r="E59" s="276"/>
      <c r="F59" s="276"/>
      <c r="G59" s="277"/>
      <c r="H59" s="278"/>
      <c r="I59" s="278"/>
      <c r="J59" s="278"/>
      <c r="K59" s="278"/>
      <c r="L59" s="278"/>
      <c r="M59" s="278"/>
      <c r="N59" s="278"/>
      <c r="O59" s="279"/>
      <c r="P59" s="278"/>
      <c r="Q59" s="277"/>
      <c r="R59" s="280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22.05" customHeight="1" x14ac:dyDescent="0.3">
      <c r="A60" s="289" t="s">
        <v>5</v>
      </c>
      <c r="B60" s="290"/>
      <c r="C60" s="290"/>
      <c r="D60" s="290"/>
      <c r="E60" s="290"/>
      <c r="F60" s="290"/>
      <c r="G60" s="5">
        <v>45989</v>
      </c>
      <c r="H60" s="286" t="s">
        <v>6</v>
      </c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24" customHeight="1" x14ac:dyDescent="0.3">
      <c r="A61" s="30" t="s">
        <v>7</v>
      </c>
      <c r="B61" s="30" t="s">
        <v>8</v>
      </c>
      <c r="C61" s="31" t="s">
        <v>9</v>
      </c>
      <c r="D61" s="30" t="s">
        <v>10</v>
      </c>
      <c r="E61" s="30" t="s">
        <v>11</v>
      </c>
      <c r="F61" s="30" t="s">
        <v>12</v>
      </c>
      <c r="G61" s="32" t="s">
        <v>13</v>
      </c>
      <c r="H61" s="30" t="s">
        <v>14</v>
      </c>
      <c r="I61" s="33" t="s">
        <v>15</v>
      </c>
      <c r="J61" s="34" t="s">
        <v>16</v>
      </c>
      <c r="K61" s="35" t="s">
        <v>17</v>
      </c>
      <c r="L61" s="34" t="s">
        <v>18</v>
      </c>
      <c r="M61" s="34" t="s">
        <v>19</v>
      </c>
      <c r="N61" s="34" t="s">
        <v>20</v>
      </c>
      <c r="O61" s="30" t="s">
        <v>21</v>
      </c>
      <c r="P61" s="31" t="s">
        <v>22</v>
      </c>
      <c r="Q61" s="34" t="s">
        <v>23</v>
      </c>
      <c r="R61" s="30" t="s">
        <v>24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8" t="s">
        <v>25</v>
      </c>
      <c r="B62" s="8" t="s">
        <v>634</v>
      </c>
      <c r="C62" s="9">
        <v>0.76041666666666663</v>
      </c>
      <c r="D62" s="8" t="s">
        <v>27</v>
      </c>
      <c r="E62" s="8" t="s">
        <v>50</v>
      </c>
      <c r="F62" s="8" t="s">
        <v>678</v>
      </c>
      <c r="G62" s="281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5" t="s">
        <v>25</v>
      </c>
      <c r="B63" s="15" t="s">
        <v>634</v>
      </c>
      <c r="C63" s="16">
        <v>0.76041666666666663</v>
      </c>
      <c r="D63" s="15" t="s">
        <v>30</v>
      </c>
      <c r="E63" s="15" t="s">
        <v>53</v>
      </c>
      <c r="F63" s="15" t="s">
        <v>263</v>
      </c>
      <c r="G63" s="282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5" t="s">
        <v>25</v>
      </c>
      <c r="B64" s="15" t="s">
        <v>634</v>
      </c>
      <c r="C64" s="16">
        <v>0.76041666666666663</v>
      </c>
      <c r="D64" s="15" t="s">
        <v>33</v>
      </c>
      <c r="E64" s="15" t="s">
        <v>53</v>
      </c>
      <c r="F64" s="15" t="s">
        <v>631</v>
      </c>
      <c r="G64" s="282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9" t="s">
        <v>25</v>
      </c>
      <c r="B65" s="19" t="s">
        <v>637</v>
      </c>
      <c r="C65" s="20">
        <v>0.81597222222222221</v>
      </c>
      <c r="D65" s="19" t="s">
        <v>27</v>
      </c>
      <c r="E65" s="19" t="s">
        <v>679</v>
      </c>
      <c r="F65" s="19" t="s">
        <v>678</v>
      </c>
      <c r="G65" s="282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5" t="s">
        <v>25</v>
      </c>
      <c r="B66" s="15" t="s">
        <v>637</v>
      </c>
      <c r="C66" s="16">
        <v>0.81597222222222221</v>
      </c>
      <c r="D66" s="15" t="s">
        <v>30</v>
      </c>
      <c r="E66" s="15" t="s">
        <v>680</v>
      </c>
      <c r="F66" s="15" t="s">
        <v>263</v>
      </c>
      <c r="G66" s="282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5" t="s">
        <v>25</v>
      </c>
      <c r="B67" s="15" t="s">
        <v>637</v>
      </c>
      <c r="C67" s="16">
        <v>0.81597222222222221</v>
      </c>
      <c r="D67" s="15" t="s">
        <v>33</v>
      </c>
      <c r="E67" s="15" t="s">
        <v>680</v>
      </c>
      <c r="F67" s="15" t="s">
        <v>631</v>
      </c>
      <c r="G67" s="282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25</v>
      </c>
      <c r="B68" s="19" t="s">
        <v>632</v>
      </c>
      <c r="C68" s="20">
        <v>0.5</v>
      </c>
      <c r="D68" s="19" t="s">
        <v>27</v>
      </c>
      <c r="E68" s="19" t="s">
        <v>262</v>
      </c>
      <c r="F68" s="19" t="s">
        <v>629</v>
      </c>
      <c r="G68" s="282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5" t="s">
        <v>25</v>
      </c>
      <c r="B69" s="15" t="s">
        <v>632</v>
      </c>
      <c r="C69" s="16">
        <v>0.5</v>
      </c>
      <c r="D69" s="15" t="s">
        <v>30</v>
      </c>
      <c r="E69" s="15" t="s">
        <v>111</v>
      </c>
      <c r="F69" s="15" t="s">
        <v>630</v>
      </c>
      <c r="G69" s="282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5" t="s">
        <v>25</v>
      </c>
      <c r="B70" s="15" t="s">
        <v>632</v>
      </c>
      <c r="C70" s="16">
        <v>0.5</v>
      </c>
      <c r="D70" s="15" t="s">
        <v>33</v>
      </c>
      <c r="E70" s="15" t="s">
        <v>111</v>
      </c>
      <c r="F70" s="15" t="s">
        <v>631</v>
      </c>
      <c r="G70" s="28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9" t="s">
        <v>25</v>
      </c>
      <c r="B71" s="19" t="s">
        <v>628</v>
      </c>
      <c r="C71" s="20">
        <v>0.44791666666666669</v>
      </c>
      <c r="D71" s="19" t="s">
        <v>27</v>
      </c>
      <c r="E71" s="19" t="s">
        <v>344</v>
      </c>
      <c r="F71" s="19" t="s">
        <v>681</v>
      </c>
      <c r="G71" s="28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5" t="s">
        <v>25</v>
      </c>
      <c r="B72" s="15" t="s">
        <v>628</v>
      </c>
      <c r="C72" s="16">
        <v>0.44791666666666669</v>
      </c>
      <c r="D72" s="15" t="s">
        <v>30</v>
      </c>
      <c r="E72" s="15" t="s">
        <v>85</v>
      </c>
      <c r="F72" s="15" t="s">
        <v>372</v>
      </c>
      <c r="G72" s="2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25</v>
      </c>
      <c r="B73" s="15" t="s">
        <v>628</v>
      </c>
      <c r="C73" s="16">
        <v>0.44791666666666669</v>
      </c>
      <c r="D73" s="15" t="s">
        <v>33</v>
      </c>
      <c r="E73" s="15" t="s">
        <v>85</v>
      </c>
      <c r="F73" s="15" t="s">
        <v>631</v>
      </c>
      <c r="G73" s="28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7" t="s">
        <v>47</v>
      </c>
      <c r="B74" s="17" t="s">
        <v>638</v>
      </c>
      <c r="C74" s="18">
        <v>0.30555555555555552</v>
      </c>
      <c r="D74" s="17" t="s">
        <v>49</v>
      </c>
      <c r="E74" s="17" t="s">
        <v>109</v>
      </c>
      <c r="F74" s="17" t="s">
        <v>590</v>
      </c>
      <c r="G74" s="28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5" t="s">
        <v>47</v>
      </c>
      <c r="B75" s="15" t="s">
        <v>638</v>
      </c>
      <c r="C75" s="16">
        <v>0.30555555555555552</v>
      </c>
      <c r="D75" s="15" t="s">
        <v>52</v>
      </c>
      <c r="E75" s="15" t="s">
        <v>111</v>
      </c>
      <c r="F75" s="15" t="s">
        <v>635</v>
      </c>
      <c r="G75" s="28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5" t="s">
        <v>47</v>
      </c>
      <c r="B76" s="15" t="s">
        <v>638</v>
      </c>
      <c r="C76" s="16">
        <v>0.30555555555555552</v>
      </c>
      <c r="D76" s="15" t="s">
        <v>55</v>
      </c>
      <c r="E76" s="15" t="s">
        <v>111</v>
      </c>
      <c r="F76" s="15" t="s">
        <v>639</v>
      </c>
      <c r="G76" s="28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9" t="s">
        <v>47</v>
      </c>
      <c r="B77" s="19" t="s">
        <v>644</v>
      </c>
      <c r="C77" s="20">
        <v>0.82638888888888884</v>
      </c>
      <c r="D77" s="19" t="s">
        <v>49</v>
      </c>
      <c r="E77" s="19" t="s">
        <v>262</v>
      </c>
      <c r="F77" s="19" t="s">
        <v>590</v>
      </c>
      <c r="G77" s="282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5" t="s">
        <v>47</v>
      </c>
      <c r="B78" s="15" t="s">
        <v>644</v>
      </c>
      <c r="C78" s="16">
        <v>0.82638888888888884</v>
      </c>
      <c r="D78" s="15" t="s">
        <v>52</v>
      </c>
      <c r="E78" s="15" t="s">
        <v>111</v>
      </c>
      <c r="F78" s="15" t="s">
        <v>635</v>
      </c>
      <c r="G78" s="282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47</v>
      </c>
      <c r="B79" s="15" t="s">
        <v>644</v>
      </c>
      <c r="C79" s="16">
        <v>0.82638888888888884</v>
      </c>
      <c r="D79" s="15" t="s">
        <v>55</v>
      </c>
      <c r="E79" s="15" t="s">
        <v>111</v>
      </c>
      <c r="F79" s="15" t="s">
        <v>639</v>
      </c>
      <c r="G79" s="282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47</v>
      </c>
      <c r="B80" s="19" t="s">
        <v>640</v>
      </c>
      <c r="C80" s="20">
        <v>0.5</v>
      </c>
      <c r="D80" s="19" t="s">
        <v>49</v>
      </c>
      <c r="E80" s="19" t="s">
        <v>262</v>
      </c>
      <c r="F80" s="19" t="s">
        <v>590</v>
      </c>
      <c r="G80" s="282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5" t="s">
        <v>47</v>
      </c>
      <c r="B81" s="15" t="s">
        <v>640</v>
      </c>
      <c r="C81" s="16">
        <v>0.5</v>
      </c>
      <c r="D81" s="15" t="s">
        <v>52</v>
      </c>
      <c r="E81" s="15" t="s">
        <v>111</v>
      </c>
      <c r="F81" s="15" t="s">
        <v>635</v>
      </c>
      <c r="G81" s="282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5" t="s">
        <v>47</v>
      </c>
      <c r="B82" s="15" t="s">
        <v>640</v>
      </c>
      <c r="C82" s="16">
        <v>0.5</v>
      </c>
      <c r="D82" s="15" t="s">
        <v>55</v>
      </c>
      <c r="E82" s="15" t="s">
        <v>111</v>
      </c>
      <c r="F82" s="15" t="s">
        <v>639</v>
      </c>
      <c r="G82" s="282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9" t="s">
        <v>47</v>
      </c>
      <c r="B83" s="19" t="s">
        <v>641</v>
      </c>
      <c r="C83" s="20">
        <v>0.42708333333333331</v>
      </c>
      <c r="D83" s="19" t="s">
        <v>49</v>
      </c>
      <c r="E83" s="19" t="s">
        <v>262</v>
      </c>
      <c r="F83" s="19" t="s">
        <v>590</v>
      </c>
      <c r="G83" s="282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5" t="s">
        <v>47</v>
      </c>
      <c r="B84" s="15" t="s">
        <v>641</v>
      </c>
      <c r="C84" s="16">
        <v>0.42708333333333331</v>
      </c>
      <c r="D84" s="15" t="s">
        <v>52</v>
      </c>
      <c r="E84" s="15" t="s">
        <v>111</v>
      </c>
      <c r="F84" s="15" t="s">
        <v>635</v>
      </c>
      <c r="G84" s="282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5" t="s">
        <v>47</v>
      </c>
      <c r="B85" s="15" t="s">
        <v>641</v>
      </c>
      <c r="C85" s="16">
        <v>0.42708333333333331</v>
      </c>
      <c r="D85" s="15" t="s">
        <v>55</v>
      </c>
      <c r="E85" s="15" t="s">
        <v>111</v>
      </c>
      <c r="F85" s="15" t="s">
        <v>639</v>
      </c>
      <c r="G85" s="282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47</v>
      </c>
      <c r="B86" s="19" t="s">
        <v>642</v>
      </c>
      <c r="C86" s="20">
        <v>0.375</v>
      </c>
      <c r="D86" s="19" t="s">
        <v>49</v>
      </c>
      <c r="E86" s="19" t="s">
        <v>262</v>
      </c>
      <c r="F86" s="19" t="s">
        <v>590</v>
      </c>
      <c r="G86" s="282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5" t="s">
        <v>47</v>
      </c>
      <c r="B87" s="15" t="s">
        <v>642</v>
      </c>
      <c r="C87" s="16">
        <v>0.375</v>
      </c>
      <c r="D87" s="15" t="s">
        <v>52</v>
      </c>
      <c r="E87" s="15" t="s">
        <v>111</v>
      </c>
      <c r="F87" s="15" t="s">
        <v>635</v>
      </c>
      <c r="G87" s="282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5" t="s">
        <v>47</v>
      </c>
      <c r="B88" s="15" t="s">
        <v>642</v>
      </c>
      <c r="C88" s="16">
        <v>0.375</v>
      </c>
      <c r="D88" s="15" t="s">
        <v>55</v>
      </c>
      <c r="E88" s="15" t="s">
        <v>111</v>
      </c>
      <c r="F88" s="15" t="s">
        <v>639</v>
      </c>
      <c r="G88" s="282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9" t="s">
        <v>47</v>
      </c>
      <c r="B89" s="19" t="s">
        <v>643</v>
      </c>
      <c r="C89" s="20">
        <v>0.56597222222222221</v>
      </c>
      <c r="D89" s="19" t="s">
        <v>49</v>
      </c>
      <c r="E89" s="19" t="s">
        <v>262</v>
      </c>
      <c r="F89" s="19" t="s">
        <v>590</v>
      </c>
      <c r="G89" s="282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5" t="s">
        <v>47</v>
      </c>
      <c r="B90" s="15" t="s">
        <v>643</v>
      </c>
      <c r="C90" s="16">
        <v>0.56597222222222221</v>
      </c>
      <c r="D90" s="15" t="s">
        <v>52</v>
      </c>
      <c r="E90" s="15" t="s">
        <v>111</v>
      </c>
      <c r="F90" s="15" t="s">
        <v>635</v>
      </c>
      <c r="G90" s="282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5" t="s">
        <v>47</v>
      </c>
      <c r="B91" s="15" t="s">
        <v>643</v>
      </c>
      <c r="C91" s="16">
        <v>0.56597222222222221</v>
      </c>
      <c r="D91" s="15" t="s">
        <v>55</v>
      </c>
      <c r="E91" s="15" t="s">
        <v>111</v>
      </c>
      <c r="F91" s="15" t="s">
        <v>639</v>
      </c>
      <c r="G91" s="282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9" t="s">
        <v>47</v>
      </c>
      <c r="B92" s="19" t="s">
        <v>645</v>
      </c>
      <c r="C92" s="20">
        <v>0.6875</v>
      </c>
      <c r="D92" s="19" t="s">
        <v>49</v>
      </c>
      <c r="E92" s="19" t="s">
        <v>262</v>
      </c>
      <c r="F92" s="19" t="s">
        <v>256</v>
      </c>
      <c r="G92" s="282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47</v>
      </c>
      <c r="B93" s="15" t="s">
        <v>645</v>
      </c>
      <c r="C93" s="16">
        <v>0.6875</v>
      </c>
      <c r="D93" s="15" t="s">
        <v>52</v>
      </c>
      <c r="E93" s="15" t="s">
        <v>111</v>
      </c>
      <c r="F93" s="15" t="s">
        <v>257</v>
      </c>
      <c r="G93" s="282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5" t="s">
        <v>47</v>
      </c>
      <c r="B94" s="15" t="s">
        <v>645</v>
      </c>
      <c r="C94" s="16">
        <v>0.6875</v>
      </c>
      <c r="D94" s="15" t="s">
        <v>55</v>
      </c>
      <c r="E94" s="15" t="s">
        <v>111</v>
      </c>
      <c r="F94" s="15" t="s">
        <v>29</v>
      </c>
      <c r="G94" s="282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7" t="s">
        <v>272</v>
      </c>
      <c r="B95" s="17" t="s">
        <v>682</v>
      </c>
      <c r="C95" s="18">
        <v>0.27777777777777779</v>
      </c>
      <c r="D95" s="17" t="s">
        <v>78</v>
      </c>
      <c r="E95" s="17" t="s">
        <v>38</v>
      </c>
      <c r="F95" s="17" t="s">
        <v>647</v>
      </c>
      <c r="G95" s="282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28" t="s">
        <v>76</v>
      </c>
      <c r="B96" s="128" t="s">
        <v>651</v>
      </c>
      <c r="C96" s="129">
        <v>0.60416666666666663</v>
      </c>
      <c r="D96" s="128" t="s">
        <v>78</v>
      </c>
      <c r="E96" s="128" t="s">
        <v>38</v>
      </c>
      <c r="F96" s="128" t="s">
        <v>683</v>
      </c>
      <c r="G96" s="282"/>
      <c r="H96" s="130" t="s">
        <v>653</v>
      </c>
      <c r="I96" s="226">
        <v>0.64880000000000004</v>
      </c>
      <c r="J96" s="132">
        <v>109</v>
      </c>
      <c r="K96" s="133">
        <v>45986</v>
      </c>
      <c r="L96" s="132">
        <v>45</v>
      </c>
      <c r="M96" s="132">
        <v>0</v>
      </c>
      <c r="N96" s="132">
        <v>5</v>
      </c>
      <c r="O96" s="134" t="s">
        <v>158</v>
      </c>
      <c r="P96" s="135">
        <v>0.60416666666666663</v>
      </c>
      <c r="Q96" s="132">
        <v>168</v>
      </c>
      <c r="R96" s="136" t="s">
        <v>684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74" t="s">
        <v>76</v>
      </c>
      <c r="B97" s="174" t="s">
        <v>685</v>
      </c>
      <c r="C97" s="175">
        <v>0.92361111111111116</v>
      </c>
      <c r="D97" s="174" t="s">
        <v>78</v>
      </c>
      <c r="E97" s="174" t="s">
        <v>41</v>
      </c>
      <c r="F97" s="174" t="s">
        <v>683</v>
      </c>
      <c r="G97" s="282"/>
      <c r="H97" s="55" t="s">
        <v>686</v>
      </c>
      <c r="I97" s="164">
        <v>0.5</v>
      </c>
      <c r="J97" s="57">
        <v>84</v>
      </c>
      <c r="K97" s="58">
        <v>45987</v>
      </c>
      <c r="L97" s="57">
        <v>47</v>
      </c>
      <c r="M97" s="57">
        <v>1</v>
      </c>
      <c r="N97" s="57">
        <v>5</v>
      </c>
      <c r="O97" s="59" t="s">
        <v>158</v>
      </c>
      <c r="P97" s="60">
        <v>0.92361111111111116</v>
      </c>
      <c r="Q97" s="57">
        <v>168</v>
      </c>
      <c r="R97" s="61" t="s">
        <v>687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7" t="s">
        <v>300</v>
      </c>
      <c r="B98" s="17" t="s">
        <v>648</v>
      </c>
      <c r="C98" s="18">
        <v>0.39583333333333331</v>
      </c>
      <c r="D98" s="17" t="s">
        <v>78</v>
      </c>
      <c r="E98" s="17" t="s">
        <v>388</v>
      </c>
      <c r="F98" s="17" t="s">
        <v>649</v>
      </c>
      <c r="G98" s="282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7" t="s">
        <v>35</v>
      </c>
      <c r="B99" s="17" t="s">
        <v>662</v>
      </c>
      <c r="C99" s="18">
        <v>0.91666666666666663</v>
      </c>
      <c r="D99" s="17" t="s">
        <v>308</v>
      </c>
      <c r="E99" s="17" t="s">
        <v>121</v>
      </c>
      <c r="F99" s="17" t="s">
        <v>688</v>
      </c>
      <c r="G99" s="282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9" t="s">
        <v>35</v>
      </c>
      <c r="B100" s="19" t="s">
        <v>658</v>
      </c>
      <c r="C100" s="20">
        <v>0.54166666666666663</v>
      </c>
      <c r="D100" s="19" t="s">
        <v>37</v>
      </c>
      <c r="E100" s="19" t="s">
        <v>103</v>
      </c>
      <c r="F100" s="19" t="s">
        <v>689</v>
      </c>
      <c r="G100" s="282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9" t="s">
        <v>35</v>
      </c>
      <c r="B101" s="19" t="s">
        <v>660</v>
      </c>
      <c r="C101" s="20">
        <v>0.16666666666666671</v>
      </c>
      <c r="D101" s="19" t="s">
        <v>37</v>
      </c>
      <c r="E101" s="19" t="s">
        <v>350</v>
      </c>
      <c r="F101" s="19" t="s">
        <v>659</v>
      </c>
      <c r="G101" s="282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7" t="s">
        <v>63</v>
      </c>
      <c r="B102" s="17" t="s">
        <v>664</v>
      </c>
      <c r="C102" s="18">
        <v>0.2986111111111111</v>
      </c>
      <c r="D102" s="17" t="s">
        <v>65</v>
      </c>
      <c r="E102" s="17" t="s">
        <v>38</v>
      </c>
      <c r="F102" s="17" t="s">
        <v>536</v>
      </c>
      <c r="G102" s="282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63</v>
      </c>
      <c r="B103" s="15" t="s">
        <v>664</v>
      </c>
      <c r="C103" s="16">
        <v>0.2986111111111111</v>
      </c>
      <c r="D103" s="15" t="s">
        <v>67</v>
      </c>
      <c r="E103" s="15" t="s">
        <v>68</v>
      </c>
      <c r="F103" s="15" t="s">
        <v>690</v>
      </c>
      <c r="G103" s="282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9" t="s">
        <v>63</v>
      </c>
      <c r="B104" s="19" t="s">
        <v>675</v>
      </c>
      <c r="C104" s="20">
        <v>0.83680555555555547</v>
      </c>
      <c r="D104" s="19" t="s">
        <v>65</v>
      </c>
      <c r="E104" s="19" t="s">
        <v>41</v>
      </c>
      <c r="F104" s="19" t="s">
        <v>536</v>
      </c>
      <c r="G104" s="282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5" t="s">
        <v>63</v>
      </c>
      <c r="B105" s="15" t="s">
        <v>675</v>
      </c>
      <c r="C105" s="16">
        <v>0.83680555555555547</v>
      </c>
      <c r="D105" s="15" t="s">
        <v>67</v>
      </c>
      <c r="E105" s="15" t="s">
        <v>68</v>
      </c>
      <c r="F105" s="15" t="s">
        <v>690</v>
      </c>
      <c r="G105" s="282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9" t="s">
        <v>63</v>
      </c>
      <c r="B106" s="19" t="s">
        <v>665</v>
      </c>
      <c r="C106" s="20">
        <v>0.68402777777777779</v>
      </c>
      <c r="D106" s="19" t="s">
        <v>65</v>
      </c>
      <c r="E106" s="19" t="s">
        <v>41</v>
      </c>
      <c r="F106" s="19" t="s">
        <v>691</v>
      </c>
      <c r="G106" s="282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5" t="s">
        <v>63</v>
      </c>
      <c r="B107" s="15" t="s">
        <v>665</v>
      </c>
      <c r="C107" s="16">
        <v>0.68402777777777779</v>
      </c>
      <c r="D107" s="15" t="s">
        <v>67</v>
      </c>
      <c r="E107" s="15" t="s">
        <v>68</v>
      </c>
      <c r="F107" s="15" t="s">
        <v>692</v>
      </c>
      <c r="G107" s="282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9" t="s">
        <v>63</v>
      </c>
      <c r="B108" s="19" t="s">
        <v>673</v>
      </c>
      <c r="C108" s="20">
        <v>0.76041666666666663</v>
      </c>
      <c r="D108" s="19" t="s">
        <v>67</v>
      </c>
      <c r="E108" s="19" t="s">
        <v>58</v>
      </c>
      <c r="F108" s="19" t="s">
        <v>670</v>
      </c>
      <c r="G108" s="282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9" t="s">
        <v>63</v>
      </c>
      <c r="B109" s="19" t="s">
        <v>669</v>
      </c>
      <c r="C109" s="20">
        <v>0.5</v>
      </c>
      <c r="D109" s="19" t="s">
        <v>67</v>
      </c>
      <c r="E109" s="19" t="s">
        <v>58</v>
      </c>
      <c r="F109" s="19" t="s">
        <v>670</v>
      </c>
      <c r="G109" s="282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9" t="s">
        <v>63</v>
      </c>
      <c r="B110" s="19" t="s">
        <v>671</v>
      </c>
      <c r="C110" s="20">
        <v>0.81597222222222221</v>
      </c>
      <c r="D110" s="19" t="s">
        <v>67</v>
      </c>
      <c r="E110" s="19" t="s">
        <v>58</v>
      </c>
      <c r="F110" s="19" t="s">
        <v>670</v>
      </c>
      <c r="G110" s="282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" t="s">
        <v>63</v>
      </c>
      <c r="B111" s="19" t="s">
        <v>668</v>
      </c>
      <c r="C111" s="20">
        <v>0.4826388888888889</v>
      </c>
      <c r="D111" s="19" t="s">
        <v>65</v>
      </c>
      <c r="E111" s="19" t="s">
        <v>41</v>
      </c>
      <c r="F111" s="19" t="s">
        <v>693</v>
      </c>
      <c r="G111" s="282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88" t="s">
        <v>63</v>
      </c>
      <c r="B112" s="188" t="s">
        <v>668</v>
      </c>
      <c r="C112" s="189">
        <v>0.4826388888888889</v>
      </c>
      <c r="D112" s="188" t="s">
        <v>67</v>
      </c>
      <c r="E112" s="188" t="s">
        <v>68</v>
      </c>
      <c r="F112" s="188" t="s">
        <v>694</v>
      </c>
      <c r="G112" s="283"/>
      <c r="H112" s="38"/>
      <c r="I112" s="39"/>
      <c r="J112" s="39"/>
      <c r="K112" s="39"/>
      <c r="L112" s="39"/>
      <c r="M112" s="39"/>
      <c r="N112" s="39"/>
      <c r="O112" s="40"/>
      <c r="P112" s="39"/>
      <c r="Q112" s="41"/>
      <c r="R112" s="42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4.4" customHeight="1" x14ac:dyDescent="0.3">
      <c r="A113" s="288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80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22.05" customHeight="1" x14ac:dyDescent="0.3">
      <c r="A114" s="289" t="s">
        <v>5</v>
      </c>
      <c r="B114" s="290"/>
      <c r="C114" s="290"/>
      <c r="D114" s="290"/>
      <c r="E114" s="290"/>
      <c r="F114" s="290"/>
      <c r="G114" s="5">
        <v>45990</v>
      </c>
      <c r="H114" s="286" t="s">
        <v>6</v>
      </c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24" customHeight="1" x14ac:dyDescent="0.3">
      <c r="A115" s="30" t="s">
        <v>7</v>
      </c>
      <c r="B115" s="30" t="s">
        <v>8</v>
      </c>
      <c r="C115" s="31" t="s">
        <v>9</v>
      </c>
      <c r="D115" s="30" t="s">
        <v>10</v>
      </c>
      <c r="E115" s="30" t="s">
        <v>11</v>
      </c>
      <c r="F115" s="30" t="s">
        <v>12</v>
      </c>
      <c r="G115" s="32" t="s">
        <v>13</v>
      </c>
      <c r="H115" s="30" t="s">
        <v>14</v>
      </c>
      <c r="I115" s="33" t="s">
        <v>15</v>
      </c>
      <c r="J115" s="34" t="s">
        <v>16</v>
      </c>
      <c r="K115" s="35" t="s">
        <v>17</v>
      </c>
      <c r="L115" s="34" t="s">
        <v>18</v>
      </c>
      <c r="M115" s="34" t="s">
        <v>19</v>
      </c>
      <c r="N115" s="34" t="s">
        <v>20</v>
      </c>
      <c r="O115" s="30" t="s">
        <v>21</v>
      </c>
      <c r="P115" s="31" t="s">
        <v>22</v>
      </c>
      <c r="Q115" s="34" t="s">
        <v>23</v>
      </c>
      <c r="R115" s="30" t="s">
        <v>24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8" t="s">
        <v>25</v>
      </c>
      <c r="B116" s="8" t="s">
        <v>628</v>
      </c>
      <c r="C116" s="9">
        <v>0.44791666666666669</v>
      </c>
      <c r="D116" s="8" t="s">
        <v>27</v>
      </c>
      <c r="E116" s="8" t="s">
        <v>695</v>
      </c>
      <c r="F116" s="8" t="s">
        <v>678</v>
      </c>
      <c r="G116" s="281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5" t="s">
        <v>25</v>
      </c>
      <c r="B117" s="15" t="s">
        <v>628</v>
      </c>
      <c r="C117" s="16">
        <v>0.44791666666666669</v>
      </c>
      <c r="D117" s="15" t="s">
        <v>30</v>
      </c>
      <c r="E117" s="15" t="s">
        <v>696</v>
      </c>
      <c r="F117" s="15" t="s">
        <v>263</v>
      </c>
      <c r="G117" s="282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5" t="s">
        <v>25</v>
      </c>
      <c r="B118" s="15" t="s">
        <v>628</v>
      </c>
      <c r="C118" s="16">
        <v>0.44791666666666669</v>
      </c>
      <c r="D118" s="15" t="s">
        <v>33</v>
      </c>
      <c r="E118" s="15" t="s">
        <v>696</v>
      </c>
      <c r="F118" s="15" t="s">
        <v>631</v>
      </c>
      <c r="G118" s="282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9" t="s">
        <v>25</v>
      </c>
      <c r="B119" s="19" t="s">
        <v>632</v>
      </c>
      <c r="C119" s="20">
        <v>0.5</v>
      </c>
      <c r="D119" s="19" t="s">
        <v>27</v>
      </c>
      <c r="E119" s="19" t="s">
        <v>345</v>
      </c>
      <c r="F119" s="19" t="s">
        <v>678</v>
      </c>
      <c r="G119" s="282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5" t="s">
        <v>25</v>
      </c>
      <c r="B120" s="15" t="s">
        <v>632</v>
      </c>
      <c r="C120" s="16">
        <v>0.5</v>
      </c>
      <c r="D120" s="15" t="s">
        <v>30</v>
      </c>
      <c r="E120" s="15" t="s">
        <v>347</v>
      </c>
      <c r="F120" s="15" t="s">
        <v>263</v>
      </c>
      <c r="G120" s="282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5" t="s">
        <v>25</v>
      </c>
      <c r="B121" s="15" t="s">
        <v>632</v>
      </c>
      <c r="C121" s="16">
        <v>0.5</v>
      </c>
      <c r="D121" s="15" t="s">
        <v>33</v>
      </c>
      <c r="E121" s="15" t="s">
        <v>347</v>
      </c>
      <c r="F121" s="15" t="s">
        <v>631</v>
      </c>
      <c r="G121" s="282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19" t="s">
        <v>25</v>
      </c>
      <c r="B122" s="19" t="s">
        <v>634</v>
      </c>
      <c r="C122" s="20">
        <v>0.76041666666666663</v>
      </c>
      <c r="D122" s="19" t="s">
        <v>27</v>
      </c>
      <c r="E122" s="19" t="s">
        <v>697</v>
      </c>
      <c r="F122" s="19" t="s">
        <v>678</v>
      </c>
      <c r="G122" s="282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5" customHeight="1" x14ac:dyDescent="0.3">
      <c r="A123" s="15" t="s">
        <v>25</v>
      </c>
      <c r="B123" s="15" t="s">
        <v>634</v>
      </c>
      <c r="C123" s="16">
        <v>0.76041666666666663</v>
      </c>
      <c r="D123" s="15" t="s">
        <v>30</v>
      </c>
      <c r="E123" s="15" t="s">
        <v>698</v>
      </c>
      <c r="F123" s="15" t="s">
        <v>263</v>
      </c>
      <c r="G123" s="282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15" t="s">
        <v>25</v>
      </c>
      <c r="B124" s="15" t="s">
        <v>634</v>
      </c>
      <c r="C124" s="16">
        <v>0.76041666666666663</v>
      </c>
      <c r="D124" s="15" t="s">
        <v>33</v>
      </c>
      <c r="E124" s="15" t="s">
        <v>698</v>
      </c>
      <c r="F124" s="15" t="s">
        <v>631</v>
      </c>
      <c r="G124" s="282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9" t="s">
        <v>25</v>
      </c>
      <c r="B125" s="19" t="s">
        <v>637</v>
      </c>
      <c r="C125" s="20">
        <v>0.81597222222222221</v>
      </c>
      <c r="D125" s="19" t="s">
        <v>27</v>
      </c>
      <c r="E125" s="19" t="s">
        <v>699</v>
      </c>
      <c r="F125" s="19" t="s">
        <v>678</v>
      </c>
      <c r="G125" s="282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5" t="s">
        <v>25</v>
      </c>
      <c r="B126" s="15" t="s">
        <v>637</v>
      </c>
      <c r="C126" s="16">
        <v>0.81597222222222221</v>
      </c>
      <c r="D126" s="15" t="s">
        <v>30</v>
      </c>
      <c r="E126" s="15" t="s">
        <v>700</v>
      </c>
      <c r="F126" s="15" t="s">
        <v>263</v>
      </c>
      <c r="G126" s="282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5" t="s">
        <v>25</v>
      </c>
      <c r="B127" s="15" t="s">
        <v>637</v>
      </c>
      <c r="C127" s="16">
        <v>0.81597222222222221</v>
      </c>
      <c r="D127" s="15" t="s">
        <v>33</v>
      </c>
      <c r="E127" s="15" t="s">
        <v>700</v>
      </c>
      <c r="F127" s="15" t="s">
        <v>631</v>
      </c>
      <c r="G127" s="282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7" t="s">
        <v>47</v>
      </c>
      <c r="B128" s="17" t="s">
        <v>641</v>
      </c>
      <c r="C128" s="18">
        <v>0.42708333333333331</v>
      </c>
      <c r="D128" s="17" t="s">
        <v>49</v>
      </c>
      <c r="E128" s="17" t="s">
        <v>50</v>
      </c>
      <c r="F128" s="17" t="s">
        <v>678</v>
      </c>
      <c r="G128" s="282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15" t="s">
        <v>47</v>
      </c>
      <c r="B129" s="15" t="s">
        <v>641</v>
      </c>
      <c r="C129" s="16">
        <v>0.42708333333333331</v>
      </c>
      <c r="D129" s="15" t="s">
        <v>52</v>
      </c>
      <c r="E129" s="15" t="s">
        <v>53</v>
      </c>
      <c r="F129" s="15" t="s">
        <v>241</v>
      </c>
      <c r="G129" s="282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5" customHeight="1" x14ac:dyDescent="0.3">
      <c r="A130" s="15" t="s">
        <v>47</v>
      </c>
      <c r="B130" s="15" t="s">
        <v>641</v>
      </c>
      <c r="C130" s="16">
        <v>0.42708333333333331</v>
      </c>
      <c r="D130" s="15" t="s">
        <v>55</v>
      </c>
      <c r="E130" s="15" t="s">
        <v>53</v>
      </c>
      <c r="F130" s="15" t="s">
        <v>269</v>
      </c>
      <c r="G130" s="282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9" t="s">
        <v>47</v>
      </c>
      <c r="B131" s="19" t="s">
        <v>638</v>
      </c>
      <c r="C131" s="20">
        <v>0.30555555555555552</v>
      </c>
      <c r="D131" s="19" t="s">
        <v>49</v>
      </c>
      <c r="E131" s="19" t="s">
        <v>262</v>
      </c>
      <c r="F131" s="19" t="s">
        <v>701</v>
      </c>
      <c r="G131" s="282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5" t="s">
        <v>47</v>
      </c>
      <c r="B132" s="15" t="s">
        <v>638</v>
      </c>
      <c r="C132" s="16">
        <v>0.30555555555555552</v>
      </c>
      <c r="D132" s="15" t="s">
        <v>52</v>
      </c>
      <c r="E132" s="15" t="s">
        <v>111</v>
      </c>
      <c r="F132" s="15" t="s">
        <v>252</v>
      </c>
      <c r="G132" s="282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15" t="s">
        <v>47</v>
      </c>
      <c r="B133" s="15" t="s">
        <v>638</v>
      </c>
      <c r="C133" s="16">
        <v>0.30555555555555552</v>
      </c>
      <c r="D133" s="15" t="s">
        <v>55</v>
      </c>
      <c r="E133" s="15" t="s">
        <v>111</v>
      </c>
      <c r="F133" s="15" t="s">
        <v>702</v>
      </c>
      <c r="G133" s="282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5" customHeight="1" x14ac:dyDescent="0.3">
      <c r="A134" s="19" t="s">
        <v>47</v>
      </c>
      <c r="B134" s="19" t="s">
        <v>644</v>
      </c>
      <c r="C134" s="20">
        <v>0.82638888888888884</v>
      </c>
      <c r="D134" s="19" t="s">
        <v>49</v>
      </c>
      <c r="E134" s="19" t="s">
        <v>262</v>
      </c>
      <c r="F134" s="19" t="s">
        <v>701</v>
      </c>
      <c r="G134" s="282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15" customHeight="1" x14ac:dyDescent="0.3">
      <c r="A135" s="15" t="s">
        <v>47</v>
      </c>
      <c r="B135" s="15" t="s">
        <v>644</v>
      </c>
      <c r="C135" s="16">
        <v>0.82638888888888884</v>
      </c>
      <c r="D135" s="15" t="s">
        <v>52</v>
      </c>
      <c r="E135" s="15" t="s">
        <v>111</v>
      </c>
      <c r="F135" s="15" t="s">
        <v>252</v>
      </c>
      <c r="G135" s="282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15" customHeight="1" x14ac:dyDescent="0.3">
      <c r="A136" s="15" t="s">
        <v>47</v>
      </c>
      <c r="B136" s="15" t="s">
        <v>644</v>
      </c>
      <c r="C136" s="16">
        <v>0.82638888888888884</v>
      </c>
      <c r="D136" s="15" t="s">
        <v>55</v>
      </c>
      <c r="E136" s="15" t="s">
        <v>111</v>
      </c>
      <c r="F136" s="15" t="s">
        <v>702</v>
      </c>
      <c r="G136" s="282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19" t="s">
        <v>47</v>
      </c>
      <c r="B137" s="19" t="s">
        <v>640</v>
      </c>
      <c r="C137" s="20">
        <v>0.5</v>
      </c>
      <c r="D137" s="19" t="s">
        <v>49</v>
      </c>
      <c r="E137" s="19" t="s">
        <v>350</v>
      </c>
      <c r="F137" s="19" t="s">
        <v>701</v>
      </c>
      <c r="G137" s="282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15" t="s">
        <v>47</v>
      </c>
      <c r="B138" s="15" t="s">
        <v>640</v>
      </c>
      <c r="C138" s="16">
        <v>0.5</v>
      </c>
      <c r="D138" s="15" t="s">
        <v>52</v>
      </c>
      <c r="E138" s="15" t="s">
        <v>351</v>
      </c>
      <c r="F138" s="15" t="s">
        <v>252</v>
      </c>
      <c r="G138" s="282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5" customHeight="1" x14ac:dyDescent="0.3">
      <c r="A139" s="15" t="s">
        <v>47</v>
      </c>
      <c r="B139" s="15" t="s">
        <v>640</v>
      </c>
      <c r="C139" s="16">
        <v>0.5</v>
      </c>
      <c r="D139" s="15" t="s">
        <v>55</v>
      </c>
      <c r="E139" s="15" t="s">
        <v>351</v>
      </c>
      <c r="F139" s="15" t="s">
        <v>702</v>
      </c>
      <c r="G139" s="282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ht="15" customHeight="1" x14ac:dyDescent="0.3">
      <c r="A140" s="19" t="s">
        <v>47</v>
      </c>
      <c r="B140" s="19" t="s">
        <v>645</v>
      </c>
      <c r="C140" s="20">
        <v>0.6875</v>
      </c>
      <c r="D140" s="19" t="s">
        <v>49</v>
      </c>
      <c r="E140" s="19" t="s">
        <v>262</v>
      </c>
      <c r="F140" s="19" t="s">
        <v>701</v>
      </c>
      <c r="G140" s="282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ht="15" customHeight="1" x14ac:dyDescent="0.3">
      <c r="A141" s="15" t="s">
        <v>47</v>
      </c>
      <c r="B141" s="15" t="s">
        <v>645</v>
      </c>
      <c r="C141" s="16">
        <v>0.6875</v>
      </c>
      <c r="D141" s="15" t="s">
        <v>52</v>
      </c>
      <c r="E141" s="15" t="s">
        <v>111</v>
      </c>
      <c r="F141" s="15" t="s">
        <v>252</v>
      </c>
      <c r="G141" s="282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  <row r="142" spans="1:92" ht="15" customHeight="1" x14ac:dyDescent="0.3">
      <c r="A142" s="15" t="s">
        <v>47</v>
      </c>
      <c r="B142" s="15" t="s">
        <v>645</v>
      </c>
      <c r="C142" s="16">
        <v>0.6875</v>
      </c>
      <c r="D142" s="15" t="s">
        <v>55</v>
      </c>
      <c r="E142" s="15" t="s">
        <v>111</v>
      </c>
      <c r="F142" s="15" t="s">
        <v>702</v>
      </c>
      <c r="G142" s="282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</row>
    <row r="143" spans="1:92" ht="15" customHeight="1" x14ac:dyDescent="0.3">
      <c r="A143" s="19" t="s">
        <v>47</v>
      </c>
      <c r="B143" s="19" t="s">
        <v>642</v>
      </c>
      <c r="C143" s="20">
        <v>0.375</v>
      </c>
      <c r="D143" s="19" t="s">
        <v>49</v>
      </c>
      <c r="E143" s="19" t="s">
        <v>262</v>
      </c>
      <c r="F143" s="19" t="s">
        <v>701</v>
      </c>
      <c r="G143" s="282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</row>
    <row r="144" spans="1:92" ht="15" customHeight="1" x14ac:dyDescent="0.3">
      <c r="A144" s="15" t="s">
        <v>47</v>
      </c>
      <c r="B144" s="15" t="s">
        <v>642</v>
      </c>
      <c r="C144" s="16">
        <v>0.375</v>
      </c>
      <c r="D144" s="15" t="s">
        <v>52</v>
      </c>
      <c r="E144" s="15" t="s">
        <v>111</v>
      </c>
      <c r="F144" s="15" t="s">
        <v>252</v>
      </c>
      <c r="G144" s="282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</row>
    <row r="145" spans="1:92" ht="15" customHeight="1" x14ac:dyDescent="0.3">
      <c r="A145" s="15" t="s">
        <v>47</v>
      </c>
      <c r="B145" s="15" t="s">
        <v>642</v>
      </c>
      <c r="C145" s="16">
        <v>0.375</v>
      </c>
      <c r="D145" s="15" t="s">
        <v>55</v>
      </c>
      <c r="E145" s="15" t="s">
        <v>111</v>
      </c>
      <c r="F145" s="15" t="s">
        <v>702</v>
      </c>
      <c r="G145" s="282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</row>
    <row r="146" spans="1:92" ht="15" customHeight="1" x14ac:dyDescent="0.3">
      <c r="A146" s="19" t="s">
        <v>47</v>
      </c>
      <c r="B146" s="19" t="s">
        <v>643</v>
      </c>
      <c r="C146" s="20">
        <v>0.56597222222222221</v>
      </c>
      <c r="D146" s="19" t="s">
        <v>49</v>
      </c>
      <c r="E146" s="19" t="s">
        <v>262</v>
      </c>
      <c r="F146" s="19" t="s">
        <v>701</v>
      </c>
      <c r="G146" s="282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</row>
    <row r="147" spans="1:92" ht="15" customHeight="1" x14ac:dyDescent="0.3">
      <c r="A147" s="15" t="s">
        <v>47</v>
      </c>
      <c r="B147" s="15" t="s">
        <v>643</v>
      </c>
      <c r="C147" s="16">
        <v>0.56597222222222221</v>
      </c>
      <c r="D147" s="15" t="s">
        <v>52</v>
      </c>
      <c r="E147" s="15" t="s">
        <v>111</v>
      </c>
      <c r="F147" s="15" t="s">
        <v>252</v>
      </c>
      <c r="G147" s="282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</row>
    <row r="148" spans="1:92" ht="15" customHeight="1" x14ac:dyDescent="0.3">
      <c r="A148" s="15" t="s">
        <v>47</v>
      </c>
      <c r="B148" s="15" t="s">
        <v>643</v>
      </c>
      <c r="C148" s="16">
        <v>0.56597222222222221</v>
      </c>
      <c r="D148" s="15" t="s">
        <v>55</v>
      </c>
      <c r="E148" s="15" t="s">
        <v>111</v>
      </c>
      <c r="F148" s="15" t="s">
        <v>702</v>
      </c>
      <c r="G148" s="282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</row>
    <row r="149" spans="1:92" ht="15" customHeight="1" x14ac:dyDescent="0.3">
      <c r="A149" s="17" t="s">
        <v>302</v>
      </c>
      <c r="B149" s="17" t="s">
        <v>655</v>
      </c>
      <c r="C149" s="18">
        <v>0.62152777777777779</v>
      </c>
      <c r="D149" s="17" t="s">
        <v>304</v>
      </c>
      <c r="E149" s="17" t="s">
        <v>109</v>
      </c>
      <c r="F149" s="17" t="s">
        <v>703</v>
      </c>
      <c r="G149" s="282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</row>
    <row r="150" spans="1:92" ht="15" customHeight="1" x14ac:dyDescent="0.3">
      <c r="A150" s="15" t="s">
        <v>302</v>
      </c>
      <c r="B150" s="15" t="s">
        <v>655</v>
      </c>
      <c r="C150" s="16">
        <v>0.62152777777777779</v>
      </c>
      <c r="D150" s="15" t="s">
        <v>33</v>
      </c>
      <c r="E150" s="15" t="s">
        <v>111</v>
      </c>
      <c r="F150" s="15" t="s">
        <v>358</v>
      </c>
      <c r="G150" s="282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</row>
    <row r="151" spans="1:92" ht="15" customHeight="1" x14ac:dyDescent="0.3">
      <c r="A151" s="17" t="s">
        <v>35</v>
      </c>
      <c r="B151" s="17" t="s">
        <v>660</v>
      </c>
      <c r="C151" s="18">
        <v>0.16666666666666671</v>
      </c>
      <c r="D151" s="17" t="s">
        <v>487</v>
      </c>
      <c r="E151" s="17" t="s">
        <v>121</v>
      </c>
      <c r="F151" s="17" t="s">
        <v>647</v>
      </c>
      <c r="G151" s="282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</row>
    <row r="152" spans="1:92" ht="15" customHeight="1" x14ac:dyDescent="0.3">
      <c r="A152" s="19" t="s">
        <v>35</v>
      </c>
      <c r="B152" s="19" t="s">
        <v>662</v>
      </c>
      <c r="C152" s="20">
        <v>0.91666666666666663</v>
      </c>
      <c r="D152" s="19" t="s">
        <v>487</v>
      </c>
      <c r="E152" s="19" t="s">
        <v>41</v>
      </c>
      <c r="F152" s="19" t="s">
        <v>704</v>
      </c>
      <c r="G152" s="282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</row>
    <row r="153" spans="1:92" ht="15" customHeight="1" x14ac:dyDescent="0.3">
      <c r="A153" s="19" t="s">
        <v>35</v>
      </c>
      <c r="B153" s="19" t="s">
        <v>658</v>
      </c>
      <c r="C153" s="20">
        <v>0.54166666666666663</v>
      </c>
      <c r="D153" s="19" t="s">
        <v>308</v>
      </c>
      <c r="E153" s="19" t="s">
        <v>349</v>
      </c>
      <c r="F153" s="19" t="s">
        <v>380</v>
      </c>
      <c r="G153" s="282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2" ht="15" customHeight="1" x14ac:dyDescent="0.3">
      <c r="A154" s="17" t="s">
        <v>272</v>
      </c>
      <c r="B154" s="17" t="s">
        <v>646</v>
      </c>
      <c r="C154" s="18">
        <v>0.87152777777777779</v>
      </c>
      <c r="D154" s="17" t="s">
        <v>78</v>
      </c>
      <c r="E154" s="17" t="s">
        <v>38</v>
      </c>
      <c r="F154" s="17" t="s">
        <v>647</v>
      </c>
      <c r="G154" s="282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</row>
    <row r="155" spans="1:92" ht="15" customHeight="1" x14ac:dyDescent="0.3">
      <c r="A155" s="19" t="s">
        <v>272</v>
      </c>
      <c r="B155" s="19" t="s">
        <v>682</v>
      </c>
      <c r="C155" s="20">
        <v>0.27430555555555552</v>
      </c>
      <c r="D155" s="19" t="s">
        <v>78</v>
      </c>
      <c r="E155" s="19" t="s">
        <v>41</v>
      </c>
      <c r="F155" s="19" t="s">
        <v>278</v>
      </c>
      <c r="G155" s="282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</row>
    <row r="156" spans="1:92" ht="15" customHeight="1" x14ac:dyDescent="0.3">
      <c r="A156" s="199" t="s">
        <v>76</v>
      </c>
      <c r="B156" s="199" t="s">
        <v>651</v>
      </c>
      <c r="C156" s="200">
        <v>0.61111111111111105</v>
      </c>
      <c r="D156" s="199" t="s">
        <v>78</v>
      </c>
      <c r="E156" s="199" t="s">
        <v>38</v>
      </c>
      <c r="F156" s="199" t="s">
        <v>683</v>
      </c>
      <c r="G156" s="282"/>
      <c r="H156" s="167" t="s">
        <v>653</v>
      </c>
      <c r="I156" s="185">
        <v>0.64880000000000004</v>
      </c>
      <c r="J156" s="169">
        <v>109</v>
      </c>
      <c r="K156" s="170">
        <v>45986</v>
      </c>
      <c r="L156" s="169">
        <v>44</v>
      </c>
      <c r="M156" s="169">
        <v>0</v>
      </c>
      <c r="N156" s="169">
        <v>9</v>
      </c>
      <c r="O156" s="171" t="s">
        <v>158</v>
      </c>
      <c r="P156" s="172">
        <v>0.61111111111111105</v>
      </c>
      <c r="Q156" s="169">
        <v>168</v>
      </c>
      <c r="R156" s="173" t="s">
        <v>705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</row>
    <row r="157" spans="1:92" ht="15" customHeight="1" x14ac:dyDescent="0.3">
      <c r="A157" s="17" t="s">
        <v>300</v>
      </c>
      <c r="B157" s="17" t="s">
        <v>706</v>
      </c>
      <c r="C157" s="18">
        <v>0.20833333333333329</v>
      </c>
      <c r="D157" s="17" t="s">
        <v>78</v>
      </c>
      <c r="E157" s="17" t="s">
        <v>38</v>
      </c>
      <c r="F157" s="17" t="s">
        <v>649</v>
      </c>
      <c r="G157" s="282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</row>
    <row r="158" spans="1:92" ht="15" customHeight="1" x14ac:dyDescent="0.3">
      <c r="A158" s="19" t="s">
        <v>300</v>
      </c>
      <c r="B158" s="19" t="s">
        <v>707</v>
      </c>
      <c r="C158" s="20">
        <v>0.72222222222222221</v>
      </c>
      <c r="D158" s="19" t="s">
        <v>78</v>
      </c>
      <c r="E158" s="19" t="s">
        <v>41</v>
      </c>
      <c r="F158" s="19" t="s">
        <v>649</v>
      </c>
      <c r="G158" s="282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</row>
    <row r="159" spans="1:92" ht="15" customHeight="1" x14ac:dyDescent="0.3">
      <c r="A159" s="17" t="s">
        <v>63</v>
      </c>
      <c r="B159" s="17" t="s">
        <v>664</v>
      </c>
      <c r="C159" s="18">
        <v>0.2986111111111111</v>
      </c>
      <c r="D159" s="17" t="s">
        <v>65</v>
      </c>
      <c r="E159" s="17" t="s">
        <v>86</v>
      </c>
      <c r="F159" s="17" t="s">
        <v>708</v>
      </c>
      <c r="G159" s="282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</row>
    <row r="160" spans="1:92" ht="15" customHeight="1" x14ac:dyDescent="0.3">
      <c r="A160" s="15" t="s">
        <v>63</v>
      </c>
      <c r="B160" s="15" t="s">
        <v>664</v>
      </c>
      <c r="C160" s="16">
        <v>0.2986111111111111</v>
      </c>
      <c r="D160" s="15" t="s">
        <v>67</v>
      </c>
      <c r="E160" s="15" t="s">
        <v>88</v>
      </c>
      <c r="F160" s="15" t="s">
        <v>709</v>
      </c>
      <c r="G160" s="282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</row>
    <row r="161" spans="1:92" ht="15" customHeight="1" x14ac:dyDescent="0.3">
      <c r="A161" s="19" t="s">
        <v>63</v>
      </c>
      <c r="B161" s="19" t="s">
        <v>665</v>
      </c>
      <c r="C161" s="20">
        <v>0.68402777777777779</v>
      </c>
      <c r="D161" s="19" t="s">
        <v>65</v>
      </c>
      <c r="E161" s="19" t="s">
        <v>350</v>
      </c>
      <c r="F161" s="19" t="s">
        <v>708</v>
      </c>
      <c r="G161" s="282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</row>
    <row r="162" spans="1:92" ht="15" customHeight="1" x14ac:dyDescent="0.3">
      <c r="A162" s="15" t="s">
        <v>63</v>
      </c>
      <c r="B162" s="15" t="s">
        <v>665</v>
      </c>
      <c r="C162" s="16">
        <v>0.68402777777777779</v>
      </c>
      <c r="D162" s="15" t="s">
        <v>67</v>
      </c>
      <c r="E162" s="15" t="s">
        <v>351</v>
      </c>
      <c r="F162" s="15" t="s">
        <v>709</v>
      </c>
      <c r="G162" s="282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</row>
    <row r="163" spans="1:92" ht="15" customHeight="1" x14ac:dyDescent="0.3">
      <c r="A163" s="19" t="s">
        <v>63</v>
      </c>
      <c r="B163" s="19" t="s">
        <v>668</v>
      </c>
      <c r="C163" s="20">
        <v>0.4826388888888889</v>
      </c>
      <c r="D163" s="19" t="s">
        <v>65</v>
      </c>
      <c r="E163" s="19" t="s">
        <v>41</v>
      </c>
      <c r="F163" s="19" t="s">
        <v>708</v>
      </c>
      <c r="G163" s="282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</row>
    <row r="164" spans="1:92" ht="15" customHeight="1" x14ac:dyDescent="0.3">
      <c r="A164" s="15" t="s">
        <v>63</v>
      </c>
      <c r="B164" s="15" t="s">
        <v>668</v>
      </c>
      <c r="C164" s="16">
        <v>0.4826388888888889</v>
      </c>
      <c r="D164" s="15" t="s">
        <v>67</v>
      </c>
      <c r="E164" s="15" t="s">
        <v>68</v>
      </c>
      <c r="F164" s="15" t="s">
        <v>709</v>
      </c>
      <c r="G164" s="282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</row>
    <row r="165" spans="1:92" ht="15" customHeight="1" x14ac:dyDescent="0.3">
      <c r="A165" s="19" t="s">
        <v>63</v>
      </c>
      <c r="B165" s="19" t="s">
        <v>675</v>
      </c>
      <c r="C165" s="20">
        <v>0.83680555555555547</v>
      </c>
      <c r="D165" s="19" t="s">
        <v>65</v>
      </c>
      <c r="E165" s="19" t="s">
        <v>41</v>
      </c>
      <c r="F165" s="19" t="s">
        <v>536</v>
      </c>
      <c r="G165" s="282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</row>
    <row r="166" spans="1:92" ht="15" customHeight="1" x14ac:dyDescent="0.3">
      <c r="A166" s="15" t="s">
        <v>63</v>
      </c>
      <c r="B166" s="15" t="s">
        <v>675</v>
      </c>
      <c r="C166" s="16">
        <v>0.83680555555555547</v>
      </c>
      <c r="D166" s="15" t="s">
        <v>67</v>
      </c>
      <c r="E166" s="15" t="s">
        <v>68</v>
      </c>
      <c r="F166" s="15" t="s">
        <v>690</v>
      </c>
      <c r="G166" s="282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</row>
    <row r="167" spans="1:92" ht="15" customHeight="1" x14ac:dyDescent="0.3">
      <c r="A167" s="19" t="s">
        <v>63</v>
      </c>
      <c r="B167" s="19" t="s">
        <v>673</v>
      </c>
      <c r="C167" s="20">
        <v>0.76041666666666663</v>
      </c>
      <c r="D167" s="19" t="s">
        <v>67</v>
      </c>
      <c r="E167" s="19" t="s">
        <v>58</v>
      </c>
      <c r="F167" s="19" t="s">
        <v>670</v>
      </c>
      <c r="G167" s="282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</row>
    <row r="168" spans="1:92" ht="15" customHeight="1" x14ac:dyDescent="0.3">
      <c r="A168" s="19" t="s">
        <v>63</v>
      </c>
      <c r="B168" s="19" t="s">
        <v>669</v>
      </c>
      <c r="C168" s="20">
        <v>0.5</v>
      </c>
      <c r="D168" s="19" t="s">
        <v>67</v>
      </c>
      <c r="E168" s="19" t="s">
        <v>58</v>
      </c>
      <c r="F168" s="19" t="s">
        <v>670</v>
      </c>
      <c r="G168" s="282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</row>
    <row r="169" spans="1:92" ht="15" customHeight="1" x14ac:dyDescent="0.3">
      <c r="A169" s="36" t="s">
        <v>63</v>
      </c>
      <c r="B169" s="36" t="s">
        <v>671</v>
      </c>
      <c r="C169" s="37">
        <v>0.81597222222222221</v>
      </c>
      <c r="D169" s="36" t="s">
        <v>67</v>
      </c>
      <c r="E169" s="36" t="s">
        <v>58</v>
      </c>
      <c r="F169" s="36" t="s">
        <v>670</v>
      </c>
      <c r="G169" s="283"/>
      <c r="H169" s="38"/>
      <c r="I169" s="39"/>
      <c r="J169" s="39"/>
      <c r="K169" s="39"/>
      <c r="L169" s="39"/>
      <c r="M169" s="39"/>
      <c r="N169" s="39"/>
      <c r="O169" s="40"/>
      <c r="P169" s="39"/>
      <c r="Q169" s="41"/>
      <c r="R169" s="42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</row>
    <row r="170" spans="1:92" ht="14.4" customHeight="1" x14ac:dyDescent="0.3">
      <c r="A170" s="275"/>
      <c r="B170" s="276"/>
      <c r="C170" s="276"/>
      <c r="D170" s="276"/>
      <c r="E170" s="276"/>
      <c r="F170" s="276"/>
      <c r="G170" s="277"/>
      <c r="H170" s="278"/>
      <c r="I170" s="278"/>
      <c r="J170" s="278"/>
      <c r="K170" s="278"/>
      <c r="L170" s="278"/>
      <c r="M170" s="278"/>
      <c r="N170" s="278"/>
      <c r="O170" s="279"/>
      <c r="P170" s="278"/>
      <c r="Q170" s="277"/>
      <c r="R170" s="280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</row>
    <row r="171" spans="1:92" ht="22.05" customHeight="1" x14ac:dyDescent="0.3">
      <c r="A171" s="289" t="s">
        <v>5</v>
      </c>
      <c r="B171" s="290"/>
      <c r="C171" s="290"/>
      <c r="D171" s="290"/>
      <c r="E171" s="290"/>
      <c r="F171" s="290"/>
      <c r="G171" s="5">
        <v>45991</v>
      </c>
      <c r="H171" s="286" t="s">
        <v>6</v>
      </c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</row>
    <row r="172" spans="1:92" ht="24" customHeight="1" x14ac:dyDescent="0.3">
      <c r="A172" s="30" t="s">
        <v>7</v>
      </c>
      <c r="B172" s="30" t="s">
        <v>8</v>
      </c>
      <c r="C172" s="31" t="s">
        <v>9</v>
      </c>
      <c r="D172" s="30" t="s">
        <v>10</v>
      </c>
      <c r="E172" s="30" t="s">
        <v>11</v>
      </c>
      <c r="F172" s="30" t="s">
        <v>12</v>
      </c>
      <c r="G172" s="32" t="s">
        <v>13</v>
      </c>
      <c r="H172" s="30" t="s">
        <v>14</v>
      </c>
      <c r="I172" s="33" t="s">
        <v>15</v>
      </c>
      <c r="J172" s="34" t="s">
        <v>16</v>
      </c>
      <c r="K172" s="35" t="s">
        <v>17</v>
      </c>
      <c r="L172" s="34" t="s">
        <v>18</v>
      </c>
      <c r="M172" s="34" t="s">
        <v>19</v>
      </c>
      <c r="N172" s="34" t="s">
        <v>20</v>
      </c>
      <c r="O172" s="30" t="s">
        <v>21</v>
      </c>
      <c r="P172" s="31" t="s">
        <v>22</v>
      </c>
      <c r="Q172" s="34" t="s">
        <v>23</v>
      </c>
      <c r="R172" s="30" t="s">
        <v>24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</row>
    <row r="173" spans="1:92" ht="15" customHeight="1" x14ac:dyDescent="0.3">
      <c r="A173" s="8" t="s">
        <v>25</v>
      </c>
      <c r="B173" s="8" t="s">
        <v>628</v>
      </c>
      <c r="C173" s="9">
        <v>0.44791666666666669</v>
      </c>
      <c r="D173" s="8" t="s">
        <v>710</v>
      </c>
      <c r="E173" s="8" t="s">
        <v>711</v>
      </c>
      <c r="F173" s="8" t="s">
        <v>678</v>
      </c>
      <c r="G173" s="281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</row>
    <row r="174" spans="1:92" ht="15" customHeight="1" x14ac:dyDescent="0.3">
      <c r="A174" s="19" t="s">
        <v>25</v>
      </c>
      <c r="B174" s="19" t="s">
        <v>632</v>
      </c>
      <c r="C174" s="20">
        <v>0.5</v>
      </c>
      <c r="D174" s="19" t="s">
        <v>710</v>
      </c>
      <c r="E174" s="19" t="s">
        <v>712</v>
      </c>
      <c r="F174" s="19" t="s">
        <v>678</v>
      </c>
      <c r="G174" s="282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</row>
    <row r="175" spans="1:92" ht="15" customHeight="1" x14ac:dyDescent="0.3">
      <c r="A175" s="19" t="s">
        <v>25</v>
      </c>
      <c r="B175" s="19" t="s">
        <v>634</v>
      </c>
      <c r="C175" s="20">
        <v>0.76041666666666663</v>
      </c>
      <c r="D175" s="19" t="s">
        <v>710</v>
      </c>
      <c r="E175" s="19" t="s">
        <v>713</v>
      </c>
      <c r="F175" s="19" t="s">
        <v>678</v>
      </c>
      <c r="G175" s="282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</row>
    <row r="176" spans="1:92" ht="15" customHeight="1" x14ac:dyDescent="0.3">
      <c r="A176" s="19" t="s">
        <v>25</v>
      </c>
      <c r="B176" s="19" t="s">
        <v>637</v>
      </c>
      <c r="C176" s="20">
        <v>0.81597222222222221</v>
      </c>
      <c r="D176" s="19" t="s">
        <v>710</v>
      </c>
      <c r="E176" s="19" t="s">
        <v>714</v>
      </c>
      <c r="F176" s="19" t="s">
        <v>678</v>
      </c>
      <c r="G176" s="282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</row>
    <row r="177" spans="1:92" ht="15" customHeight="1" x14ac:dyDescent="0.3">
      <c r="A177" s="17" t="s">
        <v>47</v>
      </c>
      <c r="B177" s="17" t="s">
        <v>638</v>
      </c>
      <c r="C177" s="18">
        <v>0.30555555555555552</v>
      </c>
      <c r="D177" s="17" t="s">
        <v>715</v>
      </c>
      <c r="E177" s="17" t="s">
        <v>109</v>
      </c>
      <c r="F177" s="17" t="s">
        <v>678</v>
      </c>
      <c r="G177" s="282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</row>
    <row r="178" spans="1:92" ht="15" customHeight="1" x14ac:dyDescent="0.3">
      <c r="A178" s="19" t="s">
        <v>47</v>
      </c>
      <c r="B178" s="19" t="s">
        <v>640</v>
      </c>
      <c r="C178" s="20">
        <v>0.5</v>
      </c>
      <c r="D178" s="19" t="s">
        <v>715</v>
      </c>
      <c r="E178" s="19" t="s">
        <v>72</v>
      </c>
      <c r="F178" s="19" t="s">
        <v>678</v>
      </c>
      <c r="G178" s="282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</row>
    <row r="179" spans="1:92" ht="15" customHeight="1" x14ac:dyDescent="0.3">
      <c r="A179" s="19" t="s">
        <v>47</v>
      </c>
      <c r="B179" s="19" t="s">
        <v>645</v>
      </c>
      <c r="C179" s="20">
        <v>0.6875</v>
      </c>
      <c r="D179" s="19" t="s">
        <v>715</v>
      </c>
      <c r="E179" s="19" t="s">
        <v>262</v>
      </c>
      <c r="F179" s="19" t="s">
        <v>678</v>
      </c>
      <c r="G179" s="282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</row>
    <row r="180" spans="1:92" ht="15" customHeight="1" x14ac:dyDescent="0.3">
      <c r="A180" s="19" t="s">
        <v>47</v>
      </c>
      <c r="B180" s="19" t="s">
        <v>643</v>
      </c>
      <c r="C180" s="20">
        <v>0.56597222222222221</v>
      </c>
      <c r="D180" s="19" t="s">
        <v>715</v>
      </c>
      <c r="E180" s="19" t="s">
        <v>262</v>
      </c>
      <c r="F180" s="19" t="s">
        <v>678</v>
      </c>
      <c r="G180" s="282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</row>
    <row r="181" spans="1:92" ht="15" customHeight="1" x14ac:dyDescent="0.3">
      <c r="A181" s="19" t="s">
        <v>47</v>
      </c>
      <c r="B181" s="19" t="s">
        <v>644</v>
      </c>
      <c r="C181" s="20">
        <v>0.82638888888888884</v>
      </c>
      <c r="D181" s="19" t="s">
        <v>715</v>
      </c>
      <c r="E181" s="19" t="s">
        <v>262</v>
      </c>
      <c r="F181" s="19" t="s">
        <v>701</v>
      </c>
      <c r="G181" s="282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</row>
    <row r="182" spans="1:92" ht="15" customHeight="1" x14ac:dyDescent="0.3">
      <c r="A182" s="19" t="s">
        <v>47</v>
      </c>
      <c r="B182" s="19" t="s">
        <v>641</v>
      </c>
      <c r="C182" s="20">
        <v>0.42708333333333331</v>
      </c>
      <c r="D182" s="19" t="s">
        <v>715</v>
      </c>
      <c r="E182" s="19" t="s">
        <v>262</v>
      </c>
      <c r="F182" s="19" t="s">
        <v>701</v>
      </c>
      <c r="G182" s="282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2" ht="15" customHeight="1" x14ac:dyDescent="0.3">
      <c r="A183" s="19" t="s">
        <v>47</v>
      </c>
      <c r="B183" s="19" t="s">
        <v>642</v>
      </c>
      <c r="C183" s="20">
        <v>0.375</v>
      </c>
      <c r="D183" s="19" t="s">
        <v>715</v>
      </c>
      <c r="E183" s="19" t="s">
        <v>262</v>
      </c>
      <c r="F183" s="19" t="s">
        <v>701</v>
      </c>
      <c r="G183" s="282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2" ht="15" customHeight="1" x14ac:dyDescent="0.3">
      <c r="A184" s="17" t="s">
        <v>35</v>
      </c>
      <c r="B184" s="17" t="s">
        <v>660</v>
      </c>
      <c r="C184" s="18">
        <v>0.1701388888888889</v>
      </c>
      <c r="D184" s="17" t="s">
        <v>487</v>
      </c>
      <c r="E184" s="17" t="s">
        <v>38</v>
      </c>
      <c r="F184" s="17" t="s">
        <v>647</v>
      </c>
      <c r="G184" s="282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</row>
    <row r="185" spans="1:92" ht="15" customHeight="1" x14ac:dyDescent="0.3">
      <c r="A185" s="19" t="s">
        <v>35</v>
      </c>
      <c r="B185" s="19" t="s">
        <v>662</v>
      </c>
      <c r="C185" s="20">
        <v>0.91666666666666663</v>
      </c>
      <c r="D185" s="19" t="s">
        <v>487</v>
      </c>
      <c r="E185" s="19" t="s">
        <v>41</v>
      </c>
      <c r="F185" s="19" t="s">
        <v>704</v>
      </c>
      <c r="G185" s="282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</row>
    <row r="186" spans="1:92" ht="15" customHeight="1" x14ac:dyDescent="0.3">
      <c r="A186" s="19" t="s">
        <v>35</v>
      </c>
      <c r="B186" s="19" t="s">
        <v>658</v>
      </c>
      <c r="C186" s="20">
        <v>0.52083333333333337</v>
      </c>
      <c r="D186" s="19" t="s">
        <v>308</v>
      </c>
      <c r="E186" s="19" t="s">
        <v>41</v>
      </c>
      <c r="F186" s="19" t="s">
        <v>688</v>
      </c>
      <c r="G186" s="282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</row>
    <row r="187" spans="1:92" ht="15" customHeight="1" x14ac:dyDescent="0.3">
      <c r="A187" s="17" t="s">
        <v>272</v>
      </c>
      <c r="B187" s="17" t="s">
        <v>716</v>
      </c>
      <c r="C187" s="18">
        <v>0.58680555555555558</v>
      </c>
      <c r="D187" s="17" t="s">
        <v>78</v>
      </c>
      <c r="E187" s="17" t="s">
        <v>38</v>
      </c>
      <c r="F187" s="17" t="s">
        <v>647</v>
      </c>
      <c r="G187" s="282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</row>
    <row r="188" spans="1:92" ht="15" customHeight="1" x14ac:dyDescent="0.3">
      <c r="A188" s="216" t="s">
        <v>76</v>
      </c>
      <c r="B188" s="216" t="s">
        <v>651</v>
      </c>
      <c r="C188" s="217">
        <v>0.625</v>
      </c>
      <c r="D188" s="216" t="s">
        <v>78</v>
      </c>
      <c r="E188" s="216" t="s">
        <v>38</v>
      </c>
      <c r="F188" s="216" t="s">
        <v>683</v>
      </c>
      <c r="G188" s="282"/>
      <c r="H188" s="178" t="s">
        <v>653</v>
      </c>
      <c r="I188" s="179">
        <v>0.54759999999999998</v>
      </c>
      <c r="J188" s="180">
        <v>92</v>
      </c>
      <c r="K188" s="181">
        <v>45986</v>
      </c>
      <c r="L188" s="180">
        <v>27</v>
      </c>
      <c r="M188" s="180">
        <v>0</v>
      </c>
      <c r="N188" s="180">
        <v>5</v>
      </c>
      <c r="O188" s="182" t="s">
        <v>158</v>
      </c>
      <c r="P188" s="183">
        <v>0.625</v>
      </c>
      <c r="Q188" s="180">
        <v>168</v>
      </c>
      <c r="R188" s="184" t="s">
        <v>717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</row>
    <row r="189" spans="1:92" ht="15" customHeight="1" x14ac:dyDescent="0.3">
      <c r="A189" s="17" t="s">
        <v>300</v>
      </c>
      <c r="B189" s="17" t="s">
        <v>648</v>
      </c>
      <c r="C189" s="18">
        <v>0.3576388888888889</v>
      </c>
      <c r="D189" s="17" t="s">
        <v>78</v>
      </c>
      <c r="E189" s="17" t="s">
        <v>38</v>
      </c>
      <c r="F189" s="17" t="s">
        <v>649</v>
      </c>
      <c r="G189" s="282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</row>
    <row r="190" spans="1:92" ht="15" customHeight="1" x14ac:dyDescent="0.3">
      <c r="A190" s="19" t="s">
        <v>300</v>
      </c>
      <c r="B190" s="19" t="s">
        <v>718</v>
      </c>
      <c r="C190" s="20">
        <v>0.31597222222222221</v>
      </c>
      <c r="D190" s="19" t="s">
        <v>78</v>
      </c>
      <c r="E190" s="19" t="s">
        <v>41</v>
      </c>
      <c r="F190" s="19" t="s">
        <v>649</v>
      </c>
      <c r="G190" s="282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</row>
    <row r="191" spans="1:92" ht="15" customHeight="1" x14ac:dyDescent="0.3">
      <c r="A191" s="17" t="s">
        <v>63</v>
      </c>
      <c r="B191" s="17" t="s">
        <v>664</v>
      </c>
      <c r="C191" s="18">
        <v>0.2986111111111111</v>
      </c>
      <c r="D191" s="17" t="s">
        <v>65</v>
      </c>
      <c r="E191" s="17" t="s">
        <v>202</v>
      </c>
      <c r="F191" s="17" t="s">
        <v>719</v>
      </c>
      <c r="G191" s="282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</row>
    <row r="192" spans="1:92" ht="15" customHeight="1" x14ac:dyDescent="0.3">
      <c r="A192" s="15" t="s">
        <v>63</v>
      </c>
      <c r="B192" s="15" t="s">
        <v>664</v>
      </c>
      <c r="C192" s="16">
        <v>0.2986111111111111</v>
      </c>
      <c r="D192" s="15" t="s">
        <v>67</v>
      </c>
      <c r="E192" s="15" t="s">
        <v>351</v>
      </c>
      <c r="F192" s="15" t="s">
        <v>720</v>
      </c>
      <c r="G192" s="282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</row>
    <row r="193" spans="1:92" ht="15" customHeight="1" x14ac:dyDescent="0.3">
      <c r="A193" s="19" t="s">
        <v>63</v>
      </c>
      <c r="B193" s="19" t="s">
        <v>668</v>
      </c>
      <c r="C193" s="20">
        <v>0.4826388888888889</v>
      </c>
      <c r="D193" s="19" t="s">
        <v>65</v>
      </c>
      <c r="E193" s="19" t="s">
        <v>41</v>
      </c>
      <c r="F193" s="19" t="s">
        <v>719</v>
      </c>
      <c r="G193" s="282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</row>
    <row r="194" spans="1:92" ht="15" customHeight="1" x14ac:dyDescent="0.3">
      <c r="A194" s="15" t="s">
        <v>63</v>
      </c>
      <c r="B194" s="15" t="s">
        <v>668</v>
      </c>
      <c r="C194" s="16">
        <v>0.4826388888888889</v>
      </c>
      <c r="D194" s="15" t="s">
        <v>67</v>
      </c>
      <c r="E194" s="15" t="s">
        <v>68</v>
      </c>
      <c r="F194" s="15" t="s">
        <v>720</v>
      </c>
      <c r="G194" s="282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</row>
    <row r="195" spans="1:92" ht="15" customHeight="1" x14ac:dyDescent="0.3">
      <c r="A195" s="19" t="s">
        <v>63</v>
      </c>
      <c r="B195" s="19" t="s">
        <v>665</v>
      </c>
      <c r="C195" s="20">
        <v>0.68402777777777779</v>
      </c>
      <c r="D195" s="19" t="s">
        <v>65</v>
      </c>
      <c r="E195" s="19" t="s">
        <v>41</v>
      </c>
      <c r="F195" s="19" t="s">
        <v>708</v>
      </c>
      <c r="G195" s="282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</row>
    <row r="196" spans="1:92" ht="15" customHeight="1" x14ac:dyDescent="0.3">
      <c r="A196" s="15" t="s">
        <v>63</v>
      </c>
      <c r="B196" s="15" t="s">
        <v>665</v>
      </c>
      <c r="C196" s="16">
        <v>0.68402777777777779</v>
      </c>
      <c r="D196" s="15" t="s">
        <v>67</v>
      </c>
      <c r="E196" s="15" t="s">
        <v>68</v>
      </c>
      <c r="F196" s="15" t="s">
        <v>709</v>
      </c>
      <c r="G196" s="282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</row>
    <row r="197" spans="1:92" ht="15" customHeight="1" x14ac:dyDescent="0.3">
      <c r="A197" s="19" t="s">
        <v>63</v>
      </c>
      <c r="B197" s="19" t="s">
        <v>721</v>
      </c>
      <c r="C197" s="20">
        <v>0.55208333333333337</v>
      </c>
      <c r="D197" s="19" t="s">
        <v>65</v>
      </c>
      <c r="E197" s="19" t="s">
        <v>41</v>
      </c>
      <c r="F197" s="19" t="s">
        <v>708</v>
      </c>
      <c r="G197" s="282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</row>
    <row r="198" spans="1:92" ht="15" customHeight="1" x14ac:dyDescent="0.3">
      <c r="A198" s="15" t="s">
        <v>63</v>
      </c>
      <c r="B198" s="15" t="s">
        <v>721</v>
      </c>
      <c r="C198" s="16">
        <v>0.55208333333333337</v>
      </c>
      <c r="D198" s="15" t="s">
        <v>67</v>
      </c>
      <c r="E198" s="15" t="s">
        <v>68</v>
      </c>
      <c r="F198" s="15" t="s">
        <v>709</v>
      </c>
      <c r="G198" s="282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</row>
    <row r="199" spans="1:92" ht="15" customHeight="1" x14ac:dyDescent="0.3">
      <c r="A199" s="19" t="s">
        <v>63</v>
      </c>
      <c r="B199" s="19" t="s">
        <v>675</v>
      </c>
      <c r="C199" s="20">
        <v>0.83680555555555547</v>
      </c>
      <c r="D199" s="19" t="s">
        <v>65</v>
      </c>
      <c r="E199" s="19" t="s">
        <v>41</v>
      </c>
      <c r="F199" s="19" t="s">
        <v>536</v>
      </c>
      <c r="G199" s="282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</row>
    <row r="200" spans="1:92" ht="15" customHeight="1" x14ac:dyDescent="0.3">
      <c r="A200" s="15" t="s">
        <v>63</v>
      </c>
      <c r="B200" s="15" t="s">
        <v>675</v>
      </c>
      <c r="C200" s="16">
        <v>0.83680555555555547</v>
      </c>
      <c r="D200" s="15" t="s">
        <v>67</v>
      </c>
      <c r="E200" s="15" t="s">
        <v>68</v>
      </c>
      <c r="F200" s="15" t="s">
        <v>690</v>
      </c>
      <c r="G200" s="282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</row>
    <row r="201" spans="1:92" ht="15" customHeight="1" x14ac:dyDescent="0.3">
      <c r="A201" s="19" t="s">
        <v>63</v>
      </c>
      <c r="B201" s="19" t="s">
        <v>673</v>
      </c>
      <c r="C201" s="20">
        <v>0.76041666666666663</v>
      </c>
      <c r="D201" s="19" t="s">
        <v>67</v>
      </c>
      <c r="E201" s="19" t="s">
        <v>58</v>
      </c>
      <c r="F201" s="19" t="s">
        <v>670</v>
      </c>
      <c r="G201" s="282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</row>
    <row r="202" spans="1:92" ht="15" customHeight="1" x14ac:dyDescent="0.3">
      <c r="A202" s="19" t="s">
        <v>63</v>
      </c>
      <c r="B202" s="19" t="s">
        <v>669</v>
      </c>
      <c r="C202" s="20">
        <v>0.5</v>
      </c>
      <c r="D202" s="19" t="s">
        <v>67</v>
      </c>
      <c r="E202" s="19" t="s">
        <v>58</v>
      </c>
      <c r="F202" s="19" t="s">
        <v>670</v>
      </c>
      <c r="G202" s="282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</row>
    <row r="203" spans="1:92" ht="15" customHeight="1" x14ac:dyDescent="0.3">
      <c r="A203" s="36" t="s">
        <v>63</v>
      </c>
      <c r="B203" s="36" t="s">
        <v>671</v>
      </c>
      <c r="C203" s="37">
        <v>0.81597222222222221</v>
      </c>
      <c r="D203" s="36" t="s">
        <v>67</v>
      </c>
      <c r="E203" s="36" t="s">
        <v>58</v>
      </c>
      <c r="F203" s="36" t="s">
        <v>670</v>
      </c>
      <c r="G203" s="283"/>
      <c r="H203" s="38"/>
      <c r="I203" s="39"/>
      <c r="J203" s="39"/>
      <c r="K203" s="39"/>
      <c r="L203" s="39"/>
      <c r="M203" s="39"/>
      <c r="N203" s="39"/>
      <c r="O203" s="40"/>
      <c r="P203" s="39"/>
      <c r="Q203" s="41"/>
      <c r="R203" s="42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</row>
    <row r="204" spans="1:92" ht="14.4" customHeight="1" x14ac:dyDescent="0.3">
      <c r="A204" s="288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80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</row>
  </sheetData>
  <mergeCells count="25">
    <mergeCell ref="H114:R114"/>
    <mergeCell ref="A113:R113"/>
    <mergeCell ref="A204:R204"/>
    <mergeCell ref="H60:R60"/>
    <mergeCell ref="G2:J2"/>
    <mergeCell ref="A4:F4"/>
    <mergeCell ref="A171:F171"/>
    <mergeCell ref="A170:R170"/>
    <mergeCell ref="G116:G169"/>
    <mergeCell ref="K2:R2"/>
    <mergeCell ref="G173:G203"/>
    <mergeCell ref="A114:F114"/>
    <mergeCell ref="G62:G112"/>
    <mergeCell ref="H171:R171"/>
    <mergeCell ref="G6:G58"/>
    <mergeCell ref="H4:R4"/>
    <mergeCell ref="D1:F1"/>
    <mergeCell ref="A59:R59"/>
    <mergeCell ref="A60:F60"/>
    <mergeCell ref="A1:C1"/>
    <mergeCell ref="G1:H1"/>
    <mergeCell ref="A2:F2"/>
    <mergeCell ref="A3:R3"/>
    <mergeCell ref="O1:Q1"/>
    <mergeCell ref="J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653</v>
      </c>
      <c r="D2" s="66">
        <v>0.61111111111111105</v>
      </c>
      <c r="E2" s="65" t="s">
        <v>627</v>
      </c>
      <c r="F2" s="65" t="s">
        <v>153</v>
      </c>
      <c r="G2" s="67">
        <v>0.67859999999999998</v>
      </c>
      <c r="H2" s="68">
        <v>168</v>
      </c>
      <c r="I2" s="68">
        <v>114</v>
      </c>
      <c r="J2" s="68">
        <v>0</v>
      </c>
      <c r="K2" s="64">
        <v>45986</v>
      </c>
      <c r="L2" s="68">
        <v>0</v>
      </c>
      <c r="M2" s="68">
        <v>4</v>
      </c>
      <c r="N2" s="68">
        <v>31</v>
      </c>
      <c r="O2" s="65" t="s">
        <v>361</v>
      </c>
      <c r="P2" s="69"/>
      <c r="Q2" s="69"/>
      <c r="R2" s="69"/>
      <c r="S2" s="69"/>
      <c r="T2" s="69"/>
      <c r="U2" s="68" t="s">
        <v>722</v>
      </c>
      <c r="V2" s="69"/>
      <c r="W2" s="69"/>
      <c r="X2" s="69"/>
      <c r="Y2" s="68" t="s">
        <v>443</v>
      </c>
      <c r="Z2" s="68" t="s">
        <v>438</v>
      </c>
      <c r="AA2" s="69"/>
      <c r="AB2" s="68" t="s">
        <v>594</v>
      </c>
      <c r="AC2" s="68" t="s">
        <v>235</v>
      </c>
      <c r="AD2" s="68" t="s">
        <v>422</v>
      </c>
      <c r="AE2" s="68" t="s">
        <v>723</v>
      </c>
      <c r="AF2" s="69"/>
      <c r="AG2" s="69"/>
      <c r="AH2" s="69"/>
      <c r="AI2" s="69"/>
    </row>
    <row r="3" spans="1:35" ht="18" x14ac:dyDescent="0.3">
      <c r="A3" s="70" t="s">
        <v>417</v>
      </c>
      <c r="B3" s="71">
        <v>45989</v>
      </c>
      <c r="C3" s="72" t="s">
        <v>653</v>
      </c>
      <c r="D3" s="73">
        <v>0.60416666666666663</v>
      </c>
      <c r="E3" s="72" t="s">
        <v>627</v>
      </c>
      <c r="F3" s="72" t="s">
        <v>153</v>
      </c>
      <c r="G3" s="74">
        <v>0.64880000000000004</v>
      </c>
      <c r="H3" s="75">
        <v>168</v>
      </c>
      <c r="I3" s="75">
        <v>109</v>
      </c>
      <c r="J3" s="75">
        <v>0</v>
      </c>
      <c r="K3" s="71">
        <v>45986</v>
      </c>
      <c r="L3" s="75">
        <v>0</v>
      </c>
      <c r="M3" s="75">
        <v>5</v>
      </c>
      <c r="N3" s="75">
        <v>45</v>
      </c>
      <c r="O3" s="72" t="s">
        <v>158</v>
      </c>
      <c r="P3" s="76"/>
      <c r="Q3" s="76"/>
      <c r="R3" s="76"/>
      <c r="S3" s="76"/>
      <c r="T3" s="76"/>
      <c r="U3" s="75" t="s">
        <v>464</v>
      </c>
      <c r="V3" s="76"/>
      <c r="W3" s="76"/>
      <c r="X3" s="76"/>
      <c r="Y3" s="75" t="s">
        <v>156</v>
      </c>
      <c r="Z3" s="76"/>
      <c r="AA3" s="75" t="s">
        <v>724</v>
      </c>
      <c r="AB3" s="76"/>
      <c r="AC3" s="75" t="s">
        <v>359</v>
      </c>
      <c r="AD3" s="75" t="s">
        <v>725</v>
      </c>
      <c r="AE3" s="75" t="s">
        <v>726</v>
      </c>
      <c r="AF3" s="76"/>
      <c r="AG3" s="76"/>
      <c r="AH3" s="76"/>
      <c r="AI3" s="76"/>
    </row>
    <row r="4" spans="1:35" ht="18" x14ac:dyDescent="0.3">
      <c r="A4" s="63" t="s">
        <v>417</v>
      </c>
      <c r="B4" s="64">
        <v>45989</v>
      </c>
      <c r="C4" s="65" t="s">
        <v>686</v>
      </c>
      <c r="D4" s="66">
        <v>0.92361111111111116</v>
      </c>
      <c r="E4" s="65" t="s">
        <v>627</v>
      </c>
      <c r="F4" s="65" t="s">
        <v>153</v>
      </c>
      <c r="G4" s="67">
        <v>0.5</v>
      </c>
      <c r="H4" s="68">
        <v>168</v>
      </c>
      <c r="I4" s="68">
        <v>84</v>
      </c>
      <c r="J4" s="68">
        <v>0</v>
      </c>
      <c r="K4" s="64">
        <v>45987</v>
      </c>
      <c r="L4" s="68">
        <v>1</v>
      </c>
      <c r="M4" s="68">
        <v>5</v>
      </c>
      <c r="N4" s="68">
        <v>47</v>
      </c>
      <c r="O4" s="65" t="s">
        <v>158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8" t="s">
        <v>172</v>
      </c>
      <c r="AA4" s="69"/>
      <c r="AB4" s="69"/>
      <c r="AC4" s="69"/>
      <c r="AD4" s="68" t="s">
        <v>422</v>
      </c>
      <c r="AE4" s="68" t="s">
        <v>727</v>
      </c>
      <c r="AF4" s="69"/>
      <c r="AG4" s="69"/>
      <c r="AH4" s="69"/>
      <c r="AI4" s="69"/>
    </row>
    <row r="5" spans="1:35" ht="18" x14ac:dyDescent="0.3">
      <c r="A5" s="70" t="s">
        <v>162</v>
      </c>
      <c r="B5" s="71">
        <v>45990</v>
      </c>
      <c r="C5" s="72" t="s">
        <v>653</v>
      </c>
      <c r="D5" s="73">
        <v>0.61111111111111105</v>
      </c>
      <c r="E5" s="72" t="s">
        <v>627</v>
      </c>
      <c r="F5" s="72" t="s">
        <v>153</v>
      </c>
      <c r="G5" s="74">
        <v>0.64880000000000004</v>
      </c>
      <c r="H5" s="75">
        <v>168</v>
      </c>
      <c r="I5" s="75">
        <v>109</v>
      </c>
      <c r="J5" s="75">
        <v>0</v>
      </c>
      <c r="K5" s="71">
        <v>45986</v>
      </c>
      <c r="L5" s="75">
        <v>0</v>
      </c>
      <c r="M5" s="75">
        <v>9</v>
      </c>
      <c r="N5" s="75">
        <v>44</v>
      </c>
      <c r="O5" s="72" t="s">
        <v>158</v>
      </c>
      <c r="P5" s="76"/>
      <c r="Q5" s="76"/>
      <c r="R5" s="76"/>
      <c r="S5" s="76"/>
      <c r="T5" s="76"/>
      <c r="U5" s="75" t="s">
        <v>464</v>
      </c>
      <c r="V5" s="76"/>
      <c r="W5" s="76"/>
      <c r="X5" s="76"/>
      <c r="Y5" s="75" t="s">
        <v>443</v>
      </c>
      <c r="Z5" s="75" t="s">
        <v>444</v>
      </c>
      <c r="AA5" s="76"/>
      <c r="AB5" s="76"/>
      <c r="AC5" s="75" t="s">
        <v>446</v>
      </c>
      <c r="AD5" s="75" t="s">
        <v>728</v>
      </c>
      <c r="AE5" s="75" t="s">
        <v>729</v>
      </c>
      <c r="AF5" s="76"/>
      <c r="AG5" s="76"/>
      <c r="AH5" s="76"/>
      <c r="AI5" s="76"/>
    </row>
    <row r="6" spans="1:35" ht="18" x14ac:dyDescent="0.3">
      <c r="A6" s="63" t="s">
        <v>168</v>
      </c>
      <c r="B6" s="64">
        <v>45991</v>
      </c>
      <c r="C6" s="65" t="s">
        <v>653</v>
      </c>
      <c r="D6" s="66">
        <v>0.625</v>
      </c>
      <c r="E6" s="65" t="s">
        <v>627</v>
      </c>
      <c r="F6" s="65" t="s">
        <v>153</v>
      </c>
      <c r="G6" s="67">
        <v>0.54759999999999998</v>
      </c>
      <c r="H6" s="68">
        <v>168</v>
      </c>
      <c r="I6" s="68">
        <v>92</v>
      </c>
      <c r="J6" s="68">
        <v>0</v>
      </c>
      <c r="K6" s="64">
        <v>45986</v>
      </c>
      <c r="L6" s="68">
        <v>0</v>
      </c>
      <c r="M6" s="68">
        <v>5</v>
      </c>
      <c r="N6" s="68">
        <v>27</v>
      </c>
      <c r="O6" s="65" t="s">
        <v>158</v>
      </c>
      <c r="P6" s="69"/>
      <c r="Q6" s="69"/>
      <c r="R6" s="69"/>
      <c r="S6" s="69"/>
      <c r="T6" s="69"/>
      <c r="U6" s="68" t="s">
        <v>464</v>
      </c>
      <c r="V6" s="69"/>
      <c r="W6" s="69"/>
      <c r="X6" s="69"/>
      <c r="Y6" s="68" t="s">
        <v>156</v>
      </c>
      <c r="Z6" s="68" t="s">
        <v>444</v>
      </c>
      <c r="AA6" s="69"/>
      <c r="AB6" s="69"/>
      <c r="AC6" s="68" t="s">
        <v>398</v>
      </c>
      <c r="AD6" s="68" t="s">
        <v>730</v>
      </c>
      <c r="AE6" s="68" t="s">
        <v>726</v>
      </c>
      <c r="AF6" s="69"/>
      <c r="AG6" s="69"/>
      <c r="AH6" s="69"/>
      <c r="AI6" s="69"/>
    </row>
    <row r="7" spans="1:35" ht="18" x14ac:dyDescent="0.3">
      <c r="A7" s="77" t="s">
        <v>178</v>
      </c>
      <c r="B7" s="78"/>
      <c r="C7" s="79">
        <f>COUNTA(C2:C6)</f>
        <v>5</v>
      </c>
      <c r="D7" s="78"/>
      <c r="E7" s="78"/>
      <c r="F7" s="78"/>
      <c r="G7" s="80">
        <f>AVERAGE(G2:G6)</f>
        <v>0.60475999999999996</v>
      </c>
      <c r="H7" s="81">
        <f>SUM(H2:H6)</f>
        <v>840</v>
      </c>
      <c r="I7" s="81">
        <f>SUM(I2:I6)</f>
        <v>508</v>
      </c>
      <c r="J7" s="81">
        <f>SUM(J2:J6)</f>
        <v>0</v>
      </c>
      <c r="K7" s="78"/>
      <c r="L7" s="81">
        <f>SUM(L2:L6)</f>
        <v>1</v>
      </c>
      <c r="M7" s="81">
        <f>SUM(M2:M6)</f>
        <v>28</v>
      </c>
      <c r="N7" s="81">
        <f>SUM(N2:N6)</f>
        <v>194</v>
      </c>
      <c r="O7" s="78"/>
      <c r="P7" s="81">
        <f t="shared" ref="P7:AI7" si="0">SUMPRODUCT(--IFERROR(VALUE(SUBSTITUTE(SUBSTITUTE(SUBSTITUTE(SUBSTITUTE(SUBSTITUTE(SUBSTITUTE(SUBSTITUTE(SUBSTITUTE(SUBSTITUTE(SUBSTITUTE(SUBSTITUTE(SUBSTITUTE(SUBSTITUTE(SUBSTITUTE(SUBSTITUTE(SUBSTITUTE(SUBSTITUTE(SUBSTITUTE(SUBSTITUTE(SUBSTITUTE(P2:P6,"Y",""),"B",""),"M",""),"H",""),"Q",""),"K",""),"V",""),"L",""),"G",""),"S",""),"W",""),"T",""),"X",""),"U",""),"O",""),"I",""),"E",""),"A",""),"P",""),"N","")),0))</f>
        <v>0</v>
      </c>
      <c r="Q7" s="81">
        <f t="shared" si="0"/>
        <v>0</v>
      </c>
      <c r="R7" s="81">
        <f t="shared" si="0"/>
        <v>0</v>
      </c>
      <c r="S7" s="81">
        <f t="shared" si="0"/>
        <v>0</v>
      </c>
      <c r="T7" s="81">
        <f t="shared" si="0"/>
        <v>0</v>
      </c>
      <c r="U7" s="81">
        <f t="shared" si="0"/>
        <v>0</v>
      </c>
      <c r="V7" s="81">
        <f t="shared" si="0"/>
        <v>0</v>
      </c>
      <c r="W7" s="81">
        <f t="shared" si="0"/>
        <v>0</v>
      </c>
      <c r="X7" s="81">
        <f t="shared" si="0"/>
        <v>0</v>
      </c>
      <c r="Y7" s="81">
        <f t="shared" si="0"/>
        <v>0</v>
      </c>
      <c r="Z7" s="81">
        <f t="shared" si="0"/>
        <v>0</v>
      </c>
      <c r="AA7" s="81">
        <f t="shared" si="0"/>
        <v>0</v>
      </c>
      <c r="AB7" s="81">
        <f t="shared" si="0"/>
        <v>0</v>
      </c>
      <c r="AC7" s="81">
        <f t="shared" si="0"/>
        <v>0</v>
      </c>
      <c r="AD7" s="81">
        <f t="shared" si="0"/>
        <v>0</v>
      </c>
      <c r="AE7" s="81">
        <f t="shared" si="0"/>
        <v>0</v>
      </c>
      <c r="AF7" s="81">
        <f t="shared" si="0"/>
        <v>0</v>
      </c>
      <c r="AG7" s="81">
        <f t="shared" si="0"/>
        <v>0</v>
      </c>
      <c r="AH7" s="81">
        <f t="shared" si="0"/>
        <v>0</v>
      </c>
      <c r="AI7" s="81">
        <f t="shared" si="0"/>
        <v>0</v>
      </c>
    </row>
  </sheetData>
  <autoFilter ref="A1:AI6" xr:uid="{00000000-0009-0000-0000-00002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9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25</v>
      </c>
      <c r="C2" s="85" t="s">
        <v>628</v>
      </c>
      <c r="D2" s="84" t="s">
        <v>627</v>
      </c>
      <c r="E2" s="86">
        <v>1.447916666666667</v>
      </c>
      <c r="F2" s="84" t="s">
        <v>27</v>
      </c>
      <c r="G2" s="87">
        <v>8</v>
      </c>
      <c r="H2" s="88">
        <v>309</v>
      </c>
    </row>
    <row r="3" spans="1:8" ht="18" x14ac:dyDescent="0.3">
      <c r="A3" s="89">
        <v>45988</v>
      </c>
      <c r="B3" s="90" t="s">
        <v>25</v>
      </c>
      <c r="C3" s="91" t="s">
        <v>628</v>
      </c>
      <c r="D3" s="90" t="s">
        <v>627</v>
      </c>
      <c r="E3" s="92">
        <v>1.447916666666667</v>
      </c>
      <c r="F3" s="90" t="s">
        <v>30</v>
      </c>
      <c r="G3" s="93">
        <v>8</v>
      </c>
      <c r="H3" s="94">
        <v>459</v>
      </c>
    </row>
    <row r="4" spans="1:8" ht="18" x14ac:dyDescent="0.3">
      <c r="A4" s="89">
        <v>45988</v>
      </c>
      <c r="B4" s="90" t="s">
        <v>25</v>
      </c>
      <c r="C4" s="91" t="s">
        <v>628</v>
      </c>
      <c r="D4" s="90" t="s">
        <v>627</v>
      </c>
      <c r="E4" s="92">
        <v>1.447916666666667</v>
      </c>
      <c r="F4" s="90" t="s">
        <v>33</v>
      </c>
      <c r="G4" s="93">
        <v>8</v>
      </c>
      <c r="H4" s="94">
        <v>899</v>
      </c>
    </row>
    <row r="5" spans="1:8" ht="18" x14ac:dyDescent="0.3">
      <c r="A5" s="97">
        <v>45988</v>
      </c>
      <c r="B5" s="98" t="s">
        <v>25</v>
      </c>
      <c r="C5" s="99" t="s">
        <v>632</v>
      </c>
      <c r="D5" s="98" t="s">
        <v>627</v>
      </c>
      <c r="E5" s="100">
        <v>1.5</v>
      </c>
      <c r="F5" s="98" t="s">
        <v>27</v>
      </c>
      <c r="G5" s="101">
        <v>13</v>
      </c>
      <c r="H5" s="102">
        <v>309</v>
      </c>
    </row>
    <row r="6" spans="1:8" ht="18" x14ac:dyDescent="0.3">
      <c r="A6" s="89">
        <v>45988</v>
      </c>
      <c r="B6" s="90" t="s">
        <v>25</v>
      </c>
      <c r="C6" s="91" t="s">
        <v>632</v>
      </c>
      <c r="D6" s="90" t="s">
        <v>627</v>
      </c>
      <c r="E6" s="92">
        <v>1.5</v>
      </c>
      <c r="F6" s="90" t="s">
        <v>30</v>
      </c>
      <c r="G6" s="93">
        <v>13</v>
      </c>
      <c r="H6" s="94">
        <v>459</v>
      </c>
    </row>
    <row r="7" spans="1:8" ht="18" x14ac:dyDescent="0.3">
      <c r="A7" s="89">
        <v>45988</v>
      </c>
      <c r="B7" s="90" t="s">
        <v>25</v>
      </c>
      <c r="C7" s="91" t="s">
        <v>632</v>
      </c>
      <c r="D7" s="90" t="s">
        <v>627</v>
      </c>
      <c r="E7" s="92">
        <v>1.5</v>
      </c>
      <c r="F7" s="90" t="s">
        <v>33</v>
      </c>
      <c r="G7" s="93">
        <v>13</v>
      </c>
      <c r="H7" s="94">
        <v>899</v>
      </c>
    </row>
    <row r="8" spans="1:8" ht="18" x14ac:dyDescent="0.3">
      <c r="A8" s="97">
        <v>45988</v>
      </c>
      <c r="B8" s="98" t="s">
        <v>25</v>
      </c>
      <c r="C8" s="99" t="s">
        <v>634</v>
      </c>
      <c r="D8" s="98" t="s">
        <v>627</v>
      </c>
      <c r="E8" s="100">
        <v>1.760416666666667</v>
      </c>
      <c r="F8" s="98" t="s">
        <v>27</v>
      </c>
      <c r="G8" s="101">
        <v>5</v>
      </c>
      <c r="H8" s="102">
        <v>429</v>
      </c>
    </row>
    <row r="9" spans="1:8" ht="18" x14ac:dyDescent="0.3">
      <c r="A9" s="89">
        <v>45988</v>
      </c>
      <c r="B9" s="90" t="s">
        <v>25</v>
      </c>
      <c r="C9" s="91" t="s">
        <v>634</v>
      </c>
      <c r="D9" s="90" t="s">
        <v>627</v>
      </c>
      <c r="E9" s="92">
        <v>1.760416666666667</v>
      </c>
      <c r="F9" s="90" t="s">
        <v>30</v>
      </c>
      <c r="G9" s="93">
        <v>5</v>
      </c>
      <c r="H9" s="94">
        <v>579</v>
      </c>
    </row>
    <row r="10" spans="1:8" ht="18" x14ac:dyDescent="0.3">
      <c r="A10" s="89">
        <v>45988</v>
      </c>
      <c r="B10" s="90" t="s">
        <v>25</v>
      </c>
      <c r="C10" s="91" t="s">
        <v>634</v>
      </c>
      <c r="D10" s="90" t="s">
        <v>627</v>
      </c>
      <c r="E10" s="92">
        <v>1.760416666666667</v>
      </c>
      <c r="F10" s="90" t="s">
        <v>33</v>
      </c>
      <c r="G10" s="93">
        <v>5</v>
      </c>
      <c r="H10" s="90" t="s">
        <v>636</v>
      </c>
    </row>
    <row r="11" spans="1:8" ht="18" x14ac:dyDescent="0.3">
      <c r="A11" s="97">
        <v>45988</v>
      </c>
      <c r="B11" s="98" t="s">
        <v>25</v>
      </c>
      <c r="C11" s="99" t="s">
        <v>637</v>
      </c>
      <c r="D11" s="98" t="s">
        <v>627</v>
      </c>
      <c r="E11" s="100">
        <v>1.8159722222222221</v>
      </c>
      <c r="F11" s="98" t="s">
        <v>27</v>
      </c>
      <c r="G11" s="101">
        <v>7</v>
      </c>
      <c r="H11" s="102">
        <v>429</v>
      </c>
    </row>
    <row r="12" spans="1:8" ht="18" x14ac:dyDescent="0.3">
      <c r="A12" s="89">
        <v>45988</v>
      </c>
      <c r="B12" s="90" t="s">
        <v>25</v>
      </c>
      <c r="C12" s="91" t="s">
        <v>637</v>
      </c>
      <c r="D12" s="90" t="s">
        <v>627</v>
      </c>
      <c r="E12" s="92">
        <v>1.8159722222222221</v>
      </c>
      <c r="F12" s="90" t="s">
        <v>30</v>
      </c>
      <c r="G12" s="93">
        <v>7</v>
      </c>
      <c r="H12" s="94">
        <v>579</v>
      </c>
    </row>
    <row r="13" spans="1:8" ht="18" x14ac:dyDescent="0.3">
      <c r="A13" s="89">
        <v>45988</v>
      </c>
      <c r="B13" s="90" t="s">
        <v>25</v>
      </c>
      <c r="C13" s="91" t="s">
        <v>637</v>
      </c>
      <c r="D13" s="90" t="s">
        <v>627</v>
      </c>
      <c r="E13" s="92">
        <v>1.8159722222222221</v>
      </c>
      <c r="F13" s="90" t="s">
        <v>33</v>
      </c>
      <c r="G13" s="93">
        <v>7</v>
      </c>
      <c r="H13" s="90" t="s">
        <v>59</v>
      </c>
    </row>
    <row r="14" spans="1:8" ht="18" x14ac:dyDescent="0.3">
      <c r="A14" s="95">
        <v>45988</v>
      </c>
      <c r="B14" s="84" t="s">
        <v>47</v>
      </c>
      <c r="C14" s="85" t="s">
        <v>638</v>
      </c>
      <c r="D14" s="84" t="s">
        <v>627</v>
      </c>
      <c r="E14" s="86">
        <v>1.305555555555556</v>
      </c>
      <c r="F14" s="84" t="s">
        <v>49</v>
      </c>
      <c r="G14" s="87">
        <v>4</v>
      </c>
      <c r="H14" s="96">
        <v>329</v>
      </c>
    </row>
    <row r="15" spans="1:8" ht="18" x14ac:dyDescent="0.3">
      <c r="A15" s="89">
        <v>45988</v>
      </c>
      <c r="B15" s="90" t="s">
        <v>47</v>
      </c>
      <c r="C15" s="91" t="s">
        <v>638</v>
      </c>
      <c r="D15" s="90" t="s">
        <v>627</v>
      </c>
      <c r="E15" s="92">
        <v>1.305555555555556</v>
      </c>
      <c r="F15" s="90" t="s">
        <v>52</v>
      </c>
      <c r="G15" s="93">
        <v>4</v>
      </c>
      <c r="H15" s="94">
        <v>429</v>
      </c>
    </row>
    <row r="16" spans="1:8" ht="18" x14ac:dyDescent="0.3">
      <c r="A16" s="89">
        <v>45988</v>
      </c>
      <c r="B16" s="90" t="s">
        <v>47</v>
      </c>
      <c r="C16" s="91" t="s">
        <v>638</v>
      </c>
      <c r="D16" s="90" t="s">
        <v>627</v>
      </c>
      <c r="E16" s="92">
        <v>1.305555555555556</v>
      </c>
      <c r="F16" s="90" t="s">
        <v>55</v>
      </c>
      <c r="G16" s="93">
        <v>4</v>
      </c>
      <c r="H16" s="94">
        <v>519</v>
      </c>
    </row>
    <row r="17" spans="1:8" ht="18" x14ac:dyDescent="0.3">
      <c r="A17" s="97">
        <v>45988</v>
      </c>
      <c r="B17" s="98" t="s">
        <v>47</v>
      </c>
      <c r="C17" s="99" t="s">
        <v>640</v>
      </c>
      <c r="D17" s="98" t="s">
        <v>627</v>
      </c>
      <c r="E17" s="100">
        <v>1.5</v>
      </c>
      <c r="F17" s="98" t="s">
        <v>49</v>
      </c>
      <c r="G17" s="101">
        <v>1</v>
      </c>
      <c r="H17" s="102">
        <v>329</v>
      </c>
    </row>
    <row r="18" spans="1:8" ht="18" x14ac:dyDescent="0.3">
      <c r="A18" s="89">
        <v>45988</v>
      </c>
      <c r="B18" s="90" t="s">
        <v>47</v>
      </c>
      <c r="C18" s="91" t="s">
        <v>640</v>
      </c>
      <c r="D18" s="90" t="s">
        <v>627</v>
      </c>
      <c r="E18" s="92">
        <v>1.5</v>
      </c>
      <c r="F18" s="90" t="s">
        <v>52</v>
      </c>
      <c r="G18" s="93">
        <v>1</v>
      </c>
      <c r="H18" s="94">
        <v>429</v>
      </c>
    </row>
    <row r="19" spans="1:8" ht="18" x14ac:dyDescent="0.3">
      <c r="A19" s="89">
        <v>45988</v>
      </c>
      <c r="B19" s="90" t="s">
        <v>47</v>
      </c>
      <c r="C19" s="91" t="s">
        <v>640</v>
      </c>
      <c r="D19" s="90" t="s">
        <v>627</v>
      </c>
      <c r="E19" s="92">
        <v>1.5</v>
      </c>
      <c r="F19" s="90" t="s">
        <v>55</v>
      </c>
      <c r="G19" s="93">
        <v>1</v>
      </c>
      <c r="H19" s="94">
        <v>519</v>
      </c>
    </row>
    <row r="20" spans="1:8" ht="18" x14ac:dyDescent="0.3">
      <c r="A20" s="97">
        <v>45988</v>
      </c>
      <c r="B20" s="98" t="s">
        <v>47</v>
      </c>
      <c r="C20" s="99" t="s">
        <v>641</v>
      </c>
      <c r="D20" s="98" t="s">
        <v>627</v>
      </c>
      <c r="E20" s="100">
        <v>1.427083333333333</v>
      </c>
      <c r="F20" s="98" t="s">
        <v>49</v>
      </c>
      <c r="G20" s="101">
        <v>1</v>
      </c>
      <c r="H20" s="102">
        <v>329</v>
      </c>
    </row>
    <row r="21" spans="1:8" ht="18" x14ac:dyDescent="0.3">
      <c r="A21" s="89">
        <v>45988</v>
      </c>
      <c r="B21" s="90" t="s">
        <v>47</v>
      </c>
      <c r="C21" s="91" t="s">
        <v>641</v>
      </c>
      <c r="D21" s="90" t="s">
        <v>627</v>
      </c>
      <c r="E21" s="92">
        <v>1.427083333333333</v>
      </c>
      <c r="F21" s="90" t="s">
        <v>52</v>
      </c>
      <c r="G21" s="93">
        <v>1</v>
      </c>
      <c r="H21" s="94">
        <v>429</v>
      </c>
    </row>
    <row r="22" spans="1:8" ht="18" x14ac:dyDescent="0.3">
      <c r="A22" s="89">
        <v>45988</v>
      </c>
      <c r="B22" s="90" t="s">
        <v>47</v>
      </c>
      <c r="C22" s="91" t="s">
        <v>641</v>
      </c>
      <c r="D22" s="90" t="s">
        <v>627</v>
      </c>
      <c r="E22" s="92">
        <v>1.427083333333333</v>
      </c>
      <c r="F22" s="90" t="s">
        <v>55</v>
      </c>
      <c r="G22" s="93">
        <v>1</v>
      </c>
      <c r="H22" s="94">
        <v>519</v>
      </c>
    </row>
    <row r="23" spans="1:8" ht="18" x14ac:dyDescent="0.3">
      <c r="A23" s="97">
        <v>45988</v>
      </c>
      <c r="B23" s="98" t="s">
        <v>47</v>
      </c>
      <c r="C23" s="99" t="s">
        <v>642</v>
      </c>
      <c r="D23" s="98" t="s">
        <v>627</v>
      </c>
      <c r="E23" s="100">
        <v>1.375</v>
      </c>
      <c r="F23" s="98" t="s">
        <v>49</v>
      </c>
      <c r="G23" s="101">
        <v>9</v>
      </c>
      <c r="H23" s="102">
        <v>329</v>
      </c>
    </row>
    <row r="24" spans="1:8" ht="18" x14ac:dyDescent="0.3">
      <c r="A24" s="89">
        <v>45988</v>
      </c>
      <c r="B24" s="90" t="s">
        <v>47</v>
      </c>
      <c r="C24" s="91" t="s">
        <v>642</v>
      </c>
      <c r="D24" s="90" t="s">
        <v>627</v>
      </c>
      <c r="E24" s="92">
        <v>1.375</v>
      </c>
      <c r="F24" s="90" t="s">
        <v>52</v>
      </c>
      <c r="G24" s="93">
        <v>9</v>
      </c>
      <c r="H24" s="94">
        <v>429</v>
      </c>
    </row>
    <row r="25" spans="1:8" ht="18" x14ac:dyDescent="0.3">
      <c r="A25" s="89">
        <v>45988</v>
      </c>
      <c r="B25" s="90" t="s">
        <v>47</v>
      </c>
      <c r="C25" s="91" t="s">
        <v>642</v>
      </c>
      <c r="D25" s="90" t="s">
        <v>627</v>
      </c>
      <c r="E25" s="92">
        <v>1.375</v>
      </c>
      <c r="F25" s="90" t="s">
        <v>55</v>
      </c>
      <c r="G25" s="93">
        <v>9</v>
      </c>
      <c r="H25" s="94">
        <v>519</v>
      </c>
    </row>
    <row r="26" spans="1:8" ht="18" x14ac:dyDescent="0.3">
      <c r="A26" s="97">
        <v>45988</v>
      </c>
      <c r="B26" s="98" t="s">
        <v>47</v>
      </c>
      <c r="C26" s="99" t="s">
        <v>643</v>
      </c>
      <c r="D26" s="98" t="s">
        <v>627</v>
      </c>
      <c r="E26" s="100">
        <v>1.5659722222222221</v>
      </c>
      <c r="F26" s="98" t="s">
        <v>49</v>
      </c>
      <c r="G26" s="101">
        <v>9</v>
      </c>
      <c r="H26" s="102">
        <v>369</v>
      </c>
    </row>
    <row r="27" spans="1:8" ht="18" x14ac:dyDescent="0.3">
      <c r="A27" s="89">
        <v>45988</v>
      </c>
      <c r="B27" s="90" t="s">
        <v>47</v>
      </c>
      <c r="C27" s="91" t="s">
        <v>643</v>
      </c>
      <c r="D27" s="90" t="s">
        <v>627</v>
      </c>
      <c r="E27" s="92">
        <v>1.5659722222222221</v>
      </c>
      <c r="F27" s="90" t="s">
        <v>52</v>
      </c>
      <c r="G27" s="93">
        <v>9</v>
      </c>
      <c r="H27" s="94">
        <v>469</v>
      </c>
    </row>
    <row r="28" spans="1:8" ht="18" x14ac:dyDescent="0.3">
      <c r="A28" s="89">
        <v>45988</v>
      </c>
      <c r="B28" s="90" t="s">
        <v>47</v>
      </c>
      <c r="C28" s="91" t="s">
        <v>643</v>
      </c>
      <c r="D28" s="90" t="s">
        <v>627</v>
      </c>
      <c r="E28" s="92">
        <v>1.5659722222222221</v>
      </c>
      <c r="F28" s="90" t="s">
        <v>55</v>
      </c>
      <c r="G28" s="93">
        <v>9</v>
      </c>
      <c r="H28" s="94">
        <v>559</v>
      </c>
    </row>
    <row r="29" spans="1:8" ht="18" x14ac:dyDescent="0.3">
      <c r="A29" s="97">
        <v>45988</v>
      </c>
      <c r="B29" s="98" t="s">
        <v>47</v>
      </c>
      <c r="C29" s="99" t="s">
        <v>644</v>
      </c>
      <c r="D29" s="98" t="s">
        <v>627</v>
      </c>
      <c r="E29" s="100">
        <v>1.8263888888888891</v>
      </c>
      <c r="F29" s="98" t="s">
        <v>49</v>
      </c>
      <c r="G29" s="101">
        <v>9</v>
      </c>
      <c r="H29" s="102">
        <v>489</v>
      </c>
    </row>
    <row r="30" spans="1:8" ht="18" x14ac:dyDescent="0.3">
      <c r="A30" s="89">
        <v>45988</v>
      </c>
      <c r="B30" s="90" t="s">
        <v>47</v>
      </c>
      <c r="C30" s="91" t="s">
        <v>644</v>
      </c>
      <c r="D30" s="90" t="s">
        <v>627</v>
      </c>
      <c r="E30" s="92">
        <v>1.8263888888888891</v>
      </c>
      <c r="F30" s="90" t="s">
        <v>52</v>
      </c>
      <c r="G30" s="93">
        <v>9</v>
      </c>
      <c r="H30" s="94">
        <v>589</v>
      </c>
    </row>
    <row r="31" spans="1:8" ht="18" x14ac:dyDescent="0.3">
      <c r="A31" s="89">
        <v>45988</v>
      </c>
      <c r="B31" s="90" t="s">
        <v>47</v>
      </c>
      <c r="C31" s="91" t="s">
        <v>644</v>
      </c>
      <c r="D31" s="90" t="s">
        <v>627</v>
      </c>
      <c r="E31" s="92">
        <v>1.8263888888888891</v>
      </c>
      <c r="F31" s="90" t="s">
        <v>55</v>
      </c>
      <c r="G31" s="93">
        <v>9</v>
      </c>
      <c r="H31" s="94">
        <v>679</v>
      </c>
    </row>
    <row r="32" spans="1:8" ht="18" x14ac:dyDescent="0.3">
      <c r="A32" s="97">
        <v>45988</v>
      </c>
      <c r="B32" s="98" t="s">
        <v>47</v>
      </c>
      <c r="C32" s="99" t="s">
        <v>645</v>
      </c>
      <c r="D32" s="98" t="s">
        <v>627</v>
      </c>
      <c r="E32" s="100">
        <v>1.6875</v>
      </c>
      <c r="F32" s="98" t="s">
        <v>49</v>
      </c>
      <c r="G32" s="101">
        <v>9</v>
      </c>
      <c r="H32" s="102">
        <v>489</v>
      </c>
    </row>
    <row r="33" spans="1:8" ht="18" x14ac:dyDescent="0.3">
      <c r="A33" s="89">
        <v>45988</v>
      </c>
      <c r="B33" s="90" t="s">
        <v>47</v>
      </c>
      <c r="C33" s="91" t="s">
        <v>645</v>
      </c>
      <c r="D33" s="90" t="s">
        <v>627</v>
      </c>
      <c r="E33" s="92">
        <v>1.6875</v>
      </c>
      <c r="F33" s="90" t="s">
        <v>52</v>
      </c>
      <c r="G33" s="93">
        <v>9</v>
      </c>
      <c r="H33" s="94">
        <v>589</v>
      </c>
    </row>
    <row r="34" spans="1:8" ht="18" x14ac:dyDescent="0.3">
      <c r="A34" s="89">
        <v>45988</v>
      </c>
      <c r="B34" s="90" t="s">
        <v>47</v>
      </c>
      <c r="C34" s="91" t="s">
        <v>645</v>
      </c>
      <c r="D34" s="90" t="s">
        <v>627</v>
      </c>
      <c r="E34" s="92">
        <v>1.6875</v>
      </c>
      <c r="F34" s="90" t="s">
        <v>55</v>
      </c>
      <c r="G34" s="93">
        <v>9</v>
      </c>
      <c r="H34" s="94">
        <v>679</v>
      </c>
    </row>
    <row r="35" spans="1:8" ht="18" x14ac:dyDescent="0.3">
      <c r="A35" s="95">
        <v>45988</v>
      </c>
      <c r="B35" s="84" t="s">
        <v>272</v>
      </c>
      <c r="C35" s="85" t="s">
        <v>646</v>
      </c>
      <c r="D35" s="84" t="s">
        <v>627</v>
      </c>
      <c r="E35" s="86">
        <v>1.8784722222222221</v>
      </c>
      <c r="F35" s="84" t="s">
        <v>78</v>
      </c>
      <c r="G35" s="87">
        <v>9</v>
      </c>
      <c r="H35" s="96">
        <v>350</v>
      </c>
    </row>
    <row r="36" spans="1:8" ht="18" x14ac:dyDescent="0.3">
      <c r="A36" s="95">
        <v>45988</v>
      </c>
      <c r="B36" s="84" t="s">
        <v>300</v>
      </c>
      <c r="C36" s="85" t="s">
        <v>648</v>
      </c>
      <c r="D36" s="84" t="s">
        <v>627</v>
      </c>
      <c r="E36" s="86">
        <v>1.354166666666667</v>
      </c>
      <c r="F36" s="84" t="s">
        <v>78</v>
      </c>
      <c r="G36" s="87">
        <v>9</v>
      </c>
      <c r="H36" s="96">
        <v>357</v>
      </c>
    </row>
    <row r="37" spans="1:8" ht="18" x14ac:dyDescent="0.3">
      <c r="A37" s="97">
        <v>45988</v>
      </c>
      <c r="B37" s="98" t="s">
        <v>300</v>
      </c>
      <c r="C37" s="99" t="s">
        <v>650</v>
      </c>
      <c r="D37" s="98" t="s">
        <v>627</v>
      </c>
      <c r="E37" s="100">
        <v>1.8576388888888891</v>
      </c>
      <c r="F37" s="98" t="s">
        <v>78</v>
      </c>
      <c r="G37" s="101">
        <v>8</v>
      </c>
      <c r="H37" s="102">
        <v>357</v>
      </c>
    </row>
    <row r="38" spans="1:8" ht="18" x14ac:dyDescent="0.3">
      <c r="A38" s="113">
        <v>45988</v>
      </c>
      <c r="B38" s="114" t="s">
        <v>76</v>
      </c>
      <c r="C38" s="115" t="s">
        <v>651</v>
      </c>
      <c r="D38" s="114" t="s">
        <v>627</v>
      </c>
      <c r="E38" s="116">
        <v>1.6111111111111109</v>
      </c>
      <c r="F38" s="114" t="s">
        <v>78</v>
      </c>
      <c r="G38" s="117">
        <v>9</v>
      </c>
      <c r="H38" s="203">
        <v>397</v>
      </c>
    </row>
    <row r="39" spans="1:8" ht="18" x14ac:dyDescent="0.3">
      <c r="A39" s="95">
        <v>45988</v>
      </c>
      <c r="B39" s="84" t="s">
        <v>302</v>
      </c>
      <c r="C39" s="85" t="s">
        <v>655</v>
      </c>
      <c r="D39" s="84" t="s">
        <v>627</v>
      </c>
      <c r="E39" s="86">
        <v>1.6215277777777779</v>
      </c>
      <c r="F39" s="84" t="s">
        <v>304</v>
      </c>
      <c r="G39" s="87">
        <v>9</v>
      </c>
      <c r="H39" s="96">
        <v>417</v>
      </c>
    </row>
    <row r="40" spans="1:8" ht="18" x14ac:dyDescent="0.3">
      <c r="A40" s="89">
        <v>45988</v>
      </c>
      <c r="B40" s="90" t="s">
        <v>302</v>
      </c>
      <c r="C40" s="91" t="s">
        <v>655</v>
      </c>
      <c r="D40" s="90" t="s">
        <v>627</v>
      </c>
      <c r="E40" s="92">
        <v>1.6215277777777779</v>
      </c>
      <c r="F40" s="90" t="s">
        <v>33</v>
      </c>
      <c r="G40" s="93">
        <v>9</v>
      </c>
      <c r="H40" s="94">
        <v>540</v>
      </c>
    </row>
    <row r="41" spans="1:8" ht="18" x14ac:dyDescent="0.3">
      <c r="A41" s="95">
        <v>45988</v>
      </c>
      <c r="B41" s="84" t="s">
        <v>35</v>
      </c>
      <c r="C41" s="85" t="s">
        <v>658</v>
      </c>
      <c r="D41" s="84" t="s">
        <v>627</v>
      </c>
      <c r="E41" s="86">
        <v>1.541666666666667</v>
      </c>
      <c r="F41" s="84" t="s">
        <v>37</v>
      </c>
      <c r="G41" s="87">
        <v>1</v>
      </c>
      <c r="H41" s="96">
        <v>597</v>
      </c>
    </row>
    <row r="42" spans="1:8" ht="18" x14ac:dyDescent="0.3">
      <c r="A42" s="97">
        <v>45988</v>
      </c>
      <c r="B42" s="98" t="s">
        <v>35</v>
      </c>
      <c r="C42" s="99" t="s">
        <v>660</v>
      </c>
      <c r="D42" s="98" t="s">
        <v>627</v>
      </c>
      <c r="E42" s="100">
        <v>1.166666666666667</v>
      </c>
      <c r="F42" s="98" t="s">
        <v>37</v>
      </c>
      <c r="G42" s="101">
        <v>1</v>
      </c>
      <c r="H42" s="102">
        <v>601</v>
      </c>
    </row>
    <row r="43" spans="1:8" ht="18" x14ac:dyDescent="0.3">
      <c r="A43" s="97">
        <v>45988</v>
      </c>
      <c r="B43" s="98" t="s">
        <v>35</v>
      </c>
      <c r="C43" s="99" t="s">
        <v>662</v>
      </c>
      <c r="D43" s="98" t="s">
        <v>627</v>
      </c>
      <c r="E43" s="100">
        <v>1.916666666666667</v>
      </c>
      <c r="F43" s="98" t="s">
        <v>37</v>
      </c>
      <c r="G43" s="101">
        <v>1</v>
      </c>
      <c r="H43" s="102">
        <v>841</v>
      </c>
    </row>
    <row r="44" spans="1:8" ht="18" x14ac:dyDescent="0.3">
      <c r="A44" s="95">
        <v>45988</v>
      </c>
      <c r="B44" s="84" t="s">
        <v>63</v>
      </c>
      <c r="C44" s="85" t="s">
        <v>664</v>
      </c>
      <c r="D44" s="84" t="s">
        <v>627</v>
      </c>
      <c r="E44" s="86">
        <v>1.2986111111111109</v>
      </c>
      <c r="F44" s="84" t="s">
        <v>65</v>
      </c>
      <c r="G44" s="87">
        <v>1</v>
      </c>
      <c r="H44" s="96">
        <v>849</v>
      </c>
    </row>
    <row r="45" spans="1:8" ht="18" x14ac:dyDescent="0.3">
      <c r="A45" s="89">
        <v>45988</v>
      </c>
      <c r="B45" s="90" t="s">
        <v>63</v>
      </c>
      <c r="C45" s="91" t="s">
        <v>664</v>
      </c>
      <c r="D45" s="90" t="s">
        <v>627</v>
      </c>
      <c r="E45" s="92">
        <v>1.2986111111111109</v>
      </c>
      <c r="F45" s="90" t="s">
        <v>67</v>
      </c>
      <c r="G45" s="93">
        <v>1</v>
      </c>
      <c r="H45" s="94">
        <v>899</v>
      </c>
    </row>
    <row r="46" spans="1:8" ht="18" x14ac:dyDescent="0.3">
      <c r="A46" s="97">
        <v>45988</v>
      </c>
      <c r="B46" s="98" t="s">
        <v>63</v>
      </c>
      <c r="C46" s="99" t="s">
        <v>665</v>
      </c>
      <c r="D46" s="98" t="s">
        <v>627</v>
      </c>
      <c r="E46" s="100">
        <v>1.6840277777777779</v>
      </c>
      <c r="F46" s="98" t="s">
        <v>65</v>
      </c>
      <c r="G46" s="101">
        <v>1</v>
      </c>
      <c r="H46" s="102">
        <v>999</v>
      </c>
    </row>
    <row r="47" spans="1:8" ht="18" x14ac:dyDescent="0.3">
      <c r="A47" s="89">
        <v>45988</v>
      </c>
      <c r="B47" s="90" t="s">
        <v>63</v>
      </c>
      <c r="C47" s="91" t="s">
        <v>665</v>
      </c>
      <c r="D47" s="90" t="s">
        <v>627</v>
      </c>
      <c r="E47" s="92">
        <v>1.6840277777777779</v>
      </c>
      <c r="F47" s="90" t="s">
        <v>67</v>
      </c>
      <c r="G47" s="93">
        <v>1</v>
      </c>
      <c r="H47" s="90" t="s">
        <v>667</v>
      </c>
    </row>
    <row r="48" spans="1:8" ht="18" x14ac:dyDescent="0.3">
      <c r="A48" s="97">
        <v>45988</v>
      </c>
      <c r="B48" s="98" t="s">
        <v>63</v>
      </c>
      <c r="C48" s="99" t="s">
        <v>668</v>
      </c>
      <c r="D48" s="98" t="s">
        <v>627</v>
      </c>
      <c r="E48" s="100">
        <v>1.4826388888888891</v>
      </c>
      <c r="F48" s="98" t="s">
        <v>65</v>
      </c>
      <c r="G48" s="101">
        <v>9</v>
      </c>
      <c r="H48" s="102">
        <v>999</v>
      </c>
    </row>
    <row r="49" spans="1:8" ht="18" x14ac:dyDescent="0.3">
      <c r="A49" s="89">
        <v>45988</v>
      </c>
      <c r="B49" s="90" t="s">
        <v>63</v>
      </c>
      <c r="C49" s="91" t="s">
        <v>668</v>
      </c>
      <c r="D49" s="90" t="s">
        <v>627</v>
      </c>
      <c r="E49" s="92">
        <v>1.4826388888888891</v>
      </c>
      <c r="F49" s="90" t="s">
        <v>67</v>
      </c>
      <c r="G49" s="93">
        <v>9</v>
      </c>
      <c r="H49" s="90" t="s">
        <v>667</v>
      </c>
    </row>
    <row r="50" spans="1:8" ht="18" x14ac:dyDescent="0.3">
      <c r="A50" s="97">
        <v>45988</v>
      </c>
      <c r="B50" s="98" t="s">
        <v>63</v>
      </c>
      <c r="C50" s="99" t="s">
        <v>669</v>
      </c>
      <c r="D50" s="98" t="s">
        <v>627</v>
      </c>
      <c r="E50" s="100">
        <v>1.5</v>
      </c>
      <c r="F50" s="98" t="s">
        <v>67</v>
      </c>
      <c r="G50" s="101">
        <v>4</v>
      </c>
      <c r="H50" s="98" t="s">
        <v>670</v>
      </c>
    </row>
    <row r="51" spans="1:8" ht="18" x14ac:dyDescent="0.3">
      <c r="A51" s="97">
        <v>45988</v>
      </c>
      <c r="B51" s="98" t="s">
        <v>63</v>
      </c>
      <c r="C51" s="99" t="s">
        <v>671</v>
      </c>
      <c r="D51" s="98" t="s">
        <v>627</v>
      </c>
      <c r="E51" s="100">
        <v>1.8159722222222221</v>
      </c>
      <c r="F51" s="98" t="s">
        <v>67</v>
      </c>
      <c r="G51" s="101">
        <v>4</v>
      </c>
      <c r="H51" s="98" t="s">
        <v>672</v>
      </c>
    </row>
    <row r="52" spans="1:8" ht="18" x14ac:dyDescent="0.3">
      <c r="A52" s="97">
        <v>45988</v>
      </c>
      <c r="B52" s="98" t="s">
        <v>63</v>
      </c>
      <c r="C52" s="99" t="s">
        <v>673</v>
      </c>
      <c r="D52" s="98" t="s">
        <v>627</v>
      </c>
      <c r="E52" s="100">
        <v>1.760416666666667</v>
      </c>
      <c r="F52" s="98" t="s">
        <v>67</v>
      </c>
      <c r="G52" s="101">
        <v>4</v>
      </c>
      <c r="H52" s="98" t="s">
        <v>674</v>
      </c>
    </row>
    <row r="53" spans="1:8" ht="18" x14ac:dyDescent="0.3">
      <c r="A53" s="97">
        <v>45988</v>
      </c>
      <c r="B53" s="98" t="s">
        <v>63</v>
      </c>
      <c r="C53" s="99" t="s">
        <v>675</v>
      </c>
      <c r="D53" s="98" t="s">
        <v>627</v>
      </c>
      <c r="E53" s="100">
        <v>1.836805555555556</v>
      </c>
      <c r="F53" s="98" t="s">
        <v>65</v>
      </c>
      <c r="G53" s="101">
        <v>9</v>
      </c>
      <c r="H53" s="98" t="s">
        <v>676</v>
      </c>
    </row>
    <row r="54" spans="1:8" ht="18" x14ac:dyDescent="0.3">
      <c r="A54" s="210">
        <v>45988</v>
      </c>
      <c r="B54" s="211" t="s">
        <v>63</v>
      </c>
      <c r="C54" s="212" t="s">
        <v>675</v>
      </c>
      <c r="D54" s="211" t="s">
        <v>627</v>
      </c>
      <c r="E54" s="213">
        <v>1.836805555555556</v>
      </c>
      <c r="F54" s="211" t="s">
        <v>67</v>
      </c>
      <c r="G54" s="214">
        <v>9</v>
      </c>
      <c r="H54" s="211" t="s">
        <v>677</v>
      </c>
    </row>
    <row r="55" spans="1:8" ht="18" x14ac:dyDescent="0.3">
      <c r="A55" s="83">
        <v>45989</v>
      </c>
      <c r="B55" s="84" t="s">
        <v>25</v>
      </c>
      <c r="C55" s="85" t="s">
        <v>634</v>
      </c>
      <c r="D55" s="84" t="s">
        <v>627</v>
      </c>
      <c r="E55" s="86">
        <v>1.760416666666667</v>
      </c>
      <c r="F55" s="84" t="s">
        <v>27</v>
      </c>
      <c r="G55" s="87">
        <v>1</v>
      </c>
      <c r="H55" s="88">
        <v>259</v>
      </c>
    </row>
    <row r="56" spans="1:8" ht="18" x14ac:dyDescent="0.3">
      <c r="A56" s="89">
        <v>45989</v>
      </c>
      <c r="B56" s="90" t="s">
        <v>25</v>
      </c>
      <c r="C56" s="91" t="s">
        <v>634</v>
      </c>
      <c r="D56" s="90" t="s">
        <v>627</v>
      </c>
      <c r="E56" s="92">
        <v>1.760416666666667</v>
      </c>
      <c r="F56" s="90" t="s">
        <v>30</v>
      </c>
      <c r="G56" s="93">
        <v>1</v>
      </c>
      <c r="H56" s="94">
        <v>409</v>
      </c>
    </row>
    <row r="57" spans="1:8" ht="18" x14ac:dyDescent="0.3">
      <c r="A57" s="89">
        <v>45989</v>
      </c>
      <c r="B57" s="90" t="s">
        <v>25</v>
      </c>
      <c r="C57" s="91" t="s">
        <v>634</v>
      </c>
      <c r="D57" s="90" t="s">
        <v>627</v>
      </c>
      <c r="E57" s="92">
        <v>1.760416666666667</v>
      </c>
      <c r="F57" s="90" t="s">
        <v>33</v>
      </c>
      <c r="G57" s="93">
        <v>1</v>
      </c>
      <c r="H57" s="94">
        <v>899</v>
      </c>
    </row>
    <row r="58" spans="1:8" ht="18" x14ac:dyDescent="0.3">
      <c r="A58" s="97">
        <v>45989</v>
      </c>
      <c r="B58" s="98" t="s">
        <v>25</v>
      </c>
      <c r="C58" s="99" t="s">
        <v>637</v>
      </c>
      <c r="D58" s="98" t="s">
        <v>627</v>
      </c>
      <c r="E58" s="100">
        <v>1.8159722222222221</v>
      </c>
      <c r="F58" s="98" t="s">
        <v>27</v>
      </c>
      <c r="G58" s="101">
        <v>18</v>
      </c>
      <c r="H58" s="102">
        <v>259</v>
      </c>
    </row>
    <row r="59" spans="1:8" ht="18" x14ac:dyDescent="0.3">
      <c r="A59" s="89">
        <v>45989</v>
      </c>
      <c r="B59" s="90" t="s">
        <v>25</v>
      </c>
      <c r="C59" s="91" t="s">
        <v>637</v>
      </c>
      <c r="D59" s="90" t="s">
        <v>627</v>
      </c>
      <c r="E59" s="92">
        <v>1.8159722222222221</v>
      </c>
      <c r="F59" s="90" t="s">
        <v>30</v>
      </c>
      <c r="G59" s="93">
        <v>18</v>
      </c>
      <c r="H59" s="94">
        <v>409</v>
      </c>
    </row>
    <row r="60" spans="1:8" ht="18" x14ac:dyDescent="0.3">
      <c r="A60" s="89">
        <v>45989</v>
      </c>
      <c r="B60" s="90" t="s">
        <v>25</v>
      </c>
      <c r="C60" s="91" t="s">
        <v>637</v>
      </c>
      <c r="D60" s="90" t="s">
        <v>627</v>
      </c>
      <c r="E60" s="92">
        <v>1.8159722222222221</v>
      </c>
      <c r="F60" s="90" t="s">
        <v>33</v>
      </c>
      <c r="G60" s="93">
        <v>18</v>
      </c>
      <c r="H60" s="94">
        <v>899</v>
      </c>
    </row>
    <row r="61" spans="1:8" ht="18" x14ac:dyDescent="0.3">
      <c r="A61" s="97">
        <v>45989</v>
      </c>
      <c r="B61" s="98" t="s">
        <v>25</v>
      </c>
      <c r="C61" s="99" t="s">
        <v>632</v>
      </c>
      <c r="D61" s="98" t="s">
        <v>627</v>
      </c>
      <c r="E61" s="100">
        <v>1.5</v>
      </c>
      <c r="F61" s="98" t="s">
        <v>27</v>
      </c>
      <c r="G61" s="101">
        <v>9</v>
      </c>
      <c r="H61" s="102">
        <v>309</v>
      </c>
    </row>
    <row r="62" spans="1:8" ht="18" x14ac:dyDescent="0.3">
      <c r="A62" s="89">
        <v>45989</v>
      </c>
      <c r="B62" s="90" t="s">
        <v>25</v>
      </c>
      <c r="C62" s="91" t="s">
        <v>632</v>
      </c>
      <c r="D62" s="90" t="s">
        <v>627</v>
      </c>
      <c r="E62" s="92">
        <v>1.5</v>
      </c>
      <c r="F62" s="90" t="s">
        <v>30</v>
      </c>
      <c r="G62" s="93">
        <v>9</v>
      </c>
      <c r="H62" s="94">
        <v>459</v>
      </c>
    </row>
    <row r="63" spans="1:8" ht="18" x14ac:dyDescent="0.3">
      <c r="A63" s="89">
        <v>45989</v>
      </c>
      <c r="B63" s="90" t="s">
        <v>25</v>
      </c>
      <c r="C63" s="91" t="s">
        <v>632</v>
      </c>
      <c r="D63" s="90" t="s">
        <v>627</v>
      </c>
      <c r="E63" s="92">
        <v>1.5</v>
      </c>
      <c r="F63" s="90" t="s">
        <v>33</v>
      </c>
      <c r="G63" s="93">
        <v>9</v>
      </c>
      <c r="H63" s="94">
        <v>899</v>
      </c>
    </row>
    <row r="64" spans="1:8" ht="18" x14ac:dyDescent="0.3">
      <c r="A64" s="97">
        <v>45989</v>
      </c>
      <c r="B64" s="98" t="s">
        <v>25</v>
      </c>
      <c r="C64" s="99" t="s">
        <v>628</v>
      </c>
      <c r="D64" s="98" t="s">
        <v>627</v>
      </c>
      <c r="E64" s="100">
        <v>1.447916666666667</v>
      </c>
      <c r="F64" s="98" t="s">
        <v>27</v>
      </c>
      <c r="G64" s="101">
        <v>20</v>
      </c>
      <c r="H64" s="102">
        <v>339</v>
      </c>
    </row>
    <row r="65" spans="1:8" ht="18" x14ac:dyDescent="0.3">
      <c r="A65" s="89">
        <v>45989</v>
      </c>
      <c r="B65" s="90" t="s">
        <v>25</v>
      </c>
      <c r="C65" s="91" t="s">
        <v>628</v>
      </c>
      <c r="D65" s="90" t="s">
        <v>627</v>
      </c>
      <c r="E65" s="92">
        <v>1.447916666666667</v>
      </c>
      <c r="F65" s="90" t="s">
        <v>30</v>
      </c>
      <c r="G65" s="93">
        <v>20</v>
      </c>
      <c r="H65" s="94">
        <v>489</v>
      </c>
    </row>
    <row r="66" spans="1:8" ht="18" x14ac:dyDescent="0.3">
      <c r="A66" s="89">
        <v>45989</v>
      </c>
      <c r="B66" s="90" t="s">
        <v>25</v>
      </c>
      <c r="C66" s="91" t="s">
        <v>628</v>
      </c>
      <c r="D66" s="90" t="s">
        <v>627</v>
      </c>
      <c r="E66" s="92">
        <v>1.447916666666667</v>
      </c>
      <c r="F66" s="90" t="s">
        <v>33</v>
      </c>
      <c r="G66" s="93">
        <v>20</v>
      </c>
      <c r="H66" s="94">
        <v>899</v>
      </c>
    </row>
    <row r="67" spans="1:8" ht="18" x14ac:dyDescent="0.3">
      <c r="A67" s="95">
        <v>45989</v>
      </c>
      <c r="B67" s="84" t="s">
        <v>47</v>
      </c>
      <c r="C67" s="85" t="s">
        <v>638</v>
      </c>
      <c r="D67" s="84" t="s">
        <v>627</v>
      </c>
      <c r="E67" s="86">
        <v>1.305555555555556</v>
      </c>
      <c r="F67" s="84" t="s">
        <v>49</v>
      </c>
      <c r="G67" s="87">
        <v>9</v>
      </c>
      <c r="H67" s="96">
        <v>329</v>
      </c>
    </row>
    <row r="68" spans="1:8" ht="18" x14ac:dyDescent="0.3">
      <c r="A68" s="89">
        <v>45989</v>
      </c>
      <c r="B68" s="90" t="s">
        <v>47</v>
      </c>
      <c r="C68" s="91" t="s">
        <v>638</v>
      </c>
      <c r="D68" s="90" t="s">
        <v>627</v>
      </c>
      <c r="E68" s="92">
        <v>1.305555555555556</v>
      </c>
      <c r="F68" s="90" t="s">
        <v>52</v>
      </c>
      <c r="G68" s="93">
        <v>9</v>
      </c>
      <c r="H68" s="94">
        <v>429</v>
      </c>
    </row>
    <row r="69" spans="1:8" ht="18" x14ac:dyDescent="0.3">
      <c r="A69" s="89">
        <v>45989</v>
      </c>
      <c r="B69" s="90" t="s">
        <v>47</v>
      </c>
      <c r="C69" s="91" t="s">
        <v>638</v>
      </c>
      <c r="D69" s="90" t="s">
        <v>627</v>
      </c>
      <c r="E69" s="92">
        <v>1.305555555555556</v>
      </c>
      <c r="F69" s="90" t="s">
        <v>55</v>
      </c>
      <c r="G69" s="93">
        <v>9</v>
      </c>
      <c r="H69" s="94">
        <v>519</v>
      </c>
    </row>
    <row r="70" spans="1:8" ht="18" x14ac:dyDescent="0.3">
      <c r="A70" s="97">
        <v>45989</v>
      </c>
      <c r="B70" s="98" t="s">
        <v>47</v>
      </c>
      <c r="C70" s="99" t="s">
        <v>644</v>
      </c>
      <c r="D70" s="98" t="s">
        <v>627</v>
      </c>
      <c r="E70" s="100">
        <v>1.8263888888888891</v>
      </c>
      <c r="F70" s="98" t="s">
        <v>49</v>
      </c>
      <c r="G70" s="101">
        <v>9</v>
      </c>
      <c r="H70" s="102">
        <v>329</v>
      </c>
    </row>
    <row r="71" spans="1:8" ht="18" x14ac:dyDescent="0.3">
      <c r="A71" s="89">
        <v>45989</v>
      </c>
      <c r="B71" s="90" t="s">
        <v>47</v>
      </c>
      <c r="C71" s="91" t="s">
        <v>644</v>
      </c>
      <c r="D71" s="90" t="s">
        <v>627</v>
      </c>
      <c r="E71" s="92">
        <v>1.8263888888888891</v>
      </c>
      <c r="F71" s="90" t="s">
        <v>52</v>
      </c>
      <c r="G71" s="93">
        <v>9</v>
      </c>
      <c r="H71" s="94">
        <v>429</v>
      </c>
    </row>
    <row r="72" spans="1:8" ht="18" x14ac:dyDescent="0.3">
      <c r="A72" s="89">
        <v>45989</v>
      </c>
      <c r="B72" s="90" t="s">
        <v>47</v>
      </c>
      <c r="C72" s="91" t="s">
        <v>644</v>
      </c>
      <c r="D72" s="90" t="s">
        <v>627</v>
      </c>
      <c r="E72" s="92">
        <v>1.8263888888888891</v>
      </c>
      <c r="F72" s="90" t="s">
        <v>55</v>
      </c>
      <c r="G72" s="93">
        <v>9</v>
      </c>
      <c r="H72" s="94">
        <v>519</v>
      </c>
    </row>
    <row r="73" spans="1:8" ht="18" x14ac:dyDescent="0.3">
      <c r="A73" s="97">
        <v>45989</v>
      </c>
      <c r="B73" s="98" t="s">
        <v>47</v>
      </c>
      <c r="C73" s="99" t="s">
        <v>640</v>
      </c>
      <c r="D73" s="98" t="s">
        <v>627</v>
      </c>
      <c r="E73" s="100">
        <v>1.5</v>
      </c>
      <c r="F73" s="98" t="s">
        <v>49</v>
      </c>
      <c r="G73" s="101">
        <v>9</v>
      </c>
      <c r="H73" s="102">
        <v>329</v>
      </c>
    </row>
    <row r="74" spans="1:8" ht="18" x14ac:dyDescent="0.3">
      <c r="A74" s="89">
        <v>45989</v>
      </c>
      <c r="B74" s="90" t="s">
        <v>47</v>
      </c>
      <c r="C74" s="91" t="s">
        <v>640</v>
      </c>
      <c r="D74" s="90" t="s">
        <v>627</v>
      </c>
      <c r="E74" s="92">
        <v>1.5</v>
      </c>
      <c r="F74" s="90" t="s">
        <v>52</v>
      </c>
      <c r="G74" s="93">
        <v>9</v>
      </c>
      <c r="H74" s="94">
        <v>429</v>
      </c>
    </row>
    <row r="75" spans="1:8" ht="18" x14ac:dyDescent="0.3">
      <c r="A75" s="89">
        <v>45989</v>
      </c>
      <c r="B75" s="90" t="s">
        <v>47</v>
      </c>
      <c r="C75" s="91" t="s">
        <v>640</v>
      </c>
      <c r="D75" s="90" t="s">
        <v>627</v>
      </c>
      <c r="E75" s="92">
        <v>1.5</v>
      </c>
      <c r="F75" s="90" t="s">
        <v>55</v>
      </c>
      <c r="G75" s="93">
        <v>9</v>
      </c>
      <c r="H75" s="94">
        <v>519</v>
      </c>
    </row>
    <row r="76" spans="1:8" ht="18" x14ac:dyDescent="0.3">
      <c r="A76" s="97">
        <v>45989</v>
      </c>
      <c r="B76" s="98" t="s">
        <v>47</v>
      </c>
      <c r="C76" s="99" t="s">
        <v>641</v>
      </c>
      <c r="D76" s="98" t="s">
        <v>627</v>
      </c>
      <c r="E76" s="100">
        <v>1.427083333333333</v>
      </c>
      <c r="F76" s="98" t="s">
        <v>49</v>
      </c>
      <c r="G76" s="101">
        <v>9</v>
      </c>
      <c r="H76" s="102">
        <v>329</v>
      </c>
    </row>
    <row r="77" spans="1:8" ht="18" x14ac:dyDescent="0.3">
      <c r="A77" s="89">
        <v>45989</v>
      </c>
      <c r="B77" s="90" t="s">
        <v>47</v>
      </c>
      <c r="C77" s="91" t="s">
        <v>641</v>
      </c>
      <c r="D77" s="90" t="s">
        <v>627</v>
      </c>
      <c r="E77" s="92">
        <v>1.427083333333333</v>
      </c>
      <c r="F77" s="90" t="s">
        <v>52</v>
      </c>
      <c r="G77" s="93">
        <v>9</v>
      </c>
      <c r="H77" s="94">
        <v>429</v>
      </c>
    </row>
    <row r="78" spans="1:8" ht="18" x14ac:dyDescent="0.3">
      <c r="A78" s="89">
        <v>45989</v>
      </c>
      <c r="B78" s="90" t="s">
        <v>47</v>
      </c>
      <c r="C78" s="91" t="s">
        <v>641</v>
      </c>
      <c r="D78" s="90" t="s">
        <v>627</v>
      </c>
      <c r="E78" s="92">
        <v>1.427083333333333</v>
      </c>
      <c r="F78" s="90" t="s">
        <v>55</v>
      </c>
      <c r="G78" s="93">
        <v>9</v>
      </c>
      <c r="H78" s="94">
        <v>519</v>
      </c>
    </row>
    <row r="79" spans="1:8" ht="18" x14ac:dyDescent="0.3">
      <c r="A79" s="97">
        <v>45989</v>
      </c>
      <c r="B79" s="98" t="s">
        <v>47</v>
      </c>
      <c r="C79" s="99" t="s">
        <v>642</v>
      </c>
      <c r="D79" s="98" t="s">
        <v>627</v>
      </c>
      <c r="E79" s="100">
        <v>1.375</v>
      </c>
      <c r="F79" s="98" t="s">
        <v>49</v>
      </c>
      <c r="G79" s="101">
        <v>9</v>
      </c>
      <c r="H79" s="102">
        <v>329</v>
      </c>
    </row>
    <row r="80" spans="1:8" ht="18" x14ac:dyDescent="0.3">
      <c r="A80" s="89">
        <v>45989</v>
      </c>
      <c r="B80" s="90" t="s">
        <v>47</v>
      </c>
      <c r="C80" s="91" t="s">
        <v>642</v>
      </c>
      <c r="D80" s="90" t="s">
        <v>627</v>
      </c>
      <c r="E80" s="92">
        <v>1.375</v>
      </c>
      <c r="F80" s="90" t="s">
        <v>52</v>
      </c>
      <c r="G80" s="93">
        <v>9</v>
      </c>
      <c r="H80" s="94">
        <v>429</v>
      </c>
    </row>
    <row r="81" spans="1:8" ht="18" x14ac:dyDescent="0.3">
      <c r="A81" s="89">
        <v>45989</v>
      </c>
      <c r="B81" s="90" t="s">
        <v>47</v>
      </c>
      <c r="C81" s="91" t="s">
        <v>642</v>
      </c>
      <c r="D81" s="90" t="s">
        <v>627</v>
      </c>
      <c r="E81" s="92">
        <v>1.375</v>
      </c>
      <c r="F81" s="90" t="s">
        <v>55</v>
      </c>
      <c r="G81" s="93">
        <v>9</v>
      </c>
      <c r="H81" s="94">
        <v>519</v>
      </c>
    </row>
    <row r="82" spans="1:8" ht="18" x14ac:dyDescent="0.3">
      <c r="A82" s="97">
        <v>45989</v>
      </c>
      <c r="B82" s="98" t="s">
        <v>47</v>
      </c>
      <c r="C82" s="99" t="s">
        <v>643</v>
      </c>
      <c r="D82" s="98" t="s">
        <v>627</v>
      </c>
      <c r="E82" s="100">
        <v>1.5659722222222221</v>
      </c>
      <c r="F82" s="98" t="s">
        <v>49</v>
      </c>
      <c r="G82" s="101">
        <v>9</v>
      </c>
      <c r="H82" s="102">
        <v>329</v>
      </c>
    </row>
    <row r="83" spans="1:8" ht="18" x14ac:dyDescent="0.3">
      <c r="A83" s="89">
        <v>45989</v>
      </c>
      <c r="B83" s="90" t="s">
        <v>47</v>
      </c>
      <c r="C83" s="91" t="s">
        <v>643</v>
      </c>
      <c r="D83" s="90" t="s">
        <v>627</v>
      </c>
      <c r="E83" s="92">
        <v>1.5659722222222221</v>
      </c>
      <c r="F83" s="90" t="s">
        <v>52</v>
      </c>
      <c r="G83" s="93">
        <v>9</v>
      </c>
      <c r="H83" s="94">
        <v>429</v>
      </c>
    </row>
    <row r="84" spans="1:8" ht="18" x14ac:dyDescent="0.3">
      <c r="A84" s="89">
        <v>45989</v>
      </c>
      <c r="B84" s="90" t="s">
        <v>47</v>
      </c>
      <c r="C84" s="91" t="s">
        <v>643</v>
      </c>
      <c r="D84" s="90" t="s">
        <v>627</v>
      </c>
      <c r="E84" s="92">
        <v>1.5659722222222221</v>
      </c>
      <c r="F84" s="90" t="s">
        <v>55</v>
      </c>
      <c r="G84" s="93">
        <v>9</v>
      </c>
      <c r="H84" s="94">
        <v>519</v>
      </c>
    </row>
    <row r="85" spans="1:8" ht="18" x14ac:dyDescent="0.3">
      <c r="A85" s="97">
        <v>45989</v>
      </c>
      <c r="B85" s="98" t="s">
        <v>47</v>
      </c>
      <c r="C85" s="99" t="s">
        <v>645</v>
      </c>
      <c r="D85" s="98" t="s">
        <v>627</v>
      </c>
      <c r="E85" s="100">
        <v>1.6875</v>
      </c>
      <c r="F85" s="98" t="s">
        <v>49</v>
      </c>
      <c r="G85" s="101">
        <v>9</v>
      </c>
      <c r="H85" s="102">
        <v>369</v>
      </c>
    </row>
    <row r="86" spans="1:8" ht="18" x14ac:dyDescent="0.3">
      <c r="A86" s="89">
        <v>45989</v>
      </c>
      <c r="B86" s="90" t="s">
        <v>47</v>
      </c>
      <c r="C86" s="91" t="s">
        <v>645</v>
      </c>
      <c r="D86" s="90" t="s">
        <v>627</v>
      </c>
      <c r="E86" s="92">
        <v>1.6875</v>
      </c>
      <c r="F86" s="90" t="s">
        <v>52</v>
      </c>
      <c r="G86" s="93">
        <v>9</v>
      </c>
      <c r="H86" s="94">
        <v>469</v>
      </c>
    </row>
    <row r="87" spans="1:8" ht="18" x14ac:dyDescent="0.3">
      <c r="A87" s="89">
        <v>45989</v>
      </c>
      <c r="B87" s="90" t="s">
        <v>47</v>
      </c>
      <c r="C87" s="91" t="s">
        <v>645</v>
      </c>
      <c r="D87" s="90" t="s">
        <v>627</v>
      </c>
      <c r="E87" s="92">
        <v>1.6875</v>
      </c>
      <c r="F87" s="90" t="s">
        <v>55</v>
      </c>
      <c r="G87" s="93">
        <v>9</v>
      </c>
      <c r="H87" s="94">
        <v>559</v>
      </c>
    </row>
    <row r="88" spans="1:8" ht="18" x14ac:dyDescent="0.3">
      <c r="A88" s="95">
        <v>45989</v>
      </c>
      <c r="B88" s="84" t="s">
        <v>272</v>
      </c>
      <c r="C88" s="85" t="s">
        <v>682</v>
      </c>
      <c r="D88" s="84" t="s">
        <v>627</v>
      </c>
      <c r="E88" s="86">
        <v>1.2777777777777779</v>
      </c>
      <c r="F88" s="84" t="s">
        <v>78</v>
      </c>
      <c r="G88" s="87">
        <v>9</v>
      </c>
      <c r="H88" s="96">
        <v>350</v>
      </c>
    </row>
    <row r="89" spans="1:8" ht="18" x14ac:dyDescent="0.3">
      <c r="A89" s="113">
        <v>45989</v>
      </c>
      <c r="B89" s="114" t="s">
        <v>76</v>
      </c>
      <c r="C89" s="115" t="s">
        <v>651</v>
      </c>
      <c r="D89" s="114" t="s">
        <v>627</v>
      </c>
      <c r="E89" s="116">
        <v>1.604166666666667</v>
      </c>
      <c r="F89" s="114" t="s">
        <v>78</v>
      </c>
      <c r="G89" s="117">
        <v>9</v>
      </c>
      <c r="H89" s="203">
        <v>355</v>
      </c>
    </row>
    <row r="90" spans="1:8" ht="18" x14ac:dyDescent="0.3">
      <c r="A90" s="204">
        <v>45989</v>
      </c>
      <c r="B90" s="205" t="s">
        <v>76</v>
      </c>
      <c r="C90" s="206" t="s">
        <v>685</v>
      </c>
      <c r="D90" s="205" t="s">
        <v>627</v>
      </c>
      <c r="E90" s="207">
        <v>1.9236111111111109</v>
      </c>
      <c r="F90" s="205" t="s">
        <v>78</v>
      </c>
      <c r="G90" s="208">
        <v>9</v>
      </c>
      <c r="H90" s="209">
        <v>355</v>
      </c>
    </row>
    <row r="91" spans="1:8" ht="18" x14ac:dyDescent="0.3">
      <c r="A91" s="95">
        <v>45989</v>
      </c>
      <c r="B91" s="84" t="s">
        <v>300</v>
      </c>
      <c r="C91" s="85" t="s">
        <v>648</v>
      </c>
      <c r="D91" s="84" t="s">
        <v>627</v>
      </c>
      <c r="E91" s="86">
        <v>1.395833333333333</v>
      </c>
      <c r="F91" s="84" t="s">
        <v>78</v>
      </c>
      <c r="G91" s="87">
        <v>6</v>
      </c>
      <c r="H91" s="96">
        <v>357</v>
      </c>
    </row>
    <row r="92" spans="1:8" ht="18" x14ac:dyDescent="0.3">
      <c r="A92" s="95">
        <v>45989</v>
      </c>
      <c r="B92" s="84" t="s">
        <v>35</v>
      </c>
      <c r="C92" s="85" t="s">
        <v>662</v>
      </c>
      <c r="D92" s="84" t="s">
        <v>627</v>
      </c>
      <c r="E92" s="86">
        <v>1.916666666666667</v>
      </c>
      <c r="F92" s="84" t="s">
        <v>308</v>
      </c>
      <c r="G92" s="87">
        <v>8</v>
      </c>
      <c r="H92" s="96">
        <v>437</v>
      </c>
    </row>
    <row r="93" spans="1:8" ht="18" x14ac:dyDescent="0.3">
      <c r="A93" s="97">
        <v>45989</v>
      </c>
      <c r="B93" s="98" t="s">
        <v>35</v>
      </c>
      <c r="C93" s="99" t="s">
        <v>658</v>
      </c>
      <c r="D93" s="98" t="s">
        <v>627</v>
      </c>
      <c r="E93" s="100">
        <v>1.541666666666667</v>
      </c>
      <c r="F93" s="98" t="s">
        <v>37</v>
      </c>
      <c r="G93" s="101">
        <v>2</v>
      </c>
      <c r="H93" s="102">
        <v>527</v>
      </c>
    </row>
    <row r="94" spans="1:8" ht="18" x14ac:dyDescent="0.3">
      <c r="A94" s="97">
        <v>45989</v>
      </c>
      <c r="B94" s="98" t="s">
        <v>35</v>
      </c>
      <c r="C94" s="99" t="s">
        <v>660</v>
      </c>
      <c r="D94" s="98" t="s">
        <v>627</v>
      </c>
      <c r="E94" s="100">
        <v>1.166666666666667</v>
      </c>
      <c r="F94" s="98" t="s">
        <v>37</v>
      </c>
      <c r="G94" s="101">
        <v>3</v>
      </c>
      <c r="H94" s="102">
        <v>597</v>
      </c>
    </row>
    <row r="95" spans="1:8" ht="18" x14ac:dyDescent="0.3">
      <c r="A95" s="95">
        <v>45989</v>
      </c>
      <c r="B95" s="84" t="s">
        <v>63</v>
      </c>
      <c r="C95" s="85" t="s">
        <v>664</v>
      </c>
      <c r="D95" s="84" t="s">
        <v>627</v>
      </c>
      <c r="E95" s="86">
        <v>1.2986111111111109</v>
      </c>
      <c r="F95" s="84" t="s">
        <v>65</v>
      </c>
      <c r="G95" s="87">
        <v>9</v>
      </c>
      <c r="H95" s="96">
        <v>774</v>
      </c>
    </row>
    <row r="96" spans="1:8" ht="18" x14ac:dyDescent="0.3">
      <c r="A96" s="89">
        <v>45989</v>
      </c>
      <c r="B96" s="90" t="s">
        <v>63</v>
      </c>
      <c r="C96" s="91" t="s">
        <v>664</v>
      </c>
      <c r="D96" s="90" t="s">
        <v>627</v>
      </c>
      <c r="E96" s="92">
        <v>1.2986111111111109</v>
      </c>
      <c r="F96" s="90" t="s">
        <v>67</v>
      </c>
      <c r="G96" s="93">
        <v>9</v>
      </c>
      <c r="H96" s="94">
        <v>824</v>
      </c>
    </row>
    <row r="97" spans="1:8" ht="18" x14ac:dyDescent="0.3">
      <c r="A97" s="97">
        <v>45989</v>
      </c>
      <c r="B97" s="98" t="s">
        <v>63</v>
      </c>
      <c r="C97" s="99" t="s">
        <v>675</v>
      </c>
      <c r="D97" s="98" t="s">
        <v>627</v>
      </c>
      <c r="E97" s="100">
        <v>1.836805555555556</v>
      </c>
      <c r="F97" s="98" t="s">
        <v>65</v>
      </c>
      <c r="G97" s="101">
        <v>9</v>
      </c>
      <c r="H97" s="102">
        <v>774</v>
      </c>
    </row>
    <row r="98" spans="1:8" ht="18" x14ac:dyDescent="0.3">
      <c r="A98" s="89">
        <v>45989</v>
      </c>
      <c r="B98" s="90" t="s">
        <v>63</v>
      </c>
      <c r="C98" s="91" t="s">
        <v>675</v>
      </c>
      <c r="D98" s="90" t="s">
        <v>627</v>
      </c>
      <c r="E98" s="92">
        <v>1.836805555555556</v>
      </c>
      <c r="F98" s="90" t="s">
        <v>67</v>
      </c>
      <c r="G98" s="93">
        <v>9</v>
      </c>
      <c r="H98" s="94">
        <v>824</v>
      </c>
    </row>
    <row r="99" spans="1:8" ht="18" x14ac:dyDescent="0.3">
      <c r="A99" s="97">
        <v>45989</v>
      </c>
      <c r="B99" s="98" t="s">
        <v>63</v>
      </c>
      <c r="C99" s="99" t="s">
        <v>665</v>
      </c>
      <c r="D99" s="98" t="s">
        <v>627</v>
      </c>
      <c r="E99" s="100">
        <v>1.6840277777777779</v>
      </c>
      <c r="F99" s="98" t="s">
        <v>65</v>
      </c>
      <c r="G99" s="101">
        <v>9</v>
      </c>
      <c r="H99" s="98" t="s">
        <v>691</v>
      </c>
    </row>
    <row r="100" spans="1:8" ht="18" x14ac:dyDescent="0.3">
      <c r="A100" s="89">
        <v>45989</v>
      </c>
      <c r="B100" s="90" t="s">
        <v>63</v>
      </c>
      <c r="C100" s="91" t="s">
        <v>665</v>
      </c>
      <c r="D100" s="90" t="s">
        <v>627</v>
      </c>
      <c r="E100" s="92">
        <v>1.6840277777777779</v>
      </c>
      <c r="F100" s="90" t="s">
        <v>67</v>
      </c>
      <c r="G100" s="93">
        <v>9</v>
      </c>
      <c r="H100" s="90" t="s">
        <v>692</v>
      </c>
    </row>
    <row r="101" spans="1:8" ht="18" x14ac:dyDescent="0.3">
      <c r="A101" s="97">
        <v>45989</v>
      </c>
      <c r="B101" s="98" t="s">
        <v>63</v>
      </c>
      <c r="C101" s="99" t="s">
        <v>673</v>
      </c>
      <c r="D101" s="98" t="s">
        <v>627</v>
      </c>
      <c r="E101" s="100">
        <v>1.760416666666667</v>
      </c>
      <c r="F101" s="98" t="s">
        <v>67</v>
      </c>
      <c r="G101" s="101">
        <v>4</v>
      </c>
      <c r="H101" s="98" t="s">
        <v>670</v>
      </c>
    </row>
    <row r="102" spans="1:8" ht="18" x14ac:dyDescent="0.3">
      <c r="A102" s="97">
        <v>45989</v>
      </c>
      <c r="B102" s="98" t="s">
        <v>63</v>
      </c>
      <c r="C102" s="99" t="s">
        <v>669</v>
      </c>
      <c r="D102" s="98" t="s">
        <v>627</v>
      </c>
      <c r="E102" s="100">
        <v>1.5</v>
      </c>
      <c r="F102" s="98" t="s">
        <v>67</v>
      </c>
      <c r="G102" s="101">
        <v>4</v>
      </c>
      <c r="H102" s="98" t="s">
        <v>670</v>
      </c>
    </row>
    <row r="103" spans="1:8" ht="18" x14ac:dyDescent="0.3">
      <c r="A103" s="97">
        <v>45989</v>
      </c>
      <c r="B103" s="98" t="s">
        <v>63</v>
      </c>
      <c r="C103" s="99" t="s">
        <v>671</v>
      </c>
      <c r="D103" s="98" t="s">
        <v>627</v>
      </c>
      <c r="E103" s="100">
        <v>1.8159722222222221</v>
      </c>
      <c r="F103" s="98" t="s">
        <v>67</v>
      </c>
      <c r="G103" s="101">
        <v>4</v>
      </c>
      <c r="H103" s="98" t="s">
        <v>670</v>
      </c>
    </row>
    <row r="104" spans="1:8" ht="18" x14ac:dyDescent="0.3">
      <c r="A104" s="97">
        <v>45989</v>
      </c>
      <c r="B104" s="98" t="s">
        <v>63</v>
      </c>
      <c r="C104" s="99" t="s">
        <v>668</v>
      </c>
      <c r="D104" s="98" t="s">
        <v>627</v>
      </c>
      <c r="E104" s="100">
        <v>1.4826388888888891</v>
      </c>
      <c r="F104" s="98" t="s">
        <v>65</v>
      </c>
      <c r="G104" s="101">
        <v>9</v>
      </c>
      <c r="H104" s="98" t="s">
        <v>693</v>
      </c>
    </row>
    <row r="105" spans="1:8" ht="18" x14ac:dyDescent="0.3">
      <c r="A105" s="210">
        <v>45989</v>
      </c>
      <c r="B105" s="211" t="s">
        <v>63</v>
      </c>
      <c r="C105" s="212" t="s">
        <v>668</v>
      </c>
      <c r="D105" s="211" t="s">
        <v>627</v>
      </c>
      <c r="E105" s="213">
        <v>1.4826388888888891</v>
      </c>
      <c r="F105" s="211" t="s">
        <v>67</v>
      </c>
      <c r="G105" s="214">
        <v>9</v>
      </c>
      <c r="H105" s="211" t="s">
        <v>694</v>
      </c>
    </row>
    <row r="106" spans="1:8" ht="18" x14ac:dyDescent="0.3">
      <c r="A106" s="83">
        <v>45990</v>
      </c>
      <c r="B106" s="84" t="s">
        <v>25</v>
      </c>
      <c r="C106" s="85" t="s">
        <v>628</v>
      </c>
      <c r="D106" s="84" t="s">
        <v>627</v>
      </c>
      <c r="E106" s="86">
        <v>1.447916666666667</v>
      </c>
      <c r="F106" s="84" t="s">
        <v>27</v>
      </c>
      <c r="G106" s="87">
        <v>21</v>
      </c>
      <c r="H106" s="88">
        <v>259</v>
      </c>
    </row>
    <row r="107" spans="1:8" ht="18" x14ac:dyDescent="0.3">
      <c r="A107" s="89">
        <v>45990</v>
      </c>
      <c r="B107" s="90" t="s">
        <v>25</v>
      </c>
      <c r="C107" s="91" t="s">
        <v>628</v>
      </c>
      <c r="D107" s="90" t="s">
        <v>627</v>
      </c>
      <c r="E107" s="92">
        <v>1.447916666666667</v>
      </c>
      <c r="F107" s="90" t="s">
        <v>30</v>
      </c>
      <c r="G107" s="93">
        <v>21</v>
      </c>
      <c r="H107" s="94">
        <v>409</v>
      </c>
    </row>
    <row r="108" spans="1:8" ht="18" x14ac:dyDescent="0.3">
      <c r="A108" s="89">
        <v>45990</v>
      </c>
      <c r="B108" s="90" t="s">
        <v>25</v>
      </c>
      <c r="C108" s="91" t="s">
        <v>628</v>
      </c>
      <c r="D108" s="90" t="s">
        <v>627</v>
      </c>
      <c r="E108" s="92">
        <v>1.447916666666667</v>
      </c>
      <c r="F108" s="90" t="s">
        <v>33</v>
      </c>
      <c r="G108" s="93">
        <v>21</v>
      </c>
      <c r="H108" s="94">
        <v>899</v>
      </c>
    </row>
    <row r="109" spans="1:8" ht="18" x14ac:dyDescent="0.3">
      <c r="A109" s="97">
        <v>45990</v>
      </c>
      <c r="B109" s="98" t="s">
        <v>25</v>
      </c>
      <c r="C109" s="99" t="s">
        <v>632</v>
      </c>
      <c r="D109" s="98" t="s">
        <v>627</v>
      </c>
      <c r="E109" s="100">
        <v>1.5</v>
      </c>
      <c r="F109" s="98" t="s">
        <v>27</v>
      </c>
      <c r="G109" s="101">
        <v>24</v>
      </c>
      <c r="H109" s="102">
        <v>259</v>
      </c>
    </row>
    <row r="110" spans="1:8" ht="18" x14ac:dyDescent="0.3">
      <c r="A110" s="89">
        <v>45990</v>
      </c>
      <c r="B110" s="90" t="s">
        <v>25</v>
      </c>
      <c r="C110" s="91" t="s">
        <v>632</v>
      </c>
      <c r="D110" s="90" t="s">
        <v>627</v>
      </c>
      <c r="E110" s="92">
        <v>1.5</v>
      </c>
      <c r="F110" s="90" t="s">
        <v>30</v>
      </c>
      <c r="G110" s="93">
        <v>24</v>
      </c>
      <c r="H110" s="94">
        <v>409</v>
      </c>
    </row>
    <row r="111" spans="1:8" ht="18" x14ac:dyDescent="0.3">
      <c r="A111" s="89">
        <v>45990</v>
      </c>
      <c r="B111" s="90" t="s">
        <v>25</v>
      </c>
      <c r="C111" s="91" t="s">
        <v>632</v>
      </c>
      <c r="D111" s="90" t="s">
        <v>627</v>
      </c>
      <c r="E111" s="92">
        <v>1.5</v>
      </c>
      <c r="F111" s="90" t="s">
        <v>33</v>
      </c>
      <c r="G111" s="93">
        <v>24</v>
      </c>
      <c r="H111" s="94">
        <v>899</v>
      </c>
    </row>
    <row r="112" spans="1:8" ht="18" x14ac:dyDescent="0.3">
      <c r="A112" s="97">
        <v>45990</v>
      </c>
      <c r="B112" s="98" t="s">
        <v>25</v>
      </c>
      <c r="C112" s="99" t="s">
        <v>634</v>
      </c>
      <c r="D112" s="98" t="s">
        <v>627</v>
      </c>
      <c r="E112" s="100">
        <v>1.760416666666667</v>
      </c>
      <c r="F112" s="98" t="s">
        <v>27</v>
      </c>
      <c r="G112" s="101">
        <v>42</v>
      </c>
      <c r="H112" s="102">
        <v>259</v>
      </c>
    </row>
    <row r="113" spans="1:8" ht="18" x14ac:dyDescent="0.3">
      <c r="A113" s="89">
        <v>45990</v>
      </c>
      <c r="B113" s="90" t="s">
        <v>25</v>
      </c>
      <c r="C113" s="91" t="s">
        <v>634</v>
      </c>
      <c r="D113" s="90" t="s">
        <v>627</v>
      </c>
      <c r="E113" s="92">
        <v>1.760416666666667</v>
      </c>
      <c r="F113" s="90" t="s">
        <v>30</v>
      </c>
      <c r="G113" s="93">
        <v>42</v>
      </c>
      <c r="H113" s="94">
        <v>409</v>
      </c>
    </row>
    <row r="114" spans="1:8" ht="18" x14ac:dyDescent="0.3">
      <c r="A114" s="89">
        <v>45990</v>
      </c>
      <c r="B114" s="90" t="s">
        <v>25</v>
      </c>
      <c r="C114" s="91" t="s">
        <v>634</v>
      </c>
      <c r="D114" s="90" t="s">
        <v>627</v>
      </c>
      <c r="E114" s="92">
        <v>1.760416666666667</v>
      </c>
      <c r="F114" s="90" t="s">
        <v>33</v>
      </c>
      <c r="G114" s="93">
        <v>42</v>
      </c>
      <c r="H114" s="94">
        <v>899</v>
      </c>
    </row>
    <row r="115" spans="1:8" ht="18" x14ac:dyDescent="0.3">
      <c r="A115" s="97">
        <v>45990</v>
      </c>
      <c r="B115" s="98" t="s">
        <v>25</v>
      </c>
      <c r="C115" s="99" t="s">
        <v>637</v>
      </c>
      <c r="D115" s="98" t="s">
        <v>627</v>
      </c>
      <c r="E115" s="100">
        <v>1.8159722222222221</v>
      </c>
      <c r="F115" s="98" t="s">
        <v>27</v>
      </c>
      <c r="G115" s="101">
        <v>33</v>
      </c>
      <c r="H115" s="102">
        <v>259</v>
      </c>
    </row>
    <row r="116" spans="1:8" ht="18" x14ac:dyDescent="0.3">
      <c r="A116" s="89">
        <v>45990</v>
      </c>
      <c r="B116" s="90" t="s">
        <v>25</v>
      </c>
      <c r="C116" s="91" t="s">
        <v>637</v>
      </c>
      <c r="D116" s="90" t="s">
        <v>627</v>
      </c>
      <c r="E116" s="92">
        <v>1.8159722222222221</v>
      </c>
      <c r="F116" s="90" t="s">
        <v>30</v>
      </c>
      <c r="G116" s="93">
        <v>33</v>
      </c>
      <c r="H116" s="94">
        <v>409</v>
      </c>
    </row>
    <row r="117" spans="1:8" ht="18" x14ac:dyDescent="0.3">
      <c r="A117" s="89">
        <v>45990</v>
      </c>
      <c r="B117" s="90" t="s">
        <v>25</v>
      </c>
      <c r="C117" s="91" t="s">
        <v>637</v>
      </c>
      <c r="D117" s="90" t="s">
        <v>627</v>
      </c>
      <c r="E117" s="92">
        <v>1.8159722222222221</v>
      </c>
      <c r="F117" s="90" t="s">
        <v>33</v>
      </c>
      <c r="G117" s="93">
        <v>33</v>
      </c>
      <c r="H117" s="94">
        <v>899</v>
      </c>
    </row>
    <row r="118" spans="1:8" ht="18" x14ac:dyDescent="0.3">
      <c r="A118" s="95">
        <v>45990</v>
      </c>
      <c r="B118" s="84" t="s">
        <v>47</v>
      </c>
      <c r="C118" s="85" t="s">
        <v>641</v>
      </c>
      <c r="D118" s="84" t="s">
        <v>627</v>
      </c>
      <c r="E118" s="86">
        <v>1.427083333333333</v>
      </c>
      <c r="F118" s="84" t="s">
        <v>49</v>
      </c>
      <c r="G118" s="87">
        <v>1</v>
      </c>
      <c r="H118" s="96">
        <v>259</v>
      </c>
    </row>
    <row r="119" spans="1:8" ht="18" x14ac:dyDescent="0.3">
      <c r="A119" s="89">
        <v>45990</v>
      </c>
      <c r="B119" s="90" t="s">
        <v>47</v>
      </c>
      <c r="C119" s="91" t="s">
        <v>641</v>
      </c>
      <c r="D119" s="90" t="s">
        <v>627</v>
      </c>
      <c r="E119" s="92">
        <v>1.427083333333333</v>
      </c>
      <c r="F119" s="90" t="s">
        <v>52</v>
      </c>
      <c r="G119" s="93">
        <v>1</v>
      </c>
      <c r="H119" s="94">
        <v>359</v>
      </c>
    </row>
    <row r="120" spans="1:8" ht="18" x14ac:dyDescent="0.3">
      <c r="A120" s="89">
        <v>45990</v>
      </c>
      <c r="B120" s="90" t="s">
        <v>47</v>
      </c>
      <c r="C120" s="91" t="s">
        <v>641</v>
      </c>
      <c r="D120" s="90" t="s">
        <v>627</v>
      </c>
      <c r="E120" s="92">
        <v>1.427083333333333</v>
      </c>
      <c r="F120" s="90" t="s">
        <v>55</v>
      </c>
      <c r="G120" s="93">
        <v>1</v>
      </c>
      <c r="H120" s="94">
        <v>449</v>
      </c>
    </row>
    <row r="121" spans="1:8" ht="18" x14ac:dyDescent="0.3">
      <c r="A121" s="97">
        <v>45990</v>
      </c>
      <c r="B121" s="98" t="s">
        <v>47</v>
      </c>
      <c r="C121" s="99" t="s">
        <v>638</v>
      </c>
      <c r="D121" s="98" t="s">
        <v>627</v>
      </c>
      <c r="E121" s="100">
        <v>1.305555555555556</v>
      </c>
      <c r="F121" s="98" t="s">
        <v>49</v>
      </c>
      <c r="G121" s="101">
        <v>9</v>
      </c>
      <c r="H121" s="102">
        <v>289</v>
      </c>
    </row>
    <row r="122" spans="1:8" ht="18" x14ac:dyDescent="0.3">
      <c r="A122" s="89">
        <v>45990</v>
      </c>
      <c r="B122" s="90" t="s">
        <v>47</v>
      </c>
      <c r="C122" s="91" t="s">
        <v>638</v>
      </c>
      <c r="D122" s="90" t="s">
        <v>627</v>
      </c>
      <c r="E122" s="92">
        <v>1.305555555555556</v>
      </c>
      <c r="F122" s="90" t="s">
        <v>52</v>
      </c>
      <c r="G122" s="93">
        <v>9</v>
      </c>
      <c r="H122" s="94">
        <v>389</v>
      </c>
    </row>
    <row r="123" spans="1:8" ht="18" x14ac:dyDescent="0.3">
      <c r="A123" s="89">
        <v>45990</v>
      </c>
      <c r="B123" s="90" t="s">
        <v>47</v>
      </c>
      <c r="C123" s="91" t="s">
        <v>638</v>
      </c>
      <c r="D123" s="90" t="s">
        <v>627</v>
      </c>
      <c r="E123" s="92">
        <v>1.305555555555556</v>
      </c>
      <c r="F123" s="90" t="s">
        <v>55</v>
      </c>
      <c r="G123" s="93">
        <v>9</v>
      </c>
      <c r="H123" s="94">
        <v>479</v>
      </c>
    </row>
    <row r="124" spans="1:8" ht="18" x14ac:dyDescent="0.3">
      <c r="A124" s="97">
        <v>45990</v>
      </c>
      <c r="B124" s="98" t="s">
        <v>47</v>
      </c>
      <c r="C124" s="99" t="s">
        <v>644</v>
      </c>
      <c r="D124" s="98" t="s">
        <v>627</v>
      </c>
      <c r="E124" s="100">
        <v>1.8263888888888891</v>
      </c>
      <c r="F124" s="98" t="s">
        <v>49</v>
      </c>
      <c r="G124" s="101">
        <v>9</v>
      </c>
      <c r="H124" s="102">
        <v>289</v>
      </c>
    </row>
    <row r="125" spans="1:8" ht="18" x14ac:dyDescent="0.3">
      <c r="A125" s="89">
        <v>45990</v>
      </c>
      <c r="B125" s="90" t="s">
        <v>47</v>
      </c>
      <c r="C125" s="91" t="s">
        <v>644</v>
      </c>
      <c r="D125" s="90" t="s">
        <v>627</v>
      </c>
      <c r="E125" s="92">
        <v>1.8263888888888891</v>
      </c>
      <c r="F125" s="90" t="s">
        <v>52</v>
      </c>
      <c r="G125" s="93">
        <v>9</v>
      </c>
      <c r="H125" s="94">
        <v>389</v>
      </c>
    </row>
    <row r="126" spans="1:8" ht="18" x14ac:dyDescent="0.3">
      <c r="A126" s="89">
        <v>45990</v>
      </c>
      <c r="B126" s="90" t="s">
        <v>47</v>
      </c>
      <c r="C126" s="91" t="s">
        <v>644</v>
      </c>
      <c r="D126" s="90" t="s">
        <v>627</v>
      </c>
      <c r="E126" s="92">
        <v>1.8263888888888891</v>
      </c>
      <c r="F126" s="90" t="s">
        <v>55</v>
      </c>
      <c r="G126" s="93">
        <v>9</v>
      </c>
      <c r="H126" s="94">
        <v>479</v>
      </c>
    </row>
    <row r="127" spans="1:8" ht="18" x14ac:dyDescent="0.3">
      <c r="A127" s="97">
        <v>45990</v>
      </c>
      <c r="B127" s="98" t="s">
        <v>47</v>
      </c>
      <c r="C127" s="99" t="s">
        <v>640</v>
      </c>
      <c r="D127" s="98" t="s">
        <v>627</v>
      </c>
      <c r="E127" s="100">
        <v>1.5</v>
      </c>
      <c r="F127" s="98" t="s">
        <v>49</v>
      </c>
      <c r="G127" s="101">
        <v>3</v>
      </c>
      <c r="H127" s="102">
        <v>289</v>
      </c>
    </row>
    <row r="128" spans="1:8" ht="18" x14ac:dyDescent="0.3">
      <c r="A128" s="89">
        <v>45990</v>
      </c>
      <c r="B128" s="90" t="s">
        <v>47</v>
      </c>
      <c r="C128" s="91" t="s">
        <v>640</v>
      </c>
      <c r="D128" s="90" t="s">
        <v>627</v>
      </c>
      <c r="E128" s="92">
        <v>1.5</v>
      </c>
      <c r="F128" s="90" t="s">
        <v>52</v>
      </c>
      <c r="G128" s="93">
        <v>3</v>
      </c>
      <c r="H128" s="94">
        <v>389</v>
      </c>
    </row>
    <row r="129" spans="1:8" ht="18" x14ac:dyDescent="0.3">
      <c r="A129" s="89">
        <v>45990</v>
      </c>
      <c r="B129" s="90" t="s">
        <v>47</v>
      </c>
      <c r="C129" s="91" t="s">
        <v>640</v>
      </c>
      <c r="D129" s="90" t="s">
        <v>627</v>
      </c>
      <c r="E129" s="92">
        <v>1.5</v>
      </c>
      <c r="F129" s="90" t="s">
        <v>55</v>
      </c>
      <c r="G129" s="93">
        <v>3</v>
      </c>
      <c r="H129" s="94">
        <v>479</v>
      </c>
    </row>
    <row r="130" spans="1:8" ht="18" x14ac:dyDescent="0.3">
      <c r="A130" s="97">
        <v>45990</v>
      </c>
      <c r="B130" s="98" t="s">
        <v>47</v>
      </c>
      <c r="C130" s="99" t="s">
        <v>645</v>
      </c>
      <c r="D130" s="98" t="s">
        <v>627</v>
      </c>
      <c r="E130" s="100">
        <v>1.6875</v>
      </c>
      <c r="F130" s="98" t="s">
        <v>49</v>
      </c>
      <c r="G130" s="101">
        <v>9</v>
      </c>
      <c r="H130" s="102">
        <v>289</v>
      </c>
    </row>
    <row r="131" spans="1:8" ht="18" x14ac:dyDescent="0.3">
      <c r="A131" s="89">
        <v>45990</v>
      </c>
      <c r="B131" s="90" t="s">
        <v>47</v>
      </c>
      <c r="C131" s="91" t="s">
        <v>645</v>
      </c>
      <c r="D131" s="90" t="s">
        <v>627</v>
      </c>
      <c r="E131" s="92">
        <v>1.6875</v>
      </c>
      <c r="F131" s="90" t="s">
        <v>52</v>
      </c>
      <c r="G131" s="93">
        <v>9</v>
      </c>
      <c r="H131" s="94">
        <v>389</v>
      </c>
    </row>
    <row r="132" spans="1:8" ht="18" x14ac:dyDescent="0.3">
      <c r="A132" s="89">
        <v>45990</v>
      </c>
      <c r="B132" s="90" t="s">
        <v>47</v>
      </c>
      <c r="C132" s="91" t="s">
        <v>645</v>
      </c>
      <c r="D132" s="90" t="s">
        <v>627</v>
      </c>
      <c r="E132" s="92">
        <v>1.6875</v>
      </c>
      <c r="F132" s="90" t="s">
        <v>55</v>
      </c>
      <c r="G132" s="93">
        <v>9</v>
      </c>
      <c r="H132" s="94">
        <v>479</v>
      </c>
    </row>
    <row r="133" spans="1:8" ht="18" x14ac:dyDescent="0.3">
      <c r="A133" s="97">
        <v>45990</v>
      </c>
      <c r="B133" s="98" t="s">
        <v>47</v>
      </c>
      <c r="C133" s="99" t="s">
        <v>642</v>
      </c>
      <c r="D133" s="98" t="s">
        <v>627</v>
      </c>
      <c r="E133" s="100">
        <v>1.375</v>
      </c>
      <c r="F133" s="98" t="s">
        <v>49</v>
      </c>
      <c r="G133" s="101">
        <v>9</v>
      </c>
      <c r="H133" s="102">
        <v>289</v>
      </c>
    </row>
    <row r="134" spans="1:8" ht="18" x14ac:dyDescent="0.3">
      <c r="A134" s="89">
        <v>45990</v>
      </c>
      <c r="B134" s="90" t="s">
        <v>47</v>
      </c>
      <c r="C134" s="91" t="s">
        <v>642</v>
      </c>
      <c r="D134" s="90" t="s">
        <v>627</v>
      </c>
      <c r="E134" s="92">
        <v>1.375</v>
      </c>
      <c r="F134" s="90" t="s">
        <v>52</v>
      </c>
      <c r="G134" s="93">
        <v>9</v>
      </c>
      <c r="H134" s="94">
        <v>389</v>
      </c>
    </row>
    <row r="135" spans="1:8" ht="18" x14ac:dyDescent="0.3">
      <c r="A135" s="89">
        <v>45990</v>
      </c>
      <c r="B135" s="90" t="s">
        <v>47</v>
      </c>
      <c r="C135" s="91" t="s">
        <v>642</v>
      </c>
      <c r="D135" s="90" t="s">
        <v>627</v>
      </c>
      <c r="E135" s="92">
        <v>1.375</v>
      </c>
      <c r="F135" s="90" t="s">
        <v>55</v>
      </c>
      <c r="G135" s="93">
        <v>9</v>
      </c>
      <c r="H135" s="94">
        <v>479</v>
      </c>
    </row>
    <row r="136" spans="1:8" ht="18" x14ac:dyDescent="0.3">
      <c r="A136" s="97">
        <v>45990</v>
      </c>
      <c r="B136" s="98" t="s">
        <v>47</v>
      </c>
      <c r="C136" s="99" t="s">
        <v>643</v>
      </c>
      <c r="D136" s="98" t="s">
        <v>627</v>
      </c>
      <c r="E136" s="100">
        <v>1.5659722222222221</v>
      </c>
      <c r="F136" s="98" t="s">
        <v>49</v>
      </c>
      <c r="G136" s="101">
        <v>9</v>
      </c>
      <c r="H136" s="102">
        <v>289</v>
      </c>
    </row>
    <row r="137" spans="1:8" ht="18" x14ac:dyDescent="0.3">
      <c r="A137" s="89">
        <v>45990</v>
      </c>
      <c r="B137" s="90" t="s">
        <v>47</v>
      </c>
      <c r="C137" s="91" t="s">
        <v>643</v>
      </c>
      <c r="D137" s="90" t="s">
        <v>627</v>
      </c>
      <c r="E137" s="92">
        <v>1.5659722222222221</v>
      </c>
      <c r="F137" s="90" t="s">
        <v>52</v>
      </c>
      <c r="G137" s="93">
        <v>9</v>
      </c>
      <c r="H137" s="94">
        <v>389</v>
      </c>
    </row>
    <row r="138" spans="1:8" ht="18" x14ac:dyDescent="0.3">
      <c r="A138" s="89">
        <v>45990</v>
      </c>
      <c r="B138" s="90" t="s">
        <v>47</v>
      </c>
      <c r="C138" s="91" t="s">
        <v>643</v>
      </c>
      <c r="D138" s="90" t="s">
        <v>627</v>
      </c>
      <c r="E138" s="92">
        <v>1.5659722222222221</v>
      </c>
      <c r="F138" s="90" t="s">
        <v>55</v>
      </c>
      <c r="G138" s="93">
        <v>9</v>
      </c>
      <c r="H138" s="94">
        <v>479</v>
      </c>
    </row>
    <row r="139" spans="1:8" ht="18" x14ac:dyDescent="0.3">
      <c r="A139" s="95">
        <v>45990</v>
      </c>
      <c r="B139" s="84" t="s">
        <v>302</v>
      </c>
      <c r="C139" s="85" t="s">
        <v>655</v>
      </c>
      <c r="D139" s="84" t="s">
        <v>627</v>
      </c>
      <c r="E139" s="86">
        <v>1.6215277777777779</v>
      </c>
      <c r="F139" s="84" t="s">
        <v>304</v>
      </c>
      <c r="G139" s="87">
        <v>9</v>
      </c>
      <c r="H139" s="96">
        <v>348</v>
      </c>
    </row>
    <row r="140" spans="1:8" ht="18" x14ac:dyDescent="0.3">
      <c r="A140" s="89">
        <v>45990</v>
      </c>
      <c r="B140" s="90" t="s">
        <v>302</v>
      </c>
      <c r="C140" s="91" t="s">
        <v>655</v>
      </c>
      <c r="D140" s="90" t="s">
        <v>627</v>
      </c>
      <c r="E140" s="92">
        <v>1.6215277777777779</v>
      </c>
      <c r="F140" s="90" t="s">
        <v>33</v>
      </c>
      <c r="G140" s="93">
        <v>9</v>
      </c>
      <c r="H140" s="94">
        <v>471</v>
      </c>
    </row>
    <row r="141" spans="1:8" ht="18" x14ac:dyDescent="0.3">
      <c r="A141" s="95">
        <v>45990</v>
      </c>
      <c r="B141" s="84" t="s">
        <v>35</v>
      </c>
      <c r="C141" s="85" t="s">
        <v>660</v>
      </c>
      <c r="D141" s="84" t="s">
        <v>627</v>
      </c>
      <c r="E141" s="86">
        <v>1.166666666666667</v>
      </c>
      <c r="F141" s="84" t="s">
        <v>487</v>
      </c>
      <c r="G141" s="87">
        <v>8</v>
      </c>
      <c r="H141" s="96">
        <v>350</v>
      </c>
    </row>
    <row r="142" spans="1:8" ht="18" x14ac:dyDescent="0.3">
      <c r="A142" s="97">
        <v>45990</v>
      </c>
      <c r="B142" s="98" t="s">
        <v>35</v>
      </c>
      <c r="C142" s="99" t="s">
        <v>662</v>
      </c>
      <c r="D142" s="98" t="s">
        <v>627</v>
      </c>
      <c r="E142" s="100">
        <v>1.916666666666667</v>
      </c>
      <c r="F142" s="98" t="s">
        <v>487</v>
      </c>
      <c r="G142" s="101">
        <v>9</v>
      </c>
      <c r="H142" s="102">
        <v>354</v>
      </c>
    </row>
    <row r="143" spans="1:8" ht="18" x14ac:dyDescent="0.3">
      <c r="A143" s="97">
        <v>45990</v>
      </c>
      <c r="B143" s="98" t="s">
        <v>35</v>
      </c>
      <c r="C143" s="99" t="s">
        <v>658</v>
      </c>
      <c r="D143" s="98" t="s">
        <v>627</v>
      </c>
      <c r="E143" s="100">
        <v>1.541666666666667</v>
      </c>
      <c r="F143" s="98" t="s">
        <v>308</v>
      </c>
      <c r="G143" s="101">
        <v>7</v>
      </c>
      <c r="H143" s="102">
        <v>441</v>
      </c>
    </row>
    <row r="144" spans="1:8" ht="18" x14ac:dyDescent="0.3">
      <c r="A144" s="95">
        <v>45990</v>
      </c>
      <c r="B144" s="84" t="s">
        <v>272</v>
      </c>
      <c r="C144" s="85" t="s">
        <v>646</v>
      </c>
      <c r="D144" s="84" t="s">
        <v>627</v>
      </c>
      <c r="E144" s="86">
        <v>1.8715277777777779</v>
      </c>
      <c r="F144" s="84" t="s">
        <v>78</v>
      </c>
      <c r="G144" s="87">
        <v>9</v>
      </c>
      <c r="H144" s="96">
        <v>350</v>
      </c>
    </row>
    <row r="145" spans="1:8" ht="18" x14ac:dyDescent="0.3">
      <c r="A145" s="97">
        <v>45990</v>
      </c>
      <c r="B145" s="98" t="s">
        <v>272</v>
      </c>
      <c r="C145" s="99" t="s">
        <v>682</v>
      </c>
      <c r="D145" s="98" t="s">
        <v>627</v>
      </c>
      <c r="E145" s="100">
        <v>1.274305555555556</v>
      </c>
      <c r="F145" s="98" t="s">
        <v>78</v>
      </c>
      <c r="G145" s="101">
        <v>9</v>
      </c>
      <c r="H145" s="102">
        <v>401</v>
      </c>
    </row>
    <row r="146" spans="1:8" ht="18" x14ac:dyDescent="0.3">
      <c r="A146" s="113">
        <v>45990</v>
      </c>
      <c r="B146" s="114" t="s">
        <v>76</v>
      </c>
      <c r="C146" s="115" t="s">
        <v>651</v>
      </c>
      <c r="D146" s="114" t="s">
        <v>627</v>
      </c>
      <c r="E146" s="116">
        <v>1.6111111111111109</v>
      </c>
      <c r="F146" s="114" t="s">
        <v>78</v>
      </c>
      <c r="G146" s="117">
        <v>9</v>
      </c>
      <c r="H146" s="203">
        <v>355</v>
      </c>
    </row>
    <row r="147" spans="1:8" ht="18" x14ac:dyDescent="0.3">
      <c r="A147" s="95">
        <v>45990</v>
      </c>
      <c r="B147" s="84" t="s">
        <v>300</v>
      </c>
      <c r="C147" s="85" t="s">
        <v>706</v>
      </c>
      <c r="D147" s="84" t="s">
        <v>627</v>
      </c>
      <c r="E147" s="86">
        <v>1.208333333333333</v>
      </c>
      <c r="F147" s="84" t="s">
        <v>78</v>
      </c>
      <c r="G147" s="87">
        <v>9</v>
      </c>
      <c r="H147" s="96">
        <v>357</v>
      </c>
    </row>
    <row r="148" spans="1:8" ht="18" x14ac:dyDescent="0.3">
      <c r="A148" s="97">
        <v>45990</v>
      </c>
      <c r="B148" s="98" t="s">
        <v>300</v>
      </c>
      <c r="C148" s="99" t="s">
        <v>707</v>
      </c>
      <c r="D148" s="98" t="s">
        <v>627</v>
      </c>
      <c r="E148" s="100">
        <v>1.7222222222222221</v>
      </c>
      <c r="F148" s="98" t="s">
        <v>78</v>
      </c>
      <c r="G148" s="101">
        <v>9</v>
      </c>
      <c r="H148" s="102">
        <v>357</v>
      </c>
    </row>
    <row r="149" spans="1:8" ht="18" x14ac:dyDescent="0.3">
      <c r="A149" s="95">
        <v>45990</v>
      </c>
      <c r="B149" s="84" t="s">
        <v>63</v>
      </c>
      <c r="C149" s="85" t="s">
        <v>664</v>
      </c>
      <c r="D149" s="84" t="s">
        <v>627</v>
      </c>
      <c r="E149" s="86">
        <v>1.2986111111111109</v>
      </c>
      <c r="F149" s="84" t="s">
        <v>65</v>
      </c>
      <c r="G149" s="87">
        <v>7</v>
      </c>
      <c r="H149" s="96">
        <v>661</v>
      </c>
    </row>
    <row r="150" spans="1:8" ht="18" x14ac:dyDescent="0.3">
      <c r="A150" s="89">
        <v>45990</v>
      </c>
      <c r="B150" s="90" t="s">
        <v>63</v>
      </c>
      <c r="C150" s="91" t="s">
        <v>664</v>
      </c>
      <c r="D150" s="90" t="s">
        <v>627</v>
      </c>
      <c r="E150" s="92">
        <v>1.2986111111111109</v>
      </c>
      <c r="F150" s="90" t="s">
        <v>67</v>
      </c>
      <c r="G150" s="93">
        <v>7</v>
      </c>
      <c r="H150" s="94">
        <v>711</v>
      </c>
    </row>
    <row r="151" spans="1:8" ht="18" x14ac:dyDescent="0.3">
      <c r="A151" s="97">
        <v>45990</v>
      </c>
      <c r="B151" s="98" t="s">
        <v>63</v>
      </c>
      <c r="C151" s="99" t="s">
        <v>665</v>
      </c>
      <c r="D151" s="98" t="s">
        <v>627</v>
      </c>
      <c r="E151" s="100">
        <v>1.6840277777777779</v>
      </c>
      <c r="F151" s="98" t="s">
        <v>65</v>
      </c>
      <c r="G151" s="101">
        <v>3</v>
      </c>
      <c r="H151" s="102">
        <v>661</v>
      </c>
    </row>
    <row r="152" spans="1:8" ht="18" x14ac:dyDescent="0.3">
      <c r="A152" s="89">
        <v>45990</v>
      </c>
      <c r="B152" s="90" t="s">
        <v>63</v>
      </c>
      <c r="C152" s="91" t="s">
        <v>665</v>
      </c>
      <c r="D152" s="90" t="s">
        <v>627</v>
      </c>
      <c r="E152" s="92">
        <v>1.6840277777777779</v>
      </c>
      <c r="F152" s="90" t="s">
        <v>67</v>
      </c>
      <c r="G152" s="93">
        <v>3</v>
      </c>
      <c r="H152" s="94">
        <v>711</v>
      </c>
    </row>
    <row r="153" spans="1:8" ht="18" x14ac:dyDescent="0.3">
      <c r="A153" s="97">
        <v>45990</v>
      </c>
      <c r="B153" s="98" t="s">
        <v>63</v>
      </c>
      <c r="C153" s="99" t="s">
        <v>668</v>
      </c>
      <c r="D153" s="98" t="s">
        <v>627</v>
      </c>
      <c r="E153" s="100">
        <v>1.4826388888888891</v>
      </c>
      <c r="F153" s="98" t="s">
        <v>65</v>
      </c>
      <c r="G153" s="101">
        <v>9</v>
      </c>
      <c r="H153" s="102">
        <v>661</v>
      </c>
    </row>
    <row r="154" spans="1:8" ht="18" x14ac:dyDescent="0.3">
      <c r="A154" s="89">
        <v>45990</v>
      </c>
      <c r="B154" s="90" t="s">
        <v>63</v>
      </c>
      <c r="C154" s="91" t="s">
        <v>668</v>
      </c>
      <c r="D154" s="90" t="s">
        <v>627</v>
      </c>
      <c r="E154" s="92">
        <v>1.4826388888888891</v>
      </c>
      <c r="F154" s="90" t="s">
        <v>67</v>
      </c>
      <c r="G154" s="93">
        <v>9</v>
      </c>
      <c r="H154" s="94">
        <v>711</v>
      </c>
    </row>
    <row r="155" spans="1:8" ht="18" x14ac:dyDescent="0.3">
      <c r="A155" s="97">
        <v>45990</v>
      </c>
      <c r="B155" s="98" t="s">
        <v>63</v>
      </c>
      <c r="C155" s="99" t="s">
        <v>675</v>
      </c>
      <c r="D155" s="98" t="s">
        <v>627</v>
      </c>
      <c r="E155" s="100">
        <v>1.836805555555556</v>
      </c>
      <c r="F155" s="98" t="s">
        <v>65</v>
      </c>
      <c r="G155" s="101">
        <v>9</v>
      </c>
      <c r="H155" s="102">
        <v>774</v>
      </c>
    </row>
    <row r="156" spans="1:8" ht="18" x14ac:dyDescent="0.3">
      <c r="A156" s="89">
        <v>45990</v>
      </c>
      <c r="B156" s="90" t="s">
        <v>63</v>
      </c>
      <c r="C156" s="91" t="s">
        <v>675</v>
      </c>
      <c r="D156" s="90" t="s">
        <v>627</v>
      </c>
      <c r="E156" s="92">
        <v>1.836805555555556</v>
      </c>
      <c r="F156" s="90" t="s">
        <v>67</v>
      </c>
      <c r="G156" s="93">
        <v>9</v>
      </c>
      <c r="H156" s="94">
        <v>824</v>
      </c>
    </row>
    <row r="157" spans="1:8" ht="18" x14ac:dyDescent="0.3">
      <c r="A157" s="97">
        <v>45990</v>
      </c>
      <c r="B157" s="98" t="s">
        <v>63</v>
      </c>
      <c r="C157" s="99" t="s">
        <v>673</v>
      </c>
      <c r="D157" s="98" t="s">
        <v>627</v>
      </c>
      <c r="E157" s="100">
        <v>1.760416666666667</v>
      </c>
      <c r="F157" s="98" t="s">
        <v>67</v>
      </c>
      <c r="G157" s="101">
        <v>4</v>
      </c>
      <c r="H157" s="98" t="s">
        <v>670</v>
      </c>
    </row>
    <row r="158" spans="1:8" ht="18" x14ac:dyDescent="0.3">
      <c r="A158" s="97">
        <v>45990</v>
      </c>
      <c r="B158" s="98" t="s">
        <v>63</v>
      </c>
      <c r="C158" s="99" t="s">
        <v>669</v>
      </c>
      <c r="D158" s="98" t="s">
        <v>627</v>
      </c>
      <c r="E158" s="100">
        <v>1.5</v>
      </c>
      <c r="F158" s="98" t="s">
        <v>67</v>
      </c>
      <c r="G158" s="101">
        <v>4</v>
      </c>
      <c r="H158" s="98" t="s">
        <v>670</v>
      </c>
    </row>
    <row r="159" spans="1:8" ht="18" x14ac:dyDescent="0.3">
      <c r="A159" s="108">
        <v>45990</v>
      </c>
      <c r="B159" s="109" t="s">
        <v>63</v>
      </c>
      <c r="C159" s="110" t="s">
        <v>671</v>
      </c>
      <c r="D159" s="109" t="s">
        <v>627</v>
      </c>
      <c r="E159" s="111">
        <v>1.8159722222222221</v>
      </c>
      <c r="F159" s="109" t="s">
        <v>67</v>
      </c>
      <c r="G159" s="112">
        <v>4</v>
      </c>
      <c r="H159" s="109" t="s">
        <v>670</v>
      </c>
    </row>
    <row r="160" spans="1:8" ht="18" x14ac:dyDescent="0.3">
      <c r="A160" s="83">
        <v>45991</v>
      </c>
      <c r="B160" s="84" t="s">
        <v>25</v>
      </c>
      <c r="C160" s="85" t="s">
        <v>628</v>
      </c>
      <c r="D160" s="84" t="s">
        <v>627</v>
      </c>
      <c r="E160" s="86">
        <v>1.447916666666667</v>
      </c>
      <c r="F160" s="84" t="s">
        <v>710</v>
      </c>
      <c r="G160" s="87">
        <v>50</v>
      </c>
      <c r="H160" s="88">
        <v>259</v>
      </c>
    </row>
    <row r="161" spans="1:8" ht="18" x14ac:dyDescent="0.3">
      <c r="A161" s="97">
        <v>45991</v>
      </c>
      <c r="B161" s="98" t="s">
        <v>25</v>
      </c>
      <c r="C161" s="99" t="s">
        <v>632</v>
      </c>
      <c r="D161" s="98" t="s">
        <v>627</v>
      </c>
      <c r="E161" s="100">
        <v>1.5</v>
      </c>
      <c r="F161" s="98" t="s">
        <v>710</v>
      </c>
      <c r="G161" s="101">
        <v>19</v>
      </c>
      <c r="H161" s="102">
        <v>259</v>
      </c>
    </row>
    <row r="162" spans="1:8" ht="18" x14ac:dyDescent="0.3">
      <c r="A162" s="97">
        <v>45991</v>
      </c>
      <c r="B162" s="98" t="s">
        <v>25</v>
      </c>
      <c r="C162" s="99" t="s">
        <v>634</v>
      </c>
      <c r="D162" s="98" t="s">
        <v>627</v>
      </c>
      <c r="E162" s="100">
        <v>1.760416666666667</v>
      </c>
      <c r="F162" s="98" t="s">
        <v>710</v>
      </c>
      <c r="G162" s="101">
        <v>41</v>
      </c>
      <c r="H162" s="102">
        <v>259</v>
      </c>
    </row>
    <row r="163" spans="1:8" ht="18" x14ac:dyDescent="0.3">
      <c r="A163" s="97">
        <v>45991</v>
      </c>
      <c r="B163" s="98" t="s">
        <v>25</v>
      </c>
      <c r="C163" s="99" t="s">
        <v>637</v>
      </c>
      <c r="D163" s="98" t="s">
        <v>627</v>
      </c>
      <c r="E163" s="100">
        <v>1.8159722222222221</v>
      </c>
      <c r="F163" s="98" t="s">
        <v>710</v>
      </c>
      <c r="G163" s="101">
        <v>26</v>
      </c>
      <c r="H163" s="102">
        <v>259</v>
      </c>
    </row>
    <row r="164" spans="1:8" ht="18" x14ac:dyDescent="0.3">
      <c r="A164" s="95">
        <v>45991</v>
      </c>
      <c r="B164" s="84" t="s">
        <v>47</v>
      </c>
      <c r="C164" s="85" t="s">
        <v>638</v>
      </c>
      <c r="D164" s="84" t="s">
        <v>627</v>
      </c>
      <c r="E164" s="86">
        <v>1.305555555555556</v>
      </c>
      <c r="F164" s="84" t="s">
        <v>715</v>
      </c>
      <c r="G164" s="87">
        <v>9</v>
      </c>
      <c r="H164" s="96">
        <v>259</v>
      </c>
    </row>
    <row r="165" spans="1:8" ht="18" x14ac:dyDescent="0.3">
      <c r="A165" s="97">
        <v>45991</v>
      </c>
      <c r="B165" s="98" t="s">
        <v>47</v>
      </c>
      <c r="C165" s="99" t="s">
        <v>640</v>
      </c>
      <c r="D165" s="98" t="s">
        <v>627</v>
      </c>
      <c r="E165" s="100">
        <v>1.5</v>
      </c>
      <c r="F165" s="98" t="s">
        <v>715</v>
      </c>
      <c r="G165" s="101">
        <v>8</v>
      </c>
      <c r="H165" s="102">
        <v>259</v>
      </c>
    </row>
    <row r="166" spans="1:8" ht="18" x14ac:dyDescent="0.3">
      <c r="A166" s="97">
        <v>45991</v>
      </c>
      <c r="B166" s="98" t="s">
        <v>47</v>
      </c>
      <c r="C166" s="99" t="s">
        <v>645</v>
      </c>
      <c r="D166" s="98" t="s">
        <v>627</v>
      </c>
      <c r="E166" s="100">
        <v>1.6875</v>
      </c>
      <c r="F166" s="98" t="s">
        <v>715</v>
      </c>
      <c r="G166" s="101">
        <v>9</v>
      </c>
      <c r="H166" s="102">
        <v>259</v>
      </c>
    </row>
    <row r="167" spans="1:8" ht="18" x14ac:dyDescent="0.3">
      <c r="A167" s="97">
        <v>45991</v>
      </c>
      <c r="B167" s="98" t="s">
        <v>47</v>
      </c>
      <c r="C167" s="99" t="s">
        <v>643</v>
      </c>
      <c r="D167" s="98" t="s">
        <v>627</v>
      </c>
      <c r="E167" s="100">
        <v>1.5659722222222221</v>
      </c>
      <c r="F167" s="98" t="s">
        <v>715</v>
      </c>
      <c r="G167" s="101">
        <v>9</v>
      </c>
      <c r="H167" s="102">
        <v>259</v>
      </c>
    </row>
    <row r="168" spans="1:8" ht="18" x14ac:dyDescent="0.3">
      <c r="A168" s="97">
        <v>45991</v>
      </c>
      <c r="B168" s="98" t="s">
        <v>47</v>
      </c>
      <c r="C168" s="99" t="s">
        <v>644</v>
      </c>
      <c r="D168" s="98" t="s">
        <v>627</v>
      </c>
      <c r="E168" s="100">
        <v>1.8263888888888891</v>
      </c>
      <c r="F168" s="98" t="s">
        <v>715</v>
      </c>
      <c r="G168" s="101">
        <v>9</v>
      </c>
      <c r="H168" s="102">
        <v>289</v>
      </c>
    </row>
    <row r="169" spans="1:8" ht="18" x14ac:dyDescent="0.3">
      <c r="A169" s="97">
        <v>45991</v>
      </c>
      <c r="B169" s="98" t="s">
        <v>47</v>
      </c>
      <c r="C169" s="99" t="s">
        <v>641</v>
      </c>
      <c r="D169" s="98" t="s">
        <v>627</v>
      </c>
      <c r="E169" s="100">
        <v>1.427083333333333</v>
      </c>
      <c r="F169" s="98" t="s">
        <v>715</v>
      </c>
      <c r="G169" s="101">
        <v>9</v>
      </c>
      <c r="H169" s="102">
        <v>289</v>
      </c>
    </row>
    <row r="170" spans="1:8" ht="18" x14ac:dyDescent="0.3">
      <c r="A170" s="97">
        <v>45991</v>
      </c>
      <c r="B170" s="98" t="s">
        <v>47</v>
      </c>
      <c r="C170" s="99" t="s">
        <v>642</v>
      </c>
      <c r="D170" s="98" t="s">
        <v>627</v>
      </c>
      <c r="E170" s="100">
        <v>1.375</v>
      </c>
      <c r="F170" s="98" t="s">
        <v>715</v>
      </c>
      <c r="G170" s="101">
        <v>9</v>
      </c>
      <c r="H170" s="102">
        <v>289</v>
      </c>
    </row>
    <row r="171" spans="1:8" ht="18" x14ac:dyDescent="0.3">
      <c r="A171" s="95">
        <v>45991</v>
      </c>
      <c r="B171" s="84" t="s">
        <v>35</v>
      </c>
      <c r="C171" s="85" t="s">
        <v>660</v>
      </c>
      <c r="D171" s="84" t="s">
        <v>627</v>
      </c>
      <c r="E171" s="86">
        <v>1.1701388888888891</v>
      </c>
      <c r="F171" s="84" t="s">
        <v>487</v>
      </c>
      <c r="G171" s="87">
        <v>9</v>
      </c>
      <c r="H171" s="96">
        <v>350</v>
      </c>
    </row>
    <row r="172" spans="1:8" ht="18" x14ac:dyDescent="0.3">
      <c r="A172" s="97">
        <v>45991</v>
      </c>
      <c r="B172" s="98" t="s">
        <v>35</v>
      </c>
      <c r="C172" s="99" t="s">
        <v>662</v>
      </c>
      <c r="D172" s="98" t="s">
        <v>627</v>
      </c>
      <c r="E172" s="100">
        <v>1.916666666666667</v>
      </c>
      <c r="F172" s="98" t="s">
        <v>487</v>
      </c>
      <c r="G172" s="101">
        <v>9</v>
      </c>
      <c r="H172" s="102">
        <v>354</v>
      </c>
    </row>
    <row r="173" spans="1:8" ht="18" x14ac:dyDescent="0.3">
      <c r="A173" s="97">
        <v>45991</v>
      </c>
      <c r="B173" s="98" t="s">
        <v>35</v>
      </c>
      <c r="C173" s="99" t="s">
        <v>658</v>
      </c>
      <c r="D173" s="98" t="s">
        <v>627</v>
      </c>
      <c r="E173" s="100">
        <v>1.520833333333333</v>
      </c>
      <c r="F173" s="98" t="s">
        <v>308</v>
      </c>
      <c r="G173" s="101">
        <v>9</v>
      </c>
      <c r="H173" s="102">
        <v>437</v>
      </c>
    </row>
    <row r="174" spans="1:8" ht="18" x14ac:dyDescent="0.3">
      <c r="A174" s="95">
        <v>45991</v>
      </c>
      <c r="B174" s="84" t="s">
        <v>272</v>
      </c>
      <c r="C174" s="85" t="s">
        <v>716</v>
      </c>
      <c r="D174" s="84" t="s">
        <v>627</v>
      </c>
      <c r="E174" s="86">
        <v>1.586805555555556</v>
      </c>
      <c r="F174" s="84" t="s">
        <v>78</v>
      </c>
      <c r="G174" s="87">
        <v>9</v>
      </c>
      <c r="H174" s="96">
        <v>350</v>
      </c>
    </row>
    <row r="175" spans="1:8" ht="18" x14ac:dyDescent="0.3">
      <c r="A175" s="113">
        <v>45991</v>
      </c>
      <c r="B175" s="114" t="s">
        <v>76</v>
      </c>
      <c r="C175" s="115" t="s">
        <v>651</v>
      </c>
      <c r="D175" s="114" t="s">
        <v>627</v>
      </c>
      <c r="E175" s="116">
        <v>1.625</v>
      </c>
      <c r="F175" s="114" t="s">
        <v>78</v>
      </c>
      <c r="G175" s="117">
        <v>9</v>
      </c>
      <c r="H175" s="203">
        <v>355</v>
      </c>
    </row>
    <row r="176" spans="1:8" ht="18" x14ac:dyDescent="0.3">
      <c r="A176" s="95">
        <v>45991</v>
      </c>
      <c r="B176" s="84" t="s">
        <v>300</v>
      </c>
      <c r="C176" s="85" t="s">
        <v>648</v>
      </c>
      <c r="D176" s="84" t="s">
        <v>627</v>
      </c>
      <c r="E176" s="86">
        <v>1.3576388888888891</v>
      </c>
      <c r="F176" s="84" t="s">
        <v>78</v>
      </c>
      <c r="G176" s="87">
        <v>9</v>
      </c>
      <c r="H176" s="96">
        <v>357</v>
      </c>
    </row>
    <row r="177" spans="1:8" ht="18" x14ac:dyDescent="0.3">
      <c r="A177" s="97">
        <v>45991</v>
      </c>
      <c r="B177" s="98" t="s">
        <v>300</v>
      </c>
      <c r="C177" s="99" t="s">
        <v>718</v>
      </c>
      <c r="D177" s="98" t="s">
        <v>627</v>
      </c>
      <c r="E177" s="100">
        <v>1.3159722222222221</v>
      </c>
      <c r="F177" s="98" t="s">
        <v>78</v>
      </c>
      <c r="G177" s="101">
        <v>9</v>
      </c>
      <c r="H177" s="102">
        <v>357</v>
      </c>
    </row>
    <row r="178" spans="1:8" ht="18" x14ac:dyDescent="0.3">
      <c r="A178" s="95">
        <v>45991</v>
      </c>
      <c r="B178" s="84" t="s">
        <v>63</v>
      </c>
      <c r="C178" s="85" t="s">
        <v>664</v>
      </c>
      <c r="D178" s="84" t="s">
        <v>627</v>
      </c>
      <c r="E178" s="86">
        <v>1.2986111111111109</v>
      </c>
      <c r="F178" s="84" t="s">
        <v>65</v>
      </c>
      <c r="G178" s="87">
        <v>3</v>
      </c>
      <c r="H178" s="96">
        <v>495</v>
      </c>
    </row>
    <row r="179" spans="1:8" ht="18" x14ac:dyDescent="0.3">
      <c r="A179" s="89">
        <v>45991</v>
      </c>
      <c r="B179" s="90" t="s">
        <v>63</v>
      </c>
      <c r="C179" s="91" t="s">
        <v>664</v>
      </c>
      <c r="D179" s="90" t="s">
        <v>627</v>
      </c>
      <c r="E179" s="92">
        <v>1.2986111111111109</v>
      </c>
      <c r="F179" s="90" t="s">
        <v>67</v>
      </c>
      <c r="G179" s="93">
        <v>3</v>
      </c>
      <c r="H179" s="94">
        <v>545</v>
      </c>
    </row>
    <row r="180" spans="1:8" ht="18" x14ac:dyDescent="0.3">
      <c r="A180" s="97">
        <v>45991</v>
      </c>
      <c r="B180" s="98" t="s">
        <v>63</v>
      </c>
      <c r="C180" s="99" t="s">
        <v>668</v>
      </c>
      <c r="D180" s="98" t="s">
        <v>627</v>
      </c>
      <c r="E180" s="100">
        <v>1.4826388888888891</v>
      </c>
      <c r="F180" s="98" t="s">
        <v>65</v>
      </c>
      <c r="G180" s="101">
        <v>9</v>
      </c>
      <c r="H180" s="102">
        <v>495</v>
      </c>
    </row>
    <row r="181" spans="1:8" ht="18" x14ac:dyDescent="0.3">
      <c r="A181" s="89">
        <v>45991</v>
      </c>
      <c r="B181" s="90" t="s">
        <v>63</v>
      </c>
      <c r="C181" s="91" t="s">
        <v>668</v>
      </c>
      <c r="D181" s="90" t="s">
        <v>627</v>
      </c>
      <c r="E181" s="92">
        <v>1.4826388888888891</v>
      </c>
      <c r="F181" s="90" t="s">
        <v>67</v>
      </c>
      <c r="G181" s="93">
        <v>9</v>
      </c>
      <c r="H181" s="94">
        <v>545</v>
      </c>
    </row>
    <row r="182" spans="1:8" ht="18" x14ac:dyDescent="0.3">
      <c r="A182" s="97">
        <v>45991</v>
      </c>
      <c r="B182" s="98" t="s">
        <v>63</v>
      </c>
      <c r="C182" s="99" t="s">
        <v>665</v>
      </c>
      <c r="D182" s="98" t="s">
        <v>627</v>
      </c>
      <c r="E182" s="100">
        <v>1.6840277777777779</v>
      </c>
      <c r="F182" s="98" t="s">
        <v>65</v>
      </c>
      <c r="G182" s="101">
        <v>9</v>
      </c>
      <c r="H182" s="102">
        <v>661</v>
      </c>
    </row>
    <row r="183" spans="1:8" ht="18" x14ac:dyDescent="0.3">
      <c r="A183" s="89">
        <v>45991</v>
      </c>
      <c r="B183" s="90" t="s">
        <v>63</v>
      </c>
      <c r="C183" s="91" t="s">
        <v>665</v>
      </c>
      <c r="D183" s="90" t="s">
        <v>627</v>
      </c>
      <c r="E183" s="92">
        <v>1.6840277777777779</v>
      </c>
      <c r="F183" s="90" t="s">
        <v>67</v>
      </c>
      <c r="G183" s="93">
        <v>9</v>
      </c>
      <c r="H183" s="94">
        <v>711</v>
      </c>
    </row>
    <row r="184" spans="1:8" ht="18" x14ac:dyDescent="0.3">
      <c r="A184" s="97">
        <v>45991</v>
      </c>
      <c r="B184" s="98" t="s">
        <v>63</v>
      </c>
      <c r="C184" s="99" t="s">
        <v>721</v>
      </c>
      <c r="D184" s="98" t="s">
        <v>627</v>
      </c>
      <c r="E184" s="100">
        <v>1.552083333333333</v>
      </c>
      <c r="F184" s="98" t="s">
        <v>65</v>
      </c>
      <c r="G184" s="101">
        <v>9</v>
      </c>
      <c r="H184" s="102">
        <v>661</v>
      </c>
    </row>
    <row r="185" spans="1:8" ht="18" x14ac:dyDescent="0.3">
      <c r="A185" s="89">
        <v>45991</v>
      </c>
      <c r="B185" s="90" t="s">
        <v>63</v>
      </c>
      <c r="C185" s="91" t="s">
        <v>721</v>
      </c>
      <c r="D185" s="90" t="s">
        <v>627</v>
      </c>
      <c r="E185" s="92">
        <v>1.552083333333333</v>
      </c>
      <c r="F185" s="90" t="s">
        <v>67</v>
      </c>
      <c r="G185" s="93">
        <v>9</v>
      </c>
      <c r="H185" s="94">
        <v>711</v>
      </c>
    </row>
    <row r="186" spans="1:8" ht="18" x14ac:dyDescent="0.3">
      <c r="A186" s="97">
        <v>45991</v>
      </c>
      <c r="B186" s="98" t="s">
        <v>63</v>
      </c>
      <c r="C186" s="99" t="s">
        <v>675</v>
      </c>
      <c r="D186" s="98" t="s">
        <v>627</v>
      </c>
      <c r="E186" s="100">
        <v>1.836805555555556</v>
      </c>
      <c r="F186" s="98" t="s">
        <v>65</v>
      </c>
      <c r="G186" s="101">
        <v>9</v>
      </c>
      <c r="H186" s="102">
        <v>774</v>
      </c>
    </row>
    <row r="187" spans="1:8" ht="18" x14ac:dyDescent="0.3">
      <c r="A187" s="89">
        <v>45991</v>
      </c>
      <c r="B187" s="90" t="s">
        <v>63</v>
      </c>
      <c r="C187" s="91" t="s">
        <v>675</v>
      </c>
      <c r="D187" s="90" t="s">
        <v>627</v>
      </c>
      <c r="E187" s="92">
        <v>1.836805555555556</v>
      </c>
      <c r="F187" s="90" t="s">
        <v>67</v>
      </c>
      <c r="G187" s="93">
        <v>9</v>
      </c>
      <c r="H187" s="94">
        <v>824</v>
      </c>
    </row>
    <row r="188" spans="1:8" ht="18" x14ac:dyDescent="0.3">
      <c r="A188" s="97">
        <v>45991</v>
      </c>
      <c r="B188" s="98" t="s">
        <v>63</v>
      </c>
      <c r="C188" s="99" t="s">
        <v>673</v>
      </c>
      <c r="D188" s="98" t="s">
        <v>627</v>
      </c>
      <c r="E188" s="100">
        <v>1.760416666666667</v>
      </c>
      <c r="F188" s="98" t="s">
        <v>67</v>
      </c>
      <c r="G188" s="101">
        <v>4</v>
      </c>
      <c r="H188" s="98" t="s">
        <v>670</v>
      </c>
    </row>
    <row r="189" spans="1:8" ht="18" x14ac:dyDescent="0.3">
      <c r="A189" s="97">
        <v>45991</v>
      </c>
      <c r="B189" s="98" t="s">
        <v>63</v>
      </c>
      <c r="C189" s="99" t="s">
        <v>669</v>
      </c>
      <c r="D189" s="98" t="s">
        <v>627</v>
      </c>
      <c r="E189" s="100">
        <v>1.5</v>
      </c>
      <c r="F189" s="98" t="s">
        <v>67</v>
      </c>
      <c r="G189" s="101">
        <v>4</v>
      </c>
      <c r="H189" s="98" t="s">
        <v>670</v>
      </c>
    </row>
    <row r="190" spans="1:8" ht="18" x14ac:dyDescent="0.3">
      <c r="A190" s="108">
        <v>45991</v>
      </c>
      <c r="B190" s="109" t="s">
        <v>63</v>
      </c>
      <c r="C190" s="110" t="s">
        <v>671</v>
      </c>
      <c r="D190" s="109" t="s">
        <v>627</v>
      </c>
      <c r="E190" s="111">
        <v>1.8159722222222221</v>
      </c>
      <c r="F190" s="109" t="s">
        <v>67</v>
      </c>
      <c r="G190" s="112">
        <v>4</v>
      </c>
      <c r="H190" s="109" t="s">
        <v>670</v>
      </c>
    </row>
  </sheetData>
  <dataValidations count="5">
    <dataValidation type="custom" allowBlank="1" showInputMessage="1" promptTitle="LOAD FACTOR ANALYSIS" prompt="SM-462_x000d__x000a_LF 67.9%_x000d__x000a_SOLD 114_x000d__x000a_LST-SOLD 25NOV_x000d__x000a_WEEKLY 31_x000d__x000a_TO-DAY NIL_x000d__x000a_Y-DAY 4_x000d__x000a_LOWEST AVAIL U9_x000d__x000a_CAPACITY 168_x000d__x000a_CLASSES K2 &amp; S2 &amp; W3 &amp; +4 more" sqref="A38 B38 C38 D38 E38 F38 G38 H38" xr:uid="{00000000-0002-0000-2100-000000000000}">
      <formula1>TRUE</formula1>
    </dataValidation>
    <dataValidation type="custom" allowBlank="1" showInputMessage="1" promptTitle="LOAD FACTOR ANALYSIS" prompt="SM-462_x000d__x000a_LF 64.9%_x000d__x000a_SOLD 109_x000d__x000a_LST-SOLD 25NOV_x000d__x000a_WEEKLY 45_x000d__x000a_TO-DAY NIL_x000d__x000a_Y-DAY 5_x000d__x000a_LOWEST AVAIL O9_x000d__x000a_CAPACITY 168_x000d__x000a_CLASSES K1 &amp; S1 &amp; T3 &amp; +3 more" sqref="A89 B89 C89 D89 E89 F89 G89 H89" xr:uid="{00000000-0002-0000-2100-000001000000}">
      <formula1>TRUE</formula1>
    </dataValidation>
    <dataValidation type="custom" allowBlank="1" showInputMessage="1" promptTitle="LOAD FACTOR ANALYSIS" prompt="SM-470_x000d__x000a_LF 50.0%_x000d__x000a_SOLD 84_x000d__x000a_LST-SOLD 26NOV_x000d__x000a_WEEKLY 47_x000d__x000a_TO-DAY 1_x000d__x000a_Y-DAY 5_x000d__x000a_LOWEST AVAIL O9_x000d__x000a_CAPACITY 168_x000d__x000a_CLASSES W4 &amp; O10 &amp; I70" sqref="A90 B90 C90 D90 E90 F90 G90 H90" xr:uid="{00000000-0002-0000-2100-000002000000}">
      <formula1>TRUE</formula1>
    </dataValidation>
    <dataValidation type="custom" allowBlank="1" showInputMessage="1" promptTitle="LOAD FACTOR ANALYSIS" prompt="SM-462_x000d__x000a_LF 64.9%_x000d__x000a_SOLD 109_x000d__x000a_LST-SOLD 25NOV_x000d__x000a_WEEKLY 44_x000d__x000a_TO-DAY NIL_x000d__x000a_Y-DAY 9_x000d__x000a_LOWEST AVAIL O9_x000d__x000a_CAPACITY 168_x000d__x000a_CLASSES K1 &amp; S2 &amp; W1 &amp; +3 more" sqref="A146 B146 C146 D146 E146 F146 G146 H146" xr:uid="{00000000-0002-0000-2100-000003000000}">
      <formula1>TRUE</formula1>
    </dataValidation>
    <dataValidation type="custom" allowBlank="1" showInputMessage="1" promptTitle="LOAD FACTOR ANALYSIS" prompt="SM-462_x000d__x000a_LF 54.8%_x000d__x000a_SOLD 92_x000d__x000a_LST-SOLD 25NOV_x000d__x000a_WEEKLY 27_x000d__x000a_TO-DAY NIL_x000d__x000a_Y-DAY 5_x000d__x000a_LOWEST AVAIL O9_x000d__x000a_CAPACITY 168_x000d__x000a_CLASSES K1 &amp; S1 &amp; W1 &amp; +3 more" sqref="A175 B175 C175 D175 E175 F175 G175 H175" xr:uid="{00000000-0002-0000-2100-00000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3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731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45987.359169406067</v>
      </c>
      <c r="H2" s="294"/>
      <c r="I2" s="294"/>
      <c r="J2" s="294"/>
      <c r="K2" s="301">
        <v>45987.359169406664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45991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28" t="s">
        <v>76</v>
      </c>
      <c r="B6" s="128" t="s">
        <v>732</v>
      </c>
      <c r="C6" s="129">
        <v>0.61111111111111105</v>
      </c>
      <c r="D6" s="128" t="s">
        <v>78</v>
      </c>
      <c r="E6" s="128" t="s">
        <v>38</v>
      </c>
      <c r="F6" s="128" t="s">
        <v>733</v>
      </c>
      <c r="G6" s="281"/>
      <c r="H6" s="130" t="s">
        <v>734</v>
      </c>
      <c r="I6" s="226">
        <v>0.58330000000000004</v>
      </c>
      <c r="J6" s="132">
        <v>98</v>
      </c>
      <c r="K6" s="133">
        <v>45986</v>
      </c>
      <c r="L6" s="132">
        <v>18</v>
      </c>
      <c r="M6" s="132">
        <v>0</v>
      </c>
      <c r="N6" s="132">
        <v>6</v>
      </c>
      <c r="O6" s="134" t="s">
        <v>361</v>
      </c>
      <c r="P6" s="135">
        <v>0.61111111111111105</v>
      </c>
      <c r="Q6" s="132">
        <v>168</v>
      </c>
      <c r="R6" s="136" t="s">
        <v>735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7" t="s">
        <v>35</v>
      </c>
      <c r="B7" s="17" t="s">
        <v>736</v>
      </c>
      <c r="C7" s="18">
        <v>0.61111111111111105</v>
      </c>
      <c r="D7" s="17" t="s">
        <v>308</v>
      </c>
      <c r="E7" s="17" t="s">
        <v>79</v>
      </c>
      <c r="F7" s="17" t="s">
        <v>737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8" x14ac:dyDescent="0.3">
      <c r="A8" s="303" t="s">
        <v>738</v>
      </c>
      <c r="B8" s="304"/>
      <c r="C8" s="304"/>
      <c r="D8" s="304"/>
      <c r="E8" s="304"/>
      <c r="F8" s="304"/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628</v>
      </c>
      <c r="C9" s="20" t="s">
        <v>739</v>
      </c>
      <c r="D9" s="19" t="s">
        <v>710</v>
      </c>
      <c r="E9" s="19" t="s">
        <v>740</v>
      </c>
      <c r="F9" s="19" t="s">
        <v>678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25</v>
      </c>
      <c r="B10" s="19" t="s">
        <v>632</v>
      </c>
      <c r="C10" s="20" t="s">
        <v>741</v>
      </c>
      <c r="D10" s="19" t="s">
        <v>710</v>
      </c>
      <c r="E10" s="19" t="s">
        <v>742</v>
      </c>
      <c r="F10" s="19" t="s">
        <v>678</v>
      </c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634</v>
      </c>
      <c r="C11" s="20" t="s">
        <v>743</v>
      </c>
      <c r="D11" s="19" t="s">
        <v>710</v>
      </c>
      <c r="E11" s="19" t="s">
        <v>744</v>
      </c>
      <c r="F11" s="19" t="s">
        <v>678</v>
      </c>
      <c r="G11" s="282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637</v>
      </c>
      <c r="C12" s="20" t="s">
        <v>745</v>
      </c>
      <c r="D12" s="19" t="s">
        <v>710</v>
      </c>
      <c r="E12" s="19" t="s">
        <v>746</v>
      </c>
      <c r="F12" s="19" t="s">
        <v>678</v>
      </c>
      <c r="G12" s="282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47</v>
      </c>
      <c r="B13" s="19" t="s">
        <v>638</v>
      </c>
      <c r="C13" s="20" t="s">
        <v>747</v>
      </c>
      <c r="D13" s="19" t="s">
        <v>715</v>
      </c>
      <c r="E13" s="19" t="s">
        <v>209</v>
      </c>
      <c r="F13" s="19" t="s">
        <v>678</v>
      </c>
      <c r="G13" s="282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47</v>
      </c>
      <c r="B14" s="19" t="s">
        <v>640</v>
      </c>
      <c r="C14" s="20" t="s">
        <v>741</v>
      </c>
      <c r="D14" s="19" t="s">
        <v>715</v>
      </c>
      <c r="E14" s="19" t="s">
        <v>212</v>
      </c>
      <c r="F14" s="19" t="s">
        <v>678</v>
      </c>
      <c r="G14" s="282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47</v>
      </c>
      <c r="B15" s="19" t="s">
        <v>645</v>
      </c>
      <c r="C15" s="20" t="s">
        <v>748</v>
      </c>
      <c r="D15" s="19" t="s">
        <v>715</v>
      </c>
      <c r="E15" s="19" t="s">
        <v>209</v>
      </c>
      <c r="F15" s="19" t="s">
        <v>678</v>
      </c>
      <c r="G15" s="282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47</v>
      </c>
      <c r="B16" s="19" t="s">
        <v>643</v>
      </c>
      <c r="C16" s="20" t="s">
        <v>749</v>
      </c>
      <c r="D16" s="19" t="s">
        <v>715</v>
      </c>
      <c r="E16" s="19" t="s">
        <v>209</v>
      </c>
      <c r="F16" s="19" t="s">
        <v>678</v>
      </c>
      <c r="G16" s="282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47</v>
      </c>
      <c r="B17" s="19" t="s">
        <v>644</v>
      </c>
      <c r="C17" s="20" t="s">
        <v>750</v>
      </c>
      <c r="D17" s="19" t="s">
        <v>715</v>
      </c>
      <c r="E17" s="19" t="s">
        <v>209</v>
      </c>
      <c r="F17" s="19" t="s">
        <v>701</v>
      </c>
      <c r="G17" s="282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6" t="s">
        <v>47</v>
      </c>
      <c r="B18" s="36" t="s">
        <v>641</v>
      </c>
      <c r="C18" s="37" t="s">
        <v>751</v>
      </c>
      <c r="D18" s="36" t="s">
        <v>715</v>
      </c>
      <c r="E18" s="36" t="s">
        <v>209</v>
      </c>
      <c r="F18" s="36" t="s">
        <v>701</v>
      </c>
      <c r="G18" s="283"/>
      <c r="H18" s="140"/>
      <c r="I18" s="140"/>
      <c r="J18" s="140"/>
      <c r="K18" s="140"/>
      <c r="L18" s="140"/>
      <c r="M18" s="140"/>
      <c r="N18" s="140"/>
      <c r="O18" s="141"/>
      <c r="P18" s="140"/>
      <c r="Q18" s="142"/>
      <c r="R18" s="14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8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80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</sheetData>
  <mergeCells count="14">
    <mergeCell ref="A19:R19"/>
    <mergeCell ref="G1:H1"/>
    <mergeCell ref="A8:F8"/>
    <mergeCell ref="G6:G18"/>
    <mergeCell ref="K2:R2"/>
    <mergeCell ref="G2:J2"/>
    <mergeCell ref="A4:F4"/>
    <mergeCell ref="D1:F1"/>
    <mergeCell ref="J1:M1"/>
    <mergeCell ref="A2:F2"/>
    <mergeCell ref="A3:R3"/>
    <mergeCell ref="O1:Q1"/>
    <mergeCell ref="H4:R4"/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168</v>
      </c>
      <c r="B2" s="64">
        <v>45991</v>
      </c>
      <c r="C2" s="65" t="s">
        <v>734</v>
      </c>
      <c r="D2" s="66">
        <v>0.61111111111111105</v>
      </c>
      <c r="E2" s="65" t="s">
        <v>731</v>
      </c>
      <c r="F2" s="65" t="s">
        <v>153</v>
      </c>
      <c r="G2" s="67">
        <v>0.58330000000000004</v>
      </c>
      <c r="H2" s="68">
        <v>168</v>
      </c>
      <c r="I2" s="68">
        <v>98</v>
      </c>
      <c r="J2" s="68">
        <v>0</v>
      </c>
      <c r="K2" s="64">
        <v>45986</v>
      </c>
      <c r="L2" s="68">
        <v>0</v>
      </c>
      <c r="M2" s="68">
        <v>6</v>
      </c>
      <c r="N2" s="68">
        <v>18</v>
      </c>
      <c r="O2" s="65" t="s">
        <v>361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437</v>
      </c>
      <c r="Z2" s="68" t="s">
        <v>438</v>
      </c>
      <c r="AA2" s="69"/>
      <c r="AB2" s="68" t="s">
        <v>222</v>
      </c>
      <c r="AC2" s="68" t="s">
        <v>752</v>
      </c>
      <c r="AD2" s="68" t="s">
        <v>753</v>
      </c>
      <c r="AE2" s="68" t="s">
        <v>458</v>
      </c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0.58330000000000004</v>
      </c>
      <c r="H3" s="81">
        <f>SUM(H2:H2)</f>
        <v>168</v>
      </c>
      <c r="I3" s="81">
        <f>SUM(I2:I2)</f>
        <v>98</v>
      </c>
      <c r="J3" s="81">
        <f>SUM(J2:J2)</f>
        <v>0</v>
      </c>
      <c r="K3" s="78"/>
      <c r="L3" s="81">
        <f>SUM(L2:L2)</f>
        <v>0</v>
      </c>
      <c r="M3" s="81">
        <f>SUM(M2:M2)</f>
        <v>6</v>
      </c>
      <c r="N3" s="81">
        <f>SUM(N2:N2)</f>
        <v>18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5</v>
      </c>
      <c r="Z3" s="81">
        <f t="shared" si="0"/>
        <v>3</v>
      </c>
      <c r="AA3" s="81">
        <f t="shared" si="0"/>
        <v>0</v>
      </c>
      <c r="AB3" s="81">
        <f t="shared" si="0"/>
        <v>9</v>
      </c>
      <c r="AC3" s="81">
        <f t="shared" si="0"/>
        <v>31</v>
      </c>
      <c r="AD3" s="81">
        <f t="shared" si="0"/>
        <v>49</v>
      </c>
      <c r="AE3" s="81">
        <f t="shared" si="0"/>
        <v>1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23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47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44140625" bestFit="1" customWidth="1"/>
    <col min="5" max="5" width="32.88671875" bestFit="1" customWidth="1"/>
    <col min="6" max="6" width="34.886718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5.6" x14ac:dyDescent="0.3">
      <c r="A2" s="152"/>
      <c r="B2" s="152"/>
      <c r="C2" s="152"/>
      <c r="D2" s="152"/>
      <c r="E2" s="153" t="s">
        <v>754</v>
      </c>
      <c r="F2" s="152"/>
      <c r="G2" s="152"/>
      <c r="H2" s="3"/>
    </row>
    <row r="3" spans="1:8" ht="18" x14ac:dyDescent="0.3">
      <c r="A3" s="83">
        <v>45988</v>
      </c>
      <c r="B3" s="84" t="s">
        <v>25</v>
      </c>
      <c r="C3" s="85" t="s">
        <v>628</v>
      </c>
      <c r="D3" s="84" t="s">
        <v>627</v>
      </c>
      <c r="E3" s="86">
        <v>1.447916666666667</v>
      </c>
      <c r="F3" s="84" t="s">
        <v>27</v>
      </c>
      <c r="G3" s="87">
        <v>8</v>
      </c>
      <c r="H3" s="88">
        <v>309</v>
      </c>
    </row>
    <row r="4" spans="1:8" ht="18" x14ac:dyDescent="0.3">
      <c r="A4" s="97">
        <v>45988</v>
      </c>
      <c r="B4" s="98" t="s">
        <v>25</v>
      </c>
      <c r="C4" s="99" t="s">
        <v>632</v>
      </c>
      <c r="D4" s="98" t="s">
        <v>627</v>
      </c>
      <c r="E4" s="100">
        <v>1.5</v>
      </c>
      <c r="F4" s="98" t="s">
        <v>27</v>
      </c>
      <c r="G4" s="101">
        <v>13</v>
      </c>
      <c r="H4" s="102">
        <v>309</v>
      </c>
    </row>
    <row r="5" spans="1:8" ht="18" x14ac:dyDescent="0.3">
      <c r="A5" s="95">
        <v>45988</v>
      </c>
      <c r="B5" s="84" t="s">
        <v>47</v>
      </c>
      <c r="C5" s="85" t="s">
        <v>638</v>
      </c>
      <c r="D5" s="84" t="s">
        <v>627</v>
      </c>
      <c r="E5" s="86">
        <v>1.305555555555556</v>
      </c>
      <c r="F5" s="84" t="s">
        <v>49</v>
      </c>
      <c r="G5" s="87">
        <v>4</v>
      </c>
      <c r="H5" s="96">
        <v>329</v>
      </c>
    </row>
    <row r="6" spans="1:8" ht="18" x14ac:dyDescent="0.3">
      <c r="A6" s="97">
        <v>45988</v>
      </c>
      <c r="B6" s="98" t="s">
        <v>47</v>
      </c>
      <c r="C6" s="99" t="s">
        <v>640</v>
      </c>
      <c r="D6" s="98" t="s">
        <v>627</v>
      </c>
      <c r="E6" s="100">
        <v>1.5</v>
      </c>
      <c r="F6" s="98" t="s">
        <v>49</v>
      </c>
      <c r="G6" s="101">
        <v>1</v>
      </c>
      <c r="H6" s="102">
        <v>329</v>
      </c>
    </row>
    <row r="7" spans="1:8" ht="18" x14ac:dyDescent="0.3">
      <c r="A7" s="97">
        <v>45988</v>
      </c>
      <c r="B7" s="98" t="s">
        <v>47</v>
      </c>
      <c r="C7" s="99" t="s">
        <v>641</v>
      </c>
      <c r="D7" s="98" t="s">
        <v>627</v>
      </c>
      <c r="E7" s="100">
        <v>1.427083333333333</v>
      </c>
      <c r="F7" s="98" t="s">
        <v>49</v>
      </c>
      <c r="G7" s="101">
        <v>1</v>
      </c>
      <c r="H7" s="102">
        <v>329</v>
      </c>
    </row>
    <row r="8" spans="1:8" ht="18" x14ac:dyDescent="0.3">
      <c r="A8" s="97">
        <v>45988</v>
      </c>
      <c r="B8" s="98" t="s">
        <v>47</v>
      </c>
      <c r="C8" s="99" t="s">
        <v>642</v>
      </c>
      <c r="D8" s="98" t="s">
        <v>627</v>
      </c>
      <c r="E8" s="100">
        <v>1.375</v>
      </c>
      <c r="F8" s="98" t="s">
        <v>49</v>
      </c>
      <c r="G8" s="101">
        <v>9</v>
      </c>
      <c r="H8" s="102">
        <v>329</v>
      </c>
    </row>
    <row r="9" spans="1:8" ht="18" x14ac:dyDescent="0.3">
      <c r="A9" s="97">
        <v>45988</v>
      </c>
      <c r="B9" s="98" t="s">
        <v>47</v>
      </c>
      <c r="C9" s="99" t="s">
        <v>643</v>
      </c>
      <c r="D9" s="98" t="s">
        <v>627</v>
      </c>
      <c r="E9" s="100">
        <v>1.5659722222222221</v>
      </c>
      <c r="F9" s="98" t="s">
        <v>49</v>
      </c>
      <c r="G9" s="101">
        <v>9</v>
      </c>
      <c r="H9" s="102">
        <v>369</v>
      </c>
    </row>
    <row r="10" spans="1:8" ht="18" x14ac:dyDescent="0.3">
      <c r="A10" s="95">
        <v>45988</v>
      </c>
      <c r="B10" s="84" t="s">
        <v>272</v>
      </c>
      <c r="C10" s="85" t="s">
        <v>646</v>
      </c>
      <c r="D10" s="84" t="s">
        <v>627</v>
      </c>
      <c r="E10" s="86">
        <v>1.8784722222222221</v>
      </c>
      <c r="F10" s="84" t="s">
        <v>78</v>
      </c>
      <c r="G10" s="87">
        <v>9</v>
      </c>
      <c r="H10" s="96">
        <v>350</v>
      </c>
    </row>
    <row r="11" spans="1:8" ht="18" x14ac:dyDescent="0.3">
      <c r="A11" s="95">
        <v>45988</v>
      </c>
      <c r="B11" s="84" t="s">
        <v>300</v>
      </c>
      <c r="C11" s="85" t="s">
        <v>648</v>
      </c>
      <c r="D11" s="84" t="s">
        <v>627</v>
      </c>
      <c r="E11" s="86">
        <v>1.354166666666667</v>
      </c>
      <c r="F11" s="84" t="s">
        <v>78</v>
      </c>
      <c r="G11" s="87">
        <v>9</v>
      </c>
      <c r="H11" s="96">
        <v>357</v>
      </c>
    </row>
    <row r="12" spans="1:8" ht="18" x14ac:dyDescent="0.3">
      <c r="A12" s="108">
        <v>45988</v>
      </c>
      <c r="B12" s="109" t="s">
        <v>300</v>
      </c>
      <c r="C12" s="110" t="s">
        <v>650</v>
      </c>
      <c r="D12" s="109" t="s">
        <v>627</v>
      </c>
      <c r="E12" s="111">
        <v>1.8576388888888891</v>
      </c>
      <c r="F12" s="109" t="s">
        <v>78</v>
      </c>
      <c r="G12" s="112">
        <v>8</v>
      </c>
      <c r="H12" s="225">
        <v>357</v>
      </c>
    </row>
    <row r="13" spans="1:8" ht="15.6" x14ac:dyDescent="0.3">
      <c r="A13" s="152"/>
      <c r="B13" s="152"/>
      <c r="C13" s="152"/>
      <c r="D13" s="152"/>
      <c r="E13" s="153" t="s">
        <v>754</v>
      </c>
      <c r="F13" s="152"/>
      <c r="G13" s="152"/>
      <c r="H13" s="3"/>
    </row>
    <row r="14" spans="1:8" ht="18" x14ac:dyDescent="0.3">
      <c r="A14" s="83">
        <v>45989</v>
      </c>
      <c r="B14" s="84" t="s">
        <v>25</v>
      </c>
      <c r="C14" s="85" t="s">
        <v>634</v>
      </c>
      <c r="D14" s="84" t="s">
        <v>627</v>
      </c>
      <c r="E14" s="86">
        <v>1.760416666666667</v>
      </c>
      <c r="F14" s="84" t="s">
        <v>27</v>
      </c>
      <c r="G14" s="87">
        <v>1</v>
      </c>
      <c r="H14" s="88">
        <v>259</v>
      </c>
    </row>
    <row r="15" spans="1:8" ht="18" x14ac:dyDescent="0.3">
      <c r="A15" s="97">
        <v>45989</v>
      </c>
      <c r="B15" s="98" t="s">
        <v>25</v>
      </c>
      <c r="C15" s="99" t="s">
        <v>637</v>
      </c>
      <c r="D15" s="98" t="s">
        <v>627</v>
      </c>
      <c r="E15" s="100">
        <v>1.8159722222222221</v>
      </c>
      <c r="F15" s="98" t="s">
        <v>27</v>
      </c>
      <c r="G15" s="101">
        <v>18</v>
      </c>
      <c r="H15" s="102">
        <v>259</v>
      </c>
    </row>
    <row r="16" spans="1:8" ht="18" x14ac:dyDescent="0.3">
      <c r="A16" s="97">
        <v>45989</v>
      </c>
      <c r="B16" s="98" t="s">
        <v>25</v>
      </c>
      <c r="C16" s="99" t="s">
        <v>632</v>
      </c>
      <c r="D16" s="98" t="s">
        <v>627</v>
      </c>
      <c r="E16" s="100">
        <v>1.5</v>
      </c>
      <c r="F16" s="98" t="s">
        <v>27</v>
      </c>
      <c r="G16" s="101">
        <v>9</v>
      </c>
      <c r="H16" s="102">
        <v>309</v>
      </c>
    </row>
    <row r="17" spans="1:8" ht="18" x14ac:dyDescent="0.3">
      <c r="A17" s="97">
        <v>45989</v>
      </c>
      <c r="B17" s="98" t="s">
        <v>25</v>
      </c>
      <c r="C17" s="99" t="s">
        <v>628</v>
      </c>
      <c r="D17" s="98" t="s">
        <v>627</v>
      </c>
      <c r="E17" s="100">
        <v>1.447916666666667</v>
      </c>
      <c r="F17" s="98" t="s">
        <v>27</v>
      </c>
      <c r="G17" s="101">
        <v>20</v>
      </c>
      <c r="H17" s="102">
        <v>339</v>
      </c>
    </row>
    <row r="18" spans="1:8" ht="18" x14ac:dyDescent="0.3">
      <c r="A18" s="95">
        <v>45989</v>
      </c>
      <c r="B18" s="84" t="s">
        <v>47</v>
      </c>
      <c r="C18" s="85" t="s">
        <v>638</v>
      </c>
      <c r="D18" s="84" t="s">
        <v>627</v>
      </c>
      <c r="E18" s="86">
        <v>1.305555555555556</v>
      </c>
      <c r="F18" s="84" t="s">
        <v>49</v>
      </c>
      <c r="G18" s="87">
        <v>9</v>
      </c>
      <c r="H18" s="96">
        <v>329</v>
      </c>
    </row>
    <row r="19" spans="1:8" ht="18" x14ac:dyDescent="0.3">
      <c r="A19" s="97">
        <v>45989</v>
      </c>
      <c r="B19" s="98" t="s">
        <v>47</v>
      </c>
      <c r="C19" s="99" t="s">
        <v>644</v>
      </c>
      <c r="D19" s="98" t="s">
        <v>627</v>
      </c>
      <c r="E19" s="100">
        <v>1.8263888888888891</v>
      </c>
      <c r="F19" s="98" t="s">
        <v>49</v>
      </c>
      <c r="G19" s="101">
        <v>9</v>
      </c>
      <c r="H19" s="102">
        <v>329</v>
      </c>
    </row>
    <row r="20" spans="1:8" ht="18" x14ac:dyDescent="0.3">
      <c r="A20" s="97">
        <v>45989</v>
      </c>
      <c r="B20" s="98" t="s">
        <v>47</v>
      </c>
      <c r="C20" s="99" t="s">
        <v>640</v>
      </c>
      <c r="D20" s="98" t="s">
        <v>627</v>
      </c>
      <c r="E20" s="100">
        <v>1.5</v>
      </c>
      <c r="F20" s="98" t="s">
        <v>49</v>
      </c>
      <c r="G20" s="101">
        <v>9</v>
      </c>
      <c r="H20" s="102">
        <v>329</v>
      </c>
    </row>
    <row r="21" spans="1:8" ht="18" x14ac:dyDescent="0.3">
      <c r="A21" s="97">
        <v>45989</v>
      </c>
      <c r="B21" s="98" t="s">
        <v>47</v>
      </c>
      <c r="C21" s="99" t="s">
        <v>641</v>
      </c>
      <c r="D21" s="98" t="s">
        <v>627</v>
      </c>
      <c r="E21" s="100">
        <v>1.427083333333333</v>
      </c>
      <c r="F21" s="98" t="s">
        <v>49</v>
      </c>
      <c r="G21" s="101">
        <v>9</v>
      </c>
      <c r="H21" s="102">
        <v>329</v>
      </c>
    </row>
    <row r="22" spans="1:8" ht="18" x14ac:dyDescent="0.3">
      <c r="A22" s="97">
        <v>45989</v>
      </c>
      <c r="B22" s="98" t="s">
        <v>47</v>
      </c>
      <c r="C22" s="99" t="s">
        <v>642</v>
      </c>
      <c r="D22" s="98" t="s">
        <v>627</v>
      </c>
      <c r="E22" s="100">
        <v>1.375</v>
      </c>
      <c r="F22" s="98" t="s">
        <v>49</v>
      </c>
      <c r="G22" s="101">
        <v>9</v>
      </c>
      <c r="H22" s="102">
        <v>329</v>
      </c>
    </row>
    <row r="23" spans="1:8" ht="18" x14ac:dyDescent="0.3">
      <c r="A23" s="108">
        <v>45989</v>
      </c>
      <c r="B23" s="109" t="s">
        <v>47</v>
      </c>
      <c r="C23" s="110" t="s">
        <v>643</v>
      </c>
      <c r="D23" s="109" t="s">
        <v>627</v>
      </c>
      <c r="E23" s="111">
        <v>1.5659722222222221</v>
      </c>
      <c r="F23" s="109" t="s">
        <v>49</v>
      </c>
      <c r="G23" s="112">
        <v>9</v>
      </c>
      <c r="H23" s="225">
        <v>329</v>
      </c>
    </row>
    <row r="24" spans="1:8" ht="15.6" x14ac:dyDescent="0.3">
      <c r="A24" s="152"/>
      <c r="B24" s="152"/>
      <c r="C24" s="152"/>
      <c r="D24" s="152"/>
      <c r="E24" s="153" t="s">
        <v>754</v>
      </c>
      <c r="F24" s="152"/>
      <c r="G24" s="152"/>
      <c r="H24" s="3"/>
    </row>
    <row r="25" spans="1:8" ht="18" x14ac:dyDescent="0.3">
      <c r="A25" s="83">
        <v>45990</v>
      </c>
      <c r="B25" s="84" t="s">
        <v>25</v>
      </c>
      <c r="C25" s="85" t="s">
        <v>628</v>
      </c>
      <c r="D25" s="84" t="s">
        <v>627</v>
      </c>
      <c r="E25" s="86">
        <v>1.447916666666667</v>
      </c>
      <c r="F25" s="84" t="s">
        <v>27</v>
      </c>
      <c r="G25" s="87">
        <v>21</v>
      </c>
      <c r="H25" s="88">
        <v>259</v>
      </c>
    </row>
    <row r="26" spans="1:8" ht="18" x14ac:dyDescent="0.3">
      <c r="A26" s="97">
        <v>45990</v>
      </c>
      <c r="B26" s="98" t="s">
        <v>25</v>
      </c>
      <c r="C26" s="99" t="s">
        <v>632</v>
      </c>
      <c r="D26" s="98" t="s">
        <v>627</v>
      </c>
      <c r="E26" s="100">
        <v>1.5</v>
      </c>
      <c r="F26" s="98" t="s">
        <v>27</v>
      </c>
      <c r="G26" s="101">
        <v>24</v>
      </c>
      <c r="H26" s="102">
        <v>259</v>
      </c>
    </row>
    <row r="27" spans="1:8" ht="18" x14ac:dyDescent="0.3">
      <c r="A27" s="97">
        <v>45990</v>
      </c>
      <c r="B27" s="98" t="s">
        <v>25</v>
      </c>
      <c r="C27" s="99" t="s">
        <v>634</v>
      </c>
      <c r="D27" s="98" t="s">
        <v>627</v>
      </c>
      <c r="E27" s="100">
        <v>1.760416666666667</v>
      </c>
      <c r="F27" s="98" t="s">
        <v>27</v>
      </c>
      <c r="G27" s="101">
        <v>42</v>
      </c>
      <c r="H27" s="102">
        <v>259</v>
      </c>
    </row>
    <row r="28" spans="1:8" ht="18" x14ac:dyDescent="0.3">
      <c r="A28" s="97">
        <v>45990</v>
      </c>
      <c r="B28" s="98" t="s">
        <v>25</v>
      </c>
      <c r="C28" s="99" t="s">
        <v>637</v>
      </c>
      <c r="D28" s="98" t="s">
        <v>627</v>
      </c>
      <c r="E28" s="100">
        <v>1.8159722222222221</v>
      </c>
      <c r="F28" s="98" t="s">
        <v>27</v>
      </c>
      <c r="G28" s="101">
        <v>33</v>
      </c>
      <c r="H28" s="102">
        <v>259</v>
      </c>
    </row>
    <row r="29" spans="1:8" ht="18" x14ac:dyDescent="0.3">
      <c r="A29" s="95">
        <v>45990</v>
      </c>
      <c r="B29" s="84" t="s">
        <v>47</v>
      </c>
      <c r="C29" s="85" t="s">
        <v>641</v>
      </c>
      <c r="D29" s="84" t="s">
        <v>627</v>
      </c>
      <c r="E29" s="86">
        <v>1.427083333333333</v>
      </c>
      <c r="F29" s="84" t="s">
        <v>49</v>
      </c>
      <c r="G29" s="87">
        <v>1</v>
      </c>
      <c r="H29" s="96">
        <v>259</v>
      </c>
    </row>
    <row r="30" spans="1:8" ht="18" x14ac:dyDescent="0.3">
      <c r="A30" s="97">
        <v>45990</v>
      </c>
      <c r="B30" s="98" t="s">
        <v>47</v>
      </c>
      <c r="C30" s="99" t="s">
        <v>638</v>
      </c>
      <c r="D30" s="98" t="s">
        <v>627</v>
      </c>
      <c r="E30" s="100">
        <v>1.305555555555556</v>
      </c>
      <c r="F30" s="98" t="s">
        <v>49</v>
      </c>
      <c r="G30" s="101">
        <v>9</v>
      </c>
      <c r="H30" s="102">
        <v>289</v>
      </c>
    </row>
    <row r="31" spans="1:8" ht="18" x14ac:dyDescent="0.3">
      <c r="A31" s="97">
        <v>45990</v>
      </c>
      <c r="B31" s="98" t="s">
        <v>47</v>
      </c>
      <c r="C31" s="99" t="s">
        <v>644</v>
      </c>
      <c r="D31" s="98" t="s">
        <v>627</v>
      </c>
      <c r="E31" s="100">
        <v>1.8263888888888891</v>
      </c>
      <c r="F31" s="98" t="s">
        <v>49</v>
      </c>
      <c r="G31" s="101">
        <v>9</v>
      </c>
      <c r="H31" s="102">
        <v>289</v>
      </c>
    </row>
    <row r="32" spans="1:8" ht="18" x14ac:dyDescent="0.3">
      <c r="A32" s="97">
        <v>45990</v>
      </c>
      <c r="B32" s="98" t="s">
        <v>47</v>
      </c>
      <c r="C32" s="99" t="s">
        <v>640</v>
      </c>
      <c r="D32" s="98" t="s">
        <v>627</v>
      </c>
      <c r="E32" s="100">
        <v>1.5</v>
      </c>
      <c r="F32" s="98" t="s">
        <v>49</v>
      </c>
      <c r="G32" s="101">
        <v>3</v>
      </c>
      <c r="H32" s="102">
        <v>289</v>
      </c>
    </row>
    <row r="33" spans="1:8" ht="18" x14ac:dyDescent="0.3">
      <c r="A33" s="97">
        <v>45990</v>
      </c>
      <c r="B33" s="98" t="s">
        <v>47</v>
      </c>
      <c r="C33" s="99" t="s">
        <v>645</v>
      </c>
      <c r="D33" s="98" t="s">
        <v>627</v>
      </c>
      <c r="E33" s="100">
        <v>1.6875</v>
      </c>
      <c r="F33" s="98" t="s">
        <v>49</v>
      </c>
      <c r="G33" s="101">
        <v>9</v>
      </c>
      <c r="H33" s="102">
        <v>289</v>
      </c>
    </row>
    <row r="34" spans="1:8" ht="18" x14ac:dyDescent="0.3">
      <c r="A34" s="108">
        <v>45990</v>
      </c>
      <c r="B34" s="109" t="s">
        <v>47</v>
      </c>
      <c r="C34" s="110" t="s">
        <v>642</v>
      </c>
      <c r="D34" s="109" t="s">
        <v>627</v>
      </c>
      <c r="E34" s="111">
        <v>1.375</v>
      </c>
      <c r="F34" s="109" t="s">
        <v>49</v>
      </c>
      <c r="G34" s="112">
        <v>9</v>
      </c>
      <c r="H34" s="225">
        <v>289</v>
      </c>
    </row>
    <row r="35" spans="1:8" ht="18" x14ac:dyDescent="0.3">
      <c r="A35" s="160">
        <v>45991</v>
      </c>
      <c r="B35" s="114" t="s">
        <v>76</v>
      </c>
      <c r="C35" s="115" t="s">
        <v>732</v>
      </c>
      <c r="D35" s="114" t="s">
        <v>731</v>
      </c>
      <c r="E35" s="116">
        <v>1.6111111111111109</v>
      </c>
      <c r="F35" s="114" t="s">
        <v>78</v>
      </c>
      <c r="G35" s="117">
        <v>9</v>
      </c>
      <c r="H35" s="163">
        <v>596</v>
      </c>
    </row>
    <row r="36" spans="1:8" ht="18" x14ac:dyDescent="0.3">
      <c r="A36" s="95">
        <v>45991</v>
      </c>
      <c r="B36" s="84" t="s">
        <v>35</v>
      </c>
      <c r="C36" s="85" t="s">
        <v>736</v>
      </c>
      <c r="D36" s="84" t="s">
        <v>731</v>
      </c>
      <c r="E36" s="86">
        <v>1.6111111111111109</v>
      </c>
      <c r="F36" s="84" t="s">
        <v>308</v>
      </c>
      <c r="G36" s="87">
        <v>4</v>
      </c>
      <c r="H36" s="96">
        <v>778</v>
      </c>
    </row>
    <row r="37" spans="1:8" ht="15.6" x14ac:dyDescent="0.3">
      <c r="A37" s="152"/>
      <c r="B37" s="152"/>
      <c r="C37" s="152"/>
      <c r="D37" s="152"/>
      <c r="E37" s="153" t="s">
        <v>754</v>
      </c>
      <c r="F37" s="152"/>
      <c r="G37" s="152"/>
      <c r="H37" s="3"/>
    </row>
    <row r="38" spans="1:8" ht="18" x14ac:dyDescent="0.3">
      <c r="A38" s="95">
        <v>45991</v>
      </c>
      <c r="B38" s="84" t="s">
        <v>25</v>
      </c>
      <c r="C38" s="85" t="s">
        <v>628</v>
      </c>
      <c r="D38" s="84" t="s">
        <v>627</v>
      </c>
      <c r="E38" s="86">
        <v>1.447916666666667</v>
      </c>
      <c r="F38" s="84" t="s">
        <v>710</v>
      </c>
      <c r="G38" s="87">
        <v>50</v>
      </c>
      <c r="H38" s="96">
        <v>259</v>
      </c>
    </row>
    <row r="39" spans="1:8" ht="18" x14ac:dyDescent="0.3">
      <c r="A39" s="97">
        <v>45991</v>
      </c>
      <c r="B39" s="98" t="s">
        <v>25</v>
      </c>
      <c r="C39" s="99" t="s">
        <v>632</v>
      </c>
      <c r="D39" s="98" t="s">
        <v>627</v>
      </c>
      <c r="E39" s="100">
        <v>1.5</v>
      </c>
      <c r="F39" s="98" t="s">
        <v>710</v>
      </c>
      <c r="G39" s="101">
        <v>19</v>
      </c>
      <c r="H39" s="102">
        <v>259</v>
      </c>
    </row>
    <row r="40" spans="1:8" ht="18" x14ac:dyDescent="0.3">
      <c r="A40" s="97">
        <v>45991</v>
      </c>
      <c r="B40" s="98" t="s">
        <v>25</v>
      </c>
      <c r="C40" s="99" t="s">
        <v>634</v>
      </c>
      <c r="D40" s="98" t="s">
        <v>627</v>
      </c>
      <c r="E40" s="100">
        <v>1.760416666666667</v>
      </c>
      <c r="F40" s="98" t="s">
        <v>710</v>
      </c>
      <c r="G40" s="101">
        <v>41</v>
      </c>
      <c r="H40" s="102">
        <v>259</v>
      </c>
    </row>
    <row r="41" spans="1:8" ht="18" x14ac:dyDescent="0.3">
      <c r="A41" s="97">
        <v>45991</v>
      </c>
      <c r="B41" s="98" t="s">
        <v>25</v>
      </c>
      <c r="C41" s="99" t="s">
        <v>637</v>
      </c>
      <c r="D41" s="98" t="s">
        <v>627</v>
      </c>
      <c r="E41" s="100">
        <v>1.8159722222222221</v>
      </c>
      <c r="F41" s="98" t="s">
        <v>710</v>
      </c>
      <c r="G41" s="101">
        <v>26</v>
      </c>
      <c r="H41" s="102">
        <v>259</v>
      </c>
    </row>
    <row r="42" spans="1:8" ht="18" x14ac:dyDescent="0.3">
      <c r="A42" s="95">
        <v>45991</v>
      </c>
      <c r="B42" s="84" t="s">
        <v>47</v>
      </c>
      <c r="C42" s="85" t="s">
        <v>638</v>
      </c>
      <c r="D42" s="84" t="s">
        <v>627</v>
      </c>
      <c r="E42" s="86">
        <v>1.305555555555556</v>
      </c>
      <c r="F42" s="84" t="s">
        <v>715</v>
      </c>
      <c r="G42" s="87">
        <v>9</v>
      </c>
      <c r="H42" s="96">
        <v>259</v>
      </c>
    </row>
    <row r="43" spans="1:8" ht="18" x14ac:dyDescent="0.3">
      <c r="A43" s="97">
        <v>45991</v>
      </c>
      <c r="B43" s="98" t="s">
        <v>47</v>
      </c>
      <c r="C43" s="99" t="s">
        <v>640</v>
      </c>
      <c r="D43" s="98" t="s">
        <v>627</v>
      </c>
      <c r="E43" s="100">
        <v>1.5</v>
      </c>
      <c r="F43" s="98" t="s">
        <v>715</v>
      </c>
      <c r="G43" s="101">
        <v>8</v>
      </c>
      <c r="H43" s="102">
        <v>259</v>
      </c>
    </row>
    <row r="44" spans="1:8" ht="18" x14ac:dyDescent="0.3">
      <c r="A44" s="97">
        <v>45991</v>
      </c>
      <c r="B44" s="98" t="s">
        <v>47</v>
      </c>
      <c r="C44" s="99" t="s">
        <v>645</v>
      </c>
      <c r="D44" s="98" t="s">
        <v>627</v>
      </c>
      <c r="E44" s="100">
        <v>1.6875</v>
      </c>
      <c r="F44" s="98" t="s">
        <v>715</v>
      </c>
      <c r="G44" s="101">
        <v>9</v>
      </c>
      <c r="H44" s="102">
        <v>259</v>
      </c>
    </row>
    <row r="45" spans="1:8" ht="18" x14ac:dyDescent="0.3">
      <c r="A45" s="97">
        <v>45991</v>
      </c>
      <c r="B45" s="98" t="s">
        <v>47</v>
      </c>
      <c r="C45" s="99" t="s">
        <v>643</v>
      </c>
      <c r="D45" s="98" t="s">
        <v>627</v>
      </c>
      <c r="E45" s="100">
        <v>1.5659722222222221</v>
      </c>
      <c r="F45" s="98" t="s">
        <v>715</v>
      </c>
      <c r="G45" s="101">
        <v>9</v>
      </c>
      <c r="H45" s="102">
        <v>259</v>
      </c>
    </row>
    <row r="46" spans="1:8" ht="18" x14ac:dyDescent="0.3">
      <c r="A46" s="97">
        <v>45991</v>
      </c>
      <c r="B46" s="98" t="s">
        <v>47</v>
      </c>
      <c r="C46" s="99" t="s">
        <v>644</v>
      </c>
      <c r="D46" s="98" t="s">
        <v>627</v>
      </c>
      <c r="E46" s="100">
        <v>1.8263888888888891</v>
      </c>
      <c r="F46" s="98" t="s">
        <v>715</v>
      </c>
      <c r="G46" s="101">
        <v>9</v>
      </c>
      <c r="H46" s="102">
        <v>289</v>
      </c>
    </row>
    <row r="47" spans="1:8" ht="18" x14ac:dyDescent="0.3">
      <c r="A47" s="108">
        <v>45991</v>
      </c>
      <c r="B47" s="109" t="s">
        <v>47</v>
      </c>
      <c r="C47" s="110" t="s">
        <v>641</v>
      </c>
      <c r="D47" s="109" t="s">
        <v>627</v>
      </c>
      <c r="E47" s="111">
        <v>1.427083333333333</v>
      </c>
      <c r="F47" s="109" t="s">
        <v>715</v>
      </c>
      <c r="G47" s="112">
        <v>9</v>
      </c>
      <c r="H47" s="225">
        <v>289</v>
      </c>
    </row>
  </sheetData>
  <dataValidations count="1">
    <dataValidation type="custom" allowBlank="1" showInputMessage="1" promptTitle="LOAD FACTOR ANALYSIS" prompt="SM-464_x000d__x000a_LF 58.3%_x000d__x000a_SOLD 98_x000d__x000a_LST-SOLD 25NOV_x000d__x000a_WEEKLY 18_x000d__x000a_TO-DAY NIL_x000d__x000a_Y-DAY 6_x000d__x000a_LOWEST AVAIL U9_x000d__x000a_CAPACITY 168_x000d__x000a_CLASSES S5 &amp; W3 &amp; X9 &amp; +3 more" sqref="A35 B35 C35 D35 E35 F35 G35 H35" xr:uid="{00000000-0002-0000-2400-000000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N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755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45987.359170832897</v>
      </c>
      <c r="H2" s="294"/>
      <c r="I2" s="294"/>
      <c r="J2" s="294"/>
      <c r="K2" s="301">
        <v>45987.359170833428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756</v>
      </c>
      <c r="C6" s="9">
        <v>0.30555555555555552</v>
      </c>
      <c r="D6" s="8" t="s">
        <v>27</v>
      </c>
      <c r="E6" s="8" t="s">
        <v>86</v>
      </c>
      <c r="F6" s="8" t="s">
        <v>681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756</v>
      </c>
      <c r="C7" s="16">
        <v>0.30555555555555552</v>
      </c>
      <c r="D7" s="15" t="s">
        <v>30</v>
      </c>
      <c r="E7" s="15" t="s">
        <v>88</v>
      </c>
      <c r="F7" s="15" t="s">
        <v>372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756</v>
      </c>
      <c r="C8" s="16">
        <v>0.30555555555555552</v>
      </c>
      <c r="D8" s="15" t="s">
        <v>33</v>
      </c>
      <c r="E8" s="15" t="s">
        <v>88</v>
      </c>
      <c r="F8" s="15" t="s">
        <v>631</v>
      </c>
      <c r="G8" s="282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47</v>
      </c>
      <c r="B9" s="17" t="s">
        <v>757</v>
      </c>
      <c r="C9" s="18">
        <v>0.19791666666666671</v>
      </c>
      <c r="D9" s="17" t="s">
        <v>49</v>
      </c>
      <c r="E9" s="17" t="s">
        <v>109</v>
      </c>
      <c r="F9" s="17" t="s">
        <v>758</v>
      </c>
      <c r="G9" s="282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47</v>
      </c>
      <c r="B10" s="15" t="s">
        <v>757</v>
      </c>
      <c r="C10" s="16">
        <v>0.19791666666666671</v>
      </c>
      <c r="D10" s="15" t="s">
        <v>52</v>
      </c>
      <c r="E10" s="15" t="s">
        <v>111</v>
      </c>
      <c r="F10" s="15" t="s">
        <v>269</v>
      </c>
      <c r="G10" s="282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47</v>
      </c>
      <c r="B11" s="15" t="s">
        <v>757</v>
      </c>
      <c r="C11" s="16">
        <v>0.19791666666666671</v>
      </c>
      <c r="D11" s="15" t="s">
        <v>55</v>
      </c>
      <c r="E11" s="15" t="s">
        <v>111</v>
      </c>
      <c r="F11" s="15" t="s">
        <v>254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47</v>
      </c>
      <c r="B12" s="19" t="s">
        <v>759</v>
      </c>
      <c r="C12" s="20">
        <v>0.83333333333333337</v>
      </c>
      <c r="D12" s="19" t="s">
        <v>49</v>
      </c>
      <c r="E12" s="19" t="s">
        <v>350</v>
      </c>
      <c r="F12" s="19" t="s">
        <v>760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47</v>
      </c>
      <c r="B13" s="15" t="s">
        <v>759</v>
      </c>
      <c r="C13" s="16">
        <v>0.83333333333333337</v>
      </c>
      <c r="D13" s="15" t="s">
        <v>52</v>
      </c>
      <c r="E13" s="15" t="s">
        <v>351</v>
      </c>
      <c r="F13" s="15" t="s">
        <v>254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47</v>
      </c>
      <c r="B14" s="15" t="s">
        <v>759</v>
      </c>
      <c r="C14" s="16">
        <v>0.83333333333333337</v>
      </c>
      <c r="D14" s="15" t="s">
        <v>55</v>
      </c>
      <c r="E14" s="15" t="s">
        <v>351</v>
      </c>
      <c r="F14" s="15" t="s">
        <v>521</v>
      </c>
      <c r="G14" s="282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7" t="s">
        <v>272</v>
      </c>
      <c r="B15" s="17" t="s">
        <v>761</v>
      </c>
      <c r="C15" s="18">
        <v>0.28472222222222221</v>
      </c>
      <c r="D15" s="17" t="s">
        <v>78</v>
      </c>
      <c r="E15" s="17" t="s">
        <v>38</v>
      </c>
      <c r="F15" s="17" t="s">
        <v>762</v>
      </c>
      <c r="G15" s="282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272</v>
      </c>
      <c r="B16" s="19" t="s">
        <v>763</v>
      </c>
      <c r="C16" s="20">
        <v>0.88888888888888884</v>
      </c>
      <c r="D16" s="19" t="s">
        <v>78</v>
      </c>
      <c r="E16" s="19" t="s">
        <v>41</v>
      </c>
      <c r="F16" s="19" t="s">
        <v>762</v>
      </c>
      <c r="G16" s="282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7" t="s">
        <v>300</v>
      </c>
      <c r="B17" s="17" t="s">
        <v>764</v>
      </c>
      <c r="C17" s="18">
        <v>0.95833333333333337</v>
      </c>
      <c r="D17" s="17" t="s">
        <v>78</v>
      </c>
      <c r="E17" s="17" t="s">
        <v>38</v>
      </c>
      <c r="F17" s="17" t="s">
        <v>765</v>
      </c>
      <c r="G17" s="282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300</v>
      </c>
      <c r="B18" s="19" t="s">
        <v>766</v>
      </c>
      <c r="C18" s="20">
        <v>0.5625</v>
      </c>
      <c r="D18" s="19" t="s">
        <v>78</v>
      </c>
      <c r="E18" s="19" t="s">
        <v>349</v>
      </c>
      <c r="F18" s="19" t="s">
        <v>765</v>
      </c>
      <c r="G18" s="282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7" t="s">
        <v>35</v>
      </c>
      <c r="B19" s="17" t="s">
        <v>767</v>
      </c>
      <c r="C19" s="18">
        <v>0.1701388888888889</v>
      </c>
      <c r="D19" s="17" t="s">
        <v>487</v>
      </c>
      <c r="E19" s="17" t="s">
        <v>121</v>
      </c>
      <c r="F19" s="17" t="s">
        <v>768</v>
      </c>
      <c r="G19" s="2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9" t="s">
        <v>35</v>
      </c>
      <c r="B20" s="19" t="s">
        <v>769</v>
      </c>
      <c r="C20" s="20">
        <v>0.52777777777777779</v>
      </c>
      <c r="D20" s="19" t="s">
        <v>308</v>
      </c>
      <c r="E20" s="19" t="s">
        <v>259</v>
      </c>
      <c r="F20" s="19" t="s">
        <v>688</v>
      </c>
      <c r="G20" s="282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35</v>
      </c>
      <c r="B21" s="19" t="s">
        <v>770</v>
      </c>
      <c r="C21" s="20">
        <v>0.88194444444444453</v>
      </c>
      <c r="D21" s="19" t="s">
        <v>37</v>
      </c>
      <c r="E21" s="19" t="s">
        <v>41</v>
      </c>
      <c r="F21" s="19" t="s">
        <v>387</v>
      </c>
      <c r="G21" s="282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28" t="s">
        <v>76</v>
      </c>
      <c r="B22" s="128" t="s">
        <v>771</v>
      </c>
      <c r="C22" s="129">
        <v>0.92361111111111116</v>
      </c>
      <c r="D22" s="128" t="s">
        <v>78</v>
      </c>
      <c r="E22" s="128" t="s">
        <v>38</v>
      </c>
      <c r="F22" s="128" t="s">
        <v>772</v>
      </c>
      <c r="G22" s="282"/>
      <c r="H22" s="130" t="s">
        <v>773</v>
      </c>
      <c r="I22" s="235">
        <v>0.27379999999999999</v>
      </c>
      <c r="J22" s="132">
        <v>46</v>
      </c>
      <c r="K22" s="133">
        <v>45986</v>
      </c>
      <c r="L22" s="132">
        <v>15</v>
      </c>
      <c r="M22" s="132">
        <v>0</v>
      </c>
      <c r="N22" s="132">
        <v>1</v>
      </c>
      <c r="O22" s="134" t="s">
        <v>280</v>
      </c>
      <c r="P22" s="135">
        <v>0.92361111111111116</v>
      </c>
      <c r="Q22" s="132">
        <v>168</v>
      </c>
      <c r="R22" s="136" t="s">
        <v>774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236" t="s">
        <v>63</v>
      </c>
      <c r="B23" s="236" t="s">
        <v>775</v>
      </c>
      <c r="C23" s="237">
        <v>0.30555555555555552</v>
      </c>
      <c r="D23" s="236" t="s">
        <v>67</v>
      </c>
      <c r="E23" s="236" t="s">
        <v>79</v>
      </c>
      <c r="F23" s="236" t="s">
        <v>776</v>
      </c>
      <c r="G23" s="283"/>
      <c r="H23" s="38"/>
      <c r="I23" s="39"/>
      <c r="J23" s="39"/>
      <c r="K23" s="39"/>
      <c r="L23" s="39"/>
      <c r="M23" s="39"/>
      <c r="N23" s="39"/>
      <c r="O23" s="40"/>
      <c r="P23" s="39"/>
      <c r="Q23" s="41"/>
      <c r="R23" s="4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4.4" customHeight="1" x14ac:dyDescent="0.3">
      <c r="A24" s="275"/>
      <c r="B24" s="276"/>
      <c r="C24" s="276"/>
      <c r="D24" s="276"/>
      <c r="E24" s="276"/>
      <c r="F24" s="276"/>
      <c r="G24" s="277"/>
      <c r="H24" s="278"/>
      <c r="I24" s="278"/>
      <c r="J24" s="278"/>
      <c r="K24" s="278"/>
      <c r="L24" s="278"/>
      <c r="M24" s="278"/>
      <c r="N24" s="278"/>
      <c r="O24" s="279"/>
      <c r="P24" s="278"/>
      <c r="Q24" s="277"/>
      <c r="R24" s="280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22.05" customHeight="1" x14ac:dyDescent="0.3">
      <c r="A25" s="289" t="s">
        <v>5</v>
      </c>
      <c r="B25" s="290"/>
      <c r="C25" s="290"/>
      <c r="D25" s="290"/>
      <c r="E25" s="290"/>
      <c r="F25" s="290"/>
      <c r="G25" s="5">
        <v>45989</v>
      </c>
      <c r="H25" s="286" t="s">
        <v>6</v>
      </c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24" customHeight="1" x14ac:dyDescent="0.3">
      <c r="A26" s="30" t="s">
        <v>7</v>
      </c>
      <c r="B26" s="30" t="s">
        <v>8</v>
      </c>
      <c r="C26" s="31" t="s">
        <v>9</v>
      </c>
      <c r="D26" s="30" t="s">
        <v>10</v>
      </c>
      <c r="E26" s="30" t="s">
        <v>11</v>
      </c>
      <c r="F26" s="30" t="s">
        <v>12</v>
      </c>
      <c r="G26" s="32" t="s">
        <v>13</v>
      </c>
      <c r="H26" s="30" t="s">
        <v>14</v>
      </c>
      <c r="I26" s="33" t="s">
        <v>15</v>
      </c>
      <c r="J26" s="34" t="s">
        <v>16</v>
      </c>
      <c r="K26" s="35" t="s">
        <v>17</v>
      </c>
      <c r="L26" s="34" t="s">
        <v>18</v>
      </c>
      <c r="M26" s="34" t="s">
        <v>19</v>
      </c>
      <c r="N26" s="34" t="s">
        <v>20</v>
      </c>
      <c r="O26" s="30" t="s">
        <v>21</v>
      </c>
      <c r="P26" s="31" t="s">
        <v>22</v>
      </c>
      <c r="Q26" s="34" t="s">
        <v>23</v>
      </c>
      <c r="R26" s="30" t="s">
        <v>24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8" t="s">
        <v>25</v>
      </c>
      <c r="B27" s="8" t="s">
        <v>756</v>
      </c>
      <c r="C27" s="9">
        <v>0.30555555555555552</v>
      </c>
      <c r="D27" s="8" t="s">
        <v>27</v>
      </c>
      <c r="E27" s="8" t="s">
        <v>121</v>
      </c>
      <c r="F27" s="8" t="s">
        <v>681</v>
      </c>
      <c r="G27" s="281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25</v>
      </c>
      <c r="B28" s="15" t="s">
        <v>756</v>
      </c>
      <c r="C28" s="16">
        <v>0.30555555555555552</v>
      </c>
      <c r="D28" s="15" t="s">
        <v>30</v>
      </c>
      <c r="E28" s="15" t="s">
        <v>73</v>
      </c>
      <c r="F28" s="15" t="s">
        <v>372</v>
      </c>
      <c r="G28" s="282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25</v>
      </c>
      <c r="B29" s="15" t="s">
        <v>756</v>
      </c>
      <c r="C29" s="16">
        <v>0.30555555555555552</v>
      </c>
      <c r="D29" s="15" t="s">
        <v>33</v>
      </c>
      <c r="E29" s="15" t="s">
        <v>73</v>
      </c>
      <c r="F29" s="15" t="s">
        <v>631</v>
      </c>
      <c r="G29" s="282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7" t="s">
        <v>272</v>
      </c>
      <c r="B30" s="17" t="s">
        <v>777</v>
      </c>
      <c r="C30" s="18">
        <v>0.1736111111111111</v>
      </c>
      <c r="D30" s="17" t="s">
        <v>78</v>
      </c>
      <c r="E30" s="17" t="s">
        <v>38</v>
      </c>
      <c r="F30" s="17" t="s">
        <v>762</v>
      </c>
      <c r="G30" s="282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7" t="s">
        <v>300</v>
      </c>
      <c r="B31" s="17" t="s">
        <v>778</v>
      </c>
      <c r="C31" s="18">
        <v>0.95833333333333337</v>
      </c>
      <c r="D31" s="17" t="s">
        <v>78</v>
      </c>
      <c r="E31" s="17" t="s">
        <v>86</v>
      </c>
      <c r="F31" s="17" t="s">
        <v>765</v>
      </c>
      <c r="G31" s="282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7" t="s">
        <v>47</v>
      </c>
      <c r="B32" s="17" t="s">
        <v>759</v>
      </c>
      <c r="C32" s="18">
        <v>0.83333333333333337</v>
      </c>
      <c r="D32" s="17" t="s">
        <v>49</v>
      </c>
      <c r="E32" s="17" t="s">
        <v>109</v>
      </c>
      <c r="F32" s="17" t="s">
        <v>765</v>
      </c>
      <c r="G32" s="282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5" t="s">
        <v>47</v>
      </c>
      <c r="B33" s="15" t="s">
        <v>759</v>
      </c>
      <c r="C33" s="16">
        <v>0.83333333333333337</v>
      </c>
      <c r="D33" s="15" t="s">
        <v>52</v>
      </c>
      <c r="E33" s="15" t="s">
        <v>111</v>
      </c>
      <c r="F33" s="15" t="s">
        <v>702</v>
      </c>
      <c r="G33" s="282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47</v>
      </c>
      <c r="B34" s="15" t="s">
        <v>759</v>
      </c>
      <c r="C34" s="16">
        <v>0.83333333333333337</v>
      </c>
      <c r="D34" s="15" t="s">
        <v>55</v>
      </c>
      <c r="E34" s="15" t="s">
        <v>111</v>
      </c>
      <c r="F34" s="15" t="s">
        <v>348</v>
      </c>
      <c r="G34" s="282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7" t="s">
        <v>35</v>
      </c>
      <c r="B35" s="17" t="s">
        <v>767</v>
      </c>
      <c r="C35" s="18">
        <v>0.1701388888888889</v>
      </c>
      <c r="D35" s="17" t="s">
        <v>487</v>
      </c>
      <c r="E35" s="17" t="s">
        <v>38</v>
      </c>
      <c r="F35" s="17" t="s">
        <v>779</v>
      </c>
      <c r="G35" s="282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35</v>
      </c>
      <c r="B36" s="19" t="s">
        <v>770</v>
      </c>
      <c r="C36" s="20">
        <v>0.86458333333333337</v>
      </c>
      <c r="D36" s="19" t="s">
        <v>37</v>
      </c>
      <c r="E36" s="19" t="s">
        <v>41</v>
      </c>
      <c r="F36" s="19" t="s">
        <v>780</v>
      </c>
      <c r="G36" s="282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35</v>
      </c>
      <c r="B37" s="19" t="s">
        <v>769</v>
      </c>
      <c r="C37" s="20">
        <v>0.51388888888888895</v>
      </c>
      <c r="D37" s="19" t="s">
        <v>37</v>
      </c>
      <c r="E37" s="19" t="s">
        <v>41</v>
      </c>
      <c r="F37" s="19" t="s">
        <v>87</v>
      </c>
      <c r="G37" s="282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28" t="s">
        <v>76</v>
      </c>
      <c r="B38" s="128" t="s">
        <v>771</v>
      </c>
      <c r="C38" s="129">
        <v>0.57986111111111105</v>
      </c>
      <c r="D38" s="128" t="s">
        <v>78</v>
      </c>
      <c r="E38" s="128" t="s">
        <v>38</v>
      </c>
      <c r="F38" s="128" t="s">
        <v>772</v>
      </c>
      <c r="G38" s="282"/>
      <c r="H38" s="130" t="s">
        <v>773</v>
      </c>
      <c r="I38" s="235">
        <v>0.42259999999999998</v>
      </c>
      <c r="J38" s="132">
        <v>71</v>
      </c>
      <c r="K38" s="133">
        <v>45986</v>
      </c>
      <c r="L38" s="132">
        <v>31</v>
      </c>
      <c r="M38" s="132">
        <v>0</v>
      </c>
      <c r="N38" s="132">
        <v>12</v>
      </c>
      <c r="O38" s="134" t="s">
        <v>280</v>
      </c>
      <c r="P38" s="135">
        <v>0.57986111111111105</v>
      </c>
      <c r="Q38" s="132">
        <v>168</v>
      </c>
      <c r="R38" s="136" t="s">
        <v>781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236" t="s">
        <v>63</v>
      </c>
      <c r="B39" s="236" t="s">
        <v>775</v>
      </c>
      <c r="C39" s="237">
        <v>0.30555555555555552</v>
      </c>
      <c r="D39" s="236" t="s">
        <v>67</v>
      </c>
      <c r="E39" s="236" t="s">
        <v>79</v>
      </c>
      <c r="F39" s="236" t="s">
        <v>776</v>
      </c>
      <c r="G39" s="283"/>
      <c r="H39" s="38"/>
      <c r="I39" s="39"/>
      <c r="J39" s="39"/>
      <c r="K39" s="39"/>
      <c r="L39" s="39"/>
      <c r="M39" s="39"/>
      <c r="N39" s="39"/>
      <c r="O39" s="40"/>
      <c r="P39" s="39"/>
      <c r="Q39" s="41"/>
      <c r="R39" s="4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4.4" customHeight="1" x14ac:dyDescent="0.3">
      <c r="A40" s="275"/>
      <c r="B40" s="276"/>
      <c r="C40" s="276"/>
      <c r="D40" s="276"/>
      <c r="E40" s="276"/>
      <c r="F40" s="276"/>
      <c r="G40" s="277"/>
      <c r="H40" s="278"/>
      <c r="I40" s="278"/>
      <c r="J40" s="278"/>
      <c r="K40" s="278"/>
      <c r="L40" s="278"/>
      <c r="M40" s="278"/>
      <c r="N40" s="278"/>
      <c r="O40" s="279"/>
      <c r="P40" s="278"/>
      <c r="Q40" s="277"/>
      <c r="R40" s="280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22.05" customHeight="1" x14ac:dyDescent="0.3">
      <c r="A41" s="289" t="s">
        <v>5</v>
      </c>
      <c r="B41" s="290"/>
      <c r="C41" s="290"/>
      <c r="D41" s="290"/>
      <c r="E41" s="290"/>
      <c r="F41" s="290"/>
      <c r="G41" s="5">
        <v>45990</v>
      </c>
      <c r="H41" s="286" t="s">
        <v>6</v>
      </c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24" customHeight="1" x14ac:dyDescent="0.3">
      <c r="A42" s="30" t="s">
        <v>7</v>
      </c>
      <c r="B42" s="30" t="s">
        <v>8</v>
      </c>
      <c r="C42" s="31" t="s">
        <v>9</v>
      </c>
      <c r="D42" s="30" t="s">
        <v>10</v>
      </c>
      <c r="E42" s="30" t="s">
        <v>11</v>
      </c>
      <c r="F42" s="30" t="s">
        <v>12</v>
      </c>
      <c r="G42" s="32" t="s">
        <v>13</v>
      </c>
      <c r="H42" s="30" t="s">
        <v>14</v>
      </c>
      <c r="I42" s="33" t="s">
        <v>15</v>
      </c>
      <c r="J42" s="34" t="s">
        <v>16</v>
      </c>
      <c r="K42" s="35" t="s">
        <v>17</v>
      </c>
      <c r="L42" s="34" t="s">
        <v>18</v>
      </c>
      <c r="M42" s="34" t="s">
        <v>19</v>
      </c>
      <c r="N42" s="34" t="s">
        <v>20</v>
      </c>
      <c r="O42" s="30" t="s">
        <v>21</v>
      </c>
      <c r="P42" s="31" t="s">
        <v>22</v>
      </c>
      <c r="Q42" s="34" t="s">
        <v>23</v>
      </c>
      <c r="R42" s="30" t="s">
        <v>24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8" t="s">
        <v>25</v>
      </c>
      <c r="B43" s="8" t="s">
        <v>756</v>
      </c>
      <c r="C43" s="9">
        <v>0.30555555555555552</v>
      </c>
      <c r="D43" s="8" t="s">
        <v>27</v>
      </c>
      <c r="E43" s="8" t="s">
        <v>94</v>
      </c>
      <c r="F43" s="8" t="s">
        <v>629</v>
      </c>
      <c r="G43" s="281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25</v>
      </c>
      <c r="B44" s="15" t="s">
        <v>756</v>
      </c>
      <c r="C44" s="16">
        <v>0.30555555555555552</v>
      </c>
      <c r="D44" s="15" t="s">
        <v>30</v>
      </c>
      <c r="E44" s="15" t="s">
        <v>96</v>
      </c>
      <c r="F44" s="15" t="s">
        <v>630</v>
      </c>
      <c r="G44" s="282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25</v>
      </c>
      <c r="B45" s="15" t="s">
        <v>756</v>
      </c>
      <c r="C45" s="16">
        <v>0.30555555555555552</v>
      </c>
      <c r="D45" s="15" t="s">
        <v>33</v>
      </c>
      <c r="E45" s="15" t="s">
        <v>96</v>
      </c>
      <c r="F45" s="15" t="s">
        <v>631</v>
      </c>
      <c r="G45" s="282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7" t="s">
        <v>47</v>
      </c>
      <c r="B46" s="17" t="s">
        <v>757</v>
      </c>
      <c r="C46" s="18">
        <v>0.19791666666666671</v>
      </c>
      <c r="D46" s="17" t="s">
        <v>49</v>
      </c>
      <c r="E46" s="17" t="s">
        <v>109</v>
      </c>
      <c r="F46" s="17" t="s">
        <v>758</v>
      </c>
      <c r="G46" s="282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5" t="s">
        <v>47</v>
      </c>
      <c r="B47" s="15" t="s">
        <v>757</v>
      </c>
      <c r="C47" s="16">
        <v>0.19791666666666671</v>
      </c>
      <c r="D47" s="15" t="s">
        <v>52</v>
      </c>
      <c r="E47" s="15" t="s">
        <v>111</v>
      </c>
      <c r="F47" s="15" t="s">
        <v>269</v>
      </c>
      <c r="G47" s="282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5" t="s">
        <v>47</v>
      </c>
      <c r="B48" s="15" t="s">
        <v>757</v>
      </c>
      <c r="C48" s="16">
        <v>0.19791666666666671</v>
      </c>
      <c r="D48" s="15" t="s">
        <v>55</v>
      </c>
      <c r="E48" s="15" t="s">
        <v>111</v>
      </c>
      <c r="F48" s="15" t="s">
        <v>254</v>
      </c>
      <c r="G48" s="282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47</v>
      </c>
      <c r="B49" s="19" t="s">
        <v>759</v>
      </c>
      <c r="C49" s="20">
        <v>0.83333333333333337</v>
      </c>
      <c r="D49" s="19" t="s">
        <v>49</v>
      </c>
      <c r="E49" s="19" t="s">
        <v>259</v>
      </c>
      <c r="F49" s="19" t="s">
        <v>758</v>
      </c>
      <c r="G49" s="282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5" t="s">
        <v>47</v>
      </c>
      <c r="B50" s="15" t="s">
        <v>759</v>
      </c>
      <c r="C50" s="16">
        <v>0.83333333333333337</v>
      </c>
      <c r="D50" s="15" t="s">
        <v>52</v>
      </c>
      <c r="E50" s="15" t="s">
        <v>260</v>
      </c>
      <c r="F50" s="15" t="s">
        <v>269</v>
      </c>
      <c r="G50" s="282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5" t="s">
        <v>47</v>
      </c>
      <c r="B51" s="15" t="s">
        <v>759</v>
      </c>
      <c r="C51" s="16">
        <v>0.83333333333333337</v>
      </c>
      <c r="D51" s="15" t="s">
        <v>55</v>
      </c>
      <c r="E51" s="15" t="s">
        <v>260</v>
      </c>
      <c r="F51" s="15" t="s">
        <v>254</v>
      </c>
      <c r="G51" s="282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7" t="s">
        <v>302</v>
      </c>
      <c r="B52" s="17" t="s">
        <v>782</v>
      </c>
      <c r="C52" s="18">
        <v>0.93402777777777779</v>
      </c>
      <c r="D52" s="17" t="s">
        <v>304</v>
      </c>
      <c r="E52" s="17" t="s">
        <v>109</v>
      </c>
      <c r="F52" s="17" t="s">
        <v>704</v>
      </c>
      <c r="G52" s="282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5" t="s">
        <v>302</v>
      </c>
      <c r="B53" s="15" t="s">
        <v>782</v>
      </c>
      <c r="C53" s="16">
        <v>0.93402777777777779</v>
      </c>
      <c r="D53" s="15" t="s">
        <v>33</v>
      </c>
      <c r="E53" s="15" t="s">
        <v>111</v>
      </c>
      <c r="F53" s="15" t="s">
        <v>783</v>
      </c>
      <c r="G53" s="282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7" t="s">
        <v>272</v>
      </c>
      <c r="B54" s="17" t="s">
        <v>763</v>
      </c>
      <c r="C54" s="18">
        <v>0.1736111111111111</v>
      </c>
      <c r="D54" s="17" t="s">
        <v>78</v>
      </c>
      <c r="E54" s="17" t="s">
        <v>38</v>
      </c>
      <c r="F54" s="17" t="s">
        <v>762</v>
      </c>
      <c r="G54" s="282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7" t="s">
        <v>300</v>
      </c>
      <c r="B55" s="17" t="s">
        <v>764</v>
      </c>
      <c r="C55" s="18">
        <v>0.89583333333333337</v>
      </c>
      <c r="D55" s="17" t="s">
        <v>78</v>
      </c>
      <c r="E55" s="17" t="s">
        <v>38</v>
      </c>
      <c r="F55" s="17" t="s">
        <v>765</v>
      </c>
      <c r="G55" s="282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7" t="s">
        <v>35</v>
      </c>
      <c r="B56" s="17" t="s">
        <v>767</v>
      </c>
      <c r="C56" s="18">
        <v>0.1701388888888889</v>
      </c>
      <c r="D56" s="17" t="s">
        <v>487</v>
      </c>
      <c r="E56" s="17" t="s">
        <v>388</v>
      </c>
      <c r="F56" s="17" t="s">
        <v>779</v>
      </c>
      <c r="G56" s="282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35</v>
      </c>
      <c r="B57" s="19" t="s">
        <v>770</v>
      </c>
      <c r="C57" s="20">
        <v>0.86458333333333337</v>
      </c>
      <c r="D57" s="19" t="s">
        <v>487</v>
      </c>
      <c r="E57" s="19" t="s">
        <v>259</v>
      </c>
      <c r="F57" s="19" t="s">
        <v>779</v>
      </c>
      <c r="G57" s="282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35</v>
      </c>
      <c r="B58" s="19" t="s">
        <v>769</v>
      </c>
      <c r="C58" s="20">
        <v>0.52777777777777779</v>
      </c>
      <c r="D58" s="19" t="s">
        <v>37</v>
      </c>
      <c r="E58" s="19" t="s">
        <v>41</v>
      </c>
      <c r="F58" s="19" t="s">
        <v>784</v>
      </c>
      <c r="G58" s="282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43" t="s">
        <v>76</v>
      </c>
      <c r="B59" s="143" t="s">
        <v>771</v>
      </c>
      <c r="C59" s="144">
        <v>0.92361111111111116</v>
      </c>
      <c r="D59" s="143" t="s">
        <v>78</v>
      </c>
      <c r="E59" s="143" t="s">
        <v>38</v>
      </c>
      <c r="F59" s="143" t="s">
        <v>772</v>
      </c>
      <c r="G59" s="282"/>
      <c r="H59" s="145" t="s">
        <v>773</v>
      </c>
      <c r="I59" s="238">
        <v>0.1905</v>
      </c>
      <c r="J59" s="147">
        <v>32</v>
      </c>
      <c r="K59" s="148">
        <v>45986</v>
      </c>
      <c r="L59" s="147">
        <v>2</v>
      </c>
      <c r="M59" s="147">
        <v>0</v>
      </c>
      <c r="N59" s="147">
        <v>1</v>
      </c>
      <c r="O59" s="149" t="s">
        <v>280</v>
      </c>
      <c r="P59" s="150">
        <v>0.92361111111111116</v>
      </c>
      <c r="Q59" s="147">
        <v>168</v>
      </c>
      <c r="R59" s="151" t="s">
        <v>785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236" t="s">
        <v>63</v>
      </c>
      <c r="B60" s="236" t="s">
        <v>775</v>
      </c>
      <c r="C60" s="237">
        <v>0.30555555555555552</v>
      </c>
      <c r="D60" s="236" t="s">
        <v>67</v>
      </c>
      <c r="E60" s="236" t="s">
        <v>79</v>
      </c>
      <c r="F60" s="236" t="s">
        <v>786</v>
      </c>
      <c r="G60" s="283"/>
      <c r="H60" s="38"/>
      <c r="I60" s="39"/>
      <c r="J60" s="39"/>
      <c r="K60" s="39"/>
      <c r="L60" s="39"/>
      <c r="M60" s="39"/>
      <c r="N60" s="39"/>
      <c r="O60" s="40"/>
      <c r="P60" s="39"/>
      <c r="Q60" s="41"/>
      <c r="R60" s="42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4.4" customHeight="1" x14ac:dyDescent="0.3">
      <c r="A61" s="275"/>
      <c r="B61" s="276"/>
      <c r="C61" s="276"/>
      <c r="D61" s="276"/>
      <c r="E61" s="276"/>
      <c r="F61" s="276"/>
      <c r="G61" s="277"/>
      <c r="H61" s="278"/>
      <c r="I61" s="278"/>
      <c r="J61" s="278"/>
      <c r="K61" s="278"/>
      <c r="L61" s="278"/>
      <c r="M61" s="278"/>
      <c r="N61" s="278"/>
      <c r="O61" s="279"/>
      <c r="P61" s="278"/>
      <c r="Q61" s="277"/>
      <c r="R61" s="280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22.05" customHeight="1" x14ac:dyDescent="0.3">
      <c r="A62" s="289" t="s">
        <v>5</v>
      </c>
      <c r="B62" s="290"/>
      <c r="C62" s="290"/>
      <c r="D62" s="290"/>
      <c r="E62" s="290"/>
      <c r="F62" s="290"/>
      <c r="G62" s="5">
        <v>45991</v>
      </c>
      <c r="H62" s="286" t="s">
        <v>6</v>
      </c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24" customHeight="1" x14ac:dyDescent="0.3">
      <c r="A63" s="30" t="s">
        <v>7</v>
      </c>
      <c r="B63" s="30" t="s">
        <v>8</v>
      </c>
      <c r="C63" s="31" t="s">
        <v>9</v>
      </c>
      <c r="D63" s="30" t="s">
        <v>10</v>
      </c>
      <c r="E63" s="30" t="s">
        <v>11</v>
      </c>
      <c r="F63" s="30" t="s">
        <v>12</v>
      </c>
      <c r="G63" s="32" t="s">
        <v>13</v>
      </c>
      <c r="H63" s="30" t="s">
        <v>14</v>
      </c>
      <c r="I63" s="33" t="s">
        <v>15</v>
      </c>
      <c r="J63" s="34" t="s">
        <v>16</v>
      </c>
      <c r="K63" s="35" t="s">
        <v>17</v>
      </c>
      <c r="L63" s="34" t="s">
        <v>18</v>
      </c>
      <c r="M63" s="34" t="s">
        <v>19</v>
      </c>
      <c r="N63" s="34" t="s">
        <v>20</v>
      </c>
      <c r="O63" s="30" t="s">
        <v>21</v>
      </c>
      <c r="P63" s="31" t="s">
        <v>22</v>
      </c>
      <c r="Q63" s="34" t="s">
        <v>23</v>
      </c>
      <c r="R63" s="30" t="s">
        <v>24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8" t="s">
        <v>25</v>
      </c>
      <c r="B64" s="8" t="s">
        <v>756</v>
      </c>
      <c r="C64" s="9">
        <v>0.30555555555555552</v>
      </c>
      <c r="D64" s="8" t="s">
        <v>27</v>
      </c>
      <c r="E64" s="8" t="s">
        <v>787</v>
      </c>
      <c r="F64" s="8" t="s">
        <v>681</v>
      </c>
      <c r="G64" s="281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25</v>
      </c>
      <c r="B65" s="15" t="s">
        <v>756</v>
      </c>
      <c r="C65" s="16">
        <v>0.30555555555555552</v>
      </c>
      <c r="D65" s="15" t="s">
        <v>30</v>
      </c>
      <c r="E65" s="15" t="s">
        <v>788</v>
      </c>
      <c r="F65" s="15" t="s">
        <v>372</v>
      </c>
      <c r="G65" s="282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5" t="s">
        <v>25</v>
      </c>
      <c r="B66" s="15" t="s">
        <v>756</v>
      </c>
      <c r="C66" s="16">
        <v>0.30555555555555552</v>
      </c>
      <c r="D66" s="15" t="s">
        <v>33</v>
      </c>
      <c r="E66" s="15" t="s">
        <v>788</v>
      </c>
      <c r="F66" s="15" t="s">
        <v>631</v>
      </c>
      <c r="G66" s="282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7" t="s">
        <v>272</v>
      </c>
      <c r="B67" s="17" t="s">
        <v>777</v>
      </c>
      <c r="C67" s="18">
        <v>0.21527777777777779</v>
      </c>
      <c r="D67" s="17" t="s">
        <v>78</v>
      </c>
      <c r="E67" s="17" t="s">
        <v>38</v>
      </c>
      <c r="F67" s="17" t="s">
        <v>762</v>
      </c>
      <c r="G67" s="282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7" t="s">
        <v>300</v>
      </c>
      <c r="B68" s="17" t="s">
        <v>789</v>
      </c>
      <c r="C68" s="18">
        <v>0.68402777777777779</v>
      </c>
      <c r="D68" s="17" t="s">
        <v>78</v>
      </c>
      <c r="E68" s="17" t="s">
        <v>38</v>
      </c>
      <c r="F68" s="17" t="s">
        <v>765</v>
      </c>
      <c r="G68" s="282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300</v>
      </c>
      <c r="B69" s="19" t="s">
        <v>790</v>
      </c>
      <c r="C69" s="20">
        <v>0.16319444444444439</v>
      </c>
      <c r="D69" s="19" t="s">
        <v>78</v>
      </c>
      <c r="E69" s="19" t="s">
        <v>41</v>
      </c>
      <c r="F69" s="19" t="s">
        <v>765</v>
      </c>
      <c r="G69" s="282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300</v>
      </c>
      <c r="B70" s="19" t="s">
        <v>766</v>
      </c>
      <c r="C70" s="20">
        <v>0.95833333333333337</v>
      </c>
      <c r="D70" s="19" t="s">
        <v>78</v>
      </c>
      <c r="E70" s="19" t="s">
        <v>41</v>
      </c>
      <c r="F70" s="19" t="s">
        <v>765</v>
      </c>
      <c r="G70" s="282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7" t="s">
        <v>47</v>
      </c>
      <c r="B71" s="17" t="s">
        <v>759</v>
      </c>
      <c r="C71" s="18">
        <v>0.83333333333333337</v>
      </c>
      <c r="D71" s="17" t="s">
        <v>49</v>
      </c>
      <c r="E71" s="17" t="s">
        <v>202</v>
      </c>
      <c r="F71" s="17" t="s">
        <v>765</v>
      </c>
      <c r="G71" s="282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5" t="s">
        <v>47</v>
      </c>
      <c r="B72" s="15" t="s">
        <v>759</v>
      </c>
      <c r="C72" s="16">
        <v>0.83333333333333337</v>
      </c>
      <c r="D72" s="15" t="s">
        <v>52</v>
      </c>
      <c r="E72" s="15" t="s">
        <v>351</v>
      </c>
      <c r="F72" s="15" t="s">
        <v>702</v>
      </c>
      <c r="G72" s="282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47</v>
      </c>
      <c r="B73" s="15" t="s">
        <v>759</v>
      </c>
      <c r="C73" s="16">
        <v>0.83333333333333337</v>
      </c>
      <c r="D73" s="15" t="s">
        <v>55</v>
      </c>
      <c r="E73" s="15" t="s">
        <v>351</v>
      </c>
      <c r="F73" s="15" t="s">
        <v>348</v>
      </c>
      <c r="G73" s="282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7" t="s">
        <v>35</v>
      </c>
      <c r="B74" s="17" t="s">
        <v>767</v>
      </c>
      <c r="C74" s="18">
        <v>0.1701388888888889</v>
      </c>
      <c r="D74" s="17" t="s">
        <v>487</v>
      </c>
      <c r="E74" s="17" t="s">
        <v>121</v>
      </c>
      <c r="F74" s="17" t="s">
        <v>779</v>
      </c>
      <c r="G74" s="282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35</v>
      </c>
      <c r="B75" s="19" t="s">
        <v>770</v>
      </c>
      <c r="C75" s="20">
        <v>0.86458333333333337</v>
      </c>
      <c r="D75" s="19" t="s">
        <v>487</v>
      </c>
      <c r="E75" s="19" t="s">
        <v>58</v>
      </c>
      <c r="F75" s="19" t="s">
        <v>779</v>
      </c>
      <c r="G75" s="282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9" t="s">
        <v>35</v>
      </c>
      <c r="B76" s="19" t="s">
        <v>769</v>
      </c>
      <c r="C76" s="20">
        <v>0.50347222222222221</v>
      </c>
      <c r="D76" s="19" t="s">
        <v>308</v>
      </c>
      <c r="E76" s="19" t="s">
        <v>41</v>
      </c>
      <c r="F76" s="19" t="s">
        <v>688</v>
      </c>
      <c r="G76" s="282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236" t="s">
        <v>63</v>
      </c>
      <c r="B77" s="236" t="s">
        <v>775</v>
      </c>
      <c r="C77" s="237">
        <v>0.30555555555555552</v>
      </c>
      <c r="D77" s="236" t="s">
        <v>67</v>
      </c>
      <c r="E77" s="236" t="s">
        <v>79</v>
      </c>
      <c r="F77" s="236" t="s">
        <v>776</v>
      </c>
      <c r="G77" s="283"/>
      <c r="H77" s="38"/>
      <c r="I77" s="39"/>
      <c r="J77" s="39"/>
      <c r="K77" s="39"/>
      <c r="L77" s="39"/>
      <c r="M77" s="39"/>
      <c r="N77" s="39"/>
      <c r="O77" s="40"/>
      <c r="P77" s="39"/>
      <c r="Q77" s="41"/>
      <c r="R77" s="42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4.4" customHeight="1" x14ac:dyDescent="0.3">
      <c r="A78" s="288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80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</sheetData>
  <mergeCells count="25">
    <mergeCell ref="A78:R78"/>
    <mergeCell ref="O1:Q1"/>
    <mergeCell ref="G64:G77"/>
    <mergeCell ref="G6:G23"/>
    <mergeCell ref="H41:R41"/>
    <mergeCell ref="H4:R4"/>
    <mergeCell ref="A2:F2"/>
    <mergeCell ref="A3:R3"/>
    <mergeCell ref="H25:R25"/>
    <mergeCell ref="G2:J2"/>
    <mergeCell ref="A4:F4"/>
    <mergeCell ref="A62:F62"/>
    <mergeCell ref="J1:M1"/>
    <mergeCell ref="G43:G60"/>
    <mergeCell ref="K2:R2"/>
    <mergeCell ref="H62:R62"/>
    <mergeCell ref="G27:G39"/>
    <mergeCell ref="A61:R61"/>
    <mergeCell ref="A25:F25"/>
    <mergeCell ref="D1:F1"/>
    <mergeCell ref="A40:R40"/>
    <mergeCell ref="A1:C1"/>
    <mergeCell ref="A24:R24"/>
    <mergeCell ref="G1:H1"/>
    <mergeCell ref="A41:F4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332031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773</v>
      </c>
      <c r="D2" s="66">
        <v>0.92361111111111116</v>
      </c>
      <c r="E2" s="65" t="s">
        <v>755</v>
      </c>
      <c r="F2" s="65" t="s">
        <v>153</v>
      </c>
      <c r="G2" s="67">
        <v>0.27379999999999999</v>
      </c>
      <c r="H2" s="68">
        <v>168</v>
      </c>
      <c r="I2" s="68">
        <v>46</v>
      </c>
      <c r="J2" s="68">
        <v>0</v>
      </c>
      <c r="K2" s="64">
        <v>45986</v>
      </c>
      <c r="L2" s="68">
        <v>0</v>
      </c>
      <c r="M2" s="68">
        <v>1</v>
      </c>
      <c r="N2" s="68">
        <v>15</v>
      </c>
      <c r="O2" s="65" t="s">
        <v>280</v>
      </c>
      <c r="P2" s="69"/>
      <c r="Q2" s="69"/>
      <c r="R2" s="69"/>
      <c r="S2" s="69"/>
      <c r="T2" s="69"/>
      <c r="U2" s="69"/>
      <c r="V2" s="69"/>
      <c r="W2" s="68" t="s">
        <v>427</v>
      </c>
      <c r="X2" s="69"/>
      <c r="Y2" s="68" t="s">
        <v>443</v>
      </c>
      <c r="Z2" s="68" t="s">
        <v>172</v>
      </c>
      <c r="AA2" s="69"/>
      <c r="AB2" s="68" t="s">
        <v>397</v>
      </c>
      <c r="AC2" s="68" t="s">
        <v>175</v>
      </c>
      <c r="AD2" s="68" t="s">
        <v>352</v>
      </c>
      <c r="AE2" s="68" t="s">
        <v>791</v>
      </c>
      <c r="AF2" s="69"/>
      <c r="AG2" s="69"/>
      <c r="AH2" s="69"/>
      <c r="AI2" s="69"/>
    </row>
    <row r="3" spans="1:35" ht="18" x14ac:dyDescent="0.3">
      <c r="A3" s="70" t="s">
        <v>417</v>
      </c>
      <c r="B3" s="71">
        <v>45989</v>
      </c>
      <c r="C3" s="72" t="s">
        <v>773</v>
      </c>
      <c r="D3" s="73">
        <v>0.57986111111111105</v>
      </c>
      <c r="E3" s="72" t="s">
        <v>755</v>
      </c>
      <c r="F3" s="72" t="s">
        <v>153</v>
      </c>
      <c r="G3" s="74">
        <v>0.42259999999999998</v>
      </c>
      <c r="H3" s="75">
        <v>168</v>
      </c>
      <c r="I3" s="75">
        <v>71</v>
      </c>
      <c r="J3" s="75">
        <v>0</v>
      </c>
      <c r="K3" s="71">
        <v>45986</v>
      </c>
      <c r="L3" s="75">
        <v>0</v>
      </c>
      <c r="M3" s="75">
        <v>12</v>
      </c>
      <c r="N3" s="75">
        <v>31</v>
      </c>
      <c r="O3" s="72" t="s">
        <v>280</v>
      </c>
      <c r="P3" s="76"/>
      <c r="Q3" s="76"/>
      <c r="R3" s="76"/>
      <c r="S3" s="76"/>
      <c r="T3" s="76"/>
      <c r="U3" s="75" t="s">
        <v>464</v>
      </c>
      <c r="V3" s="76"/>
      <c r="W3" s="76"/>
      <c r="X3" s="75" t="s">
        <v>170</v>
      </c>
      <c r="Y3" s="75" t="s">
        <v>792</v>
      </c>
      <c r="Z3" s="75" t="s">
        <v>444</v>
      </c>
      <c r="AA3" s="76"/>
      <c r="AB3" s="76"/>
      <c r="AC3" s="76"/>
      <c r="AD3" s="75" t="s">
        <v>407</v>
      </c>
      <c r="AE3" s="75" t="s">
        <v>726</v>
      </c>
      <c r="AF3" s="76"/>
      <c r="AG3" s="76"/>
      <c r="AH3" s="76"/>
      <c r="AI3" s="76"/>
    </row>
    <row r="4" spans="1:35" ht="18" x14ac:dyDescent="0.3">
      <c r="A4" s="63" t="s">
        <v>162</v>
      </c>
      <c r="B4" s="64">
        <v>45990</v>
      </c>
      <c r="C4" s="65" t="s">
        <v>773</v>
      </c>
      <c r="D4" s="66">
        <v>0.92361111111111116</v>
      </c>
      <c r="E4" s="65" t="s">
        <v>755</v>
      </c>
      <c r="F4" s="65" t="s">
        <v>153</v>
      </c>
      <c r="G4" s="67">
        <v>0.1905</v>
      </c>
      <c r="H4" s="68">
        <v>168</v>
      </c>
      <c r="I4" s="68">
        <v>32</v>
      </c>
      <c r="J4" s="68">
        <v>0</v>
      </c>
      <c r="K4" s="64">
        <v>45986</v>
      </c>
      <c r="L4" s="68">
        <v>0</v>
      </c>
      <c r="M4" s="68">
        <v>1</v>
      </c>
      <c r="N4" s="68">
        <v>2</v>
      </c>
      <c r="O4" s="65" t="s">
        <v>280</v>
      </c>
      <c r="P4" s="69"/>
      <c r="Q4" s="69"/>
      <c r="R4" s="69"/>
      <c r="S4" s="69"/>
      <c r="T4" s="69"/>
      <c r="U4" s="69"/>
      <c r="V4" s="69"/>
      <c r="W4" s="68" t="s">
        <v>155</v>
      </c>
      <c r="X4" s="68" t="s">
        <v>428</v>
      </c>
      <c r="Y4" s="68" t="s">
        <v>793</v>
      </c>
      <c r="Z4" s="68" t="s">
        <v>566</v>
      </c>
      <c r="AA4" s="69"/>
      <c r="AB4" s="69"/>
      <c r="AC4" s="68" t="s">
        <v>398</v>
      </c>
      <c r="AD4" s="69"/>
      <c r="AE4" s="68" t="s">
        <v>794</v>
      </c>
      <c r="AF4" s="69"/>
      <c r="AG4" s="69"/>
      <c r="AH4" s="69"/>
      <c r="AI4" s="69"/>
    </row>
    <row r="5" spans="1:35" ht="18" x14ac:dyDescent="0.3">
      <c r="A5" s="77" t="s">
        <v>178</v>
      </c>
      <c r="B5" s="78"/>
      <c r="C5" s="79">
        <f>COUNTA(C2:C4)</f>
        <v>3</v>
      </c>
      <c r="D5" s="78"/>
      <c r="E5" s="78"/>
      <c r="F5" s="78"/>
      <c r="G5" s="80">
        <f>AVERAGE(G2:G4)</f>
        <v>0.2956333333333333</v>
      </c>
      <c r="H5" s="81">
        <f>SUM(H2:H4)</f>
        <v>504</v>
      </c>
      <c r="I5" s="81">
        <f>SUM(I2:I4)</f>
        <v>149</v>
      </c>
      <c r="J5" s="81">
        <f>SUM(J2:J4)</f>
        <v>0</v>
      </c>
      <c r="K5" s="78"/>
      <c r="L5" s="81">
        <f>SUM(L2:L4)</f>
        <v>0</v>
      </c>
      <c r="M5" s="81">
        <f>SUM(M2:M4)</f>
        <v>14</v>
      </c>
      <c r="N5" s="81">
        <f>SUM(N2:N4)</f>
        <v>48</v>
      </c>
      <c r="O5" s="78"/>
      <c r="P5" s="81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1">
        <f t="shared" si="0"/>
        <v>0</v>
      </c>
      <c r="R5" s="81">
        <f t="shared" si="0"/>
        <v>0</v>
      </c>
      <c r="S5" s="81">
        <f t="shared" si="0"/>
        <v>0</v>
      </c>
      <c r="T5" s="81">
        <f t="shared" si="0"/>
        <v>0</v>
      </c>
      <c r="U5" s="81">
        <f t="shared" si="0"/>
        <v>0</v>
      </c>
      <c r="V5" s="81">
        <f t="shared" si="0"/>
        <v>0</v>
      </c>
      <c r="W5" s="81">
        <f t="shared" si="0"/>
        <v>0</v>
      </c>
      <c r="X5" s="81">
        <f t="shared" si="0"/>
        <v>0</v>
      </c>
      <c r="Y5" s="81">
        <f t="shared" si="0"/>
        <v>0</v>
      </c>
      <c r="Z5" s="81">
        <f t="shared" si="0"/>
        <v>0</v>
      </c>
      <c r="AA5" s="81">
        <f t="shared" si="0"/>
        <v>0</v>
      </c>
      <c r="AB5" s="81">
        <f t="shared" si="0"/>
        <v>0</v>
      </c>
      <c r="AC5" s="81">
        <f t="shared" si="0"/>
        <v>0</v>
      </c>
      <c r="AD5" s="81">
        <f t="shared" si="0"/>
        <v>0</v>
      </c>
      <c r="AE5" s="81">
        <f t="shared" si="0"/>
        <v>0</v>
      </c>
      <c r="AF5" s="81">
        <f t="shared" si="0"/>
        <v>0</v>
      </c>
      <c r="AG5" s="81">
        <f t="shared" si="0"/>
        <v>0</v>
      </c>
      <c r="AH5" s="81">
        <f t="shared" si="0"/>
        <v>0</v>
      </c>
      <c r="AI5" s="81">
        <f t="shared" si="0"/>
        <v>0</v>
      </c>
    </row>
  </sheetData>
  <autoFilter ref="A1:AI4" xr:uid="{00000000-0009-0000-0000-000026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4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25</v>
      </c>
      <c r="C2" s="85" t="s">
        <v>756</v>
      </c>
      <c r="D2" s="84" t="s">
        <v>755</v>
      </c>
      <c r="E2" s="86">
        <v>1.305555555555556</v>
      </c>
      <c r="F2" s="84" t="s">
        <v>27</v>
      </c>
      <c r="G2" s="87">
        <v>7</v>
      </c>
      <c r="H2" s="88">
        <v>339</v>
      </c>
    </row>
    <row r="3" spans="1:8" ht="18" x14ac:dyDescent="0.3">
      <c r="A3" s="89">
        <v>45988</v>
      </c>
      <c r="B3" s="90" t="s">
        <v>25</v>
      </c>
      <c r="C3" s="91" t="s">
        <v>756</v>
      </c>
      <c r="D3" s="90" t="s">
        <v>755</v>
      </c>
      <c r="E3" s="92">
        <v>1.305555555555556</v>
      </c>
      <c r="F3" s="90" t="s">
        <v>30</v>
      </c>
      <c r="G3" s="93">
        <v>7</v>
      </c>
      <c r="H3" s="94">
        <v>489</v>
      </c>
    </row>
    <row r="4" spans="1:8" ht="18" x14ac:dyDescent="0.3">
      <c r="A4" s="89">
        <v>45988</v>
      </c>
      <c r="B4" s="90" t="s">
        <v>25</v>
      </c>
      <c r="C4" s="91" t="s">
        <v>756</v>
      </c>
      <c r="D4" s="90" t="s">
        <v>755</v>
      </c>
      <c r="E4" s="92">
        <v>1.305555555555556</v>
      </c>
      <c r="F4" s="90" t="s">
        <v>33</v>
      </c>
      <c r="G4" s="93">
        <v>7</v>
      </c>
      <c r="H4" s="94">
        <v>899</v>
      </c>
    </row>
    <row r="5" spans="1:8" ht="18" x14ac:dyDescent="0.3">
      <c r="A5" s="95">
        <v>45988</v>
      </c>
      <c r="B5" s="84" t="s">
        <v>47</v>
      </c>
      <c r="C5" s="85" t="s">
        <v>757</v>
      </c>
      <c r="D5" s="84" t="s">
        <v>755</v>
      </c>
      <c r="E5" s="86">
        <v>1.197916666666667</v>
      </c>
      <c r="F5" s="84" t="s">
        <v>49</v>
      </c>
      <c r="G5" s="87">
        <v>9</v>
      </c>
      <c r="H5" s="96">
        <v>349</v>
      </c>
    </row>
    <row r="6" spans="1:8" ht="18" x14ac:dyDescent="0.3">
      <c r="A6" s="89">
        <v>45988</v>
      </c>
      <c r="B6" s="90" t="s">
        <v>47</v>
      </c>
      <c r="C6" s="91" t="s">
        <v>757</v>
      </c>
      <c r="D6" s="90" t="s">
        <v>755</v>
      </c>
      <c r="E6" s="92">
        <v>1.197916666666667</v>
      </c>
      <c r="F6" s="90" t="s">
        <v>52</v>
      </c>
      <c r="G6" s="93">
        <v>9</v>
      </c>
      <c r="H6" s="94">
        <v>449</v>
      </c>
    </row>
    <row r="7" spans="1:8" ht="18" x14ac:dyDescent="0.3">
      <c r="A7" s="89">
        <v>45988</v>
      </c>
      <c r="B7" s="90" t="s">
        <v>47</v>
      </c>
      <c r="C7" s="91" t="s">
        <v>757</v>
      </c>
      <c r="D7" s="90" t="s">
        <v>755</v>
      </c>
      <c r="E7" s="92">
        <v>1.197916666666667</v>
      </c>
      <c r="F7" s="90" t="s">
        <v>55</v>
      </c>
      <c r="G7" s="93">
        <v>9</v>
      </c>
      <c r="H7" s="94">
        <v>539</v>
      </c>
    </row>
    <row r="8" spans="1:8" ht="18" x14ac:dyDescent="0.3">
      <c r="A8" s="97">
        <v>45988</v>
      </c>
      <c r="B8" s="98" t="s">
        <v>47</v>
      </c>
      <c r="C8" s="99" t="s">
        <v>759</v>
      </c>
      <c r="D8" s="98" t="s">
        <v>755</v>
      </c>
      <c r="E8" s="100">
        <v>1.833333333333333</v>
      </c>
      <c r="F8" s="98" t="s">
        <v>49</v>
      </c>
      <c r="G8" s="101">
        <v>3</v>
      </c>
      <c r="H8" s="102">
        <v>439</v>
      </c>
    </row>
    <row r="9" spans="1:8" ht="18" x14ac:dyDescent="0.3">
      <c r="A9" s="89">
        <v>45988</v>
      </c>
      <c r="B9" s="90" t="s">
        <v>47</v>
      </c>
      <c r="C9" s="91" t="s">
        <v>759</v>
      </c>
      <c r="D9" s="90" t="s">
        <v>755</v>
      </c>
      <c r="E9" s="92">
        <v>1.833333333333333</v>
      </c>
      <c r="F9" s="90" t="s">
        <v>52</v>
      </c>
      <c r="G9" s="93">
        <v>3</v>
      </c>
      <c r="H9" s="94">
        <v>539</v>
      </c>
    </row>
    <row r="10" spans="1:8" ht="18" x14ac:dyDescent="0.3">
      <c r="A10" s="89">
        <v>45988</v>
      </c>
      <c r="B10" s="90" t="s">
        <v>47</v>
      </c>
      <c r="C10" s="91" t="s">
        <v>759</v>
      </c>
      <c r="D10" s="90" t="s">
        <v>755</v>
      </c>
      <c r="E10" s="92">
        <v>1.833333333333333</v>
      </c>
      <c r="F10" s="90" t="s">
        <v>55</v>
      </c>
      <c r="G10" s="93">
        <v>3</v>
      </c>
      <c r="H10" s="94">
        <v>629</v>
      </c>
    </row>
    <row r="11" spans="1:8" ht="18" x14ac:dyDescent="0.3">
      <c r="A11" s="95">
        <v>45988</v>
      </c>
      <c r="B11" s="84" t="s">
        <v>272</v>
      </c>
      <c r="C11" s="85" t="s">
        <v>761</v>
      </c>
      <c r="D11" s="84" t="s">
        <v>755</v>
      </c>
      <c r="E11" s="86">
        <v>1.2847222222222221</v>
      </c>
      <c r="F11" s="84" t="s">
        <v>78</v>
      </c>
      <c r="G11" s="87">
        <v>9</v>
      </c>
      <c r="H11" s="96">
        <v>371</v>
      </c>
    </row>
    <row r="12" spans="1:8" ht="18" x14ac:dyDescent="0.3">
      <c r="A12" s="97">
        <v>45988</v>
      </c>
      <c r="B12" s="98" t="s">
        <v>272</v>
      </c>
      <c r="C12" s="99" t="s">
        <v>763</v>
      </c>
      <c r="D12" s="98" t="s">
        <v>755</v>
      </c>
      <c r="E12" s="100">
        <v>1.8888888888888891</v>
      </c>
      <c r="F12" s="98" t="s">
        <v>78</v>
      </c>
      <c r="G12" s="101">
        <v>9</v>
      </c>
      <c r="H12" s="102">
        <v>371</v>
      </c>
    </row>
    <row r="13" spans="1:8" ht="18" x14ac:dyDescent="0.3">
      <c r="A13" s="95">
        <v>45988</v>
      </c>
      <c r="B13" s="84" t="s">
        <v>300</v>
      </c>
      <c r="C13" s="85" t="s">
        <v>764</v>
      </c>
      <c r="D13" s="84" t="s">
        <v>755</v>
      </c>
      <c r="E13" s="86">
        <v>1.958333333333333</v>
      </c>
      <c r="F13" s="84" t="s">
        <v>78</v>
      </c>
      <c r="G13" s="87">
        <v>9</v>
      </c>
      <c r="H13" s="96">
        <v>379</v>
      </c>
    </row>
    <row r="14" spans="1:8" ht="18" x14ac:dyDescent="0.3">
      <c r="A14" s="97">
        <v>45988</v>
      </c>
      <c r="B14" s="98" t="s">
        <v>300</v>
      </c>
      <c r="C14" s="99" t="s">
        <v>766</v>
      </c>
      <c r="D14" s="98" t="s">
        <v>755</v>
      </c>
      <c r="E14" s="100">
        <v>1.5625</v>
      </c>
      <c r="F14" s="98" t="s">
        <v>78</v>
      </c>
      <c r="G14" s="101">
        <v>7</v>
      </c>
      <c r="H14" s="102">
        <v>379</v>
      </c>
    </row>
    <row r="15" spans="1:8" ht="18" x14ac:dyDescent="0.3">
      <c r="A15" s="95">
        <v>45988</v>
      </c>
      <c r="B15" s="84" t="s">
        <v>35</v>
      </c>
      <c r="C15" s="85" t="s">
        <v>767</v>
      </c>
      <c r="D15" s="84" t="s">
        <v>755</v>
      </c>
      <c r="E15" s="86">
        <v>1.1701388888888891</v>
      </c>
      <c r="F15" s="84" t="s">
        <v>487</v>
      </c>
      <c r="G15" s="87">
        <v>8</v>
      </c>
      <c r="H15" s="96">
        <v>415</v>
      </c>
    </row>
    <row r="16" spans="1:8" ht="18" x14ac:dyDescent="0.3">
      <c r="A16" s="97">
        <v>45988</v>
      </c>
      <c r="B16" s="98" t="s">
        <v>35</v>
      </c>
      <c r="C16" s="99" t="s">
        <v>769</v>
      </c>
      <c r="D16" s="98" t="s">
        <v>755</v>
      </c>
      <c r="E16" s="100">
        <v>1.5277777777777779</v>
      </c>
      <c r="F16" s="98" t="s">
        <v>308</v>
      </c>
      <c r="G16" s="101">
        <v>6</v>
      </c>
      <c r="H16" s="102">
        <v>437</v>
      </c>
    </row>
    <row r="17" spans="1:8" ht="18" x14ac:dyDescent="0.3">
      <c r="A17" s="97">
        <v>45988</v>
      </c>
      <c r="B17" s="98" t="s">
        <v>35</v>
      </c>
      <c r="C17" s="99" t="s">
        <v>770</v>
      </c>
      <c r="D17" s="98" t="s">
        <v>755</v>
      </c>
      <c r="E17" s="100">
        <v>1.881944444444444</v>
      </c>
      <c r="F17" s="98" t="s">
        <v>37</v>
      </c>
      <c r="G17" s="101">
        <v>9</v>
      </c>
      <c r="H17" s="102">
        <v>745</v>
      </c>
    </row>
    <row r="18" spans="1:8" ht="18" x14ac:dyDescent="0.3">
      <c r="A18" s="113">
        <v>45988</v>
      </c>
      <c r="B18" s="114" t="s">
        <v>76</v>
      </c>
      <c r="C18" s="115" t="s">
        <v>771</v>
      </c>
      <c r="D18" s="114" t="s">
        <v>755</v>
      </c>
      <c r="E18" s="116">
        <v>1.9236111111111109</v>
      </c>
      <c r="F18" s="114" t="s">
        <v>78</v>
      </c>
      <c r="G18" s="117">
        <v>9</v>
      </c>
      <c r="H18" s="203">
        <v>446</v>
      </c>
    </row>
    <row r="19" spans="1:8" ht="18" x14ac:dyDescent="0.3">
      <c r="A19" s="155">
        <v>45988</v>
      </c>
      <c r="B19" s="156" t="s">
        <v>63</v>
      </c>
      <c r="C19" s="157" t="s">
        <v>775</v>
      </c>
      <c r="D19" s="156" t="s">
        <v>755</v>
      </c>
      <c r="E19" s="158">
        <v>1.305555555555556</v>
      </c>
      <c r="F19" s="156" t="s">
        <v>67</v>
      </c>
      <c r="G19" s="159">
        <v>4</v>
      </c>
      <c r="H19" s="156" t="s">
        <v>776</v>
      </c>
    </row>
    <row r="20" spans="1:8" ht="18" x14ac:dyDescent="0.3">
      <c r="A20" s="83">
        <v>45989</v>
      </c>
      <c r="B20" s="84" t="s">
        <v>25</v>
      </c>
      <c r="C20" s="85" t="s">
        <v>756</v>
      </c>
      <c r="D20" s="84" t="s">
        <v>755</v>
      </c>
      <c r="E20" s="86">
        <v>1.305555555555556</v>
      </c>
      <c r="F20" s="84" t="s">
        <v>27</v>
      </c>
      <c r="G20" s="87">
        <v>8</v>
      </c>
      <c r="H20" s="88">
        <v>339</v>
      </c>
    </row>
    <row r="21" spans="1:8" ht="18" x14ac:dyDescent="0.3">
      <c r="A21" s="89">
        <v>45989</v>
      </c>
      <c r="B21" s="90" t="s">
        <v>25</v>
      </c>
      <c r="C21" s="91" t="s">
        <v>756</v>
      </c>
      <c r="D21" s="90" t="s">
        <v>755</v>
      </c>
      <c r="E21" s="92">
        <v>1.305555555555556</v>
      </c>
      <c r="F21" s="90" t="s">
        <v>30</v>
      </c>
      <c r="G21" s="93">
        <v>8</v>
      </c>
      <c r="H21" s="94">
        <v>489</v>
      </c>
    </row>
    <row r="22" spans="1:8" ht="18" x14ac:dyDescent="0.3">
      <c r="A22" s="89">
        <v>45989</v>
      </c>
      <c r="B22" s="90" t="s">
        <v>25</v>
      </c>
      <c r="C22" s="91" t="s">
        <v>756</v>
      </c>
      <c r="D22" s="90" t="s">
        <v>755</v>
      </c>
      <c r="E22" s="92">
        <v>1.305555555555556</v>
      </c>
      <c r="F22" s="90" t="s">
        <v>33</v>
      </c>
      <c r="G22" s="93">
        <v>8</v>
      </c>
      <c r="H22" s="94">
        <v>899</v>
      </c>
    </row>
    <row r="23" spans="1:8" ht="18" x14ac:dyDescent="0.3">
      <c r="A23" s="95">
        <v>45989</v>
      </c>
      <c r="B23" s="84" t="s">
        <v>272</v>
      </c>
      <c r="C23" s="85" t="s">
        <v>777</v>
      </c>
      <c r="D23" s="84" t="s">
        <v>755</v>
      </c>
      <c r="E23" s="86">
        <v>1.1736111111111109</v>
      </c>
      <c r="F23" s="84" t="s">
        <v>78</v>
      </c>
      <c r="G23" s="87">
        <v>9</v>
      </c>
      <c r="H23" s="96">
        <v>371</v>
      </c>
    </row>
    <row r="24" spans="1:8" ht="18" x14ac:dyDescent="0.3">
      <c r="A24" s="95">
        <v>45989</v>
      </c>
      <c r="B24" s="84" t="s">
        <v>300</v>
      </c>
      <c r="C24" s="85" t="s">
        <v>778</v>
      </c>
      <c r="D24" s="84" t="s">
        <v>755</v>
      </c>
      <c r="E24" s="86">
        <v>1.958333333333333</v>
      </c>
      <c r="F24" s="84" t="s">
        <v>78</v>
      </c>
      <c r="G24" s="87">
        <v>7</v>
      </c>
      <c r="H24" s="96">
        <v>379</v>
      </c>
    </row>
    <row r="25" spans="1:8" ht="18" x14ac:dyDescent="0.3">
      <c r="A25" s="95">
        <v>45989</v>
      </c>
      <c r="B25" s="84" t="s">
        <v>47</v>
      </c>
      <c r="C25" s="85" t="s">
        <v>759</v>
      </c>
      <c r="D25" s="84" t="s">
        <v>755</v>
      </c>
      <c r="E25" s="86">
        <v>1.833333333333333</v>
      </c>
      <c r="F25" s="84" t="s">
        <v>49</v>
      </c>
      <c r="G25" s="87">
        <v>9</v>
      </c>
      <c r="H25" s="96">
        <v>379</v>
      </c>
    </row>
    <row r="26" spans="1:8" ht="18" x14ac:dyDescent="0.3">
      <c r="A26" s="89">
        <v>45989</v>
      </c>
      <c r="B26" s="90" t="s">
        <v>47</v>
      </c>
      <c r="C26" s="91" t="s">
        <v>759</v>
      </c>
      <c r="D26" s="90" t="s">
        <v>755</v>
      </c>
      <c r="E26" s="92">
        <v>1.833333333333333</v>
      </c>
      <c r="F26" s="90" t="s">
        <v>52</v>
      </c>
      <c r="G26" s="93">
        <v>9</v>
      </c>
      <c r="H26" s="94">
        <v>479</v>
      </c>
    </row>
    <row r="27" spans="1:8" ht="18" x14ac:dyDescent="0.3">
      <c r="A27" s="89">
        <v>45989</v>
      </c>
      <c r="B27" s="90" t="s">
        <v>47</v>
      </c>
      <c r="C27" s="91" t="s">
        <v>759</v>
      </c>
      <c r="D27" s="90" t="s">
        <v>755</v>
      </c>
      <c r="E27" s="92">
        <v>1.833333333333333</v>
      </c>
      <c r="F27" s="90" t="s">
        <v>55</v>
      </c>
      <c r="G27" s="93">
        <v>9</v>
      </c>
      <c r="H27" s="94">
        <v>569</v>
      </c>
    </row>
    <row r="28" spans="1:8" ht="18" x14ac:dyDescent="0.3">
      <c r="A28" s="95">
        <v>45989</v>
      </c>
      <c r="B28" s="84" t="s">
        <v>35</v>
      </c>
      <c r="C28" s="85" t="s">
        <v>767</v>
      </c>
      <c r="D28" s="84" t="s">
        <v>755</v>
      </c>
      <c r="E28" s="86">
        <v>1.1701388888888891</v>
      </c>
      <c r="F28" s="84" t="s">
        <v>487</v>
      </c>
      <c r="G28" s="87">
        <v>9</v>
      </c>
      <c r="H28" s="96">
        <v>411</v>
      </c>
    </row>
    <row r="29" spans="1:8" ht="18" x14ac:dyDescent="0.3">
      <c r="A29" s="97">
        <v>45989</v>
      </c>
      <c r="B29" s="98" t="s">
        <v>35</v>
      </c>
      <c r="C29" s="99" t="s">
        <v>770</v>
      </c>
      <c r="D29" s="98" t="s">
        <v>755</v>
      </c>
      <c r="E29" s="100">
        <v>1.864583333333333</v>
      </c>
      <c r="F29" s="98" t="s">
        <v>37</v>
      </c>
      <c r="G29" s="101">
        <v>9</v>
      </c>
      <c r="H29" s="102">
        <v>583</v>
      </c>
    </row>
    <row r="30" spans="1:8" ht="18" x14ac:dyDescent="0.3">
      <c r="A30" s="97">
        <v>45989</v>
      </c>
      <c r="B30" s="98" t="s">
        <v>35</v>
      </c>
      <c r="C30" s="99" t="s">
        <v>769</v>
      </c>
      <c r="D30" s="98" t="s">
        <v>755</v>
      </c>
      <c r="E30" s="100">
        <v>1.5138888888888891</v>
      </c>
      <c r="F30" s="98" t="s">
        <v>37</v>
      </c>
      <c r="G30" s="101">
        <v>9</v>
      </c>
      <c r="H30" s="102">
        <v>749</v>
      </c>
    </row>
    <row r="31" spans="1:8" ht="18" x14ac:dyDescent="0.3">
      <c r="A31" s="113">
        <v>45989</v>
      </c>
      <c r="B31" s="114" t="s">
        <v>76</v>
      </c>
      <c r="C31" s="115" t="s">
        <v>771</v>
      </c>
      <c r="D31" s="114" t="s">
        <v>755</v>
      </c>
      <c r="E31" s="116">
        <v>1.5798611111111109</v>
      </c>
      <c r="F31" s="114" t="s">
        <v>78</v>
      </c>
      <c r="G31" s="117">
        <v>9</v>
      </c>
      <c r="H31" s="203">
        <v>446</v>
      </c>
    </row>
    <row r="32" spans="1:8" ht="18" x14ac:dyDescent="0.3">
      <c r="A32" s="155">
        <v>45989</v>
      </c>
      <c r="B32" s="156" t="s">
        <v>63</v>
      </c>
      <c r="C32" s="157" t="s">
        <v>775</v>
      </c>
      <c r="D32" s="156" t="s">
        <v>755</v>
      </c>
      <c r="E32" s="158">
        <v>1.305555555555556</v>
      </c>
      <c r="F32" s="156" t="s">
        <v>67</v>
      </c>
      <c r="G32" s="159">
        <v>4</v>
      </c>
      <c r="H32" s="156" t="s">
        <v>776</v>
      </c>
    </row>
    <row r="33" spans="1:8" ht="18" x14ac:dyDescent="0.3">
      <c r="A33" s="83">
        <v>45990</v>
      </c>
      <c r="B33" s="84" t="s">
        <v>25</v>
      </c>
      <c r="C33" s="85" t="s">
        <v>756</v>
      </c>
      <c r="D33" s="84" t="s">
        <v>755</v>
      </c>
      <c r="E33" s="86">
        <v>1.305555555555556</v>
      </c>
      <c r="F33" s="84" t="s">
        <v>27</v>
      </c>
      <c r="G33" s="87">
        <v>13</v>
      </c>
      <c r="H33" s="88">
        <v>309</v>
      </c>
    </row>
    <row r="34" spans="1:8" ht="18" x14ac:dyDescent="0.3">
      <c r="A34" s="89">
        <v>45990</v>
      </c>
      <c r="B34" s="90" t="s">
        <v>25</v>
      </c>
      <c r="C34" s="91" t="s">
        <v>756</v>
      </c>
      <c r="D34" s="90" t="s">
        <v>755</v>
      </c>
      <c r="E34" s="92">
        <v>1.305555555555556</v>
      </c>
      <c r="F34" s="90" t="s">
        <v>30</v>
      </c>
      <c r="G34" s="93">
        <v>13</v>
      </c>
      <c r="H34" s="94">
        <v>459</v>
      </c>
    </row>
    <row r="35" spans="1:8" ht="18" x14ac:dyDescent="0.3">
      <c r="A35" s="89">
        <v>45990</v>
      </c>
      <c r="B35" s="90" t="s">
        <v>25</v>
      </c>
      <c r="C35" s="91" t="s">
        <v>756</v>
      </c>
      <c r="D35" s="90" t="s">
        <v>755</v>
      </c>
      <c r="E35" s="92">
        <v>1.305555555555556</v>
      </c>
      <c r="F35" s="90" t="s">
        <v>33</v>
      </c>
      <c r="G35" s="93">
        <v>13</v>
      </c>
      <c r="H35" s="94">
        <v>899</v>
      </c>
    </row>
    <row r="36" spans="1:8" ht="18" x14ac:dyDescent="0.3">
      <c r="A36" s="95">
        <v>45990</v>
      </c>
      <c r="B36" s="84" t="s">
        <v>47</v>
      </c>
      <c r="C36" s="85" t="s">
        <v>757</v>
      </c>
      <c r="D36" s="84" t="s">
        <v>755</v>
      </c>
      <c r="E36" s="86">
        <v>1.197916666666667</v>
      </c>
      <c r="F36" s="84" t="s">
        <v>49</v>
      </c>
      <c r="G36" s="87">
        <v>9</v>
      </c>
      <c r="H36" s="96">
        <v>349</v>
      </c>
    </row>
    <row r="37" spans="1:8" ht="18" x14ac:dyDescent="0.3">
      <c r="A37" s="89">
        <v>45990</v>
      </c>
      <c r="B37" s="90" t="s">
        <v>47</v>
      </c>
      <c r="C37" s="91" t="s">
        <v>757</v>
      </c>
      <c r="D37" s="90" t="s">
        <v>755</v>
      </c>
      <c r="E37" s="92">
        <v>1.197916666666667</v>
      </c>
      <c r="F37" s="90" t="s">
        <v>52</v>
      </c>
      <c r="G37" s="93">
        <v>9</v>
      </c>
      <c r="H37" s="94">
        <v>449</v>
      </c>
    </row>
    <row r="38" spans="1:8" ht="18" x14ac:dyDescent="0.3">
      <c r="A38" s="89">
        <v>45990</v>
      </c>
      <c r="B38" s="90" t="s">
        <v>47</v>
      </c>
      <c r="C38" s="91" t="s">
        <v>757</v>
      </c>
      <c r="D38" s="90" t="s">
        <v>755</v>
      </c>
      <c r="E38" s="92">
        <v>1.197916666666667</v>
      </c>
      <c r="F38" s="90" t="s">
        <v>55</v>
      </c>
      <c r="G38" s="93">
        <v>9</v>
      </c>
      <c r="H38" s="94">
        <v>539</v>
      </c>
    </row>
    <row r="39" spans="1:8" ht="18" x14ac:dyDescent="0.3">
      <c r="A39" s="97">
        <v>45990</v>
      </c>
      <c r="B39" s="98" t="s">
        <v>47</v>
      </c>
      <c r="C39" s="99" t="s">
        <v>759</v>
      </c>
      <c r="D39" s="98" t="s">
        <v>755</v>
      </c>
      <c r="E39" s="100">
        <v>1.833333333333333</v>
      </c>
      <c r="F39" s="98" t="s">
        <v>49</v>
      </c>
      <c r="G39" s="101">
        <v>6</v>
      </c>
      <c r="H39" s="102">
        <v>349</v>
      </c>
    </row>
    <row r="40" spans="1:8" ht="18" x14ac:dyDescent="0.3">
      <c r="A40" s="89">
        <v>45990</v>
      </c>
      <c r="B40" s="90" t="s">
        <v>47</v>
      </c>
      <c r="C40" s="91" t="s">
        <v>759</v>
      </c>
      <c r="D40" s="90" t="s">
        <v>755</v>
      </c>
      <c r="E40" s="92">
        <v>1.833333333333333</v>
      </c>
      <c r="F40" s="90" t="s">
        <v>52</v>
      </c>
      <c r="G40" s="93">
        <v>6</v>
      </c>
      <c r="H40" s="94">
        <v>449</v>
      </c>
    </row>
    <row r="41" spans="1:8" ht="18" x14ac:dyDescent="0.3">
      <c r="A41" s="89">
        <v>45990</v>
      </c>
      <c r="B41" s="90" t="s">
        <v>47</v>
      </c>
      <c r="C41" s="91" t="s">
        <v>759</v>
      </c>
      <c r="D41" s="90" t="s">
        <v>755</v>
      </c>
      <c r="E41" s="92">
        <v>1.833333333333333</v>
      </c>
      <c r="F41" s="90" t="s">
        <v>55</v>
      </c>
      <c r="G41" s="93">
        <v>6</v>
      </c>
      <c r="H41" s="94">
        <v>539</v>
      </c>
    </row>
    <row r="42" spans="1:8" ht="18" x14ac:dyDescent="0.3">
      <c r="A42" s="95">
        <v>45990</v>
      </c>
      <c r="B42" s="84" t="s">
        <v>302</v>
      </c>
      <c r="C42" s="85" t="s">
        <v>782</v>
      </c>
      <c r="D42" s="84" t="s">
        <v>755</v>
      </c>
      <c r="E42" s="86">
        <v>1.9340277777777779</v>
      </c>
      <c r="F42" s="84" t="s">
        <v>304</v>
      </c>
      <c r="G42" s="87">
        <v>9</v>
      </c>
      <c r="H42" s="96">
        <v>354</v>
      </c>
    </row>
    <row r="43" spans="1:8" ht="18" x14ac:dyDescent="0.3">
      <c r="A43" s="89">
        <v>45990</v>
      </c>
      <c r="B43" s="90" t="s">
        <v>302</v>
      </c>
      <c r="C43" s="91" t="s">
        <v>782</v>
      </c>
      <c r="D43" s="90" t="s">
        <v>755</v>
      </c>
      <c r="E43" s="92">
        <v>1.9340277777777779</v>
      </c>
      <c r="F43" s="90" t="s">
        <v>33</v>
      </c>
      <c r="G43" s="93">
        <v>9</v>
      </c>
      <c r="H43" s="94">
        <v>477</v>
      </c>
    </row>
    <row r="44" spans="1:8" ht="18" x14ac:dyDescent="0.3">
      <c r="A44" s="95">
        <v>45990</v>
      </c>
      <c r="B44" s="84" t="s">
        <v>272</v>
      </c>
      <c r="C44" s="85" t="s">
        <v>763</v>
      </c>
      <c r="D44" s="84" t="s">
        <v>755</v>
      </c>
      <c r="E44" s="86">
        <v>1.1736111111111109</v>
      </c>
      <c r="F44" s="84" t="s">
        <v>78</v>
      </c>
      <c r="G44" s="87">
        <v>9</v>
      </c>
      <c r="H44" s="96">
        <v>371</v>
      </c>
    </row>
    <row r="45" spans="1:8" ht="18" x14ac:dyDescent="0.3">
      <c r="A45" s="95">
        <v>45990</v>
      </c>
      <c r="B45" s="84" t="s">
        <v>300</v>
      </c>
      <c r="C45" s="85" t="s">
        <v>764</v>
      </c>
      <c r="D45" s="84" t="s">
        <v>755</v>
      </c>
      <c r="E45" s="86">
        <v>1.895833333333333</v>
      </c>
      <c r="F45" s="84" t="s">
        <v>78</v>
      </c>
      <c r="G45" s="87">
        <v>9</v>
      </c>
      <c r="H45" s="96">
        <v>379</v>
      </c>
    </row>
    <row r="46" spans="1:8" ht="18" x14ac:dyDescent="0.3">
      <c r="A46" s="95">
        <v>45990</v>
      </c>
      <c r="B46" s="84" t="s">
        <v>35</v>
      </c>
      <c r="C46" s="85" t="s">
        <v>767</v>
      </c>
      <c r="D46" s="84" t="s">
        <v>755</v>
      </c>
      <c r="E46" s="86">
        <v>1.1701388888888891</v>
      </c>
      <c r="F46" s="84" t="s">
        <v>487</v>
      </c>
      <c r="G46" s="87">
        <v>6</v>
      </c>
      <c r="H46" s="96">
        <v>411</v>
      </c>
    </row>
    <row r="47" spans="1:8" ht="18" x14ac:dyDescent="0.3">
      <c r="A47" s="97">
        <v>45990</v>
      </c>
      <c r="B47" s="98" t="s">
        <v>35</v>
      </c>
      <c r="C47" s="99" t="s">
        <v>770</v>
      </c>
      <c r="D47" s="98" t="s">
        <v>755</v>
      </c>
      <c r="E47" s="100">
        <v>1.864583333333333</v>
      </c>
      <c r="F47" s="98" t="s">
        <v>487</v>
      </c>
      <c r="G47" s="101">
        <v>6</v>
      </c>
      <c r="H47" s="102">
        <v>411</v>
      </c>
    </row>
    <row r="48" spans="1:8" ht="18" x14ac:dyDescent="0.3">
      <c r="A48" s="97">
        <v>45990</v>
      </c>
      <c r="B48" s="98" t="s">
        <v>35</v>
      </c>
      <c r="C48" s="99" t="s">
        <v>769</v>
      </c>
      <c r="D48" s="98" t="s">
        <v>755</v>
      </c>
      <c r="E48" s="100">
        <v>1.5277777777777779</v>
      </c>
      <c r="F48" s="98" t="s">
        <v>37</v>
      </c>
      <c r="G48" s="101">
        <v>9</v>
      </c>
      <c r="H48" s="102">
        <v>862</v>
      </c>
    </row>
    <row r="49" spans="1:8" ht="18" x14ac:dyDescent="0.3">
      <c r="A49" s="113">
        <v>45990</v>
      </c>
      <c r="B49" s="114" t="s">
        <v>76</v>
      </c>
      <c r="C49" s="115" t="s">
        <v>771</v>
      </c>
      <c r="D49" s="114" t="s">
        <v>755</v>
      </c>
      <c r="E49" s="116">
        <v>1.9236111111111109</v>
      </c>
      <c r="F49" s="114" t="s">
        <v>78</v>
      </c>
      <c r="G49" s="117">
        <v>9</v>
      </c>
      <c r="H49" s="203">
        <v>446</v>
      </c>
    </row>
    <row r="50" spans="1:8" ht="18" x14ac:dyDescent="0.3">
      <c r="A50" s="155">
        <v>45990</v>
      </c>
      <c r="B50" s="156" t="s">
        <v>63</v>
      </c>
      <c r="C50" s="157" t="s">
        <v>775</v>
      </c>
      <c r="D50" s="156" t="s">
        <v>755</v>
      </c>
      <c r="E50" s="158">
        <v>1.305555555555556</v>
      </c>
      <c r="F50" s="156" t="s">
        <v>67</v>
      </c>
      <c r="G50" s="159">
        <v>4</v>
      </c>
      <c r="H50" s="156" t="s">
        <v>786</v>
      </c>
    </row>
    <row r="51" spans="1:8" ht="18" x14ac:dyDescent="0.3">
      <c r="A51" s="83">
        <v>45991</v>
      </c>
      <c r="B51" s="84" t="s">
        <v>25</v>
      </c>
      <c r="C51" s="85" t="s">
        <v>756</v>
      </c>
      <c r="D51" s="84" t="s">
        <v>755</v>
      </c>
      <c r="E51" s="86">
        <v>1.305555555555556</v>
      </c>
      <c r="F51" s="84" t="s">
        <v>27</v>
      </c>
      <c r="G51" s="87">
        <v>10</v>
      </c>
      <c r="H51" s="88">
        <v>339</v>
      </c>
    </row>
    <row r="52" spans="1:8" ht="18" x14ac:dyDescent="0.3">
      <c r="A52" s="89">
        <v>45991</v>
      </c>
      <c r="B52" s="90" t="s">
        <v>25</v>
      </c>
      <c r="C52" s="91" t="s">
        <v>756</v>
      </c>
      <c r="D52" s="90" t="s">
        <v>755</v>
      </c>
      <c r="E52" s="92">
        <v>1.305555555555556</v>
      </c>
      <c r="F52" s="90" t="s">
        <v>30</v>
      </c>
      <c r="G52" s="93">
        <v>10</v>
      </c>
      <c r="H52" s="94">
        <v>489</v>
      </c>
    </row>
    <row r="53" spans="1:8" ht="18" x14ac:dyDescent="0.3">
      <c r="A53" s="89">
        <v>45991</v>
      </c>
      <c r="B53" s="90" t="s">
        <v>25</v>
      </c>
      <c r="C53" s="91" t="s">
        <v>756</v>
      </c>
      <c r="D53" s="90" t="s">
        <v>755</v>
      </c>
      <c r="E53" s="92">
        <v>1.305555555555556</v>
      </c>
      <c r="F53" s="90" t="s">
        <v>33</v>
      </c>
      <c r="G53" s="93">
        <v>10</v>
      </c>
      <c r="H53" s="94">
        <v>899</v>
      </c>
    </row>
    <row r="54" spans="1:8" ht="18" x14ac:dyDescent="0.3">
      <c r="A54" s="95">
        <v>45991</v>
      </c>
      <c r="B54" s="84" t="s">
        <v>272</v>
      </c>
      <c r="C54" s="85" t="s">
        <v>777</v>
      </c>
      <c r="D54" s="84" t="s">
        <v>755</v>
      </c>
      <c r="E54" s="86">
        <v>1.2152777777777779</v>
      </c>
      <c r="F54" s="84" t="s">
        <v>78</v>
      </c>
      <c r="G54" s="87">
        <v>9</v>
      </c>
      <c r="H54" s="96">
        <v>371</v>
      </c>
    </row>
    <row r="55" spans="1:8" ht="18" x14ac:dyDescent="0.3">
      <c r="A55" s="95">
        <v>45991</v>
      </c>
      <c r="B55" s="84" t="s">
        <v>300</v>
      </c>
      <c r="C55" s="85" t="s">
        <v>789</v>
      </c>
      <c r="D55" s="84" t="s">
        <v>755</v>
      </c>
      <c r="E55" s="86">
        <v>1.6840277777777779</v>
      </c>
      <c r="F55" s="84" t="s">
        <v>78</v>
      </c>
      <c r="G55" s="87">
        <v>9</v>
      </c>
      <c r="H55" s="96">
        <v>379</v>
      </c>
    </row>
    <row r="56" spans="1:8" ht="18" x14ac:dyDescent="0.3">
      <c r="A56" s="97">
        <v>45991</v>
      </c>
      <c r="B56" s="98" t="s">
        <v>300</v>
      </c>
      <c r="C56" s="99" t="s">
        <v>790</v>
      </c>
      <c r="D56" s="98" t="s">
        <v>755</v>
      </c>
      <c r="E56" s="100">
        <v>1.163194444444444</v>
      </c>
      <c r="F56" s="98" t="s">
        <v>78</v>
      </c>
      <c r="G56" s="101">
        <v>9</v>
      </c>
      <c r="H56" s="102">
        <v>379</v>
      </c>
    </row>
    <row r="57" spans="1:8" ht="18" x14ac:dyDescent="0.3">
      <c r="A57" s="97">
        <v>45991</v>
      </c>
      <c r="B57" s="98" t="s">
        <v>300</v>
      </c>
      <c r="C57" s="99" t="s">
        <v>766</v>
      </c>
      <c r="D57" s="98" t="s">
        <v>755</v>
      </c>
      <c r="E57" s="100">
        <v>1.958333333333333</v>
      </c>
      <c r="F57" s="98" t="s">
        <v>78</v>
      </c>
      <c r="G57" s="101">
        <v>9</v>
      </c>
      <c r="H57" s="102">
        <v>379</v>
      </c>
    </row>
    <row r="58" spans="1:8" ht="18" x14ac:dyDescent="0.3">
      <c r="A58" s="95">
        <v>45991</v>
      </c>
      <c r="B58" s="84" t="s">
        <v>47</v>
      </c>
      <c r="C58" s="85" t="s">
        <v>759</v>
      </c>
      <c r="D58" s="84" t="s">
        <v>755</v>
      </c>
      <c r="E58" s="86">
        <v>1.833333333333333</v>
      </c>
      <c r="F58" s="84" t="s">
        <v>49</v>
      </c>
      <c r="G58" s="87">
        <v>3</v>
      </c>
      <c r="H58" s="96">
        <v>379</v>
      </c>
    </row>
    <row r="59" spans="1:8" ht="18" x14ac:dyDescent="0.3">
      <c r="A59" s="89">
        <v>45991</v>
      </c>
      <c r="B59" s="90" t="s">
        <v>47</v>
      </c>
      <c r="C59" s="91" t="s">
        <v>759</v>
      </c>
      <c r="D59" s="90" t="s">
        <v>755</v>
      </c>
      <c r="E59" s="92">
        <v>1.833333333333333</v>
      </c>
      <c r="F59" s="90" t="s">
        <v>52</v>
      </c>
      <c r="G59" s="93">
        <v>3</v>
      </c>
      <c r="H59" s="94">
        <v>479</v>
      </c>
    </row>
    <row r="60" spans="1:8" ht="18" x14ac:dyDescent="0.3">
      <c r="A60" s="89">
        <v>45991</v>
      </c>
      <c r="B60" s="90" t="s">
        <v>47</v>
      </c>
      <c r="C60" s="91" t="s">
        <v>759</v>
      </c>
      <c r="D60" s="90" t="s">
        <v>755</v>
      </c>
      <c r="E60" s="92">
        <v>1.833333333333333</v>
      </c>
      <c r="F60" s="90" t="s">
        <v>55</v>
      </c>
      <c r="G60" s="93">
        <v>3</v>
      </c>
      <c r="H60" s="94">
        <v>569</v>
      </c>
    </row>
    <row r="61" spans="1:8" ht="18" x14ac:dyDescent="0.3">
      <c r="A61" s="95">
        <v>45991</v>
      </c>
      <c r="B61" s="84" t="s">
        <v>35</v>
      </c>
      <c r="C61" s="85" t="s">
        <v>767</v>
      </c>
      <c r="D61" s="84" t="s">
        <v>755</v>
      </c>
      <c r="E61" s="86">
        <v>1.1701388888888891</v>
      </c>
      <c r="F61" s="84" t="s">
        <v>487</v>
      </c>
      <c r="G61" s="87">
        <v>8</v>
      </c>
      <c r="H61" s="96">
        <v>411</v>
      </c>
    </row>
    <row r="62" spans="1:8" ht="18" x14ac:dyDescent="0.3">
      <c r="A62" s="97">
        <v>45991</v>
      </c>
      <c r="B62" s="98" t="s">
        <v>35</v>
      </c>
      <c r="C62" s="99" t="s">
        <v>770</v>
      </c>
      <c r="D62" s="98" t="s">
        <v>755</v>
      </c>
      <c r="E62" s="100">
        <v>1.864583333333333</v>
      </c>
      <c r="F62" s="98" t="s">
        <v>487</v>
      </c>
      <c r="G62" s="101">
        <v>4</v>
      </c>
      <c r="H62" s="102">
        <v>411</v>
      </c>
    </row>
    <row r="63" spans="1:8" ht="18" x14ac:dyDescent="0.3">
      <c r="A63" s="97">
        <v>45991</v>
      </c>
      <c r="B63" s="98" t="s">
        <v>35</v>
      </c>
      <c r="C63" s="99" t="s">
        <v>769</v>
      </c>
      <c r="D63" s="98" t="s">
        <v>755</v>
      </c>
      <c r="E63" s="100">
        <v>1.5034722222222221</v>
      </c>
      <c r="F63" s="98" t="s">
        <v>308</v>
      </c>
      <c r="G63" s="101">
        <v>9</v>
      </c>
      <c r="H63" s="102">
        <v>437</v>
      </c>
    </row>
    <row r="64" spans="1:8" ht="18" x14ac:dyDescent="0.3">
      <c r="A64" s="155">
        <v>45991</v>
      </c>
      <c r="B64" s="156" t="s">
        <v>63</v>
      </c>
      <c r="C64" s="157" t="s">
        <v>775</v>
      </c>
      <c r="D64" s="156" t="s">
        <v>755</v>
      </c>
      <c r="E64" s="158">
        <v>1.305555555555556</v>
      </c>
      <c r="F64" s="156" t="s">
        <v>67</v>
      </c>
      <c r="G64" s="159">
        <v>4</v>
      </c>
      <c r="H64" s="156" t="s">
        <v>776</v>
      </c>
    </row>
  </sheetData>
  <dataValidations count="3">
    <dataValidation type="custom" allowBlank="1" showInputMessage="1" promptTitle="LOAD FACTOR ANALYSIS" prompt="SM-434_x000d__x000a_LF 27.4%_x000d__x000a_SOLD 46_x000d__x000a_LST-SOLD 25NOV_x000d__x000a_WEEKLY 15_x000d__x000a_TO-DAY NIL_x000d__x000a_Y-DAY 1_x000d__x000a_LOWEST AVAIL I9_x000d__x000a_CAPACITY 168_x000d__x000a_CLASSES L1 &amp; S2 &amp; W4 &amp; +4 more" sqref="A18 B18 C18 D18 E18 F18 G18 H18" xr:uid="{00000000-0002-0000-2700-000000000000}">
      <formula1>TRUE</formula1>
    </dataValidation>
    <dataValidation type="custom" allowBlank="1" showInputMessage="1" promptTitle="LOAD FACTOR ANALYSIS" prompt="SM-434_x000d__x000a_LF 42.3%_x000d__x000a_SOLD 71_x000d__x000a_LST-SOLD 25NOV_x000d__x000a_WEEKLY 31_x000d__x000a_TO-DAY NIL_x000d__x000a_Y-DAY 12_x000d__x000a_LOWEST AVAIL I9_x000d__x000a_CAPACITY 168_x000d__x000a_CLASSES K1 &amp; G3 &amp; S10 &amp; +3 more" sqref="A31 B31 C31 D31 E31 F31 G31 H31" xr:uid="{00000000-0002-0000-2700-000001000000}">
      <formula1>TRUE</formula1>
    </dataValidation>
    <dataValidation type="custom" allowBlank="1" showInputMessage="1" promptTitle="LOAD FACTOR ANALYSIS" prompt="SM-434_x000d__x000a_LF 19.1%_x000d__x000a_SOLD 32_x000d__x000a_LST-SOLD 25NOV_x000d__x000a_WEEKLY 2_x000d__x000a_TO-DAY NIL_x000d__x000a_Y-DAY 1_x000d__x000a_LOWEST AVAIL I9_x000d__x000a_CAPACITY 168_x000d__x000a_CLASSES L2 &amp; G1 &amp; S7 &amp; +3 more" sqref="A49 B49 C49 D49 E49 F49 G49 H49" xr:uid="{00000000-0002-0000-27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N1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3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795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45987.35917476035</v>
      </c>
      <c r="H2" s="294"/>
      <c r="I2" s="294"/>
      <c r="J2" s="294"/>
      <c r="K2" s="301">
        <v>45987.359174760903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45989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216" t="s">
        <v>76</v>
      </c>
      <c r="B6" s="216" t="s">
        <v>796</v>
      </c>
      <c r="C6" s="217">
        <v>0.29166666666666669</v>
      </c>
      <c r="D6" s="216" t="s">
        <v>78</v>
      </c>
      <c r="E6" s="216" t="s">
        <v>86</v>
      </c>
      <c r="F6" s="216" t="s">
        <v>797</v>
      </c>
      <c r="G6" s="281"/>
      <c r="H6" s="178" t="s">
        <v>798</v>
      </c>
      <c r="I6" s="201">
        <v>0.55359999999999998</v>
      </c>
      <c r="J6" s="180">
        <v>93</v>
      </c>
      <c r="K6" s="181">
        <v>45986</v>
      </c>
      <c r="L6" s="180">
        <v>42</v>
      </c>
      <c r="M6" s="180">
        <v>0</v>
      </c>
      <c r="N6" s="180">
        <v>7</v>
      </c>
      <c r="O6" s="182" t="s">
        <v>567</v>
      </c>
      <c r="P6" s="183">
        <v>0.29166666666666669</v>
      </c>
      <c r="Q6" s="180">
        <v>168</v>
      </c>
      <c r="R6" s="184" t="s">
        <v>799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800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756</v>
      </c>
      <c r="C8" s="20" t="s">
        <v>747</v>
      </c>
      <c r="D8" s="19" t="s">
        <v>27</v>
      </c>
      <c r="E8" s="19" t="s">
        <v>212</v>
      </c>
      <c r="F8" s="19" t="s">
        <v>681</v>
      </c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272</v>
      </c>
      <c r="B9" s="19" t="s">
        <v>777</v>
      </c>
      <c r="C9" s="20" t="s">
        <v>801</v>
      </c>
      <c r="D9" s="19" t="s">
        <v>78</v>
      </c>
      <c r="E9" s="19" t="s">
        <v>195</v>
      </c>
      <c r="F9" s="19" t="s">
        <v>762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300</v>
      </c>
      <c r="B10" s="19" t="s">
        <v>778</v>
      </c>
      <c r="C10" s="20" t="s">
        <v>802</v>
      </c>
      <c r="D10" s="19" t="s">
        <v>78</v>
      </c>
      <c r="E10" s="19" t="s">
        <v>205</v>
      </c>
      <c r="F10" s="19" t="s">
        <v>765</v>
      </c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47</v>
      </c>
      <c r="B11" s="19" t="s">
        <v>759</v>
      </c>
      <c r="C11" s="20" t="s">
        <v>803</v>
      </c>
      <c r="D11" s="19" t="s">
        <v>49</v>
      </c>
      <c r="E11" s="19" t="s">
        <v>209</v>
      </c>
      <c r="F11" s="19" t="s">
        <v>765</v>
      </c>
      <c r="G11" s="282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35</v>
      </c>
      <c r="B12" s="19" t="s">
        <v>767</v>
      </c>
      <c r="C12" s="20" t="s">
        <v>804</v>
      </c>
      <c r="D12" s="19" t="s">
        <v>487</v>
      </c>
      <c r="E12" s="19" t="s">
        <v>195</v>
      </c>
      <c r="F12" s="19" t="s">
        <v>779</v>
      </c>
      <c r="G12" s="282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76</v>
      </c>
      <c r="B13" s="19" t="s">
        <v>771</v>
      </c>
      <c r="C13" s="20" t="s">
        <v>805</v>
      </c>
      <c r="D13" s="19" t="s">
        <v>78</v>
      </c>
      <c r="E13" s="19" t="s">
        <v>195</v>
      </c>
      <c r="F13" s="19" t="s">
        <v>772</v>
      </c>
      <c r="G13" s="282"/>
      <c r="H13" s="137"/>
      <c r="I13" s="137"/>
      <c r="J13" s="137"/>
      <c r="K13" s="137"/>
      <c r="L13" s="137"/>
      <c r="M13" s="137"/>
      <c r="N13" s="137"/>
      <c r="O13" s="138"/>
      <c r="P13" s="137"/>
      <c r="Q13" s="139"/>
      <c r="R13" s="13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47</v>
      </c>
      <c r="B14" s="19" t="s">
        <v>759</v>
      </c>
      <c r="C14" s="20" t="s">
        <v>803</v>
      </c>
      <c r="D14" s="19" t="s">
        <v>52</v>
      </c>
      <c r="E14" s="19" t="s">
        <v>209</v>
      </c>
      <c r="F14" s="19" t="s">
        <v>702</v>
      </c>
      <c r="G14" s="282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756</v>
      </c>
      <c r="C15" s="20" t="s">
        <v>747</v>
      </c>
      <c r="D15" s="19" t="s">
        <v>30</v>
      </c>
      <c r="E15" s="19" t="s">
        <v>212</v>
      </c>
      <c r="F15" s="19" t="s">
        <v>372</v>
      </c>
      <c r="G15" s="282"/>
      <c r="H15" s="137"/>
      <c r="I15" s="137"/>
      <c r="J15" s="137"/>
      <c r="K15" s="137"/>
      <c r="L15" s="137"/>
      <c r="M15" s="137"/>
      <c r="N15" s="137"/>
      <c r="O15" s="138"/>
      <c r="P15" s="137"/>
      <c r="Q15" s="139"/>
      <c r="R15" s="139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47</v>
      </c>
      <c r="B16" s="19" t="s">
        <v>759</v>
      </c>
      <c r="C16" s="20" t="s">
        <v>803</v>
      </c>
      <c r="D16" s="19" t="s">
        <v>55</v>
      </c>
      <c r="E16" s="19" t="s">
        <v>209</v>
      </c>
      <c r="F16" s="19" t="s">
        <v>348</v>
      </c>
      <c r="G16" s="282"/>
      <c r="H16" s="137"/>
      <c r="I16" s="137"/>
      <c r="J16" s="137"/>
      <c r="K16" s="137"/>
      <c r="L16" s="137"/>
      <c r="M16" s="137"/>
      <c r="N16" s="137"/>
      <c r="O16" s="138"/>
      <c r="P16" s="137"/>
      <c r="Q16" s="139"/>
      <c r="R16" s="13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36" t="s">
        <v>35</v>
      </c>
      <c r="B17" s="36" t="s">
        <v>770</v>
      </c>
      <c r="C17" s="37" t="s">
        <v>806</v>
      </c>
      <c r="D17" s="36" t="s">
        <v>37</v>
      </c>
      <c r="E17" s="36" t="s">
        <v>195</v>
      </c>
      <c r="F17" s="36" t="s">
        <v>780</v>
      </c>
      <c r="G17" s="283"/>
      <c r="H17" s="140"/>
      <c r="I17" s="140"/>
      <c r="J17" s="140"/>
      <c r="K17" s="140"/>
      <c r="L17" s="140"/>
      <c r="M17" s="140"/>
      <c r="N17" s="140"/>
      <c r="O17" s="141"/>
      <c r="P17" s="140"/>
      <c r="Q17" s="142"/>
      <c r="R17" s="14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88"/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80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</sheetData>
  <mergeCells count="14">
    <mergeCell ref="A18:R18"/>
    <mergeCell ref="A2:F2"/>
    <mergeCell ref="A3:R3"/>
    <mergeCell ref="O1:Q1"/>
    <mergeCell ref="H4:R4"/>
    <mergeCell ref="G6:G17"/>
    <mergeCell ref="A1:C1"/>
    <mergeCell ref="G1:H1"/>
    <mergeCell ref="K2:R2"/>
    <mergeCell ref="G2:J2"/>
    <mergeCell ref="A4:F4"/>
    <mergeCell ref="D1:F1"/>
    <mergeCell ref="J1:M1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417</v>
      </c>
      <c r="B2" s="64">
        <v>45989</v>
      </c>
      <c r="C2" s="65" t="s">
        <v>798</v>
      </c>
      <c r="D2" s="66">
        <v>0.29166666666666669</v>
      </c>
      <c r="E2" s="65" t="s">
        <v>795</v>
      </c>
      <c r="F2" s="65" t="s">
        <v>153</v>
      </c>
      <c r="G2" s="67">
        <v>0.55359999999999998</v>
      </c>
      <c r="H2" s="68">
        <v>168</v>
      </c>
      <c r="I2" s="68">
        <v>93</v>
      </c>
      <c r="J2" s="68">
        <v>0</v>
      </c>
      <c r="K2" s="64">
        <v>45986</v>
      </c>
      <c r="L2" s="68">
        <v>0</v>
      </c>
      <c r="M2" s="68">
        <v>7</v>
      </c>
      <c r="N2" s="68">
        <v>42</v>
      </c>
      <c r="O2" s="65" t="s">
        <v>567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443</v>
      </c>
      <c r="Z2" s="68" t="s">
        <v>457</v>
      </c>
      <c r="AA2" s="68" t="s">
        <v>807</v>
      </c>
      <c r="AB2" s="68" t="s">
        <v>603</v>
      </c>
      <c r="AC2" s="68" t="s">
        <v>808</v>
      </c>
      <c r="AD2" s="68" t="s">
        <v>809</v>
      </c>
      <c r="AE2" s="68" t="s">
        <v>441</v>
      </c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0.55359999999999998</v>
      </c>
      <c r="H3" s="81">
        <f>SUM(H2:H2)</f>
        <v>168</v>
      </c>
      <c r="I3" s="81">
        <f>SUM(I2:I2)</f>
        <v>93</v>
      </c>
      <c r="J3" s="81">
        <f>SUM(J2:J2)</f>
        <v>0</v>
      </c>
      <c r="K3" s="78"/>
      <c r="L3" s="81">
        <f>SUM(L2:L2)</f>
        <v>0</v>
      </c>
      <c r="M3" s="81">
        <f>SUM(M2:M2)</f>
        <v>7</v>
      </c>
      <c r="N3" s="81">
        <f>SUM(N2:N2)</f>
        <v>42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2</v>
      </c>
      <c r="Z3" s="81">
        <f t="shared" si="0"/>
        <v>2</v>
      </c>
      <c r="AA3" s="81">
        <f t="shared" si="0"/>
        <v>6</v>
      </c>
      <c r="AB3" s="81">
        <f t="shared" si="0"/>
        <v>13</v>
      </c>
      <c r="AC3" s="81">
        <f t="shared" si="0"/>
        <v>42</v>
      </c>
      <c r="AD3" s="81">
        <f t="shared" si="0"/>
        <v>18</v>
      </c>
      <c r="AE3" s="81">
        <f t="shared" si="0"/>
        <v>10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29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46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77734375" bestFit="1" customWidth="1"/>
    <col min="5" max="5" width="34.109375" bestFit="1" customWidth="1"/>
    <col min="6" max="6" width="36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5.6" x14ac:dyDescent="0.3">
      <c r="A2" s="152"/>
      <c r="B2" s="152"/>
      <c r="C2" s="152"/>
      <c r="D2" s="152"/>
      <c r="E2" s="153" t="s">
        <v>810</v>
      </c>
      <c r="F2" s="152"/>
      <c r="G2" s="152"/>
      <c r="H2" s="3"/>
    </row>
    <row r="3" spans="1:8" ht="18" x14ac:dyDescent="0.3">
      <c r="A3" s="83">
        <v>45988</v>
      </c>
      <c r="B3" s="84" t="s">
        <v>25</v>
      </c>
      <c r="C3" s="85" t="s">
        <v>756</v>
      </c>
      <c r="D3" s="84" t="s">
        <v>755</v>
      </c>
      <c r="E3" s="86">
        <v>1.305555555555556</v>
      </c>
      <c r="F3" s="84" t="s">
        <v>27</v>
      </c>
      <c r="G3" s="87">
        <v>7</v>
      </c>
      <c r="H3" s="88">
        <v>339</v>
      </c>
    </row>
    <row r="4" spans="1:8" ht="18" x14ac:dyDescent="0.3">
      <c r="A4" s="95">
        <v>45988</v>
      </c>
      <c r="B4" s="84" t="s">
        <v>47</v>
      </c>
      <c r="C4" s="85" t="s">
        <v>757</v>
      </c>
      <c r="D4" s="84" t="s">
        <v>755</v>
      </c>
      <c r="E4" s="86">
        <v>1.197916666666667</v>
      </c>
      <c r="F4" s="84" t="s">
        <v>49</v>
      </c>
      <c r="G4" s="87">
        <v>9</v>
      </c>
      <c r="H4" s="96">
        <v>349</v>
      </c>
    </row>
    <row r="5" spans="1:8" ht="18" x14ac:dyDescent="0.3">
      <c r="A5" s="97">
        <v>45988</v>
      </c>
      <c r="B5" s="98" t="s">
        <v>47</v>
      </c>
      <c r="C5" s="99" t="s">
        <v>759</v>
      </c>
      <c r="D5" s="98" t="s">
        <v>755</v>
      </c>
      <c r="E5" s="100">
        <v>1.833333333333333</v>
      </c>
      <c r="F5" s="98" t="s">
        <v>49</v>
      </c>
      <c r="G5" s="101">
        <v>3</v>
      </c>
      <c r="H5" s="102">
        <v>439</v>
      </c>
    </row>
    <row r="6" spans="1:8" ht="18" x14ac:dyDescent="0.3">
      <c r="A6" s="95">
        <v>45988</v>
      </c>
      <c r="B6" s="84" t="s">
        <v>272</v>
      </c>
      <c r="C6" s="85" t="s">
        <v>761</v>
      </c>
      <c r="D6" s="84" t="s">
        <v>755</v>
      </c>
      <c r="E6" s="86">
        <v>1.2847222222222221</v>
      </c>
      <c r="F6" s="84" t="s">
        <v>78</v>
      </c>
      <c r="G6" s="87">
        <v>9</v>
      </c>
      <c r="H6" s="96">
        <v>371</v>
      </c>
    </row>
    <row r="7" spans="1:8" ht="18" x14ac:dyDescent="0.3">
      <c r="A7" s="97">
        <v>45988</v>
      </c>
      <c r="B7" s="98" t="s">
        <v>272</v>
      </c>
      <c r="C7" s="99" t="s">
        <v>763</v>
      </c>
      <c r="D7" s="98" t="s">
        <v>755</v>
      </c>
      <c r="E7" s="100">
        <v>1.8888888888888891</v>
      </c>
      <c r="F7" s="98" t="s">
        <v>78</v>
      </c>
      <c r="G7" s="101">
        <v>9</v>
      </c>
      <c r="H7" s="102">
        <v>371</v>
      </c>
    </row>
    <row r="8" spans="1:8" ht="18" x14ac:dyDescent="0.3">
      <c r="A8" s="95">
        <v>45988</v>
      </c>
      <c r="B8" s="84" t="s">
        <v>300</v>
      </c>
      <c r="C8" s="85" t="s">
        <v>764</v>
      </c>
      <c r="D8" s="84" t="s">
        <v>755</v>
      </c>
      <c r="E8" s="86">
        <v>1.958333333333333</v>
      </c>
      <c r="F8" s="84" t="s">
        <v>78</v>
      </c>
      <c r="G8" s="87">
        <v>9</v>
      </c>
      <c r="H8" s="96">
        <v>379</v>
      </c>
    </row>
    <row r="9" spans="1:8" ht="18" x14ac:dyDescent="0.3">
      <c r="A9" s="97">
        <v>45988</v>
      </c>
      <c r="B9" s="98" t="s">
        <v>300</v>
      </c>
      <c r="C9" s="99" t="s">
        <v>766</v>
      </c>
      <c r="D9" s="98" t="s">
        <v>755</v>
      </c>
      <c r="E9" s="100">
        <v>1.5625</v>
      </c>
      <c r="F9" s="98" t="s">
        <v>78</v>
      </c>
      <c r="G9" s="101">
        <v>7</v>
      </c>
      <c r="H9" s="102">
        <v>379</v>
      </c>
    </row>
    <row r="10" spans="1:8" ht="18" x14ac:dyDescent="0.3">
      <c r="A10" s="95">
        <v>45988</v>
      </c>
      <c r="B10" s="84" t="s">
        <v>35</v>
      </c>
      <c r="C10" s="85" t="s">
        <v>767</v>
      </c>
      <c r="D10" s="84" t="s">
        <v>755</v>
      </c>
      <c r="E10" s="86">
        <v>1.1701388888888891</v>
      </c>
      <c r="F10" s="84" t="s">
        <v>487</v>
      </c>
      <c r="G10" s="87">
        <v>8</v>
      </c>
      <c r="H10" s="96">
        <v>415</v>
      </c>
    </row>
    <row r="11" spans="1:8" ht="18" x14ac:dyDescent="0.3">
      <c r="A11" s="97">
        <v>45988</v>
      </c>
      <c r="B11" s="98" t="s">
        <v>35</v>
      </c>
      <c r="C11" s="99" t="s">
        <v>769</v>
      </c>
      <c r="D11" s="98" t="s">
        <v>755</v>
      </c>
      <c r="E11" s="100">
        <v>1.5277777777777779</v>
      </c>
      <c r="F11" s="98" t="s">
        <v>308</v>
      </c>
      <c r="G11" s="101">
        <v>6</v>
      </c>
      <c r="H11" s="102">
        <v>437</v>
      </c>
    </row>
    <row r="12" spans="1:8" ht="18" x14ac:dyDescent="0.3">
      <c r="A12" s="103">
        <v>45988</v>
      </c>
      <c r="B12" s="104" t="s">
        <v>76</v>
      </c>
      <c r="C12" s="105" t="s">
        <v>771</v>
      </c>
      <c r="D12" s="104" t="s">
        <v>755</v>
      </c>
      <c r="E12" s="106">
        <v>1.9236111111111109</v>
      </c>
      <c r="F12" s="104" t="s">
        <v>78</v>
      </c>
      <c r="G12" s="107">
        <v>9</v>
      </c>
      <c r="H12" s="239">
        <v>446</v>
      </c>
    </row>
    <row r="13" spans="1:8" ht="18" x14ac:dyDescent="0.3">
      <c r="A13" s="160">
        <v>45989</v>
      </c>
      <c r="B13" s="114" t="s">
        <v>76</v>
      </c>
      <c r="C13" s="115" t="s">
        <v>796</v>
      </c>
      <c r="D13" s="114" t="s">
        <v>795</v>
      </c>
      <c r="E13" s="116">
        <v>1.291666666666667</v>
      </c>
      <c r="F13" s="114" t="s">
        <v>78</v>
      </c>
      <c r="G13" s="117">
        <v>7</v>
      </c>
      <c r="H13" s="163">
        <v>636</v>
      </c>
    </row>
    <row r="14" spans="1:8" ht="15.6" x14ac:dyDescent="0.3">
      <c r="A14" s="152"/>
      <c r="B14" s="152"/>
      <c r="C14" s="152"/>
      <c r="D14" s="152"/>
      <c r="E14" s="153" t="s">
        <v>810</v>
      </c>
      <c r="F14" s="152"/>
      <c r="G14" s="152"/>
      <c r="H14" s="3"/>
    </row>
    <row r="15" spans="1:8" ht="18" x14ac:dyDescent="0.3">
      <c r="A15" s="95">
        <v>45989</v>
      </c>
      <c r="B15" s="84" t="s">
        <v>25</v>
      </c>
      <c r="C15" s="85" t="s">
        <v>756</v>
      </c>
      <c r="D15" s="84" t="s">
        <v>755</v>
      </c>
      <c r="E15" s="86">
        <v>1.305555555555556</v>
      </c>
      <c r="F15" s="84" t="s">
        <v>27</v>
      </c>
      <c r="G15" s="87">
        <v>8</v>
      </c>
      <c r="H15" s="96">
        <v>339</v>
      </c>
    </row>
    <row r="16" spans="1:8" ht="18" x14ac:dyDescent="0.3">
      <c r="A16" s="89">
        <v>45989</v>
      </c>
      <c r="B16" s="90" t="s">
        <v>25</v>
      </c>
      <c r="C16" s="91" t="s">
        <v>756</v>
      </c>
      <c r="D16" s="90" t="s">
        <v>755</v>
      </c>
      <c r="E16" s="92">
        <v>1.305555555555556</v>
      </c>
      <c r="F16" s="90" t="s">
        <v>30</v>
      </c>
      <c r="G16" s="93">
        <v>8</v>
      </c>
      <c r="H16" s="94">
        <v>489</v>
      </c>
    </row>
    <row r="17" spans="1:8" ht="18" x14ac:dyDescent="0.3">
      <c r="A17" s="95">
        <v>45989</v>
      </c>
      <c r="B17" s="84" t="s">
        <v>272</v>
      </c>
      <c r="C17" s="85" t="s">
        <v>777</v>
      </c>
      <c r="D17" s="84" t="s">
        <v>755</v>
      </c>
      <c r="E17" s="86">
        <v>1.1736111111111109</v>
      </c>
      <c r="F17" s="84" t="s">
        <v>78</v>
      </c>
      <c r="G17" s="87">
        <v>9</v>
      </c>
      <c r="H17" s="96">
        <v>371</v>
      </c>
    </row>
    <row r="18" spans="1:8" ht="18" x14ac:dyDescent="0.3">
      <c r="A18" s="95">
        <v>45989</v>
      </c>
      <c r="B18" s="84" t="s">
        <v>300</v>
      </c>
      <c r="C18" s="85" t="s">
        <v>778</v>
      </c>
      <c r="D18" s="84" t="s">
        <v>755</v>
      </c>
      <c r="E18" s="86">
        <v>1.958333333333333</v>
      </c>
      <c r="F18" s="84" t="s">
        <v>78</v>
      </c>
      <c r="G18" s="87">
        <v>7</v>
      </c>
      <c r="H18" s="96">
        <v>379</v>
      </c>
    </row>
    <row r="19" spans="1:8" ht="18" x14ac:dyDescent="0.3">
      <c r="A19" s="95">
        <v>45989</v>
      </c>
      <c r="B19" s="84" t="s">
        <v>47</v>
      </c>
      <c r="C19" s="85" t="s">
        <v>759</v>
      </c>
      <c r="D19" s="84" t="s">
        <v>755</v>
      </c>
      <c r="E19" s="86">
        <v>1.833333333333333</v>
      </c>
      <c r="F19" s="84" t="s">
        <v>49</v>
      </c>
      <c r="G19" s="87">
        <v>9</v>
      </c>
      <c r="H19" s="96">
        <v>379</v>
      </c>
    </row>
    <row r="20" spans="1:8" ht="18" x14ac:dyDescent="0.3">
      <c r="A20" s="89">
        <v>45989</v>
      </c>
      <c r="B20" s="90" t="s">
        <v>47</v>
      </c>
      <c r="C20" s="91" t="s">
        <v>759</v>
      </c>
      <c r="D20" s="90" t="s">
        <v>755</v>
      </c>
      <c r="E20" s="92">
        <v>1.833333333333333</v>
      </c>
      <c r="F20" s="90" t="s">
        <v>52</v>
      </c>
      <c r="G20" s="93">
        <v>9</v>
      </c>
      <c r="H20" s="94">
        <v>479</v>
      </c>
    </row>
    <row r="21" spans="1:8" ht="18" x14ac:dyDescent="0.3">
      <c r="A21" s="89">
        <v>45989</v>
      </c>
      <c r="B21" s="90" t="s">
        <v>47</v>
      </c>
      <c r="C21" s="91" t="s">
        <v>759</v>
      </c>
      <c r="D21" s="90" t="s">
        <v>755</v>
      </c>
      <c r="E21" s="92">
        <v>1.833333333333333</v>
      </c>
      <c r="F21" s="90" t="s">
        <v>55</v>
      </c>
      <c r="G21" s="93">
        <v>9</v>
      </c>
      <c r="H21" s="94">
        <v>569</v>
      </c>
    </row>
    <row r="22" spans="1:8" ht="18" x14ac:dyDescent="0.3">
      <c r="A22" s="95">
        <v>45989</v>
      </c>
      <c r="B22" s="84" t="s">
        <v>35</v>
      </c>
      <c r="C22" s="85" t="s">
        <v>767</v>
      </c>
      <c r="D22" s="84" t="s">
        <v>755</v>
      </c>
      <c r="E22" s="86">
        <v>1.1701388888888891</v>
      </c>
      <c r="F22" s="84" t="s">
        <v>487</v>
      </c>
      <c r="G22" s="87">
        <v>9</v>
      </c>
      <c r="H22" s="96">
        <v>411</v>
      </c>
    </row>
    <row r="23" spans="1:8" ht="18" x14ac:dyDescent="0.3">
      <c r="A23" s="97">
        <v>45989</v>
      </c>
      <c r="B23" s="98" t="s">
        <v>35</v>
      </c>
      <c r="C23" s="99" t="s">
        <v>770</v>
      </c>
      <c r="D23" s="98" t="s">
        <v>755</v>
      </c>
      <c r="E23" s="100">
        <v>1.864583333333333</v>
      </c>
      <c r="F23" s="98" t="s">
        <v>37</v>
      </c>
      <c r="G23" s="101">
        <v>9</v>
      </c>
      <c r="H23" s="102">
        <v>583</v>
      </c>
    </row>
    <row r="24" spans="1:8" ht="18" x14ac:dyDescent="0.3">
      <c r="A24" s="103">
        <v>45989</v>
      </c>
      <c r="B24" s="104" t="s">
        <v>76</v>
      </c>
      <c r="C24" s="105" t="s">
        <v>771</v>
      </c>
      <c r="D24" s="104" t="s">
        <v>755</v>
      </c>
      <c r="E24" s="106">
        <v>1.5798611111111109</v>
      </c>
      <c r="F24" s="104" t="s">
        <v>78</v>
      </c>
      <c r="G24" s="107">
        <v>9</v>
      </c>
      <c r="H24" s="239">
        <v>446</v>
      </c>
    </row>
    <row r="25" spans="1:8" ht="15.6" x14ac:dyDescent="0.3">
      <c r="A25" s="152"/>
      <c r="B25" s="152"/>
      <c r="C25" s="152"/>
      <c r="D25" s="152"/>
      <c r="E25" s="153" t="s">
        <v>810</v>
      </c>
      <c r="F25" s="152"/>
      <c r="G25" s="152"/>
      <c r="H25" s="3"/>
    </row>
    <row r="26" spans="1:8" ht="18" x14ac:dyDescent="0.3">
      <c r="A26" s="83">
        <v>45990</v>
      </c>
      <c r="B26" s="84" t="s">
        <v>25</v>
      </c>
      <c r="C26" s="85" t="s">
        <v>756</v>
      </c>
      <c r="D26" s="84" t="s">
        <v>755</v>
      </c>
      <c r="E26" s="86">
        <v>1.305555555555556</v>
      </c>
      <c r="F26" s="84" t="s">
        <v>27</v>
      </c>
      <c r="G26" s="87">
        <v>13</v>
      </c>
      <c r="H26" s="88">
        <v>309</v>
      </c>
    </row>
    <row r="27" spans="1:8" ht="18" x14ac:dyDescent="0.3">
      <c r="A27" s="95">
        <v>45990</v>
      </c>
      <c r="B27" s="84" t="s">
        <v>47</v>
      </c>
      <c r="C27" s="85" t="s">
        <v>757</v>
      </c>
      <c r="D27" s="84" t="s">
        <v>755</v>
      </c>
      <c r="E27" s="86">
        <v>1.197916666666667</v>
      </c>
      <c r="F27" s="84" t="s">
        <v>49</v>
      </c>
      <c r="G27" s="87">
        <v>9</v>
      </c>
      <c r="H27" s="96">
        <v>349</v>
      </c>
    </row>
    <row r="28" spans="1:8" ht="18" x14ac:dyDescent="0.3">
      <c r="A28" s="89">
        <v>45990</v>
      </c>
      <c r="B28" s="90" t="s">
        <v>47</v>
      </c>
      <c r="C28" s="91" t="s">
        <v>757</v>
      </c>
      <c r="D28" s="90" t="s">
        <v>755</v>
      </c>
      <c r="E28" s="92">
        <v>1.197916666666667</v>
      </c>
      <c r="F28" s="90" t="s">
        <v>52</v>
      </c>
      <c r="G28" s="93">
        <v>9</v>
      </c>
      <c r="H28" s="94">
        <v>449</v>
      </c>
    </row>
    <row r="29" spans="1:8" ht="18" x14ac:dyDescent="0.3">
      <c r="A29" s="97">
        <v>45990</v>
      </c>
      <c r="B29" s="98" t="s">
        <v>47</v>
      </c>
      <c r="C29" s="99" t="s">
        <v>759</v>
      </c>
      <c r="D29" s="98" t="s">
        <v>755</v>
      </c>
      <c r="E29" s="100">
        <v>1.833333333333333</v>
      </c>
      <c r="F29" s="98" t="s">
        <v>49</v>
      </c>
      <c r="G29" s="101">
        <v>6</v>
      </c>
      <c r="H29" s="102">
        <v>349</v>
      </c>
    </row>
    <row r="30" spans="1:8" ht="18" x14ac:dyDescent="0.3">
      <c r="A30" s="95">
        <v>45990</v>
      </c>
      <c r="B30" s="84" t="s">
        <v>302</v>
      </c>
      <c r="C30" s="85" t="s">
        <v>782</v>
      </c>
      <c r="D30" s="84" t="s">
        <v>755</v>
      </c>
      <c r="E30" s="86">
        <v>1.9340277777777779</v>
      </c>
      <c r="F30" s="84" t="s">
        <v>304</v>
      </c>
      <c r="G30" s="87">
        <v>9</v>
      </c>
      <c r="H30" s="96">
        <v>354</v>
      </c>
    </row>
    <row r="31" spans="1:8" ht="18" x14ac:dyDescent="0.3">
      <c r="A31" s="95">
        <v>45990</v>
      </c>
      <c r="B31" s="84" t="s">
        <v>272</v>
      </c>
      <c r="C31" s="85" t="s">
        <v>763</v>
      </c>
      <c r="D31" s="84" t="s">
        <v>755</v>
      </c>
      <c r="E31" s="86">
        <v>1.1736111111111109</v>
      </c>
      <c r="F31" s="84" t="s">
        <v>78</v>
      </c>
      <c r="G31" s="87">
        <v>9</v>
      </c>
      <c r="H31" s="96">
        <v>371</v>
      </c>
    </row>
    <row r="32" spans="1:8" ht="18" x14ac:dyDescent="0.3">
      <c r="A32" s="95">
        <v>45990</v>
      </c>
      <c r="B32" s="84" t="s">
        <v>300</v>
      </c>
      <c r="C32" s="85" t="s">
        <v>764</v>
      </c>
      <c r="D32" s="84" t="s">
        <v>755</v>
      </c>
      <c r="E32" s="86">
        <v>1.895833333333333</v>
      </c>
      <c r="F32" s="84" t="s">
        <v>78</v>
      </c>
      <c r="G32" s="87">
        <v>9</v>
      </c>
      <c r="H32" s="96">
        <v>379</v>
      </c>
    </row>
    <row r="33" spans="1:8" ht="18" x14ac:dyDescent="0.3">
      <c r="A33" s="95">
        <v>45990</v>
      </c>
      <c r="B33" s="84" t="s">
        <v>35</v>
      </c>
      <c r="C33" s="85" t="s">
        <v>767</v>
      </c>
      <c r="D33" s="84" t="s">
        <v>755</v>
      </c>
      <c r="E33" s="86">
        <v>1.1701388888888891</v>
      </c>
      <c r="F33" s="84" t="s">
        <v>487</v>
      </c>
      <c r="G33" s="87">
        <v>6</v>
      </c>
      <c r="H33" s="96">
        <v>411</v>
      </c>
    </row>
    <row r="34" spans="1:8" ht="18" x14ac:dyDescent="0.3">
      <c r="A34" s="97">
        <v>45990</v>
      </c>
      <c r="B34" s="98" t="s">
        <v>35</v>
      </c>
      <c r="C34" s="99" t="s">
        <v>770</v>
      </c>
      <c r="D34" s="98" t="s">
        <v>755</v>
      </c>
      <c r="E34" s="100">
        <v>1.864583333333333</v>
      </c>
      <c r="F34" s="98" t="s">
        <v>487</v>
      </c>
      <c r="G34" s="101">
        <v>6</v>
      </c>
      <c r="H34" s="102">
        <v>411</v>
      </c>
    </row>
    <row r="35" spans="1:8" ht="18" x14ac:dyDescent="0.3">
      <c r="A35" s="103">
        <v>45990</v>
      </c>
      <c r="B35" s="104" t="s">
        <v>76</v>
      </c>
      <c r="C35" s="105" t="s">
        <v>771</v>
      </c>
      <c r="D35" s="104" t="s">
        <v>755</v>
      </c>
      <c r="E35" s="106">
        <v>1.9236111111111109</v>
      </c>
      <c r="F35" s="104" t="s">
        <v>78</v>
      </c>
      <c r="G35" s="107">
        <v>9</v>
      </c>
      <c r="H35" s="239">
        <v>446</v>
      </c>
    </row>
    <row r="36" spans="1:8" ht="15.6" x14ac:dyDescent="0.3">
      <c r="A36" s="152"/>
      <c r="B36" s="152"/>
      <c r="C36" s="152"/>
      <c r="D36" s="152"/>
      <c r="E36" s="153" t="s">
        <v>810</v>
      </c>
      <c r="F36" s="152"/>
      <c r="G36" s="152"/>
      <c r="H36" s="3"/>
    </row>
    <row r="37" spans="1:8" ht="18" x14ac:dyDescent="0.3">
      <c r="A37" s="83">
        <v>45991</v>
      </c>
      <c r="B37" s="84" t="s">
        <v>25</v>
      </c>
      <c r="C37" s="85" t="s">
        <v>756</v>
      </c>
      <c r="D37" s="84" t="s">
        <v>755</v>
      </c>
      <c r="E37" s="86">
        <v>1.305555555555556</v>
      </c>
      <c r="F37" s="84" t="s">
        <v>27</v>
      </c>
      <c r="G37" s="87">
        <v>10</v>
      </c>
      <c r="H37" s="88">
        <v>339</v>
      </c>
    </row>
    <row r="38" spans="1:8" ht="18" x14ac:dyDescent="0.3">
      <c r="A38" s="95">
        <v>45991</v>
      </c>
      <c r="B38" s="84" t="s">
        <v>272</v>
      </c>
      <c r="C38" s="85" t="s">
        <v>777</v>
      </c>
      <c r="D38" s="84" t="s">
        <v>755</v>
      </c>
      <c r="E38" s="86">
        <v>1.2152777777777779</v>
      </c>
      <c r="F38" s="84" t="s">
        <v>78</v>
      </c>
      <c r="G38" s="87">
        <v>9</v>
      </c>
      <c r="H38" s="96">
        <v>371</v>
      </c>
    </row>
    <row r="39" spans="1:8" ht="18" x14ac:dyDescent="0.3">
      <c r="A39" s="95">
        <v>45991</v>
      </c>
      <c r="B39" s="84" t="s">
        <v>300</v>
      </c>
      <c r="C39" s="85" t="s">
        <v>789</v>
      </c>
      <c r="D39" s="84" t="s">
        <v>755</v>
      </c>
      <c r="E39" s="86">
        <v>1.6840277777777779</v>
      </c>
      <c r="F39" s="84" t="s">
        <v>78</v>
      </c>
      <c r="G39" s="87">
        <v>9</v>
      </c>
      <c r="H39" s="96">
        <v>379</v>
      </c>
    </row>
    <row r="40" spans="1:8" ht="18" x14ac:dyDescent="0.3">
      <c r="A40" s="97">
        <v>45991</v>
      </c>
      <c r="B40" s="98" t="s">
        <v>300</v>
      </c>
      <c r="C40" s="99" t="s">
        <v>790</v>
      </c>
      <c r="D40" s="98" t="s">
        <v>755</v>
      </c>
      <c r="E40" s="100">
        <v>1.163194444444444</v>
      </c>
      <c r="F40" s="98" t="s">
        <v>78</v>
      </c>
      <c r="G40" s="101">
        <v>9</v>
      </c>
      <c r="H40" s="102">
        <v>379</v>
      </c>
    </row>
    <row r="41" spans="1:8" ht="18" x14ac:dyDescent="0.3">
      <c r="A41" s="97">
        <v>45991</v>
      </c>
      <c r="B41" s="98" t="s">
        <v>300</v>
      </c>
      <c r="C41" s="99" t="s">
        <v>766</v>
      </c>
      <c r="D41" s="98" t="s">
        <v>755</v>
      </c>
      <c r="E41" s="100">
        <v>1.958333333333333</v>
      </c>
      <c r="F41" s="98" t="s">
        <v>78</v>
      </c>
      <c r="G41" s="101">
        <v>9</v>
      </c>
      <c r="H41" s="102">
        <v>379</v>
      </c>
    </row>
    <row r="42" spans="1:8" ht="18" x14ac:dyDescent="0.3">
      <c r="A42" s="95">
        <v>45991</v>
      </c>
      <c r="B42" s="84" t="s">
        <v>47</v>
      </c>
      <c r="C42" s="85" t="s">
        <v>759</v>
      </c>
      <c r="D42" s="84" t="s">
        <v>755</v>
      </c>
      <c r="E42" s="86">
        <v>1.833333333333333</v>
      </c>
      <c r="F42" s="84" t="s">
        <v>49</v>
      </c>
      <c r="G42" s="87">
        <v>3</v>
      </c>
      <c r="H42" s="96">
        <v>379</v>
      </c>
    </row>
    <row r="43" spans="1:8" ht="18" x14ac:dyDescent="0.3">
      <c r="A43" s="89">
        <v>45991</v>
      </c>
      <c r="B43" s="90" t="s">
        <v>47</v>
      </c>
      <c r="C43" s="91" t="s">
        <v>759</v>
      </c>
      <c r="D43" s="90" t="s">
        <v>755</v>
      </c>
      <c r="E43" s="92">
        <v>1.833333333333333</v>
      </c>
      <c r="F43" s="90" t="s">
        <v>52</v>
      </c>
      <c r="G43" s="93">
        <v>3</v>
      </c>
      <c r="H43" s="94">
        <v>479</v>
      </c>
    </row>
    <row r="44" spans="1:8" ht="18" x14ac:dyDescent="0.3">
      <c r="A44" s="95">
        <v>45991</v>
      </c>
      <c r="B44" s="84" t="s">
        <v>35</v>
      </c>
      <c r="C44" s="85" t="s">
        <v>767</v>
      </c>
      <c r="D44" s="84" t="s">
        <v>755</v>
      </c>
      <c r="E44" s="86">
        <v>1.1701388888888891</v>
      </c>
      <c r="F44" s="84" t="s">
        <v>487</v>
      </c>
      <c r="G44" s="87">
        <v>8</v>
      </c>
      <c r="H44" s="96">
        <v>411</v>
      </c>
    </row>
    <row r="45" spans="1:8" ht="18" x14ac:dyDescent="0.3">
      <c r="A45" s="97">
        <v>45991</v>
      </c>
      <c r="B45" s="98" t="s">
        <v>35</v>
      </c>
      <c r="C45" s="99" t="s">
        <v>770</v>
      </c>
      <c r="D45" s="98" t="s">
        <v>755</v>
      </c>
      <c r="E45" s="100">
        <v>1.864583333333333</v>
      </c>
      <c r="F45" s="98" t="s">
        <v>487</v>
      </c>
      <c r="G45" s="101">
        <v>4</v>
      </c>
      <c r="H45" s="102">
        <v>411</v>
      </c>
    </row>
    <row r="46" spans="1:8" ht="18" x14ac:dyDescent="0.3">
      <c r="A46" s="108">
        <v>45991</v>
      </c>
      <c r="B46" s="109" t="s">
        <v>35</v>
      </c>
      <c r="C46" s="110" t="s">
        <v>769</v>
      </c>
      <c r="D46" s="109" t="s">
        <v>755</v>
      </c>
      <c r="E46" s="111">
        <v>1.5034722222222221</v>
      </c>
      <c r="F46" s="109" t="s">
        <v>308</v>
      </c>
      <c r="G46" s="112">
        <v>9</v>
      </c>
      <c r="H46" s="225">
        <v>437</v>
      </c>
    </row>
  </sheetData>
  <dataValidations count="2">
    <dataValidation type="custom" allowBlank="1" showInputMessage="1" promptTitle="LOAD FACTOR ANALYSIS" prompt="SM-434_x000d__x000a_LF -_x000d__x000a_SOLD -_x000d__x000a_LST-SOLD -_x000d__x000a_WEEKLY -_x000d__x000a_TO-DAY -_x000d__x000a_Y-DAY -_x000d__x000a_LOWEST AVAIL -_x000d__x000a_CAPACITY -_x000d__x000a_CLASSES -" sqref="A12 A24 A35 B12 B24 B35 C12 C24 C35 D12 D24 D35 E12 E24 E35 F12 F24 F35 G12 G24 G35 H12 H24 H35" xr:uid="{00000000-0002-0000-2A00-000000000000}">
      <formula1>TRUE</formula1>
    </dataValidation>
    <dataValidation type="custom" allowBlank="1" showInputMessage="1" promptTitle="LOAD FACTOR ANALYSIS" prompt="SM-438_x000d__x000a_LF 55.4%_x000d__x000a_SOLD 93_x000d__x000a_LST-SOLD 25NOV_x000d__x000a_WEEKLY 42_x000d__x000a_TO-DAY NIL_x000d__x000a_Y-DAY 7_x000d__x000a_LOWEST AVAIL T7_x000d__x000a_CAPACITY 168_x000d__x000a_CLASSES S2 &amp; W2 &amp; T6 &amp; +4 more" sqref="A13 B13 C13 D13 E13 F13 G13 H13" xr:uid="{00000000-0002-0000-2A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441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811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45987.359176131577</v>
      </c>
      <c r="H2" s="294"/>
      <c r="I2" s="294"/>
      <c r="J2" s="294"/>
      <c r="K2" s="301">
        <v>45987.359176132108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16" t="s">
        <v>76</v>
      </c>
      <c r="B6" s="216" t="s">
        <v>812</v>
      </c>
      <c r="C6" s="217">
        <v>0.86458333333333337</v>
      </c>
      <c r="D6" s="216" t="s">
        <v>105</v>
      </c>
      <c r="E6" s="240"/>
      <c r="F6" s="216" t="s">
        <v>510</v>
      </c>
      <c r="G6" s="305"/>
      <c r="H6" s="23" t="s">
        <v>812</v>
      </c>
      <c r="I6" s="241">
        <v>0.4345</v>
      </c>
      <c r="J6" s="25">
        <v>73</v>
      </c>
      <c r="K6" s="26">
        <v>45987</v>
      </c>
      <c r="L6" s="25">
        <v>27</v>
      </c>
      <c r="M6" s="25">
        <v>1</v>
      </c>
      <c r="N6" s="25">
        <v>10</v>
      </c>
      <c r="O6" s="27" t="s">
        <v>280</v>
      </c>
      <c r="P6" s="28">
        <v>0.86458333333333337</v>
      </c>
      <c r="Q6" s="25">
        <v>168</v>
      </c>
      <c r="R6" s="29" t="s">
        <v>813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9" t="s">
        <v>5</v>
      </c>
      <c r="B8" s="290"/>
      <c r="C8" s="290"/>
      <c r="D8" s="290"/>
      <c r="E8" s="290"/>
      <c r="F8" s="290"/>
      <c r="G8" s="5">
        <v>45989</v>
      </c>
      <c r="H8" s="286" t="s">
        <v>6</v>
      </c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0" t="s">
        <v>7</v>
      </c>
      <c r="B9" s="30" t="s">
        <v>8</v>
      </c>
      <c r="C9" s="31" t="s">
        <v>9</v>
      </c>
      <c r="D9" s="30" t="s">
        <v>10</v>
      </c>
      <c r="E9" s="30" t="s">
        <v>11</v>
      </c>
      <c r="F9" s="30" t="s">
        <v>12</v>
      </c>
      <c r="G9" s="32" t="s">
        <v>13</v>
      </c>
      <c r="H9" s="30" t="s">
        <v>14</v>
      </c>
      <c r="I9" s="33" t="s">
        <v>15</v>
      </c>
      <c r="J9" s="34" t="s">
        <v>16</v>
      </c>
      <c r="K9" s="35" t="s">
        <v>17</v>
      </c>
      <c r="L9" s="34" t="s">
        <v>18</v>
      </c>
      <c r="M9" s="34" t="s">
        <v>19</v>
      </c>
      <c r="N9" s="34" t="s">
        <v>20</v>
      </c>
      <c r="O9" s="30" t="s">
        <v>21</v>
      </c>
      <c r="P9" s="31" t="s">
        <v>22</v>
      </c>
      <c r="Q9" s="34" t="s">
        <v>23</v>
      </c>
      <c r="R9" s="30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35</v>
      </c>
      <c r="B10" s="8" t="s">
        <v>814</v>
      </c>
      <c r="C10" s="9">
        <v>0.12847222222222221</v>
      </c>
      <c r="D10" s="8" t="s">
        <v>487</v>
      </c>
      <c r="E10" s="8" t="s">
        <v>86</v>
      </c>
      <c r="F10" s="8" t="s">
        <v>815</v>
      </c>
      <c r="G10" s="281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17" t="s">
        <v>300</v>
      </c>
      <c r="B11" s="17" t="s">
        <v>816</v>
      </c>
      <c r="C11" s="18">
        <v>0.90625</v>
      </c>
      <c r="D11" s="17" t="s">
        <v>78</v>
      </c>
      <c r="E11" s="17" t="s">
        <v>38</v>
      </c>
      <c r="F11" s="17" t="s">
        <v>683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17" t="s">
        <v>302</v>
      </c>
      <c r="B12" s="17" t="s">
        <v>817</v>
      </c>
      <c r="C12" s="18">
        <v>0.63541666666666663</v>
      </c>
      <c r="D12" s="17" t="s">
        <v>304</v>
      </c>
      <c r="E12" s="17" t="s">
        <v>109</v>
      </c>
      <c r="F12" s="17" t="s">
        <v>818</v>
      </c>
      <c r="G12" s="282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188" t="s">
        <v>302</v>
      </c>
      <c r="B13" s="188" t="s">
        <v>817</v>
      </c>
      <c r="C13" s="189">
        <v>0.63541666666666663</v>
      </c>
      <c r="D13" s="188" t="s">
        <v>33</v>
      </c>
      <c r="E13" s="188" t="s">
        <v>111</v>
      </c>
      <c r="F13" s="188" t="s">
        <v>819</v>
      </c>
      <c r="G13" s="283"/>
      <c r="H13" s="38"/>
      <c r="I13" s="39"/>
      <c r="J13" s="39"/>
      <c r="K13" s="39"/>
      <c r="L13" s="39"/>
      <c r="M13" s="39"/>
      <c r="N13" s="39"/>
      <c r="O13" s="40"/>
      <c r="P13" s="39"/>
      <c r="Q13" s="41"/>
      <c r="R13" s="4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4.4" customHeight="1" x14ac:dyDescent="0.3">
      <c r="A14" s="275"/>
      <c r="B14" s="276"/>
      <c r="C14" s="276"/>
      <c r="D14" s="276"/>
      <c r="E14" s="276"/>
      <c r="F14" s="276"/>
      <c r="G14" s="277"/>
      <c r="H14" s="278"/>
      <c r="I14" s="278"/>
      <c r="J14" s="278"/>
      <c r="K14" s="278"/>
      <c r="L14" s="278"/>
      <c r="M14" s="278"/>
      <c r="N14" s="278"/>
      <c r="O14" s="279"/>
      <c r="P14" s="278"/>
      <c r="Q14" s="277"/>
      <c r="R14" s="280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2.05" customHeight="1" x14ac:dyDescent="0.3">
      <c r="A15" s="289" t="s">
        <v>5</v>
      </c>
      <c r="B15" s="290"/>
      <c r="C15" s="290"/>
      <c r="D15" s="290"/>
      <c r="E15" s="290"/>
      <c r="F15" s="290"/>
      <c r="G15" s="5">
        <v>45990</v>
      </c>
      <c r="H15" s="286" t="s">
        <v>6</v>
      </c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4" customHeight="1" x14ac:dyDescent="0.3">
      <c r="A16" s="30" t="s">
        <v>7</v>
      </c>
      <c r="B16" s="30" t="s">
        <v>8</v>
      </c>
      <c r="C16" s="31" t="s">
        <v>9</v>
      </c>
      <c r="D16" s="30" t="s">
        <v>10</v>
      </c>
      <c r="E16" s="30" t="s">
        <v>11</v>
      </c>
      <c r="F16" s="30" t="s">
        <v>12</v>
      </c>
      <c r="G16" s="32" t="s">
        <v>13</v>
      </c>
      <c r="H16" s="30" t="s">
        <v>14</v>
      </c>
      <c r="I16" s="33" t="s">
        <v>15</v>
      </c>
      <c r="J16" s="34" t="s">
        <v>16</v>
      </c>
      <c r="K16" s="35" t="s">
        <v>17</v>
      </c>
      <c r="L16" s="34" t="s">
        <v>18</v>
      </c>
      <c r="M16" s="34" t="s">
        <v>19</v>
      </c>
      <c r="N16" s="34" t="s">
        <v>20</v>
      </c>
      <c r="O16" s="30" t="s">
        <v>21</v>
      </c>
      <c r="P16" s="31" t="s">
        <v>22</v>
      </c>
      <c r="Q16" s="34" t="s">
        <v>23</v>
      </c>
      <c r="R16" s="30" t="s">
        <v>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8" t="s">
        <v>35</v>
      </c>
      <c r="B17" s="8" t="s">
        <v>814</v>
      </c>
      <c r="C17" s="9">
        <v>0.12847222222222221</v>
      </c>
      <c r="D17" s="8" t="s">
        <v>487</v>
      </c>
      <c r="E17" s="8" t="s">
        <v>526</v>
      </c>
      <c r="F17" s="8" t="s">
        <v>815</v>
      </c>
      <c r="G17" s="281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16" t="s">
        <v>76</v>
      </c>
      <c r="B18" s="216" t="s">
        <v>820</v>
      </c>
      <c r="C18" s="217">
        <v>0.98958333333333337</v>
      </c>
      <c r="D18" s="216" t="s">
        <v>78</v>
      </c>
      <c r="E18" s="216" t="s">
        <v>38</v>
      </c>
      <c r="F18" s="216" t="s">
        <v>821</v>
      </c>
      <c r="G18" s="282"/>
      <c r="H18" s="178" t="s">
        <v>812</v>
      </c>
      <c r="I18" s="179">
        <v>0.19639999999999999</v>
      </c>
      <c r="J18" s="180">
        <v>33</v>
      </c>
      <c r="K18" s="181">
        <v>45985</v>
      </c>
      <c r="L18" s="180">
        <v>13</v>
      </c>
      <c r="M18" s="180">
        <v>0</v>
      </c>
      <c r="N18" s="180">
        <v>0</v>
      </c>
      <c r="O18" s="182" t="s">
        <v>280</v>
      </c>
      <c r="P18" s="183">
        <v>0.98958333333333337</v>
      </c>
      <c r="Q18" s="180">
        <v>168</v>
      </c>
      <c r="R18" s="184" t="s">
        <v>822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17" t="s">
        <v>272</v>
      </c>
      <c r="B19" s="17" t="s">
        <v>823</v>
      </c>
      <c r="C19" s="18">
        <v>0.1701388888888889</v>
      </c>
      <c r="D19" s="17" t="s">
        <v>78</v>
      </c>
      <c r="E19" s="17" t="s">
        <v>38</v>
      </c>
      <c r="F19" s="17" t="s">
        <v>683</v>
      </c>
      <c r="G19" s="282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236" t="s">
        <v>300</v>
      </c>
      <c r="B20" s="236" t="s">
        <v>824</v>
      </c>
      <c r="C20" s="237">
        <v>0.90625</v>
      </c>
      <c r="D20" s="236" t="s">
        <v>78</v>
      </c>
      <c r="E20" s="236" t="s">
        <v>38</v>
      </c>
      <c r="F20" s="236" t="s">
        <v>683</v>
      </c>
      <c r="G20" s="283"/>
      <c r="H20" s="38"/>
      <c r="I20" s="39"/>
      <c r="J20" s="39"/>
      <c r="K20" s="39"/>
      <c r="L20" s="39"/>
      <c r="M20" s="39"/>
      <c r="N20" s="39"/>
      <c r="O20" s="40"/>
      <c r="P20" s="39"/>
      <c r="Q20" s="41"/>
      <c r="R20" s="4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4.4" customHeight="1" x14ac:dyDescent="0.3">
      <c r="A21" s="288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80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2.05" customHeight="1" x14ac:dyDescent="0.3">
      <c r="A22" s="289" t="s">
        <v>5</v>
      </c>
      <c r="B22" s="290"/>
      <c r="C22" s="290"/>
      <c r="D22" s="290"/>
      <c r="E22" s="290"/>
      <c r="F22" s="290"/>
      <c r="G22" s="5">
        <v>45991</v>
      </c>
      <c r="H22" s="286" t="s">
        <v>6</v>
      </c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4" customHeight="1" x14ac:dyDescent="0.3">
      <c r="A23" s="30" t="s">
        <v>7</v>
      </c>
      <c r="B23" s="30" t="s">
        <v>8</v>
      </c>
      <c r="C23" s="31" t="s">
        <v>9</v>
      </c>
      <c r="D23" s="30" t="s">
        <v>10</v>
      </c>
      <c r="E23" s="30" t="s">
        <v>11</v>
      </c>
      <c r="F23" s="30" t="s">
        <v>12</v>
      </c>
      <c r="G23" s="32" t="s">
        <v>13</v>
      </c>
      <c r="H23" s="30" t="s">
        <v>14</v>
      </c>
      <c r="I23" s="33" t="s">
        <v>15</v>
      </c>
      <c r="J23" s="34" t="s">
        <v>16</v>
      </c>
      <c r="K23" s="35" t="s">
        <v>17</v>
      </c>
      <c r="L23" s="34" t="s">
        <v>18</v>
      </c>
      <c r="M23" s="34" t="s">
        <v>19</v>
      </c>
      <c r="N23" s="34" t="s">
        <v>20</v>
      </c>
      <c r="O23" s="30" t="s">
        <v>21</v>
      </c>
      <c r="P23" s="31" t="s">
        <v>22</v>
      </c>
      <c r="Q23" s="34" t="s">
        <v>23</v>
      </c>
      <c r="R23" s="30" t="s">
        <v>24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49.95" customHeight="1" x14ac:dyDescent="0.3">
      <c r="A24" s="8" t="s">
        <v>302</v>
      </c>
      <c r="B24" s="8" t="s">
        <v>817</v>
      </c>
      <c r="C24" s="9">
        <v>0.67708333333333337</v>
      </c>
      <c r="D24" s="8" t="s">
        <v>304</v>
      </c>
      <c r="E24" s="8" t="s">
        <v>109</v>
      </c>
      <c r="F24" s="8" t="s">
        <v>825</v>
      </c>
      <c r="G24" s="281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49.95" customHeight="1" x14ac:dyDescent="0.3">
      <c r="A25" s="15" t="s">
        <v>302</v>
      </c>
      <c r="B25" s="15" t="s">
        <v>817</v>
      </c>
      <c r="C25" s="16">
        <v>0.67708333333333337</v>
      </c>
      <c r="D25" s="15" t="s">
        <v>33</v>
      </c>
      <c r="E25" s="15" t="s">
        <v>111</v>
      </c>
      <c r="F25" s="15" t="s">
        <v>826</v>
      </c>
      <c r="G25" s="282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49.95" customHeight="1" x14ac:dyDescent="0.3">
      <c r="A26" s="17" t="s">
        <v>272</v>
      </c>
      <c r="B26" s="17" t="s">
        <v>823</v>
      </c>
      <c r="C26" s="18">
        <v>0.86458333333333337</v>
      </c>
      <c r="D26" s="17" t="s">
        <v>78</v>
      </c>
      <c r="E26" s="17" t="s">
        <v>38</v>
      </c>
      <c r="F26" s="17" t="s">
        <v>683</v>
      </c>
      <c r="G26" s="282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49.95" customHeight="1" x14ac:dyDescent="0.3">
      <c r="A27" s="236" t="s">
        <v>300</v>
      </c>
      <c r="B27" s="236" t="s">
        <v>827</v>
      </c>
      <c r="C27" s="237">
        <v>0.90625</v>
      </c>
      <c r="D27" s="236" t="s">
        <v>78</v>
      </c>
      <c r="E27" s="236" t="s">
        <v>38</v>
      </c>
      <c r="F27" s="236" t="s">
        <v>683</v>
      </c>
      <c r="G27" s="283"/>
      <c r="H27" s="38"/>
      <c r="I27" s="39"/>
      <c r="J27" s="39"/>
      <c r="K27" s="39"/>
      <c r="L27" s="39"/>
      <c r="M27" s="39"/>
      <c r="N27" s="39"/>
      <c r="O27" s="40"/>
      <c r="P27" s="39"/>
      <c r="Q27" s="41"/>
      <c r="R27" s="4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4.4" customHeight="1" x14ac:dyDescent="0.3">
      <c r="A28" s="288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80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</sheetData>
  <mergeCells count="25">
    <mergeCell ref="H8:R8"/>
    <mergeCell ref="O1:Q1"/>
    <mergeCell ref="A7:R7"/>
    <mergeCell ref="G17:G20"/>
    <mergeCell ref="H4:R4"/>
    <mergeCell ref="A2:F2"/>
    <mergeCell ref="A3:R3"/>
    <mergeCell ref="G10:G13"/>
    <mergeCell ref="J1:M1"/>
    <mergeCell ref="G24:G27"/>
    <mergeCell ref="A28:R28"/>
    <mergeCell ref="K2:R2"/>
    <mergeCell ref="D1:F1"/>
    <mergeCell ref="A15:F15"/>
    <mergeCell ref="G6"/>
    <mergeCell ref="H22:R22"/>
    <mergeCell ref="A1:C1"/>
    <mergeCell ref="G1:H1"/>
    <mergeCell ref="H15:R15"/>
    <mergeCell ref="A21:R21"/>
    <mergeCell ref="A8:F8"/>
    <mergeCell ref="A14:R14"/>
    <mergeCell ref="A22:F22"/>
    <mergeCell ref="G2:J2"/>
    <mergeCell ref="A4:F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812</v>
      </c>
      <c r="D2" s="66">
        <v>0.86458333333333337</v>
      </c>
      <c r="E2" s="65" t="s">
        <v>811</v>
      </c>
      <c r="F2" s="65" t="s">
        <v>153</v>
      </c>
      <c r="G2" s="67">
        <v>0.4345</v>
      </c>
      <c r="H2" s="68">
        <v>168</v>
      </c>
      <c r="I2" s="68">
        <v>73</v>
      </c>
      <c r="J2" s="68">
        <v>0</v>
      </c>
      <c r="K2" s="64">
        <v>45987</v>
      </c>
      <c r="L2" s="68">
        <v>1</v>
      </c>
      <c r="M2" s="68">
        <v>10</v>
      </c>
      <c r="N2" s="68">
        <v>27</v>
      </c>
      <c r="O2" s="65" t="s">
        <v>280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8" t="s">
        <v>397</v>
      </c>
      <c r="AC2" s="68" t="s">
        <v>359</v>
      </c>
      <c r="AD2" s="68" t="s">
        <v>828</v>
      </c>
      <c r="AE2" s="68" t="s">
        <v>829</v>
      </c>
      <c r="AF2" s="69"/>
      <c r="AG2" s="69"/>
      <c r="AH2" s="69"/>
      <c r="AI2" s="69"/>
    </row>
    <row r="3" spans="1:35" ht="18" x14ac:dyDescent="0.3">
      <c r="A3" s="70" t="s">
        <v>162</v>
      </c>
      <c r="B3" s="71">
        <v>45990</v>
      </c>
      <c r="C3" s="72" t="s">
        <v>812</v>
      </c>
      <c r="D3" s="73">
        <v>0.98958333333333337</v>
      </c>
      <c r="E3" s="72" t="s">
        <v>811</v>
      </c>
      <c r="F3" s="72" t="s">
        <v>153</v>
      </c>
      <c r="G3" s="74">
        <v>0.19639999999999999</v>
      </c>
      <c r="H3" s="75">
        <v>168</v>
      </c>
      <c r="I3" s="75">
        <v>33</v>
      </c>
      <c r="J3" s="75">
        <v>0</v>
      </c>
      <c r="K3" s="71">
        <v>45985</v>
      </c>
      <c r="L3" s="75">
        <v>0</v>
      </c>
      <c r="M3" s="75">
        <v>0</v>
      </c>
      <c r="N3" s="75">
        <v>13</v>
      </c>
      <c r="O3" s="72" t="s">
        <v>280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5" t="s">
        <v>809</v>
      </c>
      <c r="AE3" s="75" t="s">
        <v>794</v>
      </c>
      <c r="AF3" s="76"/>
      <c r="AG3" s="76"/>
      <c r="AH3" s="76"/>
      <c r="AI3" s="76"/>
    </row>
    <row r="4" spans="1:35" ht="18" x14ac:dyDescent="0.3">
      <c r="A4" s="77" t="s">
        <v>178</v>
      </c>
      <c r="B4" s="78"/>
      <c r="C4" s="79">
        <f>COUNTA(C2:C3)</f>
        <v>2</v>
      </c>
      <c r="D4" s="78"/>
      <c r="E4" s="78"/>
      <c r="F4" s="78"/>
      <c r="G4" s="80">
        <f>AVERAGE(G2:G3)</f>
        <v>0.31545000000000001</v>
      </c>
      <c r="H4" s="81">
        <f>SUM(H2:H3)</f>
        <v>336</v>
      </c>
      <c r="I4" s="81">
        <f>SUM(I2:I3)</f>
        <v>106</v>
      </c>
      <c r="J4" s="81">
        <f>SUM(J2:J3)</f>
        <v>0</v>
      </c>
      <c r="K4" s="78"/>
      <c r="L4" s="81">
        <f>SUM(L2:L3)</f>
        <v>1</v>
      </c>
      <c r="M4" s="81">
        <f>SUM(M2:M3)</f>
        <v>10</v>
      </c>
      <c r="N4" s="81">
        <f>SUM(N2:N3)</f>
        <v>40</v>
      </c>
      <c r="O4" s="78"/>
      <c r="P4" s="81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1">
        <f t="shared" si="0"/>
        <v>0</v>
      </c>
      <c r="R4" s="81">
        <f t="shared" si="0"/>
        <v>0</v>
      </c>
      <c r="S4" s="81">
        <f t="shared" si="0"/>
        <v>0</v>
      </c>
      <c r="T4" s="81">
        <f t="shared" si="0"/>
        <v>0</v>
      </c>
      <c r="U4" s="81">
        <f t="shared" si="0"/>
        <v>0</v>
      </c>
      <c r="V4" s="81">
        <f t="shared" si="0"/>
        <v>0</v>
      </c>
      <c r="W4" s="81">
        <f t="shared" si="0"/>
        <v>0</v>
      </c>
      <c r="X4" s="81">
        <f t="shared" si="0"/>
        <v>0</v>
      </c>
      <c r="Y4" s="81">
        <f t="shared" si="0"/>
        <v>0</v>
      </c>
      <c r="Z4" s="81">
        <f t="shared" si="0"/>
        <v>0</v>
      </c>
      <c r="AA4" s="81">
        <f t="shared" si="0"/>
        <v>0</v>
      </c>
      <c r="AB4" s="81">
        <f t="shared" si="0"/>
        <v>0</v>
      </c>
      <c r="AC4" s="81">
        <f t="shared" si="0"/>
        <v>0</v>
      </c>
      <c r="AD4" s="81">
        <f t="shared" si="0"/>
        <v>0</v>
      </c>
      <c r="AE4" s="81">
        <f t="shared" si="0"/>
        <v>0</v>
      </c>
      <c r="AF4" s="81">
        <f t="shared" si="0"/>
        <v>0</v>
      </c>
      <c r="AG4" s="81">
        <f t="shared" si="0"/>
        <v>0</v>
      </c>
      <c r="AH4" s="81">
        <f t="shared" si="0"/>
        <v>0</v>
      </c>
      <c r="AI4" s="81">
        <f t="shared" si="0"/>
        <v>0</v>
      </c>
    </row>
  </sheetData>
  <autoFilter ref="A1:AI3" xr:uid="{00000000-0009-0000-0000-00002C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4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42">
        <v>45988</v>
      </c>
      <c r="B2" s="104" t="s">
        <v>76</v>
      </c>
      <c r="C2" s="105" t="s">
        <v>812</v>
      </c>
      <c r="D2" s="104" t="s">
        <v>811</v>
      </c>
      <c r="E2" s="106">
        <v>1.864583333333333</v>
      </c>
      <c r="F2" s="104" t="s">
        <v>105</v>
      </c>
      <c r="G2" s="104"/>
      <c r="H2" s="243" t="s">
        <v>510</v>
      </c>
    </row>
    <row r="3" spans="1:8" ht="18" x14ac:dyDescent="0.3">
      <c r="A3" s="83">
        <v>45989</v>
      </c>
      <c r="B3" s="84" t="s">
        <v>35</v>
      </c>
      <c r="C3" s="85" t="s">
        <v>814</v>
      </c>
      <c r="D3" s="84" t="s">
        <v>811</v>
      </c>
      <c r="E3" s="86">
        <v>1.1284722222222221</v>
      </c>
      <c r="F3" s="84" t="s">
        <v>487</v>
      </c>
      <c r="G3" s="87">
        <v>7</v>
      </c>
      <c r="H3" s="88">
        <v>344</v>
      </c>
    </row>
    <row r="4" spans="1:8" ht="18" x14ac:dyDescent="0.3">
      <c r="A4" s="95">
        <v>45989</v>
      </c>
      <c r="B4" s="84" t="s">
        <v>300</v>
      </c>
      <c r="C4" s="85" t="s">
        <v>816</v>
      </c>
      <c r="D4" s="84" t="s">
        <v>811</v>
      </c>
      <c r="E4" s="86">
        <v>1.90625</v>
      </c>
      <c r="F4" s="84" t="s">
        <v>78</v>
      </c>
      <c r="G4" s="87">
        <v>9</v>
      </c>
      <c r="H4" s="96">
        <v>355</v>
      </c>
    </row>
    <row r="5" spans="1:8" ht="18" x14ac:dyDescent="0.3">
      <c r="A5" s="95">
        <v>45989</v>
      </c>
      <c r="B5" s="84" t="s">
        <v>302</v>
      </c>
      <c r="C5" s="85" t="s">
        <v>817</v>
      </c>
      <c r="D5" s="84" t="s">
        <v>811</v>
      </c>
      <c r="E5" s="86">
        <v>1.635416666666667</v>
      </c>
      <c r="F5" s="84" t="s">
        <v>304</v>
      </c>
      <c r="G5" s="87">
        <v>9</v>
      </c>
      <c r="H5" s="96">
        <v>392</v>
      </c>
    </row>
    <row r="6" spans="1:8" ht="18" x14ac:dyDescent="0.3">
      <c r="A6" s="210">
        <v>45989</v>
      </c>
      <c r="B6" s="211" t="s">
        <v>302</v>
      </c>
      <c r="C6" s="212" t="s">
        <v>817</v>
      </c>
      <c r="D6" s="211" t="s">
        <v>811</v>
      </c>
      <c r="E6" s="213">
        <v>1.635416666666667</v>
      </c>
      <c r="F6" s="211" t="s">
        <v>33</v>
      </c>
      <c r="G6" s="214">
        <v>9</v>
      </c>
      <c r="H6" s="234">
        <v>515</v>
      </c>
    </row>
    <row r="7" spans="1:8" ht="18" x14ac:dyDescent="0.3">
      <c r="A7" s="83">
        <v>45990</v>
      </c>
      <c r="B7" s="84" t="s">
        <v>35</v>
      </c>
      <c r="C7" s="85" t="s">
        <v>814</v>
      </c>
      <c r="D7" s="84" t="s">
        <v>811</v>
      </c>
      <c r="E7" s="86">
        <v>1.1284722222222221</v>
      </c>
      <c r="F7" s="84" t="s">
        <v>487</v>
      </c>
      <c r="G7" s="87">
        <v>2</v>
      </c>
      <c r="H7" s="88">
        <v>344</v>
      </c>
    </row>
    <row r="8" spans="1:8" ht="18" x14ac:dyDescent="0.3">
      <c r="A8" s="113">
        <v>45990</v>
      </c>
      <c r="B8" s="114" t="s">
        <v>76</v>
      </c>
      <c r="C8" s="115" t="s">
        <v>820</v>
      </c>
      <c r="D8" s="114" t="s">
        <v>811</v>
      </c>
      <c r="E8" s="116">
        <v>1.989583333333333</v>
      </c>
      <c r="F8" s="114" t="s">
        <v>78</v>
      </c>
      <c r="G8" s="117">
        <v>9</v>
      </c>
      <c r="H8" s="203">
        <v>353</v>
      </c>
    </row>
    <row r="9" spans="1:8" ht="18" x14ac:dyDescent="0.3">
      <c r="A9" s="95">
        <v>45990</v>
      </c>
      <c r="B9" s="84" t="s">
        <v>272</v>
      </c>
      <c r="C9" s="85" t="s">
        <v>823</v>
      </c>
      <c r="D9" s="84" t="s">
        <v>811</v>
      </c>
      <c r="E9" s="86">
        <v>1.1701388888888891</v>
      </c>
      <c r="F9" s="84" t="s">
        <v>78</v>
      </c>
      <c r="G9" s="87">
        <v>9</v>
      </c>
      <c r="H9" s="96">
        <v>355</v>
      </c>
    </row>
    <row r="10" spans="1:8" ht="18" x14ac:dyDescent="0.3">
      <c r="A10" s="155">
        <v>45990</v>
      </c>
      <c r="B10" s="156" t="s">
        <v>300</v>
      </c>
      <c r="C10" s="157" t="s">
        <v>824</v>
      </c>
      <c r="D10" s="156" t="s">
        <v>811</v>
      </c>
      <c r="E10" s="158">
        <v>1.90625</v>
      </c>
      <c r="F10" s="156" t="s">
        <v>78</v>
      </c>
      <c r="G10" s="159">
        <v>9</v>
      </c>
      <c r="H10" s="244">
        <v>355</v>
      </c>
    </row>
    <row r="11" spans="1:8" ht="18" x14ac:dyDescent="0.3">
      <c r="A11" s="83">
        <v>45991</v>
      </c>
      <c r="B11" s="84" t="s">
        <v>302</v>
      </c>
      <c r="C11" s="85" t="s">
        <v>817</v>
      </c>
      <c r="D11" s="84" t="s">
        <v>811</v>
      </c>
      <c r="E11" s="86">
        <v>1.677083333333333</v>
      </c>
      <c r="F11" s="84" t="s">
        <v>304</v>
      </c>
      <c r="G11" s="87">
        <v>9</v>
      </c>
      <c r="H11" s="88">
        <v>325</v>
      </c>
    </row>
    <row r="12" spans="1:8" ht="18" x14ac:dyDescent="0.3">
      <c r="A12" s="89">
        <v>45991</v>
      </c>
      <c r="B12" s="90" t="s">
        <v>302</v>
      </c>
      <c r="C12" s="91" t="s">
        <v>817</v>
      </c>
      <c r="D12" s="90" t="s">
        <v>811</v>
      </c>
      <c r="E12" s="92">
        <v>1.677083333333333</v>
      </c>
      <c r="F12" s="90" t="s">
        <v>33</v>
      </c>
      <c r="G12" s="93">
        <v>9</v>
      </c>
      <c r="H12" s="94">
        <v>448</v>
      </c>
    </row>
    <row r="13" spans="1:8" ht="18" x14ac:dyDescent="0.3">
      <c r="A13" s="95">
        <v>45991</v>
      </c>
      <c r="B13" s="84" t="s">
        <v>272</v>
      </c>
      <c r="C13" s="85" t="s">
        <v>823</v>
      </c>
      <c r="D13" s="84" t="s">
        <v>811</v>
      </c>
      <c r="E13" s="86">
        <v>1.864583333333333</v>
      </c>
      <c r="F13" s="84" t="s">
        <v>78</v>
      </c>
      <c r="G13" s="87">
        <v>9</v>
      </c>
      <c r="H13" s="96">
        <v>355</v>
      </c>
    </row>
    <row r="14" spans="1:8" ht="18" x14ac:dyDescent="0.3">
      <c r="A14" s="155">
        <v>45991</v>
      </c>
      <c r="B14" s="156" t="s">
        <v>300</v>
      </c>
      <c r="C14" s="157" t="s">
        <v>827</v>
      </c>
      <c r="D14" s="156" t="s">
        <v>811</v>
      </c>
      <c r="E14" s="158">
        <v>1.90625</v>
      </c>
      <c r="F14" s="156" t="s">
        <v>78</v>
      </c>
      <c r="G14" s="159">
        <v>9</v>
      </c>
      <c r="H14" s="244">
        <v>355</v>
      </c>
    </row>
  </sheetData>
  <dataValidations count="2">
    <dataValidation type="custom" allowBlank="1" showInputMessage="1" promptTitle="LOAD FACTOR ANALYSIS" prompt="SM326_x000d__x000a_LF 43.5%_x000d__x000a_SOLD 73_x000d__x000a_LST-SOLD 26NOV_x000d__x000a_WEEKLY 27_x000d__x000a_TO-DAY 1_x000d__x000a_Y-DAY 10_x000d__x000a_LOWEST AVAIL I9_x000d__x000a_CAPACITY 168_x000d__x000a_CLASSES X1 &amp; U3 &amp; O41 &amp; +1 more" sqref="A2 B2 C2 D2 E2 F2 G2 H2" xr:uid="{00000000-0002-0000-2D00-000000000000}">
      <formula1>TRUE</formula1>
    </dataValidation>
    <dataValidation type="custom" allowBlank="1" showInputMessage="1" promptTitle="LOAD FACTOR ANALYSIS" prompt="SM-326_x000d__x000a_LF 19.6%_x000d__x000a_SOLD 33_x000d__x000a_LST-SOLD 24NOV_x000d__x000a_WEEKLY 13_x000d__x000a_TO-DAY NIL_x000d__x000a_Y-DAY NIL_x000d__x000a_LOWEST AVAIL I9_x000d__x000a_CAPACITY 168_x000d__x000a_CLASSES O18 &amp; I15" sqref="A8 B8 C8 D8 E8 F8 G8 H8" xr:uid="{00000000-0002-0000-2D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N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66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830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45987.359177572092</v>
      </c>
      <c r="H2" s="294"/>
      <c r="I2" s="294"/>
      <c r="J2" s="294"/>
      <c r="K2" s="301">
        <v>45987.359177572587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45989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28" t="s">
        <v>76</v>
      </c>
      <c r="B6" s="128" t="s">
        <v>831</v>
      </c>
      <c r="C6" s="129">
        <v>0.51736111111111105</v>
      </c>
      <c r="D6" s="128" t="s">
        <v>78</v>
      </c>
      <c r="E6" s="128" t="s">
        <v>121</v>
      </c>
      <c r="F6" s="128" t="s">
        <v>832</v>
      </c>
      <c r="G6" s="281"/>
      <c r="H6" s="130" t="s">
        <v>833</v>
      </c>
      <c r="I6" s="235">
        <v>0.53569999999999995</v>
      </c>
      <c r="J6" s="132">
        <v>90</v>
      </c>
      <c r="K6" s="133">
        <v>45986</v>
      </c>
      <c r="L6" s="132">
        <v>59</v>
      </c>
      <c r="M6" s="132">
        <v>0</v>
      </c>
      <c r="N6" s="132">
        <v>11</v>
      </c>
      <c r="O6" s="134" t="s">
        <v>587</v>
      </c>
      <c r="P6" s="135">
        <v>0.51736111111111105</v>
      </c>
      <c r="Q6" s="132">
        <v>168</v>
      </c>
      <c r="R6" s="136" t="s">
        <v>834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835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35</v>
      </c>
      <c r="B8" s="19" t="s">
        <v>814</v>
      </c>
      <c r="C8" s="20" t="s">
        <v>497</v>
      </c>
      <c r="D8" s="19" t="s">
        <v>487</v>
      </c>
      <c r="E8" s="19" t="s">
        <v>205</v>
      </c>
      <c r="F8" s="19" t="s">
        <v>815</v>
      </c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19" t="s">
        <v>300</v>
      </c>
      <c r="B9" s="19" t="s">
        <v>816</v>
      </c>
      <c r="C9" s="20" t="s">
        <v>836</v>
      </c>
      <c r="D9" s="19" t="s">
        <v>78</v>
      </c>
      <c r="E9" s="19" t="s">
        <v>195</v>
      </c>
      <c r="F9" s="19" t="s">
        <v>683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19" t="s">
        <v>302</v>
      </c>
      <c r="B10" s="19" t="s">
        <v>817</v>
      </c>
      <c r="C10" s="20" t="s">
        <v>837</v>
      </c>
      <c r="D10" s="19" t="s">
        <v>304</v>
      </c>
      <c r="E10" s="19" t="s">
        <v>209</v>
      </c>
      <c r="F10" s="19" t="s">
        <v>818</v>
      </c>
      <c r="G10" s="282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36" t="s">
        <v>302</v>
      </c>
      <c r="B11" s="36" t="s">
        <v>817</v>
      </c>
      <c r="C11" s="37" t="s">
        <v>837</v>
      </c>
      <c r="D11" s="36" t="s">
        <v>33</v>
      </c>
      <c r="E11" s="36" t="s">
        <v>209</v>
      </c>
      <c r="F11" s="36" t="s">
        <v>819</v>
      </c>
      <c r="G11" s="283"/>
      <c r="H11" s="140"/>
      <c r="I11" s="140"/>
      <c r="J11" s="140"/>
      <c r="K11" s="140"/>
      <c r="L11" s="140"/>
      <c r="M11" s="140"/>
      <c r="N11" s="140"/>
      <c r="O11" s="141"/>
      <c r="P11" s="140"/>
      <c r="Q11" s="142"/>
      <c r="R11" s="14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4.4" customHeight="1" x14ac:dyDescent="0.3">
      <c r="A12" s="288"/>
      <c r="B12" s="277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80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</sheetData>
  <mergeCells count="14">
    <mergeCell ref="A12:R12"/>
    <mergeCell ref="G6:G11"/>
    <mergeCell ref="A4:F4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417</v>
      </c>
      <c r="B2" s="64">
        <v>45989</v>
      </c>
      <c r="C2" s="65" t="s">
        <v>833</v>
      </c>
      <c r="D2" s="66">
        <v>0.51736111111111105</v>
      </c>
      <c r="E2" s="65" t="s">
        <v>830</v>
      </c>
      <c r="F2" s="65" t="s">
        <v>153</v>
      </c>
      <c r="G2" s="67">
        <v>0.53569999999999995</v>
      </c>
      <c r="H2" s="68">
        <v>168</v>
      </c>
      <c r="I2" s="68">
        <v>90</v>
      </c>
      <c r="J2" s="68">
        <v>0</v>
      </c>
      <c r="K2" s="64">
        <v>45986</v>
      </c>
      <c r="L2" s="68">
        <v>0</v>
      </c>
      <c r="M2" s="68">
        <v>11</v>
      </c>
      <c r="N2" s="68">
        <v>59</v>
      </c>
      <c r="O2" s="65" t="s">
        <v>587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8" t="s">
        <v>432</v>
      </c>
      <c r="AC2" s="68" t="s">
        <v>448</v>
      </c>
      <c r="AD2" s="68" t="s">
        <v>838</v>
      </c>
      <c r="AE2" s="68" t="s">
        <v>441</v>
      </c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0.53569999999999995</v>
      </c>
      <c r="H3" s="81">
        <f>SUM(H2:H2)</f>
        <v>168</v>
      </c>
      <c r="I3" s="81">
        <f>SUM(I2:I2)</f>
        <v>90</v>
      </c>
      <c r="J3" s="81">
        <f>SUM(J2:J2)</f>
        <v>0</v>
      </c>
      <c r="K3" s="78"/>
      <c r="L3" s="81">
        <f>SUM(L2:L2)</f>
        <v>0</v>
      </c>
      <c r="M3" s="81">
        <f>SUM(M2:M2)</f>
        <v>11</v>
      </c>
      <c r="N3" s="81">
        <f>SUM(N2:N2)</f>
        <v>59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0</v>
      </c>
      <c r="Z3" s="81">
        <f t="shared" si="0"/>
        <v>0</v>
      </c>
      <c r="AA3" s="81">
        <f t="shared" si="0"/>
        <v>0</v>
      </c>
      <c r="AB3" s="81">
        <f t="shared" si="0"/>
        <v>2</v>
      </c>
      <c r="AC3" s="81">
        <f t="shared" si="0"/>
        <v>10</v>
      </c>
      <c r="AD3" s="81">
        <f t="shared" si="0"/>
        <v>68</v>
      </c>
      <c r="AE3" s="81">
        <f t="shared" si="0"/>
        <v>10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2F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7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77734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160">
        <v>45989</v>
      </c>
      <c r="B2" s="114" t="s">
        <v>76</v>
      </c>
      <c r="C2" s="115" t="s">
        <v>831</v>
      </c>
      <c r="D2" s="114" t="s">
        <v>830</v>
      </c>
      <c r="E2" s="116">
        <v>1.5173611111111109</v>
      </c>
      <c r="F2" s="114" t="s">
        <v>78</v>
      </c>
      <c r="G2" s="117">
        <v>8</v>
      </c>
      <c r="H2" s="163">
        <v>536</v>
      </c>
    </row>
    <row r="3" spans="1:8" ht="15.6" x14ac:dyDescent="0.3">
      <c r="A3" s="152"/>
      <c r="B3" s="152"/>
      <c r="C3" s="152"/>
      <c r="D3" s="152"/>
      <c r="E3" s="153" t="s">
        <v>839</v>
      </c>
      <c r="F3" s="152"/>
      <c r="G3" s="152"/>
      <c r="H3" s="3"/>
    </row>
    <row r="4" spans="1:8" ht="18" x14ac:dyDescent="0.3">
      <c r="A4" s="95">
        <v>45989</v>
      </c>
      <c r="B4" s="84" t="s">
        <v>35</v>
      </c>
      <c r="C4" s="85" t="s">
        <v>814</v>
      </c>
      <c r="D4" s="84" t="s">
        <v>811</v>
      </c>
      <c r="E4" s="86">
        <v>1.1284722222222221</v>
      </c>
      <c r="F4" s="84" t="s">
        <v>487</v>
      </c>
      <c r="G4" s="87">
        <v>7</v>
      </c>
      <c r="H4" s="96">
        <v>344</v>
      </c>
    </row>
    <row r="5" spans="1:8" ht="18" x14ac:dyDescent="0.3">
      <c r="A5" s="95">
        <v>45989</v>
      </c>
      <c r="B5" s="84" t="s">
        <v>300</v>
      </c>
      <c r="C5" s="85" t="s">
        <v>816</v>
      </c>
      <c r="D5" s="84" t="s">
        <v>811</v>
      </c>
      <c r="E5" s="86">
        <v>1.90625</v>
      </c>
      <c r="F5" s="84" t="s">
        <v>78</v>
      </c>
      <c r="G5" s="87">
        <v>9</v>
      </c>
      <c r="H5" s="96">
        <v>355</v>
      </c>
    </row>
    <row r="6" spans="1:8" ht="18" x14ac:dyDescent="0.3">
      <c r="A6" s="95">
        <v>45989</v>
      </c>
      <c r="B6" s="84" t="s">
        <v>302</v>
      </c>
      <c r="C6" s="85" t="s">
        <v>817</v>
      </c>
      <c r="D6" s="84" t="s">
        <v>811</v>
      </c>
      <c r="E6" s="86">
        <v>1.635416666666667</v>
      </c>
      <c r="F6" s="84" t="s">
        <v>304</v>
      </c>
      <c r="G6" s="87">
        <v>9</v>
      </c>
      <c r="H6" s="96">
        <v>392</v>
      </c>
    </row>
    <row r="7" spans="1:8" ht="18" x14ac:dyDescent="0.3">
      <c r="A7" s="210">
        <v>45989</v>
      </c>
      <c r="B7" s="211" t="s">
        <v>302</v>
      </c>
      <c r="C7" s="212" t="s">
        <v>817</v>
      </c>
      <c r="D7" s="211" t="s">
        <v>811</v>
      </c>
      <c r="E7" s="213">
        <v>1.635416666666667</v>
      </c>
      <c r="F7" s="211" t="s">
        <v>33</v>
      </c>
      <c r="G7" s="214">
        <v>9</v>
      </c>
      <c r="H7" s="234">
        <v>515</v>
      </c>
    </row>
    <row r="8" spans="1:8" ht="15.6" x14ac:dyDescent="0.3">
      <c r="A8" s="152"/>
      <c r="B8" s="152"/>
      <c r="C8" s="152"/>
      <c r="D8" s="152"/>
      <c r="E8" s="153" t="s">
        <v>839</v>
      </c>
      <c r="F8" s="152"/>
      <c r="G8" s="152"/>
      <c r="H8" s="3"/>
    </row>
    <row r="9" spans="1:8" ht="18" x14ac:dyDescent="0.3">
      <c r="A9" s="83">
        <v>45990</v>
      </c>
      <c r="B9" s="84" t="s">
        <v>35</v>
      </c>
      <c r="C9" s="85" t="s">
        <v>814</v>
      </c>
      <c r="D9" s="84" t="s">
        <v>811</v>
      </c>
      <c r="E9" s="86">
        <v>1.1284722222222221</v>
      </c>
      <c r="F9" s="84" t="s">
        <v>487</v>
      </c>
      <c r="G9" s="87">
        <v>2</v>
      </c>
      <c r="H9" s="88">
        <v>344</v>
      </c>
    </row>
    <row r="10" spans="1:8" ht="18" x14ac:dyDescent="0.3">
      <c r="A10" s="113">
        <v>45990</v>
      </c>
      <c r="B10" s="114" t="s">
        <v>76</v>
      </c>
      <c r="C10" s="115" t="s">
        <v>820</v>
      </c>
      <c r="D10" s="114" t="s">
        <v>811</v>
      </c>
      <c r="E10" s="116">
        <v>1.989583333333333</v>
      </c>
      <c r="F10" s="114" t="s">
        <v>78</v>
      </c>
      <c r="G10" s="117">
        <v>9</v>
      </c>
      <c r="H10" s="203">
        <v>353</v>
      </c>
    </row>
    <row r="11" spans="1:8" ht="18" x14ac:dyDescent="0.3">
      <c r="A11" s="95">
        <v>45990</v>
      </c>
      <c r="B11" s="84" t="s">
        <v>272</v>
      </c>
      <c r="C11" s="85" t="s">
        <v>823</v>
      </c>
      <c r="D11" s="84" t="s">
        <v>811</v>
      </c>
      <c r="E11" s="86">
        <v>1.1701388888888891</v>
      </c>
      <c r="F11" s="84" t="s">
        <v>78</v>
      </c>
      <c r="G11" s="87">
        <v>9</v>
      </c>
      <c r="H11" s="96">
        <v>355</v>
      </c>
    </row>
    <row r="12" spans="1:8" ht="18" x14ac:dyDescent="0.3">
      <c r="A12" s="155">
        <v>45990</v>
      </c>
      <c r="B12" s="156" t="s">
        <v>300</v>
      </c>
      <c r="C12" s="157" t="s">
        <v>824</v>
      </c>
      <c r="D12" s="156" t="s">
        <v>811</v>
      </c>
      <c r="E12" s="158">
        <v>1.90625</v>
      </c>
      <c r="F12" s="156" t="s">
        <v>78</v>
      </c>
      <c r="G12" s="159">
        <v>9</v>
      </c>
      <c r="H12" s="244">
        <v>355</v>
      </c>
    </row>
    <row r="13" spans="1:8" ht="15.6" x14ac:dyDescent="0.3">
      <c r="A13" s="152"/>
      <c r="B13" s="152"/>
      <c r="C13" s="152"/>
      <c r="D13" s="152"/>
      <c r="E13" s="153" t="s">
        <v>839</v>
      </c>
      <c r="F13" s="152"/>
      <c r="G13" s="152"/>
      <c r="H13" s="3"/>
    </row>
    <row r="14" spans="1:8" ht="18" x14ac:dyDescent="0.3">
      <c r="A14" s="83">
        <v>45991</v>
      </c>
      <c r="B14" s="84" t="s">
        <v>302</v>
      </c>
      <c r="C14" s="85" t="s">
        <v>817</v>
      </c>
      <c r="D14" s="84" t="s">
        <v>811</v>
      </c>
      <c r="E14" s="86">
        <v>1.677083333333333</v>
      </c>
      <c r="F14" s="84" t="s">
        <v>304</v>
      </c>
      <c r="G14" s="87">
        <v>9</v>
      </c>
      <c r="H14" s="88">
        <v>325</v>
      </c>
    </row>
    <row r="15" spans="1:8" ht="18" x14ac:dyDescent="0.3">
      <c r="A15" s="89">
        <v>45991</v>
      </c>
      <c r="B15" s="90" t="s">
        <v>302</v>
      </c>
      <c r="C15" s="91" t="s">
        <v>817</v>
      </c>
      <c r="D15" s="90" t="s">
        <v>811</v>
      </c>
      <c r="E15" s="92">
        <v>1.677083333333333</v>
      </c>
      <c r="F15" s="90" t="s">
        <v>33</v>
      </c>
      <c r="G15" s="93">
        <v>9</v>
      </c>
      <c r="H15" s="94">
        <v>448</v>
      </c>
    </row>
    <row r="16" spans="1:8" ht="18" x14ac:dyDescent="0.3">
      <c r="A16" s="95">
        <v>45991</v>
      </c>
      <c r="B16" s="84" t="s">
        <v>272</v>
      </c>
      <c r="C16" s="85" t="s">
        <v>823</v>
      </c>
      <c r="D16" s="84" t="s">
        <v>811</v>
      </c>
      <c r="E16" s="86">
        <v>1.864583333333333</v>
      </c>
      <c r="F16" s="84" t="s">
        <v>78</v>
      </c>
      <c r="G16" s="87">
        <v>9</v>
      </c>
      <c r="H16" s="96">
        <v>355</v>
      </c>
    </row>
    <row r="17" spans="1:8" ht="18" x14ac:dyDescent="0.3">
      <c r="A17" s="155">
        <v>45991</v>
      </c>
      <c r="B17" s="156" t="s">
        <v>300</v>
      </c>
      <c r="C17" s="157" t="s">
        <v>827</v>
      </c>
      <c r="D17" s="156" t="s">
        <v>811</v>
      </c>
      <c r="E17" s="158">
        <v>1.90625</v>
      </c>
      <c r="F17" s="156" t="s">
        <v>78</v>
      </c>
      <c r="G17" s="159">
        <v>9</v>
      </c>
      <c r="H17" s="244">
        <v>355</v>
      </c>
    </row>
  </sheetData>
  <dataValidations count="2">
    <dataValidation type="custom" allowBlank="1" showInputMessage="1" promptTitle="LOAD FACTOR ANALYSIS" prompt="SM-328_x000d__x000a_LF 53.6%_x000d__x000a_SOLD 90_x000d__x000a_LST-SOLD 25NOV_x000d__x000a_WEEKLY 59_x000d__x000a_TO-DAY NIL_x000d__x000a_Y-DAY 11_x000d__x000a_LOWEST AVAIL X8_x000d__x000a_CAPACITY 168_x000d__x000a_CLASSES X2 &amp; U10 &amp; O68 &amp; +1 more" sqref="A2 B2 C2 D2 E2 F2 G2 H2" xr:uid="{00000000-0002-0000-3000-000000000000}">
      <formula1>TRUE</formula1>
    </dataValidation>
    <dataValidation type="custom" allowBlank="1" showInputMessage="1" promptTitle="LOAD FACTOR ANALYSIS" prompt="SM-326_x000d__x000a_LF -_x000d__x000a_SOLD -_x000d__x000a_LST-SOLD -_x000d__x000a_WEEKLY -_x000d__x000a_TO-DAY -_x000d__x000a_Y-DAY -_x000d__x000a_LOWEST AVAIL -_x000d__x000a_CAPACITY -_x000d__x000a_CLASSES -" sqref="A10 B10 C10 D10 E10 F10 G10 H10" xr:uid="{00000000-0002-0000-30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N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840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45987.35917835866</v>
      </c>
      <c r="H2" s="294"/>
      <c r="I2" s="294"/>
      <c r="J2" s="294"/>
      <c r="K2" s="301">
        <v>45987.359178359169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43" t="s">
        <v>76</v>
      </c>
      <c r="B6" s="143" t="s">
        <v>841</v>
      </c>
      <c r="C6" s="144">
        <v>0.91319444444444453</v>
      </c>
      <c r="D6" s="143" t="s">
        <v>78</v>
      </c>
      <c r="E6" s="143" t="s">
        <v>79</v>
      </c>
      <c r="F6" s="143" t="s">
        <v>842</v>
      </c>
      <c r="G6" s="281"/>
      <c r="H6" s="145" t="s">
        <v>843</v>
      </c>
      <c r="I6" s="192">
        <v>0.58330000000000004</v>
      </c>
      <c r="J6" s="147">
        <v>98</v>
      </c>
      <c r="K6" s="148">
        <v>45986</v>
      </c>
      <c r="L6" s="147">
        <v>63</v>
      </c>
      <c r="M6" s="147">
        <v>0</v>
      </c>
      <c r="N6" s="147">
        <v>12</v>
      </c>
      <c r="O6" s="149" t="s">
        <v>176</v>
      </c>
      <c r="P6" s="150">
        <v>0.91319444444444453</v>
      </c>
      <c r="Q6" s="147">
        <v>168</v>
      </c>
      <c r="R6" s="151" t="s">
        <v>844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236" t="s">
        <v>300</v>
      </c>
      <c r="B7" s="236" t="s">
        <v>845</v>
      </c>
      <c r="C7" s="237">
        <v>0.90625</v>
      </c>
      <c r="D7" s="236" t="s">
        <v>78</v>
      </c>
      <c r="E7" s="236" t="s">
        <v>79</v>
      </c>
      <c r="F7" s="236" t="s">
        <v>846</v>
      </c>
      <c r="G7" s="283"/>
      <c r="H7" s="38"/>
      <c r="I7" s="39"/>
      <c r="J7" s="39"/>
      <c r="K7" s="39"/>
      <c r="L7" s="39"/>
      <c r="M7" s="39"/>
      <c r="N7" s="39"/>
      <c r="O7" s="40"/>
      <c r="P7" s="39"/>
      <c r="Q7" s="41"/>
      <c r="R7" s="4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4.4" customHeight="1" x14ac:dyDescent="0.3">
      <c r="A8" s="275"/>
      <c r="B8" s="276"/>
      <c r="C8" s="276"/>
      <c r="D8" s="276"/>
      <c r="E8" s="276"/>
      <c r="F8" s="276"/>
      <c r="G8" s="277"/>
      <c r="H8" s="278"/>
      <c r="I8" s="278"/>
      <c r="J8" s="278"/>
      <c r="K8" s="278"/>
      <c r="L8" s="278"/>
      <c r="M8" s="278"/>
      <c r="N8" s="278"/>
      <c r="O8" s="279"/>
      <c r="P8" s="278"/>
      <c r="Q8" s="277"/>
      <c r="R8" s="280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2.05" customHeight="1" x14ac:dyDescent="0.3">
      <c r="A9" s="289" t="s">
        <v>5</v>
      </c>
      <c r="B9" s="290"/>
      <c r="C9" s="290"/>
      <c r="D9" s="290"/>
      <c r="E9" s="290"/>
      <c r="F9" s="290"/>
      <c r="G9" s="5">
        <v>45989</v>
      </c>
      <c r="H9" s="286" t="s">
        <v>6</v>
      </c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24" customHeight="1" x14ac:dyDescent="0.3">
      <c r="A10" s="30" t="s">
        <v>7</v>
      </c>
      <c r="B10" s="30" t="s">
        <v>8</v>
      </c>
      <c r="C10" s="31" t="s">
        <v>9</v>
      </c>
      <c r="D10" s="30" t="s">
        <v>10</v>
      </c>
      <c r="E10" s="30" t="s">
        <v>11</v>
      </c>
      <c r="F10" s="30" t="s">
        <v>12</v>
      </c>
      <c r="G10" s="32" t="s">
        <v>13</v>
      </c>
      <c r="H10" s="30" t="s">
        <v>14</v>
      </c>
      <c r="I10" s="33" t="s">
        <v>15</v>
      </c>
      <c r="J10" s="34" t="s">
        <v>16</v>
      </c>
      <c r="K10" s="35" t="s">
        <v>17</v>
      </c>
      <c r="L10" s="34" t="s">
        <v>18</v>
      </c>
      <c r="M10" s="34" t="s">
        <v>19</v>
      </c>
      <c r="N10" s="34" t="s">
        <v>20</v>
      </c>
      <c r="O10" s="30" t="s">
        <v>21</v>
      </c>
      <c r="P10" s="31" t="s">
        <v>22</v>
      </c>
      <c r="Q10" s="34" t="s">
        <v>23</v>
      </c>
      <c r="R10" s="30" t="s">
        <v>24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227" t="s">
        <v>300</v>
      </c>
      <c r="B11" s="227" t="s">
        <v>847</v>
      </c>
      <c r="C11" s="228">
        <v>0.45833333333333331</v>
      </c>
      <c r="D11" s="227" t="s">
        <v>78</v>
      </c>
      <c r="E11" s="227" t="s">
        <v>526</v>
      </c>
      <c r="F11" s="227" t="s">
        <v>846</v>
      </c>
      <c r="G11" s="305"/>
      <c r="H11" s="38"/>
      <c r="I11" s="39"/>
      <c r="J11" s="39"/>
      <c r="K11" s="39"/>
      <c r="L11" s="39"/>
      <c r="M11" s="39"/>
      <c r="N11" s="39"/>
      <c r="O11" s="40"/>
      <c r="P11" s="39"/>
      <c r="Q11" s="41"/>
      <c r="R11" s="4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4.4" customHeight="1" x14ac:dyDescent="0.3">
      <c r="A12" s="275"/>
      <c r="B12" s="276"/>
      <c r="C12" s="276"/>
      <c r="D12" s="276"/>
      <c r="E12" s="276"/>
      <c r="F12" s="276"/>
      <c r="G12" s="277"/>
      <c r="H12" s="278"/>
      <c r="I12" s="278"/>
      <c r="J12" s="278"/>
      <c r="K12" s="278"/>
      <c r="L12" s="278"/>
      <c r="M12" s="278"/>
      <c r="N12" s="278"/>
      <c r="O12" s="279"/>
      <c r="P12" s="278"/>
      <c r="Q12" s="277"/>
      <c r="R12" s="280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2.05" customHeight="1" x14ac:dyDescent="0.3">
      <c r="A13" s="289" t="s">
        <v>5</v>
      </c>
      <c r="B13" s="290"/>
      <c r="C13" s="290"/>
      <c r="D13" s="290"/>
      <c r="E13" s="290"/>
      <c r="F13" s="290"/>
      <c r="G13" s="5">
        <v>45990</v>
      </c>
      <c r="H13" s="286" t="s">
        <v>6</v>
      </c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4" customHeight="1" x14ac:dyDescent="0.3">
      <c r="A14" s="30" t="s">
        <v>7</v>
      </c>
      <c r="B14" s="30" t="s">
        <v>8</v>
      </c>
      <c r="C14" s="31" t="s">
        <v>9</v>
      </c>
      <c r="D14" s="30" t="s">
        <v>10</v>
      </c>
      <c r="E14" s="30" t="s">
        <v>11</v>
      </c>
      <c r="F14" s="30" t="s">
        <v>12</v>
      </c>
      <c r="G14" s="32" t="s">
        <v>13</v>
      </c>
      <c r="H14" s="30" t="s">
        <v>14</v>
      </c>
      <c r="I14" s="33" t="s">
        <v>15</v>
      </c>
      <c r="J14" s="34" t="s">
        <v>16</v>
      </c>
      <c r="K14" s="35" t="s">
        <v>17</v>
      </c>
      <c r="L14" s="34" t="s">
        <v>18</v>
      </c>
      <c r="M14" s="34" t="s">
        <v>19</v>
      </c>
      <c r="N14" s="34" t="s">
        <v>20</v>
      </c>
      <c r="O14" s="30" t="s">
        <v>21</v>
      </c>
      <c r="P14" s="31" t="s">
        <v>22</v>
      </c>
      <c r="Q14" s="34" t="s">
        <v>23</v>
      </c>
      <c r="R14" s="30" t="s">
        <v>24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49.95" customHeight="1" x14ac:dyDescent="0.3">
      <c r="A15" s="143" t="s">
        <v>76</v>
      </c>
      <c r="B15" s="143" t="s">
        <v>841</v>
      </c>
      <c r="C15" s="144">
        <v>0.86458333333333337</v>
      </c>
      <c r="D15" s="143" t="s">
        <v>78</v>
      </c>
      <c r="E15" s="143" t="s">
        <v>38</v>
      </c>
      <c r="F15" s="143" t="s">
        <v>842</v>
      </c>
      <c r="G15" s="305"/>
      <c r="H15" s="46" t="s">
        <v>843</v>
      </c>
      <c r="I15" s="245">
        <v>0.38100000000000001</v>
      </c>
      <c r="J15" s="48">
        <v>64</v>
      </c>
      <c r="K15" s="49">
        <v>45986</v>
      </c>
      <c r="L15" s="48">
        <v>35</v>
      </c>
      <c r="M15" s="48">
        <v>0</v>
      </c>
      <c r="N15" s="48">
        <v>3</v>
      </c>
      <c r="O15" s="50" t="s">
        <v>158</v>
      </c>
      <c r="P15" s="51">
        <v>0.86458333333333337</v>
      </c>
      <c r="Q15" s="48">
        <v>168</v>
      </c>
      <c r="R15" s="52" t="s">
        <v>848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4.4" customHeight="1" x14ac:dyDescent="0.3">
      <c r="A16" s="288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80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</sheetData>
  <mergeCells count="21">
    <mergeCell ref="A16:R16"/>
    <mergeCell ref="H4:R4"/>
    <mergeCell ref="A12:R12"/>
    <mergeCell ref="A2:F2"/>
    <mergeCell ref="A3:R3"/>
    <mergeCell ref="H9:R9"/>
    <mergeCell ref="G6:G7"/>
    <mergeCell ref="G2:J2"/>
    <mergeCell ref="G11"/>
    <mergeCell ref="A4:F4"/>
    <mergeCell ref="A8:R8"/>
    <mergeCell ref="A13:F13"/>
    <mergeCell ref="A9:F9"/>
    <mergeCell ref="K2:R2"/>
    <mergeCell ref="D1:F1"/>
    <mergeCell ref="H13:R13"/>
    <mergeCell ref="A1:C1"/>
    <mergeCell ref="G1:H1"/>
    <mergeCell ref="G15"/>
    <mergeCell ref="O1:Q1"/>
    <mergeCell ref="J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843</v>
      </c>
      <c r="D2" s="66">
        <v>0.91319444444444453</v>
      </c>
      <c r="E2" s="65" t="s">
        <v>840</v>
      </c>
      <c r="F2" s="65" t="s">
        <v>153</v>
      </c>
      <c r="G2" s="67">
        <v>0.58330000000000004</v>
      </c>
      <c r="H2" s="68">
        <v>168</v>
      </c>
      <c r="I2" s="68">
        <v>98</v>
      </c>
      <c r="J2" s="68">
        <v>0</v>
      </c>
      <c r="K2" s="64">
        <v>45986</v>
      </c>
      <c r="L2" s="68">
        <v>0</v>
      </c>
      <c r="M2" s="68">
        <v>12</v>
      </c>
      <c r="N2" s="68">
        <v>63</v>
      </c>
      <c r="O2" s="65" t="s">
        <v>176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156</v>
      </c>
      <c r="Z2" s="69"/>
      <c r="AA2" s="68" t="s">
        <v>173</v>
      </c>
      <c r="AB2" s="68" t="s">
        <v>397</v>
      </c>
      <c r="AC2" s="68" t="s">
        <v>398</v>
      </c>
      <c r="AD2" s="68" t="s">
        <v>849</v>
      </c>
      <c r="AE2" s="68" t="s">
        <v>850</v>
      </c>
      <c r="AF2" s="69"/>
      <c r="AG2" s="69"/>
      <c r="AH2" s="69"/>
      <c r="AI2" s="69"/>
    </row>
    <row r="3" spans="1:35" ht="18" x14ac:dyDescent="0.3">
      <c r="A3" s="70" t="s">
        <v>162</v>
      </c>
      <c r="B3" s="71">
        <v>45990</v>
      </c>
      <c r="C3" s="72" t="s">
        <v>843</v>
      </c>
      <c r="D3" s="73">
        <v>0.86458333333333337</v>
      </c>
      <c r="E3" s="72" t="s">
        <v>840</v>
      </c>
      <c r="F3" s="72" t="s">
        <v>153</v>
      </c>
      <c r="G3" s="74">
        <v>0.38100000000000001</v>
      </c>
      <c r="H3" s="75">
        <v>168</v>
      </c>
      <c r="I3" s="75">
        <v>64</v>
      </c>
      <c r="J3" s="75">
        <v>0</v>
      </c>
      <c r="K3" s="71">
        <v>45986</v>
      </c>
      <c r="L3" s="75">
        <v>0</v>
      </c>
      <c r="M3" s="75">
        <v>3</v>
      </c>
      <c r="N3" s="75">
        <v>35</v>
      </c>
      <c r="O3" s="72" t="s">
        <v>158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5" t="s">
        <v>444</v>
      </c>
      <c r="AA3" s="76"/>
      <c r="AB3" s="76"/>
      <c r="AC3" s="76"/>
      <c r="AD3" s="75" t="s">
        <v>851</v>
      </c>
      <c r="AE3" s="75" t="s">
        <v>458</v>
      </c>
      <c r="AF3" s="76"/>
      <c r="AG3" s="76"/>
      <c r="AH3" s="76"/>
      <c r="AI3" s="76"/>
    </row>
    <row r="4" spans="1:35" ht="18" x14ac:dyDescent="0.3">
      <c r="A4" s="77" t="s">
        <v>178</v>
      </c>
      <c r="B4" s="78"/>
      <c r="C4" s="79">
        <f>COUNTA(C2:C3)</f>
        <v>2</v>
      </c>
      <c r="D4" s="78"/>
      <c r="E4" s="78"/>
      <c r="F4" s="78"/>
      <c r="G4" s="80">
        <f>AVERAGE(G2:G3)</f>
        <v>0.48215000000000002</v>
      </c>
      <c r="H4" s="81">
        <f>SUM(H2:H3)</f>
        <v>336</v>
      </c>
      <c r="I4" s="81">
        <f>SUM(I2:I3)</f>
        <v>162</v>
      </c>
      <c r="J4" s="81">
        <f>SUM(J2:J3)</f>
        <v>0</v>
      </c>
      <c r="K4" s="78"/>
      <c r="L4" s="81">
        <f>SUM(L2:L3)</f>
        <v>0</v>
      </c>
      <c r="M4" s="81">
        <f>SUM(M2:M3)</f>
        <v>15</v>
      </c>
      <c r="N4" s="81">
        <f>SUM(N2:N3)</f>
        <v>98</v>
      </c>
      <c r="O4" s="78"/>
      <c r="P4" s="81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1">
        <f t="shared" si="0"/>
        <v>0</v>
      </c>
      <c r="R4" s="81">
        <f t="shared" si="0"/>
        <v>0</v>
      </c>
      <c r="S4" s="81">
        <f t="shared" si="0"/>
        <v>0</v>
      </c>
      <c r="T4" s="81">
        <f t="shared" si="0"/>
        <v>0</v>
      </c>
      <c r="U4" s="81">
        <f t="shared" si="0"/>
        <v>0</v>
      </c>
      <c r="V4" s="81">
        <f t="shared" si="0"/>
        <v>0</v>
      </c>
      <c r="W4" s="81">
        <f t="shared" si="0"/>
        <v>0</v>
      </c>
      <c r="X4" s="81">
        <f t="shared" si="0"/>
        <v>0</v>
      </c>
      <c r="Y4" s="81">
        <f t="shared" si="0"/>
        <v>0</v>
      </c>
      <c r="Z4" s="81">
        <f t="shared" si="0"/>
        <v>0</v>
      </c>
      <c r="AA4" s="81">
        <f t="shared" si="0"/>
        <v>0</v>
      </c>
      <c r="AB4" s="81">
        <f t="shared" si="0"/>
        <v>0</v>
      </c>
      <c r="AC4" s="81">
        <f t="shared" si="0"/>
        <v>0</v>
      </c>
      <c r="AD4" s="81">
        <f t="shared" si="0"/>
        <v>0</v>
      </c>
      <c r="AE4" s="81">
        <f t="shared" si="0"/>
        <v>0</v>
      </c>
      <c r="AF4" s="81">
        <f t="shared" si="0"/>
        <v>0</v>
      </c>
      <c r="AG4" s="81">
        <f t="shared" si="0"/>
        <v>0</v>
      </c>
      <c r="AH4" s="81">
        <f t="shared" si="0"/>
        <v>0</v>
      </c>
      <c r="AI4" s="81">
        <f t="shared" si="0"/>
        <v>0</v>
      </c>
    </row>
  </sheetData>
  <autoFilter ref="A1:AI3" xr:uid="{00000000-0009-0000-0000-000032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160">
        <v>45988</v>
      </c>
      <c r="B2" s="114" t="s">
        <v>76</v>
      </c>
      <c r="C2" s="115" t="s">
        <v>841</v>
      </c>
      <c r="D2" s="114" t="s">
        <v>840</v>
      </c>
      <c r="E2" s="116">
        <v>1.913194444444444</v>
      </c>
      <c r="F2" s="114" t="s">
        <v>78</v>
      </c>
      <c r="G2" s="117">
        <v>4</v>
      </c>
      <c r="H2" s="163">
        <v>420</v>
      </c>
    </row>
    <row r="3" spans="1:8" ht="18" x14ac:dyDescent="0.3">
      <c r="A3" s="155">
        <v>45988</v>
      </c>
      <c r="B3" s="156" t="s">
        <v>300</v>
      </c>
      <c r="C3" s="157" t="s">
        <v>845</v>
      </c>
      <c r="D3" s="156" t="s">
        <v>840</v>
      </c>
      <c r="E3" s="158">
        <v>1.90625</v>
      </c>
      <c r="F3" s="156" t="s">
        <v>78</v>
      </c>
      <c r="G3" s="159">
        <v>4</v>
      </c>
      <c r="H3" s="244">
        <v>421</v>
      </c>
    </row>
    <row r="4" spans="1:8" ht="18" x14ac:dyDescent="0.3">
      <c r="A4" s="229">
        <v>45989</v>
      </c>
      <c r="B4" s="156" t="s">
        <v>300</v>
      </c>
      <c r="C4" s="157" t="s">
        <v>847</v>
      </c>
      <c r="D4" s="156" t="s">
        <v>840</v>
      </c>
      <c r="E4" s="158">
        <v>1.458333333333333</v>
      </c>
      <c r="F4" s="156" t="s">
        <v>78</v>
      </c>
      <c r="G4" s="159">
        <v>2</v>
      </c>
      <c r="H4" s="230">
        <v>421</v>
      </c>
    </row>
    <row r="5" spans="1:8" ht="18" x14ac:dyDescent="0.3">
      <c r="A5" s="242">
        <v>45990</v>
      </c>
      <c r="B5" s="104" t="s">
        <v>76</v>
      </c>
      <c r="C5" s="105" t="s">
        <v>841</v>
      </c>
      <c r="D5" s="104" t="s">
        <v>840</v>
      </c>
      <c r="E5" s="106">
        <v>1.864583333333333</v>
      </c>
      <c r="F5" s="104" t="s">
        <v>78</v>
      </c>
      <c r="G5" s="107">
        <v>9</v>
      </c>
      <c r="H5" s="246">
        <v>420</v>
      </c>
    </row>
  </sheetData>
  <dataValidations count="2">
    <dataValidation type="custom" allowBlank="1" showInputMessage="1" promptTitle="LOAD FACTOR ANALYSIS" prompt="SM-322_x000d__x000a_LF 58.3%_x000d__x000a_SOLD 98_x000d__x000a_LST-SOLD 25NOV_x000d__x000a_WEEKLY 63_x000d__x000a_TO-DAY NIL_x000d__x000a_Y-DAY 12_x000d__x000a_LOWEST AVAIL O4_x000d__x000a_CAPACITY 168_x000d__x000a_CLASSES S1 &amp; T4 &amp; X1 &amp; +3 more" sqref="A2 B2 C2 D2 E2 F2 G2 H2" xr:uid="{00000000-0002-0000-3300-000000000000}">
      <formula1>TRUE</formula1>
    </dataValidation>
    <dataValidation type="custom" allowBlank="1" showInputMessage="1" promptTitle="LOAD FACTOR ANALYSIS" prompt="SM-322_x000d__x000a_LF 38.1%_x000d__x000a_SOLD 64_x000d__x000a_LST-SOLD 25NOV_x000d__x000a_WEEKLY 35_x000d__x000a_TO-DAY NIL_x000d__x000a_Y-DAY 3_x000d__x000a_LOWEST AVAIL O9_x000d__x000a_CAPACITY 168_x000d__x000a_CLASSES W1 &amp; O62 &amp; I1" sqref="A5 B5 C5 D5 E5 F5 G5 H5" xr:uid="{00000000-0002-0000-33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N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886718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852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45987.359179302533</v>
      </c>
      <c r="H2" s="294"/>
      <c r="I2" s="294"/>
      <c r="J2" s="294"/>
      <c r="K2" s="301">
        <v>45987.359179303123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45989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16" t="s">
        <v>76</v>
      </c>
      <c r="B6" s="216" t="s">
        <v>853</v>
      </c>
      <c r="C6" s="217">
        <v>0.63541666666666663</v>
      </c>
      <c r="D6" s="216" t="s">
        <v>105</v>
      </c>
      <c r="E6" s="240"/>
      <c r="F6" s="216" t="s">
        <v>510</v>
      </c>
      <c r="G6" s="281"/>
      <c r="H6" s="178" t="s">
        <v>853</v>
      </c>
      <c r="I6" s="201">
        <v>0.72019999999999995</v>
      </c>
      <c r="J6" s="180">
        <v>121</v>
      </c>
      <c r="K6" s="181">
        <v>45986</v>
      </c>
      <c r="L6" s="180">
        <v>68</v>
      </c>
      <c r="M6" s="180">
        <v>0</v>
      </c>
      <c r="N6" s="180">
        <v>6</v>
      </c>
      <c r="O6" s="182" t="s">
        <v>854</v>
      </c>
      <c r="P6" s="183">
        <v>0.63541666666666663</v>
      </c>
      <c r="Q6" s="180">
        <v>168</v>
      </c>
      <c r="R6" s="184" t="s">
        <v>855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856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36" t="s">
        <v>300</v>
      </c>
      <c r="B8" s="36" t="s">
        <v>847</v>
      </c>
      <c r="C8" s="37" t="s">
        <v>857</v>
      </c>
      <c r="D8" s="36" t="s">
        <v>78</v>
      </c>
      <c r="E8" s="36" t="s">
        <v>542</v>
      </c>
      <c r="F8" s="36" t="s">
        <v>846</v>
      </c>
      <c r="G8" s="283"/>
      <c r="H8" s="140"/>
      <c r="I8" s="140"/>
      <c r="J8" s="140"/>
      <c r="K8" s="140"/>
      <c r="L8" s="140"/>
      <c r="M8" s="140"/>
      <c r="N8" s="140"/>
      <c r="O8" s="141"/>
      <c r="P8" s="140"/>
      <c r="Q8" s="142"/>
      <c r="R8" s="14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4.4" customHeight="1" x14ac:dyDescent="0.3">
      <c r="A9" s="288"/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8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</sheetData>
  <mergeCells count="14">
    <mergeCell ref="G6:G8"/>
    <mergeCell ref="A4:F4"/>
    <mergeCell ref="A9:R9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417</v>
      </c>
      <c r="B2" s="64">
        <v>45989</v>
      </c>
      <c r="C2" s="65" t="s">
        <v>853</v>
      </c>
      <c r="D2" s="66">
        <v>0.63541666666666663</v>
      </c>
      <c r="E2" s="65" t="s">
        <v>852</v>
      </c>
      <c r="F2" s="65" t="s">
        <v>153</v>
      </c>
      <c r="G2" s="67">
        <v>0.72019999999999995</v>
      </c>
      <c r="H2" s="68">
        <v>168</v>
      </c>
      <c r="I2" s="68">
        <v>121</v>
      </c>
      <c r="J2" s="68">
        <v>0</v>
      </c>
      <c r="K2" s="64">
        <v>45986</v>
      </c>
      <c r="L2" s="68">
        <v>0</v>
      </c>
      <c r="M2" s="68">
        <v>6</v>
      </c>
      <c r="N2" s="68">
        <v>68</v>
      </c>
      <c r="O2" s="65" t="s">
        <v>854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8" t="s">
        <v>566</v>
      </c>
      <c r="AA2" s="68" t="s">
        <v>858</v>
      </c>
      <c r="AB2" s="68" t="s">
        <v>603</v>
      </c>
      <c r="AC2" s="68" t="s">
        <v>859</v>
      </c>
      <c r="AD2" s="68" t="s">
        <v>753</v>
      </c>
      <c r="AE2" s="68" t="s">
        <v>458</v>
      </c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0.72019999999999995</v>
      </c>
      <c r="H3" s="81">
        <f>SUM(H2:H2)</f>
        <v>168</v>
      </c>
      <c r="I3" s="81">
        <f>SUM(I2:I2)</f>
        <v>121</v>
      </c>
      <c r="J3" s="81">
        <f>SUM(J2:J2)</f>
        <v>0</v>
      </c>
      <c r="K3" s="78"/>
      <c r="L3" s="81">
        <f>SUM(L2:L2)</f>
        <v>0</v>
      </c>
      <c r="M3" s="81">
        <f>SUM(M2:M2)</f>
        <v>6</v>
      </c>
      <c r="N3" s="81">
        <f>SUM(N2:N2)</f>
        <v>68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0</v>
      </c>
      <c r="Z3" s="81">
        <f t="shared" si="0"/>
        <v>6</v>
      </c>
      <c r="AA3" s="81">
        <f t="shared" si="0"/>
        <v>12</v>
      </c>
      <c r="AB3" s="81">
        <f t="shared" si="0"/>
        <v>13</v>
      </c>
      <c r="AC3" s="81">
        <f t="shared" si="0"/>
        <v>40</v>
      </c>
      <c r="AD3" s="81">
        <f t="shared" si="0"/>
        <v>49</v>
      </c>
      <c r="AE3" s="81">
        <f t="shared" si="0"/>
        <v>1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35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31.88671875" bestFit="1" customWidth="1"/>
    <col min="6" max="6" width="33.4414062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5.6" x14ac:dyDescent="0.3">
      <c r="A2" s="152"/>
      <c r="B2" s="152"/>
      <c r="C2" s="152"/>
      <c r="D2" s="152"/>
      <c r="E2" s="153" t="s">
        <v>860</v>
      </c>
      <c r="F2" s="152"/>
      <c r="G2" s="152"/>
      <c r="H2" s="3"/>
    </row>
    <row r="3" spans="1:8" ht="18" x14ac:dyDescent="0.3">
      <c r="A3" s="160">
        <v>45988</v>
      </c>
      <c r="B3" s="114" t="s">
        <v>76</v>
      </c>
      <c r="C3" s="115" t="s">
        <v>841</v>
      </c>
      <c r="D3" s="114" t="s">
        <v>840</v>
      </c>
      <c r="E3" s="116">
        <v>1.913194444444444</v>
      </c>
      <c r="F3" s="114" t="s">
        <v>78</v>
      </c>
      <c r="G3" s="117">
        <v>4</v>
      </c>
      <c r="H3" s="163">
        <v>420</v>
      </c>
    </row>
    <row r="4" spans="1:8" ht="18" x14ac:dyDescent="0.3">
      <c r="A4" s="155">
        <v>45988</v>
      </c>
      <c r="B4" s="156" t="s">
        <v>300</v>
      </c>
      <c r="C4" s="157" t="s">
        <v>845</v>
      </c>
      <c r="D4" s="156" t="s">
        <v>840</v>
      </c>
      <c r="E4" s="158">
        <v>1.90625</v>
      </c>
      <c r="F4" s="156" t="s">
        <v>78</v>
      </c>
      <c r="G4" s="159">
        <v>4</v>
      </c>
      <c r="H4" s="244">
        <v>421</v>
      </c>
    </row>
    <row r="5" spans="1:8" ht="18" x14ac:dyDescent="0.3">
      <c r="A5" s="160">
        <v>45989</v>
      </c>
      <c r="B5" s="114" t="s">
        <v>76</v>
      </c>
      <c r="C5" s="115" t="s">
        <v>853</v>
      </c>
      <c r="D5" s="114" t="s">
        <v>852</v>
      </c>
      <c r="E5" s="116">
        <v>1.635416666666667</v>
      </c>
      <c r="F5" s="114" t="s">
        <v>105</v>
      </c>
      <c r="G5" s="114"/>
      <c r="H5" s="161" t="s">
        <v>510</v>
      </c>
    </row>
    <row r="6" spans="1:8" ht="15.6" x14ac:dyDescent="0.3">
      <c r="A6" s="152"/>
      <c r="B6" s="152"/>
      <c r="C6" s="152"/>
      <c r="D6" s="152"/>
      <c r="E6" s="153" t="s">
        <v>860</v>
      </c>
      <c r="F6" s="152"/>
      <c r="G6" s="152"/>
      <c r="H6" s="3"/>
    </row>
    <row r="7" spans="1:8" ht="18" x14ac:dyDescent="0.3">
      <c r="A7" s="155">
        <v>45989</v>
      </c>
      <c r="B7" s="156" t="s">
        <v>300</v>
      </c>
      <c r="C7" s="157" t="s">
        <v>847</v>
      </c>
      <c r="D7" s="156" t="s">
        <v>840</v>
      </c>
      <c r="E7" s="158">
        <v>1.458333333333333</v>
      </c>
      <c r="F7" s="156" t="s">
        <v>78</v>
      </c>
      <c r="G7" s="159">
        <v>2</v>
      </c>
      <c r="H7" s="244">
        <v>421</v>
      </c>
    </row>
    <row r="8" spans="1:8" ht="15.6" x14ac:dyDescent="0.3">
      <c r="A8" s="152"/>
      <c r="B8" s="152"/>
      <c r="C8" s="152"/>
      <c r="D8" s="152"/>
      <c r="E8" s="153" t="s">
        <v>860</v>
      </c>
      <c r="F8" s="152"/>
      <c r="G8" s="152"/>
      <c r="H8" s="3"/>
    </row>
    <row r="9" spans="1:8" ht="18" x14ac:dyDescent="0.3">
      <c r="A9" s="242">
        <v>45990</v>
      </c>
      <c r="B9" s="104" t="s">
        <v>76</v>
      </c>
      <c r="C9" s="105" t="s">
        <v>841</v>
      </c>
      <c r="D9" s="104" t="s">
        <v>840</v>
      </c>
      <c r="E9" s="106">
        <v>1.864583333333333</v>
      </c>
      <c r="F9" s="104" t="s">
        <v>78</v>
      </c>
      <c r="G9" s="107">
        <v>9</v>
      </c>
      <c r="H9" s="246">
        <v>420</v>
      </c>
    </row>
  </sheetData>
  <dataValidations count="2">
    <dataValidation type="custom" allowBlank="1" showInputMessage="1" promptTitle="LOAD FACTOR ANALYSIS" prompt="SM-322_x000d__x000a_LF -_x000d__x000a_SOLD -_x000d__x000a_LST-SOLD -_x000d__x000a_WEEKLY -_x000d__x000a_TO-DAY -_x000d__x000a_Y-DAY -_x000d__x000a_LOWEST AVAIL -_x000d__x000a_CAPACITY -_x000d__x000a_CLASSES -" sqref="A3 A9 B3 B9 C3 C9 D3 D9 E3 E9 F3 F9 G3 G9 H3 H9" xr:uid="{00000000-0002-0000-3600-000000000000}">
      <formula1>TRUE</formula1>
    </dataValidation>
    <dataValidation type="custom" allowBlank="1" showInputMessage="1" promptTitle="LOAD FACTOR ANALYSIS" prompt="SM324_x000d__x000a_LF 72.0%_x000d__x000a_SOLD 121_x000d__x000a_LST-SOLD 25NOV_x000d__x000a_WEEKLY 68_x000d__x000a_TO-DAY NIL_x000d__x000a_Y-DAY 6_x000d__x000a_LOWEST AVAIL W5_x000d__x000a_CAPACITY 168_x000d__x000a_CLASSES W6 &amp; T12 &amp; X13 &amp; +3 more" sqref="A5 B5 C5 D5 E5 F5 G5 H5" xr:uid="{00000000-0002-0000-36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886718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861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45987.359179886189</v>
      </c>
      <c r="H2" s="294"/>
      <c r="I2" s="294"/>
      <c r="J2" s="294"/>
      <c r="K2" s="301">
        <v>45987.35917988664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28" t="s">
        <v>76</v>
      </c>
      <c r="B6" s="128" t="s">
        <v>862</v>
      </c>
      <c r="C6" s="129">
        <v>0.59722222222222221</v>
      </c>
      <c r="D6" s="128" t="s">
        <v>105</v>
      </c>
      <c r="E6" s="247"/>
      <c r="F6" s="128" t="s">
        <v>863</v>
      </c>
      <c r="G6" s="305"/>
      <c r="H6" s="248" t="s">
        <v>862</v>
      </c>
      <c r="I6" s="249">
        <v>0.98319999999999996</v>
      </c>
      <c r="J6" s="250">
        <v>176</v>
      </c>
      <c r="K6" s="251">
        <v>45986</v>
      </c>
      <c r="L6" s="250">
        <v>7</v>
      </c>
      <c r="M6" s="250">
        <v>0</v>
      </c>
      <c r="N6" s="250">
        <v>1</v>
      </c>
      <c r="O6" s="252" t="s">
        <v>864</v>
      </c>
      <c r="P6" s="253">
        <v>0.59722222222222221</v>
      </c>
      <c r="Q6" s="250">
        <v>179</v>
      </c>
      <c r="R6" s="254" t="s">
        <v>865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9" t="s">
        <v>5</v>
      </c>
      <c r="B8" s="290"/>
      <c r="C8" s="290"/>
      <c r="D8" s="290"/>
      <c r="E8" s="290"/>
      <c r="F8" s="290"/>
      <c r="G8" s="5">
        <v>45989</v>
      </c>
      <c r="H8" s="286" t="s">
        <v>6</v>
      </c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0" t="s">
        <v>7</v>
      </c>
      <c r="B9" s="30" t="s">
        <v>8</v>
      </c>
      <c r="C9" s="31" t="s">
        <v>9</v>
      </c>
      <c r="D9" s="30" t="s">
        <v>10</v>
      </c>
      <c r="E9" s="30" t="s">
        <v>11</v>
      </c>
      <c r="F9" s="30" t="s">
        <v>12</v>
      </c>
      <c r="G9" s="32" t="s">
        <v>13</v>
      </c>
      <c r="H9" s="30" t="s">
        <v>14</v>
      </c>
      <c r="I9" s="33" t="s">
        <v>15</v>
      </c>
      <c r="J9" s="34" t="s">
        <v>16</v>
      </c>
      <c r="K9" s="35" t="s">
        <v>17</v>
      </c>
      <c r="L9" s="34" t="s">
        <v>18</v>
      </c>
      <c r="M9" s="34" t="s">
        <v>19</v>
      </c>
      <c r="N9" s="34" t="s">
        <v>20</v>
      </c>
      <c r="O9" s="30" t="s">
        <v>21</v>
      </c>
      <c r="P9" s="31" t="s">
        <v>22</v>
      </c>
      <c r="Q9" s="34" t="s">
        <v>23</v>
      </c>
      <c r="R9" s="30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53" t="s">
        <v>76</v>
      </c>
      <c r="B10" s="53" t="s">
        <v>862</v>
      </c>
      <c r="C10" s="54">
        <v>0.3263888888888889</v>
      </c>
      <c r="D10" s="53" t="s">
        <v>105</v>
      </c>
      <c r="E10" s="218"/>
      <c r="F10" s="53" t="s">
        <v>866</v>
      </c>
      <c r="G10" s="305"/>
      <c r="H10" s="255" t="s">
        <v>862</v>
      </c>
      <c r="I10" s="256">
        <v>0.91059999999999997</v>
      </c>
      <c r="J10" s="257">
        <v>163</v>
      </c>
      <c r="K10" s="258">
        <v>45986</v>
      </c>
      <c r="L10" s="257">
        <v>24</v>
      </c>
      <c r="M10" s="257">
        <v>0</v>
      </c>
      <c r="N10" s="257">
        <v>4</v>
      </c>
      <c r="O10" s="259" t="s">
        <v>173</v>
      </c>
      <c r="P10" s="260">
        <v>0.3263888888888889</v>
      </c>
      <c r="Q10" s="257">
        <v>179</v>
      </c>
      <c r="R10" s="261" t="s">
        <v>867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75"/>
      <c r="B11" s="276"/>
      <c r="C11" s="276"/>
      <c r="D11" s="276"/>
      <c r="E11" s="276"/>
      <c r="F11" s="276"/>
      <c r="G11" s="277"/>
      <c r="H11" s="278"/>
      <c r="I11" s="278"/>
      <c r="J11" s="278"/>
      <c r="K11" s="278"/>
      <c r="L11" s="278"/>
      <c r="M11" s="278"/>
      <c r="N11" s="278"/>
      <c r="O11" s="279"/>
      <c r="P11" s="278"/>
      <c r="Q11" s="277"/>
      <c r="R11" s="280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89" t="s">
        <v>5</v>
      </c>
      <c r="B12" s="290"/>
      <c r="C12" s="290"/>
      <c r="D12" s="290"/>
      <c r="E12" s="290"/>
      <c r="F12" s="290"/>
      <c r="G12" s="5">
        <v>45990</v>
      </c>
      <c r="H12" s="286" t="s">
        <v>6</v>
      </c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0" t="s">
        <v>7</v>
      </c>
      <c r="B13" s="30" t="s">
        <v>8</v>
      </c>
      <c r="C13" s="31" t="s">
        <v>9</v>
      </c>
      <c r="D13" s="30" t="s">
        <v>10</v>
      </c>
      <c r="E13" s="30" t="s">
        <v>11</v>
      </c>
      <c r="F13" s="30" t="s">
        <v>12</v>
      </c>
      <c r="G13" s="32" t="s">
        <v>13</v>
      </c>
      <c r="H13" s="30" t="s">
        <v>14</v>
      </c>
      <c r="I13" s="33" t="s">
        <v>15</v>
      </c>
      <c r="J13" s="34" t="s">
        <v>16</v>
      </c>
      <c r="K13" s="35" t="s">
        <v>17</v>
      </c>
      <c r="L13" s="34" t="s">
        <v>18</v>
      </c>
      <c r="M13" s="34" t="s">
        <v>19</v>
      </c>
      <c r="N13" s="34" t="s">
        <v>20</v>
      </c>
      <c r="O13" s="30" t="s">
        <v>21</v>
      </c>
      <c r="P13" s="31" t="s">
        <v>22</v>
      </c>
      <c r="Q13" s="34" t="s">
        <v>23</v>
      </c>
      <c r="R13" s="30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128" t="s">
        <v>76</v>
      </c>
      <c r="B14" s="128" t="s">
        <v>868</v>
      </c>
      <c r="C14" s="129">
        <v>0.28472222222222221</v>
      </c>
      <c r="D14" s="128" t="s">
        <v>78</v>
      </c>
      <c r="E14" s="128" t="s">
        <v>526</v>
      </c>
      <c r="F14" s="128" t="s">
        <v>869</v>
      </c>
      <c r="G14" s="305"/>
      <c r="H14" s="248" t="s">
        <v>862</v>
      </c>
      <c r="I14" s="249">
        <v>0.97770000000000001</v>
      </c>
      <c r="J14" s="250">
        <v>175</v>
      </c>
      <c r="K14" s="251">
        <v>45986</v>
      </c>
      <c r="L14" s="250">
        <v>12</v>
      </c>
      <c r="M14" s="250">
        <v>0</v>
      </c>
      <c r="N14" s="250">
        <v>3</v>
      </c>
      <c r="O14" s="252" t="s">
        <v>163</v>
      </c>
      <c r="P14" s="253">
        <v>0.28472222222222221</v>
      </c>
      <c r="Q14" s="250">
        <v>179</v>
      </c>
      <c r="R14" s="254" t="s">
        <v>870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75"/>
      <c r="B15" s="276"/>
      <c r="C15" s="276"/>
      <c r="D15" s="276"/>
      <c r="E15" s="276"/>
      <c r="F15" s="276"/>
      <c r="G15" s="277"/>
      <c r="H15" s="278"/>
      <c r="I15" s="278"/>
      <c r="J15" s="278"/>
      <c r="K15" s="278"/>
      <c r="L15" s="278"/>
      <c r="M15" s="278"/>
      <c r="N15" s="278"/>
      <c r="O15" s="279"/>
      <c r="P15" s="278"/>
      <c r="Q15" s="277"/>
      <c r="R15" s="280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89" t="s">
        <v>5</v>
      </c>
      <c r="B16" s="290"/>
      <c r="C16" s="290"/>
      <c r="D16" s="290"/>
      <c r="E16" s="290"/>
      <c r="F16" s="290"/>
      <c r="G16" s="5">
        <v>45991</v>
      </c>
      <c r="H16" s="286" t="s">
        <v>6</v>
      </c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0" t="s">
        <v>7</v>
      </c>
      <c r="B17" s="30" t="s">
        <v>8</v>
      </c>
      <c r="C17" s="31" t="s">
        <v>9</v>
      </c>
      <c r="D17" s="30" t="s">
        <v>10</v>
      </c>
      <c r="E17" s="30" t="s">
        <v>11</v>
      </c>
      <c r="F17" s="30" t="s">
        <v>12</v>
      </c>
      <c r="G17" s="32" t="s">
        <v>13</v>
      </c>
      <c r="H17" s="30" t="s">
        <v>14</v>
      </c>
      <c r="I17" s="33" t="s">
        <v>15</v>
      </c>
      <c r="J17" s="34" t="s">
        <v>16</v>
      </c>
      <c r="K17" s="35" t="s">
        <v>17</v>
      </c>
      <c r="L17" s="34" t="s">
        <v>18</v>
      </c>
      <c r="M17" s="34" t="s">
        <v>19</v>
      </c>
      <c r="N17" s="34" t="s">
        <v>20</v>
      </c>
      <c r="O17" s="30" t="s">
        <v>21</v>
      </c>
      <c r="P17" s="31" t="s">
        <v>22</v>
      </c>
      <c r="Q17" s="34" t="s">
        <v>23</v>
      </c>
      <c r="R17" s="30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199" t="s">
        <v>76</v>
      </c>
      <c r="B18" s="199" t="s">
        <v>862</v>
      </c>
      <c r="C18" s="200">
        <v>0.375</v>
      </c>
      <c r="D18" s="199" t="s">
        <v>105</v>
      </c>
      <c r="E18" s="262"/>
      <c r="F18" s="199" t="s">
        <v>106</v>
      </c>
      <c r="G18" s="305"/>
      <c r="H18" s="263" t="s">
        <v>862</v>
      </c>
      <c r="I18" s="264">
        <v>0.96650000000000003</v>
      </c>
      <c r="J18" s="265">
        <v>173</v>
      </c>
      <c r="K18" s="266">
        <v>45981</v>
      </c>
      <c r="L18" s="265">
        <v>2</v>
      </c>
      <c r="M18" s="265">
        <v>0</v>
      </c>
      <c r="N18" s="265">
        <v>0</v>
      </c>
      <c r="O18" s="267" t="s">
        <v>107</v>
      </c>
      <c r="P18" s="268">
        <v>0.375</v>
      </c>
      <c r="Q18" s="265">
        <v>179</v>
      </c>
      <c r="R18" s="269" t="s">
        <v>871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8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80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</sheetData>
  <mergeCells count="25">
    <mergeCell ref="J1:M1"/>
    <mergeCell ref="A7:R7"/>
    <mergeCell ref="A12:F12"/>
    <mergeCell ref="H4:R4"/>
    <mergeCell ref="A2:F2"/>
    <mergeCell ref="A3:R3"/>
    <mergeCell ref="A8:F8"/>
    <mergeCell ref="G2:J2"/>
    <mergeCell ref="A4:F4"/>
    <mergeCell ref="A19:R19"/>
    <mergeCell ref="H16:R16"/>
    <mergeCell ref="K2:R2"/>
    <mergeCell ref="G10"/>
    <mergeCell ref="D1:F1"/>
    <mergeCell ref="G6"/>
    <mergeCell ref="G18"/>
    <mergeCell ref="A15:R15"/>
    <mergeCell ref="A1:C1"/>
    <mergeCell ref="H12:R12"/>
    <mergeCell ref="G1:H1"/>
    <mergeCell ref="A11:R11"/>
    <mergeCell ref="G14"/>
    <mergeCell ref="A16:F16"/>
    <mergeCell ref="H8:R8"/>
    <mergeCell ref="O1:Q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862</v>
      </c>
      <c r="D2" s="66">
        <v>0.59722222222222221</v>
      </c>
      <c r="E2" s="65" t="s">
        <v>861</v>
      </c>
      <c r="F2" s="65" t="s">
        <v>153</v>
      </c>
      <c r="G2" s="67">
        <v>0.98319999999999996</v>
      </c>
      <c r="H2" s="68">
        <v>179</v>
      </c>
      <c r="I2" s="68">
        <v>176</v>
      </c>
      <c r="J2" s="68">
        <v>137</v>
      </c>
      <c r="K2" s="64">
        <v>45986</v>
      </c>
      <c r="L2" s="68">
        <v>0</v>
      </c>
      <c r="M2" s="68">
        <v>1</v>
      </c>
      <c r="N2" s="68">
        <v>7</v>
      </c>
      <c r="O2" s="65" t="s">
        <v>864</v>
      </c>
      <c r="P2" s="69"/>
      <c r="Q2" s="69"/>
      <c r="R2" s="69"/>
      <c r="S2" s="69"/>
      <c r="T2" s="69"/>
      <c r="U2" s="68" t="s">
        <v>872</v>
      </c>
      <c r="V2" s="68" t="s">
        <v>154</v>
      </c>
      <c r="W2" s="69"/>
      <c r="X2" s="69"/>
      <c r="Y2" s="69"/>
      <c r="Z2" s="68" t="s">
        <v>566</v>
      </c>
      <c r="AA2" s="68" t="s">
        <v>558</v>
      </c>
      <c r="AB2" s="68" t="s">
        <v>873</v>
      </c>
      <c r="AC2" s="69"/>
      <c r="AD2" s="69"/>
      <c r="AE2" s="69"/>
      <c r="AF2" s="69"/>
      <c r="AG2" s="69"/>
      <c r="AH2" s="68" t="s">
        <v>565</v>
      </c>
      <c r="AI2" s="69"/>
    </row>
    <row r="3" spans="1:35" ht="18" x14ac:dyDescent="0.3">
      <c r="A3" s="70" t="s">
        <v>417</v>
      </c>
      <c r="B3" s="71">
        <v>45989</v>
      </c>
      <c r="C3" s="72" t="s">
        <v>862</v>
      </c>
      <c r="D3" s="73">
        <v>0.3263888888888889</v>
      </c>
      <c r="E3" s="72" t="s">
        <v>861</v>
      </c>
      <c r="F3" s="72" t="s">
        <v>153</v>
      </c>
      <c r="G3" s="74">
        <v>0.91059999999999997</v>
      </c>
      <c r="H3" s="75">
        <v>179</v>
      </c>
      <c r="I3" s="75">
        <v>163</v>
      </c>
      <c r="J3" s="75">
        <v>40</v>
      </c>
      <c r="K3" s="71">
        <v>45986</v>
      </c>
      <c r="L3" s="75">
        <v>0</v>
      </c>
      <c r="M3" s="75">
        <v>4</v>
      </c>
      <c r="N3" s="75">
        <v>24</v>
      </c>
      <c r="O3" s="72" t="s">
        <v>173</v>
      </c>
      <c r="P3" s="76"/>
      <c r="Q3" s="76"/>
      <c r="R3" s="76"/>
      <c r="S3" s="76"/>
      <c r="T3" s="76"/>
      <c r="U3" s="76"/>
      <c r="V3" s="75" t="s">
        <v>874</v>
      </c>
      <c r="W3" s="76"/>
      <c r="X3" s="76"/>
      <c r="Y3" s="75" t="s">
        <v>156</v>
      </c>
      <c r="Z3" s="75" t="s">
        <v>875</v>
      </c>
      <c r="AA3" s="75" t="s">
        <v>876</v>
      </c>
      <c r="AB3" s="75" t="s">
        <v>218</v>
      </c>
      <c r="AC3" s="75" t="s">
        <v>752</v>
      </c>
      <c r="AD3" s="75" t="s">
        <v>158</v>
      </c>
      <c r="AE3" s="75" t="s">
        <v>829</v>
      </c>
      <c r="AF3" s="76"/>
      <c r="AG3" s="76"/>
      <c r="AH3" s="75" t="s">
        <v>877</v>
      </c>
      <c r="AI3" s="76"/>
    </row>
    <row r="4" spans="1:35" ht="18" x14ac:dyDescent="0.3">
      <c r="A4" s="63" t="s">
        <v>162</v>
      </c>
      <c r="B4" s="64">
        <v>45990</v>
      </c>
      <c r="C4" s="65" t="s">
        <v>862</v>
      </c>
      <c r="D4" s="66">
        <v>0.28472222222222221</v>
      </c>
      <c r="E4" s="65" t="s">
        <v>861</v>
      </c>
      <c r="F4" s="65" t="s">
        <v>153</v>
      </c>
      <c r="G4" s="67">
        <v>0.97770000000000001</v>
      </c>
      <c r="H4" s="68">
        <v>179</v>
      </c>
      <c r="I4" s="68">
        <v>175</v>
      </c>
      <c r="J4" s="68">
        <v>137</v>
      </c>
      <c r="K4" s="64">
        <v>45986</v>
      </c>
      <c r="L4" s="68">
        <v>0</v>
      </c>
      <c r="M4" s="68">
        <v>3</v>
      </c>
      <c r="N4" s="68">
        <v>12</v>
      </c>
      <c r="O4" s="65" t="s">
        <v>163</v>
      </c>
      <c r="P4" s="68" t="s">
        <v>878</v>
      </c>
      <c r="Q4" s="69"/>
      <c r="R4" s="69"/>
      <c r="S4" s="69"/>
      <c r="T4" s="69"/>
      <c r="U4" s="69"/>
      <c r="V4" s="69"/>
      <c r="W4" s="68" t="s">
        <v>549</v>
      </c>
      <c r="X4" s="68" t="s">
        <v>552</v>
      </c>
      <c r="Y4" s="69"/>
      <c r="Z4" s="68" t="s">
        <v>444</v>
      </c>
      <c r="AA4" s="69"/>
      <c r="AB4" s="68" t="s">
        <v>465</v>
      </c>
      <c r="AC4" s="68" t="s">
        <v>398</v>
      </c>
      <c r="AD4" s="68" t="s">
        <v>407</v>
      </c>
      <c r="AE4" s="68" t="s">
        <v>177</v>
      </c>
      <c r="AF4" s="69"/>
      <c r="AG4" s="69"/>
      <c r="AH4" s="68" t="s">
        <v>565</v>
      </c>
      <c r="AI4" s="69"/>
    </row>
    <row r="5" spans="1:35" ht="18" x14ac:dyDescent="0.3">
      <c r="A5" s="70" t="s">
        <v>168</v>
      </c>
      <c r="B5" s="71">
        <v>45991</v>
      </c>
      <c r="C5" s="72" t="s">
        <v>862</v>
      </c>
      <c r="D5" s="73">
        <v>0.375</v>
      </c>
      <c r="E5" s="72" t="s">
        <v>861</v>
      </c>
      <c r="F5" s="72" t="s">
        <v>153</v>
      </c>
      <c r="G5" s="74">
        <v>0.96650000000000003</v>
      </c>
      <c r="H5" s="75">
        <v>179</v>
      </c>
      <c r="I5" s="75">
        <v>173</v>
      </c>
      <c r="J5" s="75">
        <v>89</v>
      </c>
      <c r="K5" s="71">
        <v>45981</v>
      </c>
      <c r="L5" s="75">
        <v>0</v>
      </c>
      <c r="M5" s="75">
        <v>0</v>
      </c>
      <c r="N5" s="75">
        <v>2</v>
      </c>
      <c r="O5" s="72" t="s">
        <v>107</v>
      </c>
      <c r="P5" s="76"/>
      <c r="Q5" s="76"/>
      <c r="R5" s="76"/>
      <c r="S5" s="76"/>
      <c r="T5" s="76"/>
      <c r="U5" s="76"/>
      <c r="V5" s="76"/>
      <c r="W5" s="76"/>
      <c r="X5" s="76"/>
      <c r="Y5" s="75" t="s">
        <v>443</v>
      </c>
      <c r="Z5" s="75" t="s">
        <v>457</v>
      </c>
      <c r="AA5" s="75" t="s">
        <v>807</v>
      </c>
      <c r="AB5" s="75" t="s">
        <v>465</v>
      </c>
      <c r="AC5" s="75" t="s">
        <v>879</v>
      </c>
      <c r="AD5" s="75" t="s">
        <v>440</v>
      </c>
      <c r="AE5" s="75" t="s">
        <v>880</v>
      </c>
      <c r="AF5" s="76"/>
      <c r="AG5" s="76"/>
      <c r="AH5" s="75" t="s">
        <v>411</v>
      </c>
      <c r="AI5" s="76"/>
    </row>
    <row r="6" spans="1:35" ht="18" x14ac:dyDescent="0.3">
      <c r="A6" s="77" t="s">
        <v>178</v>
      </c>
      <c r="B6" s="78"/>
      <c r="C6" s="79">
        <f>COUNTA(C2:C5)</f>
        <v>4</v>
      </c>
      <c r="D6" s="78"/>
      <c r="E6" s="78"/>
      <c r="F6" s="78"/>
      <c r="G6" s="80">
        <f>AVERAGE(G2:G5)</f>
        <v>0.95950000000000002</v>
      </c>
      <c r="H6" s="81">
        <f>SUM(H2:H5)</f>
        <v>716</v>
      </c>
      <c r="I6" s="81">
        <f>SUM(I2:I5)</f>
        <v>687</v>
      </c>
      <c r="J6" s="81">
        <f>SUM(J2:J5)</f>
        <v>403</v>
      </c>
      <c r="K6" s="78"/>
      <c r="L6" s="81">
        <f>SUM(L2:L5)</f>
        <v>0</v>
      </c>
      <c r="M6" s="81">
        <f>SUM(M2:M5)</f>
        <v>8</v>
      </c>
      <c r="N6" s="81">
        <f>SUM(N2:N5)</f>
        <v>45</v>
      </c>
      <c r="O6" s="78"/>
      <c r="P6" s="81">
        <f t="shared" ref="P6:AI6" si="0">SUMPRODUCT(--IFERROR(VALUE(SUBSTITUTE(SUBSTITUTE(SUBSTITUTE(SUBSTITUTE(SUBSTITUTE(SUBSTITUTE(SUBSTITUTE(SUBSTITUTE(SUBSTITUTE(SUBSTITUTE(SUBSTITUTE(SUBSTITUTE(SUBSTITUTE(SUBSTITUTE(SUBSTITUTE(SUBSTITUTE(SUBSTITUTE(SUBSTITUTE(SUBSTITUTE(SUBSTITUTE(P2:P5,"Y",""),"B",""),"M",""),"H",""),"Q",""),"K",""),"V",""),"L",""),"G",""),"S",""),"W",""),"T",""),"X",""),"U",""),"O",""),"I",""),"E",""),"A",""),"P",""),"N","")),0))</f>
        <v>0</v>
      </c>
      <c r="Q6" s="81">
        <f t="shared" si="0"/>
        <v>0</v>
      </c>
      <c r="R6" s="81">
        <f t="shared" si="0"/>
        <v>0</v>
      </c>
      <c r="S6" s="81">
        <f t="shared" si="0"/>
        <v>0</v>
      </c>
      <c r="T6" s="81">
        <f t="shared" si="0"/>
        <v>0</v>
      </c>
      <c r="U6" s="81">
        <f t="shared" si="0"/>
        <v>0</v>
      </c>
      <c r="V6" s="81">
        <f t="shared" si="0"/>
        <v>0</v>
      </c>
      <c r="W6" s="81">
        <f t="shared" si="0"/>
        <v>0</v>
      </c>
      <c r="X6" s="81">
        <f t="shared" si="0"/>
        <v>0</v>
      </c>
      <c r="Y6" s="81">
        <f t="shared" si="0"/>
        <v>0</v>
      </c>
      <c r="Z6" s="81">
        <f t="shared" si="0"/>
        <v>0</v>
      </c>
      <c r="AA6" s="81">
        <f t="shared" si="0"/>
        <v>0</v>
      </c>
      <c r="AB6" s="81">
        <f t="shared" si="0"/>
        <v>0</v>
      </c>
      <c r="AC6" s="81">
        <f t="shared" si="0"/>
        <v>0</v>
      </c>
      <c r="AD6" s="81">
        <f t="shared" si="0"/>
        <v>0</v>
      </c>
      <c r="AE6" s="81">
        <f t="shared" si="0"/>
        <v>0</v>
      </c>
      <c r="AF6" s="81">
        <f t="shared" si="0"/>
        <v>0</v>
      </c>
      <c r="AG6" s="81">
        <f t="shared" si="0"/>
        <v>0</v>
      </c>
      <c r="AH6" s="81">
        <f t="shared" si="0"/>
        <v>0</v>
      </c>
      <c r="AI6" s="81">
        <f t="shared" si="0"/>
        <v>0</v>
      </c>
    </row>
  </sheetData>
  <autoFilter ref="A1:AI5" xr:uid="{00000000-0009-0000-0000-000038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5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42">
        <v>45988</v>
      </c>
      <c r="B2" s="104" t="s">
        <v>76</v>
      </c>
      <c r="C2" s="105" t="s">
        <v>862</v>
      </c>
      <c r="D2" s="104" t="s">
        <v>861</v>
      </c>
      <c r="E2" s="106">
        <v>1.5972222222222221</v>
      </c>
      <c r="F2" s="104" t="s">
        <v>105</v>
      </c>
      <c r="G2" s="104"/>
      <c r="H2" s="243" t="s">
        <v>863</v>
      </c>
    </row>
    <row r="3" spans="1:8" ht="18" x14ac:dyDescent="0.3">
      <c r="A3" s="242">
        <v>45989</v>
      </c>
      <c r="B3" s="104" t="s">
        <v>76</v>
      </c>
      <c r="C3" s="105" t="s">
        <v>862</v>
      </c>
      <c r="D3" s="104" t="s">
        <v>861</v>
      </c>
      <c r="E3" s="106">
        <v>1.3263888888888891</v>
      </c>
      <c r="F3" s="104" t="s">
        <v>105</v>
      </c>
      <c r="G3" s="104"/>
      <c r="H3" s="243" t="s">
        <v>866</v>
      </c>
    </row>
    <row r="4" spans="1:8" ht="18" x14ac:dyDescent="0.3">
      <c r="A4" s="242">
        <v>45990</v>
      </c>
      <c r="B4" s="104" t="s">
        <v>76</v>
      </c>
      <c r="C4" s="105" t="s">
        <v>868</v>
      </c>
      <c r="D4" s="104" t="s">
        <v>861</v>
      </c>
      <c r="E4" s="106">
        <v>1.2847222222222221</v>
      </c>
      <c r="F4" s="104" t="s">
        <v>78</v>
      </c>
      <c r="G4" s="107">
        <v>2</v>
      </c>
      <c r="H4" s="246">
        <v>868</v>
      </c>
    </row>
    <row r="5" spans="1:8" ht="18" x14ac:dyDescent="0.3">
      <c r="A5" s="242">
        <v>45991</v>
      </c>
      <c r="B5" s="104" t="s">
        <v>76</v>
      </c>
      <c r="C5" s="105" t="s">
        <v>862</v>
      </c>
      <c r="D5" s="104" t="s">
        <v>861</v>
      </c>
      <c r="E5" s="106">
        <v>1.375</v>
      </c>
      <c r="F5" s="104" t="s">
        <v>105</v>
      </c>
      <c r="G5" s="104"/>
      <c r="H5" s="243" t="s">
        <v>106</v>
      </c>
    </row>
  </sheetData>
  <dataValidations count="4">
    <dataValidation type="custom" allowBlank="1" showInputMessage="1" promptTitle="LOAD FACTOR ANALYSIS" prompt="SM442_x000d__x000a_LF 98.3%_x000d__x000a_SOLD 176_x000d__x000a_LST-SOLD 25NOV_x000d__x000a_WEEKLY 7_x000d__x000a_TO-DAY NIL_x000d__x000a_Y-DAY 1_x000d__x000a_LOWEST AVAIL V3_x000d__x000a_CAPACITY 179_x000d__x000a_CLASSES K4 &amp; V7 &amp; W6 &amp; +3 more" sqref="A2 B2 C2 D2 E2 F2 G2 H2" xr:uid="{00000000-0002-0000-3900-000000000000}">
      <formula1>TRUE</formula1>
    </dataValidation>
    <dataValidation type="custom" allowBlank="1" showInputMessage="1" promptTitle="LOAD FACTOR ANALYSIS" prompt="SM442_x000d__x000a_LF 91.1%_x000d__x000a_SOLD 163_x000d__x000a_LST-SOLD 25NOV_x000d__x000a_WEEKLY 24_x000d__x000a_TO-DAY NIL_x000d__x000a_Y-DAY 4_x000d__x000a_LOWEST AVAIL T4_x000d__x000a_CAPACITY 179_x000d__x000a_CLASSES V2 &amp; S1 &amp; W9 &amp; +6 more" sqref="A3 B3 C3 D3 E3 F3 G3 H3" xr:uid="{00000000-0002-0000-3900-000001000000}">
      <formula1>TRUE</formula1>
    </dataValidation>
    <dataValidation type="custom" allowBlank="1" showInputMessage="1" promptTitle="LOAD FACTOR ANALYSIS" prompt="SM-442_x000d__x000a_LF 97.8%_x000d__x000a_SOLD 175_x000d__x000a_LST-SOLD 25NOV_x000d__x000a_WEEKLY 12_x000d__x000a_TO-DAY NIL_x000d__x000a_Y-DAY 3_x000d__x000a_LOWEST AVAIL G2_x000d__x000a_CAPACITY 179_x000d__x000a_CLASSES Y1 &amp; L3 &amp; G15 &amp; +6 more" sqref="A4 B4 C4 D4 E4 F4 G4 H4" xr:uid="{00000000-0002-0000-3900-000002000000}">
      <formula1>TRUE</formula1>
    </dataValidation>
    <dataValidation type="custom" allowBlank="1" showInputMessage="1" promptTitle="LOAD FACTOR ANALYSIS" prompt="SM442_x000d__x000a_LF 96.7%_x000d__x000a_SOLD 173_x000d__x000a_LST-SOLD 20NOV_x000d__x000a_WEEKLY 2_x000d__x000a_TO-DAY NIL_x000d__x000a_Y-DAY NIL_x000d__x000a_LOWEST AVAIL CLOSED_x000d__x000a_CAPACITY 179_x000d__x000a_CLASSES S2 &amp; W2 &amp; T6 &amp; +5 more" sqref="A5 B5 C5 D5 E5 F5 G5 H5" xr:uid="{00000000-0002-0000-3900-00000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N2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3.66406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881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45987.359181135987</v>
      </c>
      <c r="H2" s="294"/>
      <c r="I2" s="294"/>
      <c r="J2" s="294"/>
      <c r="K2" s="301">
        <v>45987.359181136519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43" t="s">
        <v>76</v>
      </c>
      <c r="B6" s="143" t="s">
        <v>882</v>
      </c>
      <c r="C6" s="144">
        <v>4.5138888888888888E-2</v>
      </c>
      <c r="D6" s="143" t="s">
        <v>105</v>
      </c>
      <c r="E6" s="215"/>
      <c r="F6" s="143" t="s">
        <v>510</v>
      </c>
      <c r="G6" s="305"/>
      <c r="H6" s="46" t="s">
        <v>882</v>
      </c>
      <c r="I6" s="270">
        <v>0.64290000000000003</v>
      </c>
      <c r="J6" s="48">
        <v>108</v>
      </c>
      <c r="K6" s="49">
        <v>45986</v>
      </c>
      <c r="L6" s="48">
        <v>54</v>
      </c>
      <c r="M6" s="48">
        <v>0</v>
      </c>
      <c r="N6" s="48">
        <v>16</v>
      </c>
      <c r="O6" s="50" t="s">
        <v>428</v>
      </c>
      <c r="P6" s="51">
        <v>4.5138888888888888E-2</v>
      </c>
      <c r="Q6" s="48">
        <v>168</v>
      </c>
      <c r="R6" s="52" t="s">
        <v>883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9" t="s">
        <v>5</v>
      </c>
      <c r="B8" s="290"/>
      <c r="C8" s="290"/>
      <c r="D8" s="290"/>
      <c r="E8" s="290"/>
      <c r="F8" s="290"/>
      <c r="G8" s="5">
        <v>45989</v>
      </c>
      <c r="H8" s="286" t="s">
        <v>6</v>
      </c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0" t="s">
        <v>7</v>
      </c>
      <c r="B9" s="30" t="s">
        <v>8</v>
      </c>
      <c r="C9" s="31" t="s">
        <v>9</v>
      </c>
      <c r="D9" s="30" t="s">
        <v>10</v>
      </c>
      <c r="E9" s="30" t="s">
        <v>11</v>
      </c>
      <c r="F9" s="30" t="s">
        <v>12</v>
      </c>
      <c r="G9" s="32" t="s">
        <v>13</v>
      </c>
      <c r="H9" s="30" t="s">
        <v>14</v>
      </c>
      <c r="I9" s="33" t="s">
        <v>15</v>
      </c>
      <c r="J9" s="34" t="s">
        <v>16</v>
      </c>
      <c r="K9" s="35" t="s">
        <v>17</v>
      </c>
      <c r="L9" s="34" t="s">
        <v>18</v>
      </c>
      <c r="M9" s="34" t="s">
        <v>19</v>
      </c>
      <c r="N9" s="34" t="s">
        <v>20</v>
      </c>
      <c r="O9" s="30" t="s">
        <v>21</v>
      </c>
      <c r="P9" s="31" t="s">
        <v>22</v>
      </c>
      <c r="Q9" s="34" t="s">
        <v>23</v>
      </c>
      <c r="R9" s="30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53" t="s">
        <v>76</v>
      </c>
      <c r="B10" s="53" t="s">
        <v>884</v>
      </c>
      <c r="C10" s="54">
        <v>3.472222222222222E-3</v>
      </c>
      <c r="D10" s="53" t="s">
        <v>78</v>
      </c>
      <c r="E10" s="53" t="s">
        <v>86</v>
      </c>
      <c r="F10" s="53" t="s">
        <v>481</v>
      </c>
      <c r="G10" s="305"/>
      <c r="H10" s="255" t="s">
        <v>885</v>
      </c>
      <c r="I10" s="271">
        <v>0.60119999999999996</v>
      </c>
      <c r="J10" s="257">
        <v>101</v>
      </c>
      <c r="K10" s="258">
        <v>45986</v>
      </c>
      <c r="L10" s="257">
        <v>51</v>
      </c>
      <c r="M10" s="257">
        <v>0</v>
      </c>
      <c r="N10" s="257">
        <v>4</v>
      </c>
      <c r="O10" s="259" t="s">
        <v>793</v>
      </c>
      <c r="P10" s="260">
        <v>3.472222222222222E-3</v>
      </c>
      <c r="Q10" s="257">
        <v>168</v>
      </c>
      <c r="R10" s="261" t="s">
        <v>886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75"/>
      <c r="B11" s="276"/>
      <c r="C11" s="276"/>
      <c r="D11" s="276"/>
      <c r="E11" s="276"/>
      <c r="F11" s="276"/>
      <c r="G11" s="277"/>
      <c r="H11" s="278"/>
      <c r="I11" s="278"/>
      <c r="J11" s="278"/>
      <c r="K11" s="278"/>
      <c r="L11" s="278"/>
      <c r="M11" s="278"/>
      <c r="N11" s="278"/>
      <c r="O11" s="279"/>
      <c r="P11" s="278"/>
      <c r="Q11" s="277"/>
      <c r="R11" s="280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89" t="s">
        <v>5</v>
      </c>
      <c r="B12" s="290"/>
      <c r="C12" s="290"/>
      <c r="D12" s="290"/>
      <c r="E12" s="290"/>
      <c r="F12" s="290"/>
      <c r="G12" s="5">
        <v>45990</v>
      </c>
      <c r="H12" s="286" t="s">
        <v>6</v>
      </c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0" t="s">
        <v>7</v>
      </c>
      <c r="B13" s="30" t="s">
        <v>8</v>
      </c>
      <c r="C13" s="31" t="s">
        <v>9</v>
      </c>
      <c r="D13" s="30" t="s">
        <v>10</v>
      </c>
      <c r="E13" s="30" t="s">
        <v>11</v>
      </c>
      <c r="F13" s="30" t="s">
        <v>12</v>
      </c>
      <c r="G13" s="32" t="s">
        <v>13</v>
      </c>
      <c r="H13" s="30" t="s">
        <v>14</v>
      </c>
      <c r="I13" s="33" t="s">
        <v>15</v>
      </c>
      <c r="J13" s="34" t="s">
        <v>16</v>
      </c>
      <c r="K13" s="35" t="s">
        <v>17</v>
      </c>
      <c r="L13" s="34" t="s">
        <v>18</v>
      </c>
      <c r="M13" s="34" t="s">
        <v>19</v>
      </c>
      <c r="N13" s="34" t="s">
        <v>20</v>
      </c>
      <c r="O13" s="30" t="s">
        <v>21</v>
      </c>
      <c r="P13" s="31" t="s">
        <v>22</v>
      </c>
      <c r="Q13" s="34" t="s">
        <v>23</v>
      </c>
      <c r="R13" s="30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227" t="s">
        <v>300</v>
      </c>
      <c r="B14" s="227" t="s">
        <v>887</v>
      </c>
      <c r="C14" s="228">
        <v>0.19791666666666671</v>
      </c>
      <c r="D14" s="227" t="s">
        <v>78</v>
      </c>
      <c r="E14" s="227" t="s">
        <v>388</v>
      </c>
      <c r="F14" s="227" t="s">
        <v>888</v>
      </c>
      <c r="G14" s="305"/>
      <c r="H14" s="38"/>
      <c r="I14" s="39"/>
      <c r="J14" s="39"/>
      <c r="K14" s="39"/>
      <c r="L14" s="39"/>
      <c r="M14" s="39"/>
      <c r="N14" s="39"/>
      <c r="O14" s="40"/>
      <c r="P14" s="39"/>
      <c r="Q14" s="41"/>
      <c r="R14" s="4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75"/>
      <c r="B15" s="276"/>
      <c r="C15" s="276"/>
      <c r="D15" s="276"/>
      <c r="E15" s="276"/>
      <c r="F15" s="276"/>
      <c r="G15" s="277"/>
      <c r="H15" s="278"/>
      <c r="I15" s="278"/>
      <c r="J15" s="278"/>
      <c r="K15" s="278"/>
      <c r="L15" s="278"/>
      <c r="M15" s="278"/>
      <c r="N15" s="278"/>
      <c r="O15" s="279"/>
      <c r="P15" s="278"/>
      <c r="Q15" s="277"/>
      <c r="R15" s="280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89" t="s">
        <v>5</v>
      </c>
      <c r="B16" s="290"/>
      <c r="C16" s="290"/>
      <c r="D16" s="290"/>
      <c r="E16" s="290"/>
      <c r="F16" s="290"/>
      <c r="G16" s="5">
        <v>45991</v>
      </c>
      <c r="H16" s="286" t="s">
        <v>6</v>
      </c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0" t="s">
        <v>7</v>
      </c>
      <c r="B17" s="30" t="s">
        <v>8</v>
      </c>
      <c r="C17" s="31" t="s">
        <v>9</v>
      </c>
      <c r="D17" s="30" t="s">
        <v>10</v>
      </c>
      <c r="E17" s="30" t="s">
        <v>11</v>
      </c>
      <c r="F17" s="30" t="s">
        <v>12</v>
      </c>
      <c r="G17" s="32" t="s">
        <v>13</v>
      </c>
      <c r="H17" s="30" t="s">
        <v>14</v>
      </c>
      <c r="I17" s="33" t="s">
        <v>15</v>
      </c>
      <c r="J17" s="34" t="s">
        <v>16</v>
      </c>
      <c r="K17" s="35" t="s">
        <v>17</v>
      </c>
      <c r="L17" s="34" t="s">
        <v>18</v>
      </c>
      <c r="M17" s="34" t="s">
        <v>19</v>
      </c>
      <c r="N17" s="34" t="s">
        <v>20</v>
      </c>
      <c r="O17" s="30" t="s">
        <v>21</v>
      </c>
      <c r="P17" s="31" t="s">
        <v>22</v>
      </c>
      <c r="Q17" s="34" t="s">
        <v>23</v>
      </c>
      <c r="R17" s="30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16" t="s">
        <v>76</v>
      </c>
      <c r="B18" s="216" t="s">
        <v>884</v>
      </c>
      <c r="C18" s="217">
        <v>3.472222222222222E-3</v>
      </c>
      <c r="D18" s="216" t="s">
        <v>78</v>
      </c>
      <c r="E18" s="216" t="s">
        <v>50</v>
      </c>
      <c r="F18" s="216" t="s">
        <v>381</v>
      </c>
      <c r="G18" s="281"/>
      <c r="H18" s="178" t="s">
        <v>885</v>
      </c>
      <c r="I18" s="179">
        <v>0.45829999999999999</v>
      </c>
      <c r="J18" s="180">
        <v>77</v>
      </c>
      <c r="K18" s="181">
        <v>45986</v>
      </c>
      <c r="L18" s="180">
        <v>28</v>
      </c>
      <c r="M18" s="180">
        <v>0</v>
      </c>
      <c r="N18" s="180">
        <v>11</v>
      </c>
      <c r="O18" s="182" t="s">
        <v>397</v>
      </c>
      <c r="P18" s="183">
        <v>3.472222222222222E-3</v>
      </c>
      <c r="Q18" s="180">
        <v>168</v>
      </c>
      <c r="R18" s="184" t="s">
        <v>889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236" t="s">
        <v>300</v>
      </c>
      <c r="B19" s="236" t="s">
        <v>890</v>
      </c>
      <c r="C19" s="237">
        <v>0.91666666666666663</v>
      </c>
      <c r="D19" s="236" t="s">
        <v>78</v>
      </c>
      <c r="E19" s="236" t="s">
        <v>50</v>
      </c>
      <c r="F19" s="236" t="s">
        <v>888</v>
      </c>
      <c r="G19" s="283"/>
      <c r="H19" s="38"/>
      <c r="I19" s="39"/>
      <c r="J19" s="39"/>
      <c r="K19" s="39"/>
      <c r="L19" s="39"/>
      <c r="M19" s="39"/>
      <c r="N19" s="39"/>
      <c r="O19" s="40"/>
      <c r="P19" s="39"/>
      <c r="Q19" s="41"/>
      <c r="R19" s="4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88"/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80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</sheetData>
  <mergeCells count="25">
    <mergeCell ref="O1:Q1"/>
    <mergeCell ref="A7:R7"/>
    <mergeCell ref="A12:F12"/>
    <mergeCell ref="H4:R4"/>
    <mergeCell ref="A2:F2"/>
    <mergeCell ref="A3:R3"/>
    <mergeCell ref="A8:F8"/>
    <mergeCell ref="G2:J2"/>
    <mergeCell ref="A4:F4"/>
    <mergeCell ref="G18:G19"/>
    <mergeCell ref="J1:M1"/>
    <mergeCell ref="A20:R20"/>
    <mergeCell ref="H16:R16"/>
    <mergeCell ref="K2:R2"/>
    <mergeCell ref="G10"/>
    <mergeCell ref="D1:F1"/>
    <mergeCell ref="G6"/>
    <mergeCell ref="A15:R15"/>
    <mergeCell ref="A1:C1"/>
    <mergeCell ref="H12:R12"/>
    <mergeCell ref="G1:H1"/>
    <mergeCell ref="A11:R11"/>
    <mergeCell ref="G14"/>
    <mergeCell ref="A16:F16"/>
    <mergeCell ref="H8:R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882</v>
      </c>
      <c r="D2" s="66">
        <v>4.5138888888888888E-2</v>
      </c>
      <c r="E2" s="65" t="s">
        <v>881</v>
      </c>
      <c r="F2" s="65" t="s">
        <v>153</v>
      </c>
      <c r="G2" s="67">
        <v>0.64290000000000003</v>
      </c>
      <c r="H2" s="68">
        <v>168</v>
      </c>
      <c r="I2" s="68">
        <v>108</v>
      </c>
      <c r="J2" s="68">
        <v>0</v>
      </c>
      <c r="K2" s="64">
        <v>45986</v>
      </c>
      <c r="L2" s="68">
        <v>0</v>
      </c>
      <c r="M2" s="68">
        <v>16</v>
      </c>
      <c r="N2" s="68">
        <v>54</v>
      </c>
      <c r="O2" s="65" t="s">
        <v>428</v>
      </c>
      <c r="P2" s="69"/>
      <c r="Q2" s="69"/>
      <c r="R2" s="69"/>
      <c r="S2" s="69"/>
      <c r="T2" s="69"/>
      <c r="U2" s="69"/>
      <c r="V2" s="69"/>
      <c r="W2" s="68" t="s">
        <v>427</v>
      </c>
      <c r="X2" s="68" t="s">
        <v>891</v>
      </c>
      <c r="Y2" s="68" t="s">
        <v>792</v>
      </c>
      <c r="Z2" s="68" t="s">
        <v>892</v>
      </c>
      <c r="AA2" s="68" t="s">
        <v>893</v>
      </c>
      <c r="AB2" s="68" t="s">
        <v>894</v>
      </c>
      <c r="AC2" s="69"/>
      <c r="AD2" s="68" t="s">
        <v>352</v>
      </c>
      <c r="AE2" s="69"/>
      <c r="AF2" s="69"/>
      <c r="AG2" s="69"/>
      <c r="AH2" s="69"/>
      <c r="AI2" s="69"/>
    </row>
    <row r="3" spans="1:35" ht="18" x14ac:dyDescent="0.3">
      <c r="A3" s="70" t="s">
        <v>417</v>
      </c>
      <c r="B3" s="71">
        <v>45989</v>
      </c>
      <c r="C3" s="72" t="s">
        <v>885</v>
      </c>
      <c r="D3" s="73">
        <v>3.472222222222222E-3</v>
      </c>
      <c r="E3" s="72" t="s">
        <v>881</v>
      </c>
      <c r="F3" s="72" t="s">
        <v>153</v>
      </c>
      <c r="G3" s="74">
        <v>0.60119999999999996</v>
      </c>
      <c r="H3" s="75">
        <v>168</v>
      </c>
      <c r="I3" s="75">
        <v>101</v>
      </c>
      <c r="J3" s="75">
        <v>0</v>
      </c>
      <c r="K3" s="71">
        <v>45986</v>
      </c>
      <c r="L3" s="75">
        <v>0</v>
      </c>
      <c r="M3" s="75">
        <v>4</v>
      </c>
      <c r="N3" s="75">
        <v>51</v>
      </c>
      <c r="O3" s="72" t="s">
        <v>793</v>
      </c>
      <c r="P3" s="76"/>
      <c r="Q3" s="76"/>
      <c r="R3" s="76"/>
      <c r="S3" s="76"/>
      <c r="T3" s="76"/>
      <c r="U3" s="76"/>
      <c r="V3" s="76"/>
      <c r="W3" s="76"/>
      <c r="X3" s="76"/>
      <c r="Y3" s="75" t="s">
        <v>443</v>
      </c>
      <c r="Z3" s="75" t="s">
        <v>895</v>
      </c>
      <c r="AA3" s="75" t="s">
        <v>555</v>
      </c>
      <c r="AB3" s="75" t="s">
        <v>896</v>
      </c>
      <c r="AC3" s="75" t="s">
        <v>361</v>
      </c>
      <c r="AD3" s="75" t="s">
        <v>158</v>
      </c>
      <c r="AE3" s="76"/>
      <c r="AF3" s="76"/>
      <c r="AG3" s="76"/>
      <c r="AH3" s="76"/>
      <c r="AI3" s="76"/>
    </row>
    <row r="4" spans="1:35" ht="18" x14ac:dyDescent="0.3">
      <c r="A4" s="63" t="s">
        <v>168</v>
      </c>
      <c r="B4" s="64">
        <v>45991</v>
      </c>
      <c r="C4" s="65" t="s">
        <v>885</v>
      </c>
      <c r="D4" s="66">
        <v>3.472222222222222E-3</v>
      </c>
      <c r="E4" s="65" t="s">
        <v>881</v>
      </c>
      <c r="F4" s="65" t="s">
        <v>153</v>
      </c>
      <c r="G4" s="67">
        <v>0.45829999999999999</v>
      </c>
      <c r="H4" s="68">
        <v>168</v>
      </c>
      <c r="I4" s="68">
        <v>77</v>
      </c>
      <c r="J4" s="68">
        <v>0</v>
      </c>
      <c r="K4" s="64">
        <v>45986</v>
      </c>
      <c r="L4" s="68">
        <v>0</v>
      </c>
      <c r="M4" s="68">
        <v>11</v>
      </c>
      <c r="N4" s="68">
        <v>28</v>
      </c>
      <c r="O4" s="65" t="s">
        <v>397</v>
      </c>
      <c r="P4" s="69"/>
      <c r="Q4" s="69"/>
      <c r="R4" s="69"/>
      <c r="S4" s="69"/>
      <c r="T4" s="69"/>
      <c r="U4" s="69"/>
      <c r="V4" s="69"/>
      <c r="W4" s="69"/>
      <c r="X4" s="69"/>
      <c r="Y4" s="68" t="s">
        <v>156</v>
      </c>
      <c r="Z4" s="68" t="s">
        <v>457</v>
      </c>
      <c r="AA4" s="68" t="s">
        <v>558</v>
      </c>
      <c r="AB4" s="68" t="s">
        <v>897</v>
      </c>
      <c r="AC4" s="68" t="s">
        <v>898</v>
      </c>
      <c r="AD4" s="68" t="s">
        <v>158</v>
      </c>
      <c r="AE4" s="68" t="s">
        <v>468</v>
      </c>
      <c r="AF4" s="69"/>
      <c r="AG4" s="69"/>
      <c r="AH4" s="69"/>
      <c r="AI4" s="69"/>
    </row>
    <row r="5" spans="1:35" ht="18" x14ac:dyDescent="0.3">
      <c r="A5" s="77" t="s">
        <v>178</v>
      </c>
      <c r="B5" s="78"/>
      <c r="C5" s="79">
        <f>COUNTA(C2:C4)</f>
        <v>3</v>
      </c>
      <c r="D5" s="78"/>
      <c r="E5" s="78"/>
      <c r="F5" s="78"/>
      <c r="G5" s="80">
        <f>AVERAGE(G2:G4)</f>
        <v>0.56746666666666667</v>
      </c>
      <c r="H5" s="81">
        <f>SUM(H2:H4)</f>
        <v>504</v>
      </c>
      <c r="I5" s="81">
        <f>SUM(I2:I4)</f>
        <v>286</v>
      </c>
      <c r="J5" s="81">
        <f>SUM(J2:J4)</f>
        <v>0</v>
      </c>
      <c r="K5" s="78"/>
      <c r="L5" s="81">
        <f>SUM(L2:L4)</f>
        <v>0</v>
      </c>
      <c r="M5" s="81">
        <f>SUM(M2:M4)</f>
        <v>31</v>
      </c>
      <c r="N5" s="81">
        <f>SUM(N2:N4)</f>
        <v>133</v>
      </c>
      <c r="O5" s="78"/>
      <c r="P5" s="81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1">
        <f t="shared" si="0"/>
        <v>0</v>
      </c>
      <c r="R5" s="81">
        <f t="shared" si="0"/>
        <v>0</v>
      </c>
      <c r="S5" s="81">
        <f t="shared" si="0"/>
        <v>0</v>
      </c>
      <c r="T5" s="81">
        <f t="shared" si="0"/>
        <v>0</v>
      </c>
      <c r="U5" s="81">
        <f t="shared" si="0"/>
        <v>0</v>
      </c>
      <c r="V5" s="81">
        <f t="shared" si="0"/>
        <v>0</v>
      </c>
      <c r="W5" s="81">
        <f t="shared" si="0"/>
        <v>0</v>
      </c>
      <c r="X5" s="81">
        <f t="shared" si="0"/>
        <v>0</v>
      </c>
      <c r="Y5" s="81">
        <f t="shared" si="0"/>
        <v>0</v>
      </c>
      <c r="Z5" s="81">
        <f t="shared" si="0"/>
        <v>0</v>
      </c>
      <c r="AA5" s="81">
        <f t="shared" si="0"/>
        <v>0</v>
      </c>
      <c r="AB5" s="81">
        <f t="shared" si="0"/>
        <v>0</v>
      </c>
      <c r="AC5" s="81">
        <f t="shared" si="0"/>
        <v>0</v>
      </c>
      <c r="AD5" s="81">
        <f t="shared" si="0"/>
        <v>0</v>
      </c>
      <c r="AE5" s="81">
        <f t="shared" si="0"/>
        <v>0</v>
      </c>
      <c r="AF5" s="81">
        <f t="shared" si="0"/>
        <v>0</v>
      </c>
      <c r="AG5" s="81">
        <f t="shared" si="0"/>
        <v>0</v>
      </c>
      <c r="AH5" s="81">
        <f t="shared" si="0"/>
        <v>0</v>
      </c>
      <c r="AI5" s="81">
        <f t="shared" si="0"/>
        <v>0</v>
      </c>
    </row>
  </sheetData>
  <autoFilter ref="A1:AI4" xr:uid="{00000000-0009-0000-0000-00003B000000}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42">
        <v>45988</v>
      </c>
      <c r="B2" s="104" t="s">
        <v>76</v>
      </c>
      <c r="C2" s="105" t="s">
        <v>882</v>
      </c>
      <c r="D2" s="104" t="s">
        <v>881</v>
      </c>
      <c r="E2" s="106">
        <v>1.0451388888888891</v>
      </c>
      <c r="F2" s="104" t="s">
        <v>105</v>
      </c>
      <c r="G2" s="104"/>
      <c r="H2" s="243" t="s">
        <v>510</v>
      </c>
    </row>
    <row r="3" spans="1:8" ht="18" x14ac:dyDescent="0.3">
      <c r="A3" s="242">
        <v>45989</v>
      </c>
      <c r="B3" s="104" t="s">
        <v>76</v>
      </c>
      <c r="C3" s="105" t="s">
        <v>884</v>
      </c>
      <c r="D3" s="104" t="s">
        <v>881</v>
      </c>
      <c r="E3" s="106">
        <v>1.0034722222222221</v>
      </c>
      <c r="F3" s="104" t="s">
        <v>78</v>
      </c>
      <c r="G3" s="107">
        <v>7</v>
      </c>
      <c r="H3" s="246">
        <v>721</v>
      </c>
    </row>
    <row r="4" spans="1:8" ht="18" x14ac:dyDescent="0.3">
      <c r="A4" s="229">
        <v>45990</v>
      </c>
      <c r="B4" s="156" t="s">
        <v>300</v>
      </c>
      <c r="C4" s="157" t="s">
        <v>887</v>
      </c>
      <c r="D4" s="156" t="s">
        <v>881</v>
      </c>
      <c r="E4" s="158">
        <v>1.197916666666667</v>
      </c>
      <c r="F4" s="156" t="s">
        <v>78</v>
      </c>
      <c r="G4" s="159">
        <v>6</v>
      </c>
      <c r="H4" s="230">
        <v>571</v>
      </c>
    </row>
    <row r="5" spans="1:8" ht="18" x14ac:dyDescent="0.3">
      <c r="A5" s="160">
        <v>45991</v>
      </c>
      <c r="B5" s="114" t="s">
        <v>76</v>
      </c>
      <c r="C5" s="115" t="s">
        <v>884</v>
      </c>
      <c r="D5" s="114" t="s">
        <v>881</v>
      </c>
      <c r="E5" s="116">
        <v>1.0034722222222221</v>
      </c>
      <c r="F5" s="114" t="s">
        <v>78</v>
      </c>
      <c r="G5" s="117">
        <v>1</v>
      </c>
      <c r="H5" s="163">
        <v>564</v>
      </c>
    </row>
    <row r="6" spans="1:8" ht="18" x14ac:dyDescent="0.3">
      <c r="A6" s="155">
        <v>45991</v>
      </c>
      <c r="B6" s="156" t="s">
        <v>300</v>
      </c>
      <c r="C6" s="157" t="s">
        <v>890</v>
      </c>
      <c r="D6" s="156" t="s">
        <v>881</v>
      </c>
      <c r="E6" s="158">
        <v>1.916666666666667</v>
      </c>
      <c r="F6" s="156" t="s">
        <v>78</v>
      </c>
      <c r="G6" s="159">
        <v>1</v>
      </c>
      <c r="H6" s="244">
        <v>571</v>
      </c>
    </row>
  </sheetData>
  <dataValidations count="3">
    <dataValidation type="custom" allowBlank="1" showInputMessage="1" promptTitle="LOAD FACTOR ANALYSIS" prompt="SM448_x000d__x000a_LF 64.3%_x000d__x000a_SOLD 108_x000d__x000a_LST-SOLD 25NOV_x000d__x000a_WEEKLY 54_x000d__x000a_TO-DAY NIL_x000d__x000a_Y-DAY 16_x000d__x000a_LOWEST AVAIL G1_x000d__x000a_CAPACITY 168_x000d__x000a_CLASSES L1 &amp; G9 &amp; S10 &amp; +4 more" sqref="A2 B2 C2 D2 E2 F2 G2 H2" xr:uid="{00000000-0002-0000-3C00-000000000000}">
      <formula1>TRUE</formula1>
    </dataValidation>
    <dataValidation type="custom" allowBlank="1" showInputMessage="1" promptTitle="LOAD FACTOR ANALYSIS" prompt="SM-444_x000d__x000a_LF 60.1%_x000d__x000a_SOLD 101_x000d__x000a_LST-SOLD 25NOV_x000d__x000a_WEEKLY 51_x000d__x000a_TO-DAY NIL_x000d__x000a_Y-DAY 4_x000d__x000a_LOWEST AVAIL S7_x000d__x000a_CAPACITY 168_x000d__x000a_CLASSES S2 &amp; W8 &amp; T17 &amp; +3 more" sqref="A3 B3 C3 D3 E3 F3 G3 H3" xr:uid="{00000000-0002-0000-3C00-000001000000}">
      <formula1>TRUE</formula1>
    </dataValidation>
    <dataValidation type="custom" allowBlank="1" showInputMessage="1" promptTitle="LOAD FACTOR ANALYSIS" prompt="SM-444_x000d__x000a_LF 45.8%_x000d__x000a_SOLD 77_x000d__x000a_LST-SOLD 25NOV_x000d__x000a_WEEKLY 28_x000d__x000a_TO-DAY NIL_x000d__x000a_Y-DAY 11_x000d__x000a_LOWEST AVAIL X1_x000d__x000a_CAPACITY 168_x000d__x000a_CLASSES S1 &amp; W2 &amp; T1 &amp; +4 more" sqref="A5 B5 C5 D5 E5 F5 G5 H5" xr:uid="{00000000-0002-0000-3C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N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332031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899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45987.359182217777</v>
      </c>
      <c r="H2" s="294"/>
      <c r="I2" s="294"/>
      <c r="J2" s="294"/>
      <c r="K2" s="301">
        <v>45987.359182218301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45989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99" t="s">
        <v>76</v>
      </c>
      <c r="B6" s="199" t="s">
        <v>900</v>
      </c>
      <c r="C6" s="200">
        <v>0.76041666666666663</v>
      </c>
      <c r="D6" s="199" t="s">
        <v>105</v>
      </c>
      <c r="E6" s="262"/>
      <c r="F6" s="199" t="s">
        <v>510</v>
      </c>
      <c r="G6" s="281"/>
      <c r="H6" s="167" t="s">
        <v>900</v>
      </c>
      <c r="I6" s="168">
        <v>0.36899999999999999</v>
      </c>
      <c r="J6" s="169">
        <v>62</v>
      </c>
      <c r="K6" s="170">
        <v>45986</v>
      </c>
      <c r="L6" s="169">
        <v>22</v>
      </c>
      <c r="M6" s="169">
        <v>0</v>
      </c>
      <c r="N6" s="169">
        <v>5</v>
      </c>
      <c r="O6" s="171" t="s">
        <v>891</v>
      </c>
      <c r="P6" s="172">
        <v>0.76041666666666663</v>
      </c>
      <c r="Q6" s="169">
        <v>168</v>
      </c>
      <c r="R6" s="173" t="s">
        <v>901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902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36" t="s">
        <v>76</v>
      </c>
      <c r="B8" s="36" t="s">
        <v>884</v>
      </c>
      <c r="C8" s="37" t="s">
        <v>903</v>
      </c>
      <c r="D8" s="36" t="s">
        <v>78</v>
      </c>
      <c r="E8" s="36" t="s">
        <v>205</v>
      </c>
      <c r="F8" s="36" t="s">
        <v>481</v>
      </c>
      <c r="G8" s="283"/>
      <c r="H8" s="140"/>
      <c r="I8" s="140"/>
      <c r="J8" s="140"/>
      <c r="K8" s="140"/>
      <c r="L8" s="140"/>
      <c r="M8" s="140"/>
      <c r="N8" s="140"/>
      <c r="O8" s="141"/>
      <c r="P8" s="140"/>
      <c r="Q8" s="142"/>
      <c r="R8" s="14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4.4" customHeight="1" x14ac:dyDescent="0.3">
      <c r="A9" s="288"/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8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</sheetData>
  <mergeCells count="14">
    <mergeCell ref="G6:G8"/>
    <mergeCell ref="A4:F4"/>
    <mergeCell ref="A9:R9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417</v>
      </c>
      <c r="B2" s="64">
        <v>45989</v>
      </c>
      <c r="C2" s="65" t="s">
        <v>900</v>
      </c>
      <c r="D2" s="66">
        <v>0.76041666666666663</v>
      </c>
      <c r="E2" s="65" t="s">
        <v>899</v>
      </c>
      <c r="F2" s="65" t="s">
        <v>153</v>
      </c>
      <c r="G2" s="67">
        <v>0.36899999999999999</v>
      </c>
      <c r="H2" s="68">
        <v>168</v>
      </c>
      <c r="I2" s="68">
        <v>62</v>
      </c>
      <c r="J2" s="68">
        <v>0</v>
      </c>
      <c r="K2" s="64">
        <v>45986</v>
      </c>
      <c r="L2" s="68">
        <v>0</v>
      </c>
      <c r="M2" s="68">
        <v>5</v>
      </c>
      <c r="N2" s="68">
        <v>22</v>
      </c>
      <c r="O2" s="65" t="s">
        <v>891</v>
      </c>
      <c r="P2" s="69"/>
      <c r="Q2" s="69"/>
      <c r="R2" s="69"/>
      <c r="S2" s="69"/>
      <c r="T2" s="69"/>
      <c r="U2" s="69"/>
      <c r="V2" s="69"/>
      <c r="W2" s="68" t="s">
        <v>549</v>
      </c>
      <c r="X2" s="68" t="s">
        <v>904</v>
      </c>
      <c r="Y2" s="68" t="s">
        <v>221</v>
      </c>
      <c r="Z2" s="68" t="s">
        <v>892</v>
      </c>
      <c r="AA2" s="69"/>
      <c r="AB2" s="69"/>
      <c r="AC2" s="69"/>
      <c r="AD2" s="69"/>
      <c r="AE2" s="69"/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0.36899999999999999</v>
      </c>
      <c r="H3" s="81">
        <f>SUM(H2:H2)</f>
        <v>168</v>
      </c>
      <c r="I3" s="81">
        <f>SUM(I2:I2)</f>
        <v>62</v>
      </c>
      <c r="J3" s="81">
        <f>SUM(J2:J2)</f>
        <v>0</v>
      </c>
      <c r="K3" s="78"/>
      <c r="L3" s="81">
        <f>SUM(L2:L2)</f>
        <v>0</v>
      </c>
      <c r="M3" s="81">
        <f>SUM(M2:M2)</f>
        <v>5</v>
      </c>
      <c r="N3" s="81">
        <f>SUM(N2:N2)</f>
        <v>22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3</v>
      </c>
      <c r="X3" s="81">
        <f t="shared" si="0"/>
        <v>35</v>
      </c>
      <c r="Y3" s="81">
        <f t="shared" si="0"/>
        <v>14</v>
      </c>
      <c r="Z3" s="81">
        <f t="shared" si="0"/>
        <v>10</v>
      </c>
      <c r="AA3" s="81">
        <f t="shared" si="0"/>
        <v>0</v>
      </c>
      <c r="AB3" s="81">
        <f t="shared" si="0"/>
        <v>0</v>
      </c>
      <c r="AC3" s="81">
        <f t="shared" si="0"/>
        <v>0</v>
      </c>
      <c r="AD3" s="81">
        <f t="shared" si="0"/>
        <v>0</v>
      </c>
      <c r="AE3" s="81">
        <f t="shared" si="0"/>
        <v>0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3E000000}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33203125" bestFit="1" customWidth="1"/>
    <col min="5" max="5" width="32.77734375" bestFit="1" customWidth="1"/>
    <col min="6" max="6" width="33.4414062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160">
        <v>45989</v>
      </c>
      <c r="B2" s="114" t="s">
        <v>76</v>
      </c>
      <c r="C2" s="115" t="s">
        <v>900</v>
      </c>
      <c r="D2" s="114" t="s">
        <v>899</v>
      </c>
      <c r="E2" s="116">
        <v>1.760416666666667</v>
      </c>
      <c r="F2" s="114" t="s">
        <v>105</v>
      </c>
      <c r="G2" s="114"/>
      <c r="H2" s="161" t="s">
        <v>510</v>
      </c>
    </row>
    <row r="3" spans="1:8" ht="15.6" x14ac:dyDescent="0.3">
      <c r="A3" s="152"/>
      <c r="B3" s="152"/>
      <c r="C3" s="152"/>
      <c r="D3" s="152"/>
      <c r="E3" s="153" t="s">
        <v>905</v>
      </c>
      <c r="F3" s="152"/>
      <c r="G3" s="152"/>
      <c r="H3" s="3"/>
    </row>
    <row r="4" spans="1:8" ht="18" x14ac:dyDescent="0.3">
      <c r="A4" s="103">
        <v>45989</v>
      </c>
      <c r="B4" s="104" t="s">
        <v>76</v>
      </c>
      <c r="C4" s="105" t="s">
        <v>884</v>
      </c>
      <c r="D4" s="104" t="s">
        <v>881</v>
      </c>
      <c r="E4" s="106">
        <v>1.0034722222222221</v>
      </c>
      <c r="F4" s="104" t="s">
        <v>78</v>
      </c>
      <c r="G4" s="107">
        <v>7</v>
      </c>
      <c r="H4" s="239">
        <v>721</v>
      </c>
    </row>
    <row r="5" spans="1:8" ht="15.6" x14ac:dyDescent="0.3">
      <c r="A5" s="152"/>
      <c r="B5" s="152"/>
      <c r="C5" s="152"/>
      <c r="D5" s="152"/>
      <c r="E5" s="153" t="s">
        <v>905</v>
      </c>
      <c r="F5" s="152"/>
      <c r="G5" s="152"/>
      <c r="H5" s="3"/>
    </row>
    <row r="6" spans="1:8" ht="18" x14ac:dyDescent="0.3">
      <c r="A6" s="229">
        <v>45990</v>
      </c>
      <c r="B6" s="156" t="s">
        <v>300</v>
      </c>
      <c r="C6" s="157" t="s">
        <v>887</v>
      </c>
      <c r="D6" s="156" t="s">
        <v>881</v>
      </c>
      <c r="E6" s="158">
        <v>1.197916666666667</v>
      </c>
      <c r="F6" s="156" t="s">
        <v>78</v>
      </c>
      <c r="G6" s="159">
        <v>6</v>
      </c>
      <c r="H6" s="230">
        <v>571</v>
      </c>
    </row>
    <row r="7" spans="1:8" ht="15.6" x14ac:dyDescent="0.3">
      <c r="A7" s="152"/>
      <c r="B7" s="152"/>
      <c r="C7" s="152"/>
      <c r="D7" s="152"/>
      <c r="E7" s="153" t="s">
        <v>905</v>
      </c>
      <c r="F7" s="152"/>
      <c r="G7" s="152"/>
      <c r="H7" s="3"/>
    </row>
    <row r="8" spans="1:8" ht="18" x14ac:dyDescent="0.3">
      <c r="A8" s="160">
        <v>45991</v>
      </c>
      <c r="B8" s="114" t="s">
        <v>76</v>
      </c>
      <c r="C8" s="115" t="s">
        <v>884</v>
      </c>
      <c r="D8" s="114" t="s">
        <v>881</v>
      </c>
      <c r="E8" s="116">
        <v>1.0034722222222221</v>
      </c>
      <c r="F8" s="114" t="s">
        <v>78</v>
      </c>
      <c r="G8" s="117">
        <v>1</v>
      </c>
      <c r="H8" s="163">
        <v>564</v>
      </c>
    </row>
    <row r="9" spans="1:8" ht="18" x14ac:dyDescent="0.3">
      <c r="A9" s="155">
        <v>45991</v>
      </c>
      <c r="B9" s="156" t="s">
        <v>300</v>
      </c>
      <c r="C9" s="157" t="s">
        <v>890</v>
      </c>
      <c r="D9" s="156" t="s">
        <v>881</v>
      </c>
      <c r="E9" s="158">
        <v>1.916666666666667</v>
      </c>
      <c r="F9" s="156" t="s">
        <v>78</v>
      </c>
      <c r="G9" s="159">
        <v>1</v>
      </c>
      <c r="H9" s="244">
        <v>571</v>
      </c>
    </row>
  </sheetData>
  <dataValidations count="2">
    <dataValidation type="custom" allowBlank="1" showInputMessage="1" promptTitle="LOAD FACTOR ANALYSIS" prompt="SM446_x000d__x000a_LF 36.9%_x000d__x000a_SOLD 62_x000d__x000a_LST-SOLD 25NOV_x000d__x000a_WEEKLY 22_x000d__x000a_TO-DAY NIL_x000d__x000a_Y-DAY 5_x000d__x000a_LOWEST AVAIL G9_x000d__x000a_CAPACITY 168_x000d__x000a_CLASSES L3 &amp; G35 &amp; S14 &amp; +1 more" sqref="A2 B2 C2 D2 E2 F2 G2 H2" xr:uid="{00000000-0002-0000-3F00-000000000000}">
      <formula1>TRUE</formula1>
    </dataValidation>
    <dataValidation type="custom" allowBlank="1" showInputMessage="1" promptTitle="LOAD FACTOR ANALYSIS" prompt="SM-444_x000d__x000a_LF -_x000d__x000a_SOLD -_x000d__x000a_LST-SOLD -_x000d__x000a_WEEKLY -_x000d__x000a_TO-DAY -_x000d__x000a_Y-DAY -_x000d__x000a_LOWEST AVAIL -_x000d__x000a_CAPACITY -_x000d__x000a_CLASSES -" sqref="A4 A8 B4 B8 C4 C8 D4 D8 E4 E8 F4 F8 G4 G8 H4 H8" xr:uid="{00000000-0002-0000-3F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N1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886718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906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45987.359182827488</v>
      </c>
      <c r="H2" s="294"/>
      <c r="I2" s="294"/>
      <c r="J2" s="294"/>
      <c r="K2" s="301">
        <v>45987.359182828142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43" t="s">
        <v>76</v>
      </c>
      <c r="B6" s="143" t="s">
        <v>907</v>
      </c>
      <c r="C6" s="144">
        <v>0.79861111111111116</v>
      </c>
      <c r="D6" s="143" t="s">
        <v>105</v>
      </c>
      <c r="E6" s="215"/>
      <c r="F6" s="143" t="s">
        <v>510</v>
      </c>
      <c r="G6" s="305"/>
      <c r="H6" s="46" t="s">
        <v>907</v>
      </c>
      <c r="I6" s="245">
        <v>0.42859999999999998</v>
      </c>
      <c r="J6" s="48">
        <v>72</v>
      </c>
      <c r="K6" s="49">
        <v>45986</v>
      </c>
      <c r="L6" s="48">
        <v>28</v>
      </c>
      <c r="M6" s="48">
        <v>0</v>
      </c>
      <c r="N6" s="48">
        <v>2</v>
      </c>
      <c r="O6" s="50" t="s">
        <v>158</v>
      </c>
      <c r="P6" s="51">
        <v>0.79861111111111116</v>
      </c>
      <c r="Q6" s="48">
        <v>168</v>
      </c>
      <c r="R6" s="52" t="s">
        <v>908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88"/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80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9" t="s">
        <v>5</v>
      </c>
      <c r="B8" s="290"/>
      <c r="C8" s="290"/>
      <c r="D8" s="290"/>
      <c r="E8" s="290"/>
      <c r="F8" s="290"/>
      <c r="G8" s="5">
        <v>45990</v>
      </c>
      <c r="H8" s="286" t="s">
        <v>6</v>
      </c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0" t="s">
        <v>7</v>
      </c>
      <c r="B9" s="30" t="s">
        <v>8</v>
      </c>
      <c r="C9" s="31" t="s">
        <v>9</v>
      </c>
      <c r="D9" s="30" t="s">
        <v>10</v>
      </c>
      <c r="E9" s="30" t="s">
        <v>11</v>
      </c>
      <c r="F9" s="30" t="s">
        <v>12</v>
      </c>
      <c r="G9" s="32" t="s">
        <v>13</v>
      </c>
      <c r="H9" s="30" t="s">
        <v>14</v>
      </c>
      <c r="I9" s="33" t="s">
        <v>15</v>
      </c>
      <c r="J9" s="34" t="s">
        <v>16</v>
      </c>
      <c r="K9" s="35" t="s">
        <v>17</v>
      </c>
      <c r="L9" s="34" t="s">
        <v>18</v>
      </c>
      <c r="M9" s="34" t="s">
        <v>19</v>
      </c>
      <c r="N9" s="34" t="s">
        <v>20</v>
      </c>
      <c r="O9" s="30" t="s">
        <v>21</v>
      </c>
      <c r="P9" s="31" t="s">
        <v>22</v>
      </c>
      <c r="Q9" s="34" t="s">
        <v>23</v>
      </c>
      <c r="R9" s="30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35</v>
      </c>
      <c r="B10" s="8" t="s">
        <v>909</v>
      </c>
      <c r="C10" s="9">
        <v>3.4722222222222217E-2</v>
      </c>
      <c r="D10" s="8" t="s">
        <v>487</v>
      </c>
      <c r="E10" s="8" t="s">
        <v>38</v>
      </c>
      <c r="F10" s="8" t="s">
        <v>910</v>
      </c>
      <c r="G10" s="281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17" t="s">
        <v>300</v>
      </c>
      <c r="B11" s="17" t="s">
        <v>911</v>
      </c>
      <c r="C11" s="18">
        <v>0.97916666666666663</v>
      </c>
      <c r="D11" s="17" t="s">
        <v>78</v>
      </c>
      <c r="E11" s="17" t="s">
        <v>86</v>
      </c>
      <c r="F11" s="17" t="s">
        <v>647</v>
      </c>
      <c r="G11" s="282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43" t="s">
        <v>76</v>
      </c>
      <c r="B12" s="43" t="s">
        <v>912</v>
      </c>
      <c r="C12" s="44">
        <v>6.9444444444444447E-4</v>
      </c>
      <c r="D12" s="43" t="s">
        <v>78</v>
      </c>
      <c r="E12" s="43" t="s">
        <v>38</v>
      </c>
      <c r="F12" s="43" t="s">
        <v>683</v>
      </c>
      <c r="G12" s="283"/>
      <c r="H12" s="46" t="s">
        <v>907</v>
      </c>
      <c r="I12" s="245">
        <v>0.11310000000000001</v>
      </c>
      <c r="J12" s="48">
        <v>19</v>
      </c>
      <c r="K12" s="49">
        <v>45986</v>
      </c>
      <c r="L12" s="48">
        <v>3</v>
      </c>
      <c r="M12" s="48">
        <v>0</v>
      </c>
      <c r="N12" s="48">
        <v>1</v>
      </c>
      <c r="O12" s="50" t="s">
        <v>158</v>
      </c>
      <c r="P12" s="51">
        <v>6.9444444444444447E-4</v>
      </c>
      <c r="Q12" s="48">
        <v>168</v>
      </c>
      <c r="R12" s="52" t="s">
        <v>913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4.4" customHeight="1" x14ac:dyDescent="0.3">
      <c r="A13" s="275"/>
      <c r="B13" s="276"/>
      <c r="C13" s="276"/>
      <c r="D13" s="276"/>
      <c r="E13" s="276"/>
      <c r="F13" s="276"/>
      <c r="G13" s="277"/>
      <c r="H13" s="278"/>
      <c r="I13" s="278"/>
      <c r="J13" s="278"/>
      <c r="K13" s="278"/>
      <c r="L13" s="278"/>
      <c r="M13" s="278"/>
      <c r="N13" s="278"/>
      <c r="O13" s="279"/>
      <c r="P13" s="278"/>
      <c r="Q13" s="277"/>
      <c r="R13" s="280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2.05" customHeight="1" x14ac:dyDescent="0.3">
      <c r="A14" s="289" t="s">
        <v>5</v>
      </c>
      <c r="B14" s="290"/>
      <c r="C14" s="290"/>
      <c r="D14" s="290"/>
      <c r="E14" s="290"/>
      <c r="F14" s="290"/>
      <c r="G14" s="5">
        <v>45991</v>
      </c>
      <c r="H14" s="286" t="s">
        <v>6</v>
      </c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4" customHeight="1" x14ac:dyDescent="0.3">
      <c r="A15" s="30" t="s">
        <v>7</v>
      </c>
      <c r="B15" s="30" t="s">
        <v>8</v>
      </c>
      <c r="C15" s="31" t="s">
        <v>9</v>
      </c>
      <c r="D15" s="30" t="s">
        <v>10</v>
      </c>
      <c r="E15" s="30" t="s">
        <v>11</v>
      </c>
      <c r="F15" s="30" t="s">
        <v>12</v>
      </c>
      <c r="G15" s="32" t="s">
        <v>13</v>
      </c>
      <c r="H15" s="30" t="s">
        <v>14</v>
      </c>
      <c r="I15" s="33" t="s">
        <v>15</v>
      </c>
      <c r="J15" s="34" t="s">
        <v>16</v>
      </c>
      <c r="K15" s="35" t="s">
        <v>17</v>
      </c>
      <c r="L15" s="34" t="s">
        <v>18</v>
      </c>
      <c r="M15" s="34" t="s">
        <v>19</v>
      </c>
      <c r="N15" s="34" t="s">
        <v>20</v>
      </c>
      <c r="O15" s="30" t="s">
        <v>21</v>
      </c>
      <c r="P15" s="31" t="s">
        <v>22</v>
      </c>
      <c r="Q15" s="34" t="s">
        <v>23</v>
      </c>
      <c r="R15" s="30" t="s">
        <v>24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128" t="s">
        <v>76</v>
      </c>
      <c r="B16" s="128" t="s">
        <v>907</v>
      </c>
      <c r="C16" s="129">
        <v>0.79861111111111116</v>
      </c>
      <c r="D16" s="128" t="s">
        <v>105</v>
      </c>
      <c r="E16" s="247"/>
      <c r="F16" s="128" t="s">
        <v>510</v>
      </c>
      <c r="G16" s="305"/>
      <c r="H16" s="248" t="s">
        <v>907</v>
      </c>
      <c r="I16" s="272">
        <v>0.46429999999999999</v>
      </c>
      <c r="J16" s="250">
        <v>78</v>
      </c>
      <c r="K16" s="251">
        <v>45985</v>
      </c>
      <c r="L16" s="250">
        <v>9</v>
      </c>
      <c r="M16" s="250">
        <v>0</v>
      </c>
      <c r="N16" s="250">
        <v>0</v>
      </c>
      <c r="O16" s="252" t="s">
        <v>355</v>
      </c>
      <c r="P16" s="253">
        <v>0.79861111111111116</v>
      </c>
      <c r="Q16" s="250">
        <v>168</v>
      </c>
      <c r="R16" s="254" t="s">
        <v>914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4.4" customHeight="1" x14ac:dyDescent="0.3">
      <c r="A17" s="288"/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80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</sheetData>
  <mergeCells count="21">
    <mergeCell ref="A3:R3"/>
    <mergeCell ref="A14:F14"/>
    <mergeCell ref="A8:F8"/>
    <mergeCell ref="G2:J2"/>
    <mergeCell ref="A4:F4"/>
    <mergeCell ref="A17:R17"/>
    <mergeCell ref="J1:M1"/>
    <mergeCell ref="A13:R13"/>
    <mergeCell ref="K2:R2"/>
    <mergeCell ref="D1:F1"/>
    <mergeCell ref="G6"/>
    <mergeCell ref="G10:G12"/>
    <mergeCell ref="A1:C1"/>
    <mergeCell ref="G1:H1"/>
    <mergeCell ref="H14:R14"/>
    <mergeCell ref="H8:R8"/>
    <mergeCell ref="O1:Q1"/>
    <mergeCell ref="A7:R7"/>
    <mergeCell ref="G16"/>
    <mergeCell ref="H4:R4"/>
    <mergeCell ref="A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152</v>
      </c>
      <c r="B2" s="64">
        <v>45988</v>
      </c>
      <c r="C2" s="65" t="s">
        <v>907</v>
      </c>
      <c r="D2" s="66">
        <v>0.79861111111111116</v>
      </c>
      <c r="E2" s="65" t="s">
        <v>906</v>
      </c>
      <c r="F2" s="65" t="s">
        <v>153</v>
      </c>
      <c r="G2" s="67">
        <v>0.42859999999999998</v>
      </c>
      <c r="H2" s="68">
        <v>168</v>
      </c>
      <c r="I2" s="68">
        <v>72</v>
      </c>
      <c r="J2" s="68">
        <v>0</v>
      </c>
      <c r="K2" s="64">
        <v>45986</v>
      </c>
      <c r="L2" s="68">
        <v>0</v>
      </c>
      <c r="M2" s="68">
        <v>2</v>
      </c>
      <c r="N2" s="68">
        <v>28</v>
      </c>
      <c r="O2" s="65" t="s">
        <v>158</v>
      </c>
      <c r="P2" s="69"/>
      <c r="Q2" s="69"/>
      <c r="R2" s="69"/>
      <c r="S2" s="69"/>
      <c r="T2" s="69"/>
      <c r="U2" s="69"/>
      <c r="V2" s="69"/>
      <c r="W2" s="69"/>
      <c r="X2" s="69"/>
      <c r="Y2" s="68" t="s">
        <v>443</v>
      </c>
      <c r="Z2" s="68" t="s">
        <v>457</v>
      </c>
      <c r="AA2" s="69"/>
      <c r="AB2" s="69"/>
      <c r="AC2" s="69"/>
      <c r="AD2" s="68" t="s">
        <v>915</v>
      </c>
      <c r="AE2" s="68" t="s">
        <v>916</v>
      </c>
      <c r="AF2" s="69"/>
      <c r="AG2" s="69"/>
      <c r="AH2" s="69"/>
      <c r="AI2" s="69"/>
    </row>
    <row r="3" spans="1:35" ht="18" x14ac:dyDescent="0.3">
      <c r="A3" s="70" t="s">
        <v>162</v>
      </c>
      <c r="B3" s="71">
        <v>45990</v>
      </c>
      <c r="C3" s="72" t="s">
        <v>907</v>
      </c>
      <c r="D3" s="73">
        <v>6.9444444444444447E-4</v>
      </c>
      <c r="E3" s="72" t="s">
        <v>906</v>
      </c>
      <c r="F3" s="72" t="s">
        <v>153</v>
      </c>
      <c r="G3" s="74">
        <v>0.11310000000000001</v>
      </c>
      <c r="H3" s="75">
        <v>168</v>
      </c>
      <c r="I3" s="75">
        <v>19</v>
      </c>
      <c r="J3" s="75">
        <v>0</v>
      </c>
      <c r="K3" s="71">
        <v>45986</v>
      </c>
      <c r="L3" s="75">
        <v>0</v>
      </c>
      <c r="M3" s="75">
        <v>1</v>
      </c>
      <c r="N3" s="75">
        <v>3</v>
      </c>
      <c r="O3" s="72" t="s">
        <v>158</v>
      </c>
      <c r="P3" s="76"/>
      <c r="Q3" s="76"/>
      <c r="R3" s="76"/>
      <c r="S3" s="76"/>
      <c r="T3" s="76"/>
      <c r="U3" s="76"/>
      <c r="V3" s="76"/>
      <c r="W3" s="76"/>
      <c r="X3" s="76"/>
      <c r="Y3" s="75" t="s">
        <v>443</v>
      </c>
      <c r="Z3" s="75" t="s">
        <v>172</v>
      </c>
      <c r="AA3" s="76"/>
      <c r="AB3" s="76"/>
      <c r="AC3" s="76"/>
      <c r="AD3" s="75" t="s">
        <v>917</v>
      </c>
      <c r="AE3" s="76"/>
      <c r="AF3" s="76"/>
      <c r="AG3" s="76"/>
      <c r="AH3" s="76"/>
      <c r="AI3" s="76"/>
    </row>
    <row r="4" spans="1:35" ht="18" x14ac:dyDescent="0.3">
      <c r="A4" s="63" t="s">
        <v>168</v>
      </c>
      <c r="B4" s="64">
        <v>45991</v>
      </c>
      <c r="C4" s="65" t="s">
        <v>907</v>
      </c>
      <c r="D4" s="66">
        <v>0.79861111111111116</v>
      </c>
      <c r="E4" s="65" t="s">
        <v>906</v>
      </c>
      <c r="F4" s="65" t="s">
        <v>153</v>
      </c>
      <c r="G4" s="67">
        <v>0.46429999999999999</v>
      </c>
      <c r="H4" s="68">
        <v>168</v>
      </c>
      <c r="I4" s="68">
        <v>78</v>
      </c>
      <c r="J4" s="68">
        <v>0</v>
      </c>
      <c r="K4" s="64">
        <v>45985</v>
      </c>
      <c r="L4" s="68">
        <v>0</v>
      </c>
      <c r="M4" s="68">
        <v>0</v>
      </c>
      <c r="N4" s="68">
        <v>9</v>
      </c>
      <c r="O4" s="65" t="s">
        <v>355</v>
      </c>
      <c r="P4" s="69"/>
      <c r="Q4" s="69"/>
      <c r="R4" s="69"/>
      <c r="S4" s="69"/>
      <c r="T4" s="69"/>
      <c r="U4" s="69"/>
      <c r="V4" s="69"/>
      <c r="W4" s="69"/>
      <c r="X4" s="69"/>
      <c r="Y4" s="68" t="s">
        <v>233</v>
      </c>
      <c r="Z4" s="68" t="s">
        <v>172</v>
      </c>
      <c r="AA4" s="69"/>
      <c r="AB4" s="69"/>
      <c r="AC4" s="69"/>
      <c r="AD4" s="68" t="s">
        <v>918</v>
      </c>
      <c r="AE4" s="69"/>
      <c r="AF4" s="69"/>
      <c r="AG4" s="69"/>
      <c r="AH4" s="69"/>
      <c r="AI4" s="69"/>
    </row>
    <row r="5" spans="1:35" ht="18" x14ac:dyDescent="0.3">
      <c r="A5" s="77" t="s">
        <v>178</v>
      </c>
      <c r="B5" s="78"/>
      <c r="C5" s="79">
        <f>COUNTA(C2:C4)</f>
        <v>3</v>
      </c>
      <c r="D5" s="78"/>
      <c r="E5" s="78"/>
      <c r="F5" s="78"/>
      <c r="G5" s="80">
        <f>AVERAGE(G2:G4)</f>
        <v>0.33533333333333332</v>
      </c>
      <c r="H5" s="81">
        <f>SUM(H2:H4)</f>
        <v>504</v>
      </c>
      <c r="I5" s="81">
        <f>SUM(I2:I4)</f>
        <v>169</v>
      </c>
      <c r="J5" s="81">
        <f>SUM(J2:J4)</f>
        <v>0</v>
      </c>
      <c r="K5" s="78"/>
      <c r="L5" s="81">
        <f>SUM(L2:L4)</f>
        <v>0</v>
      </c>
      <c r="M5" s="81">
        <f>SUM(M2:M4)</f>
        <v>3</v>
      </c>
      <c r="N5" s="81">
        <f>SUM(N2:N4)</f>
        <v>40</v>
      </c>
      <c r="O5" s="78"/>
      <c r="P5" s="81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1">
        <f t="shared" si="0"/>
        <v>0</v>
      </c>
      <c r="R5" s="81">
        <f t="shared" si="0"/>
        <v>0</v>
      </c>
      <c r="S5" s="81">
        <f t="shared" si="0"/>
        <v>0</v>
      </c>
      <c r="T5" s="81">
        <f t="shared" si="0"/>
        <v>0</v>
      </c>
      <c r="U5" s="81">
        <f t="shared" si="0"/>
        <v>0</v>
      </c>
      <c r="V5" s="81">
        <f t="shared" si="0"/>
        <v>0</v>
      </c>
      <c r="W5" s="81">
        <f t="shared" si="0"/>
        <v>0</v>
      </c>
      <c r="X5" s="81">
        <f t="shared" si="0"/>
        <v>0</v>
      </c>
      <c r="Y5" s="81">
        <f t="shared" si="0"/>
        <v>0</v>
      </c>
      <c r="Z5" s="81">
        <f t="shared" si="0"/>
        <v>0</v>
      </c>
      <c r="AA5" s="81">
        <f t="shared" si="0"/>
        <v>0</v>
      </c>
      <c r="AB5" s="81">
        <f t="shared" si="0"/>
        <v>0</v>
      </c>
      <c r="AC5" s="81">
        <f t="shared" si="0"/>
        <v>0</v>
      </c>
      <c r="AD5" s="81">
        <f t="shared" si="0"/>
        <v>0</v>
      </c>
      <c r="AE5" s="81">
        <f t="shared" si="0"/>
        <v>0</v>
      </c>
      <c r="AF5" s="81">
        <f t="shared" si="0"/>
        <v>0</v>
      </c>
      <c r="AG5" s="81">
        <f t="shared" si="0"/>
        <v>0</v>
      </c>
      <c r="AH5" s="81">
        <f t="shared" si="0"/>
        <v>0</v>
      </c>
      <c r="AI5" s="81">
        <f t="shared" si="0"/>
        <v>0</v>
      </c>
    </row>
  </sheetData>
  <autoFilter ref="A1:AI4" xr:uid="{00000000-0009-0000-0000-000041000000}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20.8867187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242">
        <v>45988</v>
      </c>
      <c r="B2" s="104" t="s">
        <v>76</v>
      </c>
      <c r="C2" s="105" t="s">
        <v>907</v>
      </c>
      <c r="D2" s="104" t="s">
        <v>906</v>
      </c>
      <c r="E2" s="106">
        <v>1.7986111111111109</v>
      </c>
      <c r="F2" s="104" t="s">
        <v>105</v>
      </c>
      <c r="G2" s="104"/>
      <c r="H2" s="243" t="s">
        <v>510</v>
      </c>
    </row>
    <row r="3" spans="1:8" ht="18" x14ac:dyDescent="0.3">
      <c r="A3" s="83">
        <v>45990</v>
      </c>
      <c r="B3" s="84" t="s">
        <v>35</v>
      </c>
      <c r="C3" s="85" t="s">
        <v>909</v>
      </c>
      <c r="D3" s="84" t="s">
        <v>906</v>
      </c>
      <c r="E3" s="86">
        <v>1.0347222222222221</v>
      </c>
      <c r="F3" s="84" t="s">
        <v>487</v>
      </c>
      <c r="G3" s="87">
        <v>9</v>
      </c>
      <c r="H3" s="88">
        <v>305</v>
      </c>
    </row>
    <row r="4" spans="1:8" ht="18" x14ac:dyDescent="0.3">
      <c r="A4" s="95">
        <v>45990</v>
      </c>
      <c r="B4" s="84" t="s">
        <v>300</v>
      </c>
      <c r="C4" s="85" t="s">
        <v>911</v>
      </c>
      <c r="D4" s="84" t="s">
        <v>906</v>
      </c>
      <c r="E4" s="86">
        <v>1.979166666666667</v>
      </c>
      <c r="F4" s="84" t="s">
        <v>78</v>
      </c>
      <c r="G4" s="87">
        <v>7</v>
      </c>
      <c r="H4" s="96">
        <v>350</v>
      </c>
    </row>
    <row r="5" spans="1:8" ht="18" x14ac:dyDescent="0.3">
      <c r="A5" s="103">
        <v>45990</v>
      </c>
      <c r="B5" s="104" t="s">
        <v>76</v>
      </c>
      <c r="C5" s="105" t="s">
        <v>912</v>
      </c>
      <c r="D5" s="104" t="s">
        <v>906</v>
      </c>
      <c r="E5" s="106">
        <v>1.000694444444445</v>
      </c>
      <c r="F5" s="104" t="s">
        <v>78</v>
      </c>
      <c r="G5" s="107">
        <v>9</v>
      </c>
      <c r="H5" s="239">
        <v>355</v>
      </c>
    </row>
    <row r="6" spans="1:8" ht="18" x14ac:dyDescent="0.3">
      <c r="A6" s="242">
        <v>45991</v>
      </c>
      <c r="B6" s="104" t="s">
        <v>76</v>
      </c>
      <c r="C6" s="105" t="s">
        <v>907</v>
      </c>
      <c r="D6" s="104" t="s">
        <v>906</v>
      </c>
      <c r="E6" s="106">
        <v>1.7986111111111109</v>
      </c>
      <c r="F6" s="104" t="s">
        <v>105</v>
      </c>
      <c r="G6" s="104"/>
      <c r="H6" s="243" t="s">
        <v>510</v>
      </c>
    </row>
  </sheetData>
  <dataValidations count="3">
    <dataValidation type="custom" allowBlank="1" showInputMessage="1" promptTitle="LOAD FACTOR ANALYSIS" prompt="SM428_x000d__x000a_LF 42.9%_x000d__x000a_SOLD 72_x000d__x000a_LST-SOLD 25NOV_x000d__x000a_WEEKLY 28_x000d__x000a_TO-DAY NIL_x000d__x000a_Y-DAY 2_x000d__x000a_LOWEST AVAIL O9_x000d__x000a_CAPACITY 168_x000d__x000a_CLASSES S2 &amp; W2 &amp; O22 &amp; +1 more" sqref="A2 B2 C2 D2 E2 F2 G2 H2" xr:uid="{00000000-0002-0000-4200-000000000000}">
      <formula1>TRUE</formula1>
    </dataValidation>
    <dataValidation type="custom" allowBlank="1" showInputMessage="1" promptTitle="LOAD FACTOR ANALYSIS" prompt="SM-428_x000d__x000a_LF 11.3%_x000d__x000a_SOLD 19_x000d__x000a_LST-SOLD 25NOV_x000d__x000a_WEEKLY 3_x000d__x000a_TO-DAY NIL_x000d__x000a_Y-DAY 1_x000d__x000a_LOWEST AVAIL O9_x000d__x000a_CAPACITY 168_x000d__x000a_CLASSES S2 &amp; W4 &amp; O13" sqref="A5 B5 C5 D5 E5 F5 G5 H5" xr:uid="{00000000-0002-0000-4200-000001000000}">
      <formula1>TRUE</formula1>
    </dataValidation>
    <dataValidation type="custom" allowBlank="1" showInputMessage="1" promptTitle="LOAD FACTOR ANALYSIS" prompt="SM428_x000d__x000a_LF 46.4%_x000d__x000a_SOLD 78_x000d__x000a_LST-SOLD 24NOV_x000d__x000a_WEEKLY 9_x000d__x000a_TO-DAY NIL_x000d__x000a_Y-DAY NIL_x000d__x000a_LOWEST AVAIL O2_x000d__x000a_CAPACITY 168_x000d__x000a_CLASSES S8 &amp; W4 &amp; O66" sqref="A6 B6 C6 D6 E6 F6 G6 H6" xr:uid="{00000000-0002-0000-42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N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919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45987.359184008863</v>
      </c>
      <c r="H2" s="294"/>
      <c r="I2" s="294"/>
      <c r="J2" s="294"/>
      <c r="K2" s="301">
        <v>45987.35918400943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45990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16" t="s">
        <v>76</v>
      </c>
      <c r="B6" s="216" t="s">
        <v>920</v>
      </c>
      <c r="C6" s="217">
        <v>0.85416666666666663</v>
      </c>
      <c r="D6" s="216" t="s">
        <v>78</v>
      </c>
      <c r="E6" s="216" t="s">
        <v>38</v>
      </c>
      <c r="F6" s="216" t="s">
        <v>228</v>
      </c>
      <c r="G6" s="281"/>
      <c r="H6" s="178" t="s">
        <v>921</v>
      </c>
      <c r="I6" s="179">
        <v>0.35120000000000001</v>
      </c>
      <c r="J6" s="180">
        <v>59</v>
      </c>
      <c r="K6" s="181">
        <v>45986</v>
      </c>
      <c r="L6" s="180">
        <v>18</v>
      </c>
      <c r="M6" s="180">
        <v>0</v>
      </c>
      <c r="N6" s="180">
        <v>6</v>
      </c>
      <c r="O6" s="182" t="s">
        <v>222</v>
      </c>
      <c r="P6" s="183">
        <v>0.85416666666666663</v>
      </c>
      <c r="Q6" s="180">
        <v>168</v>
      </c>
      <c r="R6" s="184" t="s">
        <v>922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3" t="s">
        <v>923</v>
      </c>
      <c r="B7" s="304"/>
      <c r="C7" s="304"/>
      <c r="D7" s="304"/>
      <c r="E7" s="304"/>
      <c r="F7" s="304"/>
      <c r="G7" s="282"/>
      <c r="H7" s="137"/>
      <c r="I7" s="137"/>
      <c r="J7" s="137"/>
      <c r="K7" s="137"/>
      <c r="L7" s="137"/>
      <c r="M7" s="137"/>
      <c r="N7" s="137"/>
      <c r="O7" s="138"/>
      <c r="P7" s="137"/>
      <c r="Q7" s="139"/>
      <c r="R7" s="13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35</v>
      </c>
      <c r="B8" s="19" t="s">
        <v>909</v>
      </c>
      <c r="C8" s="20" t="s">
        <v>924</v>
      </c>
      <c r="D8" s="19" t="s">
        <v>487</v>
      </c>
      <c r="E8" s="19" t="s">
        <v>195</v>
      </c>
      <c r="F8" s="19" t="s">
        <v>910</v>
      </c>
      <c r="G8" s="282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19" t="s">
        <v>300</v>
      </c>
      <c r="B9" s="19" t="s">
        <v>911</v>
      </c>
      <c r="C9" s="20" t="s">
        <v>925</v>
      </c>
      <c r="D9" s="19" t="s">
        <v>78</v>
      </c>
      <c r="E9" s="19" t="s">
        <v>205</v>
      </c>
      <c r="F9" s="19" t="s">
        <v>647</v>
      </c>
      <c r="G9" s="282"/>
      <c r="H9" s="137"/>
      <c r="I9" s="137"/>
      <c r="J9" s="137"/>
      <c r="K9" s="137"/>
      <c r="L9" s="137"/>
      <c r="M9" s="137"/>
      <c r="N9" s="137"/>
      <c r="O9" s="138"/>
      <c r="P9" s="137"/>
      <c r="Q9" s="139"/>
      <c r="R9" s="13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36" t="s">
        <v>76</v>
      </c>
      <c r="B10" s="36" t="s">
        <v>912</v>
      </c>
      <c r="C10" s="37" t="s">
        <v>926</v>
      </c>
      <c r="D10" s="36" t="s">
        <v>78</v>
      </c>
      <c r="E10" s="36" t="s">
        <v>195</v>
      </c>
      <c r="F10" s="36" t="s">
        <v>683</v>
      </c>
      <c r="G10" s="283"/>
      <c r="H10" s="140"/>
      <c r="I10" s="140"/>
      <c r="J10" s="140"/>
      <c r="K10" s="140"/>
      <c r="L10" s="140"/>
      <c r="M10" s="140"/>
      <c r="N10" s="140"/>
      <c r="O10" s="141"/>
      <c r="P10" s="140"/>
      <c r="Q10" s="142"/>
      <c r="R10" s="14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88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80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</sheetData>
  <mergeCells count="14">
    <mergeCell ref="O1:Q1"/>
    <mergeCell ref="H4:R4"/>
    <mergeCell ref="A1:C1"/>
    <mergeCell ref="G1:H1"/>
    <mergeCell ref="D1:F1"/>
    <mergeCell ref="J1:M1"/>
    <mergeCell ref="A11:R11"/>
    <mergeCell ref="K2:R2"/>
    <mergeCell ref="G2:J2"/>
    <mergeCell ref="A4:F4"/>
    <mergeCell ref="G6:G10"/>
    <mergeCell ref="A7:F7"/>
    <mergeCell ref="A2:F2"/>
    <mergeCell ref="A3:R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162</v>
      </c>
      <c r="B2" s="64">
        <v>45990</v>
      </c>
      <c r="C2" s="65" t="s">
        <v>921</v>
      </c>
      <c r="D2" s="66">
        <v>0.85416666666666663</v>
      </c>
      <c r="E2" s="65" t="s">
        <v>919</v>
      </c>
      <c r="F2" s="65" t="s">
        <v>153</v>
      </c>
      <c r="G2" s="67">
        <v>0.35120000000000001</v>
      </c>
      <c r="H2" s="68">
        <v>168</v>
      </c>
      <c r="I2" s="68">
        <v>59</v>
      </c>
      <c r="J2" s="68">
        <v>0</v>
      </c>
      <c r="K2" s="64">
        <v>45986</v>
      </c>
      <c r="L2" s="68">
        <v>0</v>
      </c>
      <c r="M2" s="68">
        <v>6</v>
      </c>
      <c r="N2" s="68">
        <v>18</v>
      </c>
      <c r="O2" s="65" t="s">
        <v>222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8" t="s">
        <v>444</v>
      </c>
      <c r="AA2" s="69"/>
      <c r="AB2" s="68" t="s">
        <v>587</v>
      </c>
      <c r="AC2" s="68" t="s">
        <v>927</v>
      </c>
      <c r="AD2" s="68" t="s">
        <v>236</v>
      </c>
      <c r="AE2" s="69"/>
      <c r="AF2" s="69"/>
      <c r="AG2" s="69"/>
      <c r="AH2" s="69"/>
      <c r="AI2" s="69"/>
    </row>
    <row r="3" spans="1:35" ht="18" x14ac:dyDescent="0.3">
      <c r="A3" s="77" t="s">
        <v>178</v>
      </c>
      <c r="B3" s="78"/>
      <c r="C3" s="79">
        <f>COUNTA(C2:C2)</f>
        <v>1</v>
      </c>
      <c r="D3" s="78"/>
      <c r="E3" s="78"/>
      <c r="F3" s="78"/>
      <c r="G3" s="80">
        <f>AVERAGE(G2:G2)</f>
        <v>0.35120000000000001</v>
      </c>
      <c r="H3" s="81">
        <f>SUM(H2:H2)</f>
        <v>168</v>
      </c>
      <c r="I3" s="81">
        <f>SUM(I2:I2)</f>
        <v>59</v>
      </c>
      <c r="J3" s="81">
        <f>SUM(J2:J2)</f>
        <v>0</v>
      </c>
      <c r="K3" s="78"/>
      <c r="L3" s="81">
        <f>SUM(L2:L2)</f>
        <v>0</v>
      </c>
      <c r="M3" s="81">
        <f>SUM(M2:M2)</f>
        <v>6</v>
      </c>
      <c r="N3" s="81">
        <f>SUM(N2:N2)</f>
        <v>18</v>
      </c>
      <c r="O3" s="78"/>
      <c r="P3" s="81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1">
        <f t="shared" si="0"/>
        <v>0</v>
      </c>
      <c r="R3" s="81">
        <f t="shared" si="0"/>
        <v>0</v>
      </c>
      <c r="S3" s="81">
        <f t="shared" si="0"/>
        <v>0</v>
      </c>
      <c r="T3" s="81">
        <f t="shared" si="0"/>
        <v>0</v>
      </c>
      <c r="U3" s="81">
        <f t="shared" si="0"/>
        <v>0</v>
      </c>
      <c r="V3" s="81">
        <f t="shared" si="0"/>
        <v>0</v>
      </c>
      <c r="W3" s="81">
        <f t="shared" si="0"/>
        <v>0</v>
      </c>
      <c r="X3" s="81">
        <f t="shared" si="0"/>
        <v>0</v>
      </c>
      <c r="Y3" s="81">
        <f t="shared" si="0"/>
        <v>0</v>
      </c>
      <c r="Z3" s="81">
        <f t="shared" si="0"/>
        <v>1</v>
      </c>
      <c r="AA3" s="81">
        <f t="shared" si="0"/>
        <v>0</v>
      </c>
      <c r="AB3" s="81">
        <f t="shared" si="0"/>
        <v>8</v>
      </c>
      <c r="AC3" s="81">
        <f t="shared" si="0"/>
        <v>20</v>
      </c>
      <c r="AD3" s="81">
        <f t="shared" si="0"/>
        <v>30</v>
      </c>
      <c r="AE3" s="81">
        <f t="shared" si="0"/>
        <v>0</v>
      </c>
      <c r="AF3" s="81">
        <f t="shared" si="0"/>
        <v>0</v>
      </c>
      <c r="AG3" s="81">
        <f t="shared" si="0"/>
        <v>0</v>
      </c>
      <c r="AH3" s="81">
        <f t="shared" si="0"/>
        <v>0</v>
      </c>
      <c r="AI3" s="81">
        <f t="shared" si="0"/>
        <v>0</v>
      </c>
    </row>
  </sheetData>
  <autoFilter ref="A1:AI2" xr:uid="{00000000-0009-0000-0000-000044000000}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32.3320312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160">
        <v>45990</v>
      </c>
      <c r="B2" s="114" t="s">
        <v>76</v>
      </c>
      <c r="C2" s="115" t="s">
        <v>920</v>
      </c>
      <c r="D2" s="114" t="s">
        <v>919</v>
      </c>
      <c r="E2" s="116">
        <v>1.854166666666667</v>
      </c>
      <c r="F2" s="114" t="s">
        <v>78</v>
      </c>
      <c r="G2" s="117">
        <v>9</v>
      </c>
      <c r="H2" s="163">
        <v>500</v>
      </c>
    </row>
    <row r="3" spans="1:8" ht="15.6" x14ac:dyDescent="0.3">
      <c r="A3" s="152"/>
      <c r="B3" s="152"/>
      <c r="C3" s="152"/>
      <c r="D3" s="152"/>
      <c r="E3" s="153" t="s">
        <v>928</v>
      </c>
      <c r="F3" s="152"/>
      <c r="G3" s="152"/>
      <c r="H3" s="3"/>
    </row>
    <row r="4" spans="1:8" ht="18" x14ac:dyDescent="0.3">
      <c r="A4" s="95">
        <v>45990</v>
      </c>
      <c r="B4" s="84" t="s">
        <v>35</v>
      </c>
      <c r="C4" s="85" t="s">
        <v>909</v>
      </c>
      <c r="D4" s="84" t="s">
        <v>906</v>
      </c>
      <c r="E4" s="86">
        <v>1.0347222222222221</v>
      </c>
      <c r="F4" s="84" t="s">
        <v>487</v>
      </c>
      <c r="G4" s="87">
        <v>9</v>
      </c>
      <c r="H4" s="96">
        <v>305</v>
      </c>
    </row>
    <row r="5" spans="1:8" ht="18" x14ac:dyDescent="0.3">
      <c r="A5" s="95">
        <v>45990</v>
      </c>
      <c r="B5" s="84" t="s">
        <v>300</v>
      </c>
      <c r="C5" s="85" t="s">
        <v>911</v>
      </c>
      <c r="D5" s="84" t="s">
        <v>906</v>
      </c>
      <c r="E5" s="86">
        <v>1.979166666666667</v>
      </c>
      <c r="F5" s="84" t="s">
        <v>78</v>
      </c>
      <c r="G5" s="87">
        <v>7</v>
      </c>
      <c r="H5" s="96">
        <v>350</v>
      </c>
    </row>
    <row r="6" spans="1:8" ht="18" x14ac:dyDescent="0.3">
      <c r="A6" s="103">
        <v>45990</v>
      </c>
      <c r="B6" s="104" t="s">
        <v>76</v>
      </c>
      <c r="C6" s="105" t="s">
        <v>912</v>
      </c>
      <c r="D6" s="104" t="s">
        <v>906</v>
      </c>
      <c r="E6" s="106">
        <v>1.000694444444445</v>
      </c>
      <c r="F6" s="104" t="s">
        <v>78</v>
      </c>
      <c r="G6" s="107">
        <v>9</v>
      </c>
      <c r="H6" s="239">
        <v>355</v>
      </c>
    </row>
  </sheetData>
  <dataValidations count="2">
    <dataValidation type="custom" allowBlank="1" showInputMessage="1" promptTitle="LOAD FACTOR ANALYSIS" prompt="SM-436_x000d__x000a_LF 35.1%_x000d__x000a_SOLD 59_x000d__x000a_LST-SOLD 25NOV_x000d__x000a_WEEKLY 18_x000d__x000a_TO-DAY NIL_x000d__x000a_Y-DAY 6_x000d__x000a_LOWEST AVAIL X9_x000d__x000a_CAPACITY 168_x000d__x000a_CLASSES W1 &amp; X8 &amp; U20 &amp; +1 more" sqref="A2 B2 C2 D2 E2 F2 G2 H2" xr:uid="{00000000-0002-0000-4500-000000000000}">
      <formula1>TRUE</formula1>
    </dataValidation>
    <dataValidation type="custom" allowBlank="1" showInputMessage="1" promptTitle="LOAD FACTOR ANALYSIS" prompt="SM-428_x000d__x000a_LF -_x000d__x000a_SOLD -_x000d__x000a_LST-SOLD -_x000d__x000a_WEEKLY -_x000d__x000a_TO-DAY -_x000d__x000a_Y-DAY -_x000d__x000a_LOWEST AVAIL -_x000d__x000a_CAPACITY -_x000d__x000a_CLASSES -" sqref="A6 B6 C6 D6 E6 F6 G6 H6" xr:uid="{00000000-0002-0000-45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N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35.77734375" bestFit="1" customWidth="1"/>
  </cols>
  <sheetData>
    <row r="1" spans="1:92" ht="28.8" customHeight="1" x14ac:dyDescent="0.3">
      <c r="A1" s="284" t="s">
        <v>0</v>
      </c>
      <c r="B1" s="285"/>
      <c r="C1" s="285"/>
      <c r="D1" s="284" t="s">
        <v>929</v>
      </c>
      <c r="E1" s="285"/>
      <c r="F1" s="285"/>
      <c r="G1" s="284" t="s">
        <v>2</v>
      </c>
      <c r="H1" s="285"/>
      <c r="I1" s="2"/>
      <c r="J1" s="300">
        <v>45988</v>
      </c>
      <c r="K1" s="285"/>
      <c r="L1" s="285"/>
      <c r="M1" s="285"/>
      <c r="N1" s="1" t="s">
        <v>3</v>
      </c>
      <c r="O1" s="291">
        <v>45991</v>
      </c>
      <c r="P1" s="285"/>
      <c r="Q1" s="285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3" t="s">
        <v>4</v>
      </c>
      <c r="B2" s="294"/>
      <c r="C2" s="294"/>
      <c r="D2" s="294"/>
      <c r="E2" s="294"/>
      <c r="F2" s="294"/>
      <c r="G2" s="297">
        <v>45987.359184664972</v>
      </c>
      <c r="H2" s="294"/>
      <c r="I2" s="294"/>
      <c r="J2" s="294"/>
      <c r="K2" s="301">
        <v>45987.359184665431</v>
      </c>
      <c r="L2" s="294"/>
      <c r="M2" s="294"/>
      <c r="N2" s="294"/>
      <c r="O2" s="294"/>
      <c r="P2" s="294"/>
      <c r="Q2" s="302"/>
      <c r="R2" s="30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98" t="s">
        <v>5</v>
      </c>
      <c r="B4" s="299"/>
      <c r="C4" s="299"/>
      <c r="D4" s="299"/>
      <c r="E4" s="299"/>
      <c r="F4" s="299"/>
      <c r="G4" s="5">
        <v>45988</v>
      </c>
      <c r="H4" s="292" t="s">
        <v>6</v>
      </c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302</v>
      </c>
      <c r="B6" s="8" t="s">
        <v>930</v>
      </c>
      <c r="C6" s="9">
        <v>0.1875</v>
      </c>
      <c r="D6" s="8" t="s">
        <v>304</v>
      </c>
      <c r="E6" s="8" t="s">
        <v>109</v>
      </c>
      <c r="F6" s="8" t="s">
        <v>931</v>
      </c>
      <c r="G6" s="281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15" t="s">
        <v>302</v>
      </c>
      <c r="B7" s="15" t="s">
        <v>930</v>
      </c>
      <c r="C7" s="16">
        <v>0.1875</v>
      </c>
      <c r="D7" s="15" t="s">
        <v>33</v>
      </c>
      <c r="E7" s="15" t="s">
        <v>111</v>
      </c>
      <c r="F7" s="15" t="s">
        <v>932</v>
      </c>
      <c r="G7" s="282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236" t="s">
        <v>300</v>
      </c>
      <c r="B8" s="236" t="s">
        <v>933</v>
      </c>
      <c r="C8" s="237">
        <v>0.54166666666666663</v>
      </c>
      <c r="D8" s="236" t="s">
        <v>78</v>
      </c>
      <c r="E8" s="236" t="s">
        <v>38</v>
      </c>
      <c r="F8" s="236" t="s">
        <v>934</v>
      </c>
      <c r="G8" s="283"/>
      <c r="H8" s="38"/>
      <c r="I8" s="39"/>
      <c r="J8" s="39"/>
      <c r="K8" s="39"/>
      <c r="L8" s="39"/>
      <c r="M8" s="39"/>
      <c r="N8" s="39"/>
      <c r="O8" s="40"/>
      <c r="P8" s="39"/>
      <c r="Q8" s="41"/>
      <c r="R8" s="4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4.4" customHeight="1" x14ac:dyDescent="0.3">
      <c r="A9" s="275"/>
      <c r="B9" s="276"/>
      <c r="C9" s="276"/>
      <c r="D9" s="276"/>
      <c r="E9" s="276"/>
      <c r="F9" s="276"/>
      <c r="G9" s="277"/>
      <c r="H9" s="278"/>
      <c r="I9" s="278"/>
      <c r="J9" s="278"/>
      <c r="K9" s="278"/>
      <c r="L9" s="278"/>
      <c r="M9" s="278"/>
      <c r="N9" s="278"/>
      <c r="O9" s="279"/>
      <c r="P9" s="278"/>
      <c r="Q9" s="277"/>
      <c r="R9" s="28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22.05" customHeight="1" x14ac:dyDescent="0.3">
      <c r="A10" s="289" t="s">
        <v>5</v>
      </c>
      <c r="B10" s="290"/>
      <c r="C10" s="290"/>
      <c r="D10" s="290"/>
      <c r="E10" s="290"/>
      <c r="F10" s="290"/>
      <c r="G10" s="5">
        <v>45989</v>
      </c>
      <c r="H10" s="286" t="s">
        <v>6</v>
      </c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24" customHeight="1" x14ac:dyDescent="0.3">
      <c r="A11" s="30" t="s">
        <v>7</v>
      </c>
      <c r="B11" s="30" t="s">
        <v>8</v>
      </c>
      <c r="C11" s="31" t="s">
        <v>9</v>
      </c>
      <c r="D11" s="30" t="s">
        <v>10</v>
      </c>
      <c r="E11" s="30" t="s">
        <v>11</v>
      </c>
      <c r="F11" s="30" t="s">
        <v>12</v>
      </c>
      <c r="G11" s="32" t="s">
        <v>13</v>
      </c>
      <c r="H11" s="30" t="s">
        <v>14</v>
      </c>
      <c r="I11" s="33" t="s">
        <v>15</v>
      </c>
      <c r="J11" s="34" t="s">
        <v>16</v>
      </c>
      <c r="K11" s="35" t="s">
        <v>17</v>
      </c>
      <c r="L11" s="34" t="s">
        <v>18</v>
      </c>
      <c r="M11" s="34" t="s">
        <v>19</v>
      </c>
      <c r="N11" s="34" t="s">
        <v>20</v>
      </c>
      <c r="O11" s="30" t="s">
        <v>21</v>
      </c>
      <c r="P11" s="31" t="s">
        <v>22</v>
      </c>
      <c r="Q11" s="34" t="s">
        <v>23</v>
      </c>
      <c r="R11" s="30" t="s">
        <v>24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8" t="s">
        <v>302</v>
      </c>
      <c r="B12" s="8" t="s">
        <v>930</v>
      </c>
      <c r="C12" s="9">
        <v>0.1736111111111111</v>
      </c>
      <c r="D12" s="8" t="s">
        <v>304</v>
      </c>
      <c r="E12" s="8" t="s">
        <v>109</v>
      </c>
      <c r="F12" s="8" t="s">
        <v>720</v>
      </c>
      <c r="G12" s="281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15" t="s">
        <v>302</v>
      </c>
      <c r="B13" s="15" t="s">
        <v>930</v>
      </c>
      <c r="C13" s="16">
        <v>0.1736111111111111</v>
      </c>
      <c r="D13" s="15" t="s">
        <v>33</v>
      </c>
      <c r="E13" s="15" t="s">
        <v>111</v>
      </c>
      <c r="F13" s="15" t="s">
        <v>935</v>
      </c>
      <c r="G13" s="282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273" t="s">
        <v>76</v>
      </c>
      <c r="B14" s="273" t="s">
        <v>936</v>
      </c>
      <c r="C14" s="274">
        <v>2.0833333333333329E-2</v>
      </c>
      <c r="D14" s="273" t="s">
        <v>78</v>
      </c>
      <c r="E14" s="273" t="s">
        <v>38</v>
      </c>
      <c r="F14" s="273" t="s">
        <v>934</v>
      </c>
      <c r="G14" s="283"/>
      <c r="H14" s="248" t="s">
        <v>937</v>
      </c>
      <c r="I14" s="272">
        <v>0.375</v>
      </c>
      <c r="J14" s="250">
        <v>63</v>
      </c>
      <c r="K14" s="251">
        <v>45986</v>
      </c>
      <c r="L14" s="250">
        <v>18</v>
      </c>
      <c r="M14" s="250">
        <v>0</v>
      </c>
      <c r="N14" s="250">
        <v>3</v>
      </c>
      <c r="O14" s="252" t="s">
        <v>452</v>
      </c>
      <c r="P14" s="253">
        <v>2.0833333333333329E-2</v>
      </c>
      <c r="Q14" s="250">
        <v>168</v>
      </c>
      <c r="R14" s="254" t="s">
        <v>938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75"/>
      <c r="B15" s="276"/>
      <c r="C15" s="276"/>
      <c r="D15" s="276"/>
      <c r="E15" s="276"/>
      <c r="F15" s="276"/>
      <c r="G15" s="277"/>
      <c r="H15" s="278"/>
      <c r="I15" s="278"/>
      <c r="J15" s="278"/>
      <c r="K15" s="278"/>
      <c r="L15" s="278"/>
      <c r="M15" s="278"/>
      <c r="N15" s="278"/>
      <c r="O15" s="279"/>
      <c r="P15" s="278"/>
      <c r="Q15" s="277"/>
      <c r="R15" s="280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89" t="s">
        <v>5</v>
      </c>
      <c r="B16" s="290"/>
      <c r="C16" s="290"/>
      <c r="D16" s="290"/>
      <c r="E16" s="290"/>
      <c r="F16" s="290"/>
      <c r="G16" s="5">
        <v>45990</v>
      </c>
      <c r="H16" s="286" t="s">
        <v>6</v>
      </c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0" t="s">
        <v>7</v>
      </c>
      <c r="B17" s="30" t="s">
        <v>8</v>
      </c>
      <c r="C17" s="31" t="s">
        <v>9</v>
      </c>
      <c r="D17" s="30" t="s">
        <v>10</v>
      </c>
      <c r="E17" s="30" t="s">
        <v>11</v>
      </c>
      <c r="F17" s="30" t="s">
        <v>12</v>
      </c>
      <c r="G17" s="32" t="s">
        <v>13</v>
      </c>
      <c r="H17" s="30" t="s">
        <v>14</v>
      </c>
      <c r="I17" s="33" t="s">
        <v>15</v>
      </c>
      <c r="J17" s="34" t="s">
        <v>16</v>
      </c>
      <c r="K17" s="35" t="s">
        <v>17</v>
      </c>
      <c r="L17" s="34" t="s">
        <v>18</v>
      </c>
      <c r="M17" s="34" t="s">
        <v>19</v>
      </c>
      <c r="N17" s="34" t="s">
        <v>20</v>
      </c>
      <c r="O17" s="30" t="s">
        <v>21</v>
      </c>
      <c r="P17" s="31" t="s">
        <v>22</v>
      </c>
      <c r="Q17" s="34" t="s">
        <v>23</v>
      </c>
      <c r="R17" s="30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27" t="s">
        <v>300</v>
      </c>
      <c r="B18" s="227" t="s">
        <v>933</v>
      </c>
      <c r="C18" s="228">
        <v>0.54166666666666663</v>
      </c>
      <c r="D18" s="227" t="s">
        <v>78</v>
      </c>
      <c r="E18" s="227" t="s">
        <v>50</v>
      </c>
      <c r="F18" s="227" t="s">
        <v>934</v>
      </c>
      <c r="G18" s="305"/>
      <c r="H18" s="38"/>
      <c r="I18" s="39"/>
      <c r="J18" s="39"/>
      <c r="K18" s="39"/>
      <c r="L18" s="39"/>
      <c r="M18" s="39"/>
      <c r="N18" s="39"/>
      <c r="O18" s="40"/>
      <c r="P18" s="39"/>
      <c r="Q18" s="41"/>
      <c r="R18" s="4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5"/>
      <c r="B19" s="276"/>
      <c r="C19" s="276"/>
      <c r="D19" s="276"/>
      <c r="E19" s="276"/>
      <c r="F19" s="276"/>
      <c r="G19" s="277"/>
      <c r="H19" s="278"/>
      <c r="I19" s="278"/>
      <c r="J19" s="278"/>
      <c r="K19" s="278"/>
      <c r="L19" s="278"/>
      <c r="M19" s="278"/>
      <c r="N19" s="278"/>
      <c r="O19" s="279"/>
      <c r="P19" s="278"/>
      <c r="Q19" s="277"/>
      <c r="R19" s="280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9" t="s">
        <v>5</v>
      </c>
      <c r="B20" s="290"/>
      <c r="C20" s="290"/>
      <c r="D20" s="290"/>
      <c r="E20" s="290"/>
      <c r="F20" s="290"/>
      <c r="G20" s="5">
        <v>45991</v>
      </c>
      <c r="H20" s="286" t="s">
        <v>6</v>
      </c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0" t="s">
        <v>7</v>
      </c>
      <c r="B21" s="30" t="s">
        <v>8</v>
      </c>
      <c r="C21" s="31" t="s">
        <v>9</v>
      </c>
      <c r="D21" s="30" t="s">
        <v>10</v>
      </c>
      <c r="E21" s="30" t="s">
        <v>11</v>
      </c>
      <c r="F21" s="30" t="s">
        <v>12</v>
      </c>
      <c r="G21" s="32" t="s">
        <v>13</v>
      </c>
      <c r="H21" s="30" t="s">
        <v>14</v>
      </c>
      <c r="I21" s="33" t="s">
        <v>15</v>
      </c>
      <c r="J21" s="34" t="s">
        <v>16</v>
      </c>
      <c r="K21" s="35" t="s">
        <v>17</v>
      </c>
      <c r="L21" s="34" t="s">
        <v>18</v>
      </c>
      <c r="M21" s="34" t="s">
        <v>19</v>
      </c>
      <c r="N21" s="34" t="s">
        <v>20</v>
      </c>
      <c r="O21" s="30" t="s">
        <v>21</v>
      </c>
      <c r="P21" s="31" t="s">
        <v>22</v>
      </c>
      <c r="Q21" s="34" t="s">
        <v>23</v>
      </c>
      <c r="R21" s="30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49.95" customHeight="1" x14ac:dyDescent="0.3">
      <c r="A22" s="216" t="s">
        <v>76</v>
      </c>
      <c r="B22" s="216" t="s">
        <v>936</v>
      </c>
      <c r="C22" s="217">
        <v>2.0833333333333329E-2</v>
      </c>
      <c r="D22" s="216" t="s">
        <v>78</v>
      </c>
      <c r="E22" s="216" t="s">
        <v>202</v>
      </c>
      <c r="F22" s="216" t="s">
        <v>939</v>
      </c>
      <c r="G22" s="305"/>
      <c r="H22" s="23" t="s">
        <v>937</v>
      </c>
      <c r="I22" s="241">
        <v>0.34520000000000001</v>
      </c>
      <c r="J22" s="25">
        <v>58</v>
      </c>
      <c r="K22" s="26">
        <v>45987</v>
      </c>
      <c r="L22" s="25">
        <v>18</v>
      </c>
      <c r="M22" s="25">
        <v>3</v>
      </c>
      <c r="N22" s="25">
        <v>4</v>
      </c>
      <c r="O22" s="27" t="s">
        <v>445</v>
      </c>
      <c r="P22" s="28">
        <v>2.0833333333333329E-2</v>
      </c>
      <c r="Q22" s="25">
        <v>168</v>
      </c>
      <c r="R22" s="29" t="s">
        <v>940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4.4" customHeight="1" x14ac:dyDescent="0.3">
      <c r="A23" s="288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80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</sheetData>
  <mergeCells count="25">
    <mergeCell ref="O1:Q1"/>
    <mergeCell ref="H20:R20"/>
    <mergeCell ref="H10:R10"/>
    <mergeCell ref="H4:R4"/>
    <mergeCell ref="A2:F2"/>
    <mergeCell ref="A3:R3"/>
    <mergeCell ref="G2:J2"/>
    <mergeCell ref="A4:F4"/>
    <mergeCell ref="A16:F16"/>
    <mergeCell ref="A23:R23"/>
    <mergeCell ref="A20:F20"/>
    <mergeCell ref="J1:M1"/>
    <mergeCell ref="G12:G14"/>
    <mergeCell ref="A10:F10"/>
    <mergeCell ref="A19:R19"/>
    <mergeCell ref="H16:R16"/>
    <mergeCell ref="K2:R2"/>
    <mergeCell ref="A9:R9"/>
    <mergeCell ref="D1:F1"/>
    <mergeCell ref="G18"/>
    <mergeCell ref="A15:R15"/>
    <mergeCell ref="A1:C1"/>
    <mergeCell ref="G1:H1"/>
    <mergeCell ref="G6:G8"/>
    <mergeCell ref="G2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2" t="s">
        <v>123</v>
      </c>
      <c r="B1" s="62" t="s">
        <v>124</v>
      </c>
      <c r="C1" s="62" t="s">
        <v>125</v>
      </c>
      <c r="D1" s="62" t="s">
        <v>22</v>
      </c>
      <c r="E1" s="62" t="s">
        <v>126</v>
      </c>
      <c r="F1" s="62" t="s">
        <v>127</v>
      </c>
      <c r="G1" s="62" t="s">
        <v>128</v>
      </c>
      <c r="H1" s="62" t="s">
        <v>129</v>
      </c>
      <c r="I1" s="62" t="s">
        <v>130</v>
      </c>
      <c r="J1" s="62" t="s">
        <v>131</v>
      </c>
      <c r="K1" s="62" t="s">
        <v>17</v>
      </c>
      <c r="L1" s="62" t="s">
        <v>19</v>
      </c>
      <c r="M1" s="62" t="s">
        <v>20</v>
      </c>
      <c r="N1" s="62" t="s">
        <v>18</v>
      </c>
      <c r="O1" s="62" t="s">
        <v>21</v>
      </c>
      <c r="P1" s="62" t="s">
        <v>132</v>
      </c>
      <c r="Q1" s="62" t="s">
        <v>133</v>
      </c>
      <c r="R1" s="62" t="s">
        <v>134</v>
      </c>
      <c r="S1" s="62" t="s">
        <v>135</v>
      </c>
      <c r="T1" s="62" t="s">
        <v>136</v>
      </c>
      <c r="U1" s="62" t="s">
        <v>137</v>
      </c>
      <c r="V1" s="62" t="s">
        <v>138</v>
      </c>
      <c r="W1" s="62" t="s">
        <v>139</v>
      </c>
      <c r="X1" s="62" t="s">
        <v>140</v>
      </c>
      <c r="Y1" s="62" t="s">
        <v>141</v>
      </c>
      <c r="Z1" s="62" t="s">
        <v>142</v>
      </c>
      <c r="AA1" s="62" t="s">
        <v>143</v>
      </c>
      <c r="AB1" s="62" t="s">
        <v>144</v>
      </c>
      <c r="AC1" s="62" t="s">
        <v>145</v>
      </c>
      <c r="AD1" s="62" t="s">
        <v>146</v>
      </c>
      <c r="AE1" s="62" t="s">
        <v>147</v>
      </c>
      <c r="AF1" s="62" t="s">
        <v>148</v>
      </c>
      <c r="AG1" s="62" t="s">
        <v>149</v>
      </c>
      <c r="AH1" s="62" t="s">
        <v>150</v>
      </c>
      <c r="AI1" s="62" t="s">
        <v>151</v>
      </c>
    </row>
    <row r="2" spans="1:35" ht="18" x14ac:dyDescent="0.3">
      <c r="A2" s="63" t="s">
        <v>417</v>
      </c>
      <c r="B2" s="64">
        <v>45989</v>
      </c>
      <c r="C2" s="65" t="s">
        <v>937</v>
      </c>
      <c r="D2" s="66">
        <v>2.0833333333333329E-2</v>
      </c>
      <c r="E2" s="65" t="s">
        <v>929</v>
      </c>
      <c r="F2" s="65" t="s">
        <v>153</v>
      </c>
      <c r="G2" s="67">
        <v>0.375</v>
      </c>
      <c r="H2" s="68">
        <v>168</v>
      </c>
      <c r="I2" s="68">
        <v>63</v>
      </c>
      <c r="J2" s="68">
        <v>0</v>
      </c>
      <c r="K2" s="64">
        <v>45986</v>
      </c>
      <c r="L2" s="68">
        <v>0</v>
      </c>
      <c r="M2" s="68">
        <v>3</v>
      </c>
      <c r="N2" s="68">
        <v>18</v>
      </c>
      <c r="O2" s="65" t="s">
        <v>452</v>
      </c>
      <c r="P2" s="69"/>
      <c r="Q2" s="69"/>
      <c r="R2" s="69"/>
      <c r="S2" s="69"/>
      <c r="T2" s="69"/>
      <c r="U2" s="69"/>
      <c r="V2" s="69"/>
      <c r="W2" s="69"/>
      <c r="X2" s="68" t="s">
        <v>163</v>
      </c>
      <c r="Y2" s="68" t="s">
        <v>156</v>
      </c>
      <c r="Z2" s="68" t="s">
        <v>854</v>
      </c>
      <c r="AA2" s="68" t="s">
        <v>596</v>
      </c>
      <c r="AB2" s="68" t="s">
        <v>941</v>
      </c>
      <c r="AC2" s="68" t="s">
        <v>942</v>
      </c>
      <c r="AD2" s="69"/>
      <c r="AE2" s="69"/>
      <c r="AF2" s="69"/>
      <c r="AG2" s="69"/>
      <c r="AH2" s="69"/>
      <c r="AI2" s="69"/>
    </row>
    <row r="3" spans="1:35" ht="18" x14ac:dyDescent="0.3">
      <c r="A3" s="70" t="s">
        <v>168</v>
      </c>
      <c r="B3" s="71">
        <v>45991</v>
      </c>
      <c r="C3" s="72" t="s">
        <v>937</v>
      </c>
      <c r="D3" s="73">
        <v>2.0833333333333329E-2</v>
      </c>
      <c r="E3" s="72" t="s">
        <v>929</v>
      </c>
      <c r="F3" s="72" t="s">
        <v>153</v>
      </c>
      <c r="G3" s="74">
        <v>0.34520000000000001</v>
      </c>
      <c r="H3" s="75">
        <v>168</v>
      </c>
      <c r="I3" s="75">
        <v>58</v>
      </c>
      <c r="J3" s="75">
        <v>0</v>
      </c>
      <c r="K3" s="71">
        <v>45987</v>
      </c>
      <c r="L3" s="75">
        <v>3</v>
      </c>
      <c r="M3" s="75">
        <v>4</v>
      </c>
      <c r="N3" s="75">
        <v>18</v>
      </c>
      <c r="O3" s="72" t="s">
        <v>445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5" t="s">
        <v>943</v>
      </c>
      <c r="AC3" s="75" t="s">
        <v>944</v>
      </c>
      <c r="AD3" s="75" t="s">
        <v>945</v>
      </c>
      <c r="AE3" s="75" t="s">
        <v>461</v>
      </c>
      <c r="AF3" s="76"/>
      <c r="AG3" s="76"/>
      <c r="AH3" s="76"/>
      <c r="AI3" s="76"/>
    </row>
    <row r="4" spans="1:35" ht="18" x14ac:dyDescent="0.3">
      <c r="A4" s="77" t="s">
        <v>178</v>
      </c>
      <c r="B4" s="78"/>
      <c r="C4" s="79">
        <f>COUNTA(C2:C3)</f>
        <v>2</v>
      </c>
      <c r="D4" s="78"/>
      <c r="E4" s="78"/>
      <c r="F4" s="78"/>
      <c r="G4" s="80">
        <f>AVERAGE(G2:G3)</f>
        <v>0.36009999999999998</v>
      </c>
      <c r="H4" s="81">
        <f>SUM(H2:H3)</f>
        <v>336</v>
      </c>
      <c r="I4" s="81">
        <f>SUM(I2:I3)</f>
        <v>121</v>
      </c>
      <c r="J4" s="81">
        <f>SUM(J2:J3)</f>
        <v>0</v>
      </c>
      <c r="K4" s="78"/>
      <c r="L4" s="81">
        <f>SUM(L2:L3)</f>
        <v>3</v>
      </c>
      <c r="M4" s="81">
        <f>SUM(M2:M3)</f>
        <v>7</v>
      </c>
      <c r="N4" s="81">
        <f>SUM(N2:N3)</f>
        <v>36</v>
      </c>
      <c r="O4" s="78"/>
      <c r="P4" s="81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1">
        <f t="shared" si="0"/>
        <v>0</v>
      </c>
      <c r="R4" s="81">
        <f t="shared" si="0"/>
        <v>0</v>
      </c>
      <c r="S4" s="81">
        <f t="shared" si="0"/>
        <v>0</v>
      </c>
      <c r="T4" s="81">
        <f t="shared" si="0"/>
        <v>0</v>
      </c>
      <c r="U4" s="81">
        <f t="shared" si="0"/>
        <v>0</v>
      </c>
      <c r="V4" s="81">
        <f t="shared" si="0"/>
        <v>0</v>
      </c>
      <c r="W4" s="81">
        <f t="shared" si="0"/>
        <v>0</v>
      </c>
      <c r="X4" s="81">
        <f t="shared" si="0"/>
        <v>0</v>
      </c>
      <c r="Y4" s="81">
        <f t="shared" si="0"/>
        <v>0</v>
      </c>
      <c r="Z4" s="81">
        <f t="shared" si="0"/>
        <v>0</v>
      </c>
      <c r="AA4" s="81">
        <f t="shared" si="0"/>
        <v>0</v>
      </c>
      <c r="AB4" s="81">
        <f t="shared" si="0"/>
        <v>0</v>
      </c>
      <c r="AC4" s="81">
        <f t="shared" si="0"/>
        <v>0</v>
      </c>
      <c r="AD4" s="81">
        <f t="shared" si="0"/>
        <v>0</v>
      </c>
      <c r="AE4" s="81">
        <f t="shared" si="0"/>
        <v>0</v>
      </c>
      <c r="AF4" s="81">
        <f t="shared" si="0"/>
        <v>0</v>
      </c>
      <c r="AG4" s="81">
        <f t="shared" si="0"/>
        <v>0</v>
      </c>
      <c r="AH4" s="81">
        <f t="shared" si="0"/>
        <v>0</v>
      </c>
      <c r="AI4" s="81">
        <f t="shared" si="0"/>
        <v>0</v>
      </c>
    </row>
  </sheetData>
  <autoFilter ref="A1:AI3" xr:uid="{00000000-0009-0000-0000-000047000000}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9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2" t="s">
        <v>179</v>
      </c>
      <c r="B1" s="82" t="s">
        <v>7</v>
      </c>
      <c r="C1" s="82" t="s">
        <v>8</v>
      </c>
      <c r="D1" s="82" t="s">
        <v>180</v>
      </c>
      <c r="E1" s="82" t="s">
        <v>9</v>
      </c>
      <c r="F1" s="82" t="s">
        <v>10</v>
      </c>
      <c r="G1" s="82" t="s">
        <v>11</v>
      </c>
      <c r="H1" s="82" t="s">
        <v>12</v>
      </c>
    </row>
    <row r="2" spans="1:8" ht="18" x14ac:dyDescent="0.3">
      <c r="A2" s="83">
        <v>45988</v>
      </c>
      <c r="B2" s="84" t="s">
        <v>302</v>
      </c>
      <c r="C2" s="85" t="s">
        <v>930</v>
      </c>
      <c r="D2" s="84" t="s">
        <v>929</v>
      </c>
      <c r="E2" s="86">
        <v>1.1875</v>
      </c>
      <c r="F2" s="84" t="s">
        <v>304</v>
      </c>
      <c r="G2" s="87">
        <v>9</v>
      </c>
      <c r="H2" s="88">
        <v>562</v>
      </c>
    </row>
    <row r="3" spans="1:8" ht="18" x14ac:dyDescent="0.3">
      <c r="A3" s="89">
        <v>45988</v>
      </c>
      <c r="B3" s="90" t="s">
        <v>302</v>
      </c>
      <c r="C3" s="91" t="s">
        <v>930</v>
      </c>
      <c r="D3" s="90" t="s">
        <v>929</v>
      </c>
      <c r="E3" s="92">
        <v>1.1875</v>
      </c>
      <c r="F3" s="90" t="s">
        <v>33</v>
      </c>
      <c r="G3" s="93">
        <v>9</v>
      </c>
      <c r="H3" s="94">
        <v>686</v>
      </c>
    </row>
    <row r="4" spans="1:8" ht="18" x14ac:dyDescent="0.3">
      <c r="A4" s="155">
        <v>45988</v>
      </c>
      <c r="B4" s="156" t="s">
        <v>300</v>
      </c>
      <c r="C4" s="157" t="s">
        <v>933</v>
      </c>
      <c r="D4" s="156" t="s">
        <v>929</v>
      </c>
      <c r="E4" s="158">
        <v>1.541666666666667</v>
      </c>
      <c r="F4" s="156" t="s">
        <v>78</v>
      </c>
      <c r="G4" s="159">
        <v>9</v>
      </c>
      <c r="H4" s="244">
        <v>621</v>
      </c>
    </row>
    <row r="5" spans="1:8" ht="18" x14ac:dyDescent="0.3">
      <c r="A5" s="83">
        <v>45989</v>
      </c>
      <c r="B5" s="84" t="s">
        <v>302</v>
      </c>
      <c r="C5" s="85" t="s">
        <v>930</v>
      </c>
      <c r="D5" s="84" t="s">
        <v>929</v>
      </c>
      <c r="E5" s="86">
        <v>1.1736111111111109</v>
      </c>
      <c r="F5" s="84" t="s">
        <v>304</v>
      </c>
      <c r="G5" s="87">
        <v>9</v>
      </c>
      <c r="H5" s="88">
        <v>545</v>
      </c>
    </row>
    <row r="6" spans="1:8" ht="18" x14ac:dyDescent="0.3">
      <c r="A6" s="89">
        <v>45989</v>
      </c>
      <c r="B6" s="90" t="s">
        <v>302</v>
      </c>
      <c r="C6" s="91" t="s">
        <v>930</v>
      </c>
      <c r="D6" s="90" t="s">
        <v>929</v>
      </c>
      <c r="E6" s="92">
        <v>1.1736111111111109</v>
      </c>
      <c r="F6" s="90" t="s">
        <v>33</v>
      </c>
      <c r="G6" s="93">
        <v>9</v>
      </c>
      <c r="H6" s="94">
        <v>669</v>
      </c>
    </row>
    <row r="7" spans="1:8" ht="18" x14ac:dyDescent="0.3">
      <c r="A7" s="103">
        <v>45989</v>
      </c>
      <c r="B7" s="104" t="s">
        <v>76</v>
      </c>
      <c r="C7" s="105" t="s">
        <v>936</v>
      </c>
      <c r="D7" s="104" t="s">
        <v>929</v>
      </c>
      <c r="E7" s="106">
        <v>1.020833333333333</v>
      </c>
      <c r="F7" s="104" t="s">
        <v>78</v>
      </c>
      <c r="G7" s="107">
        <v>9</v>
      </c>
      <c r="H7" s="239">
        <v>621</v>
      </c>
    </row>
    <row r="8" spans="1:8" ht="18" x14ac:dyDescent="0.3">
      <c r="A8" s="229">
        <v>45990</v>
      </c>
      <c r="B8" s="156" t="s">
        <v>300</v>
      </c>
      <c r="C8" s="157" t="s">
        <v>933</v>
      </c>
      <c r="D8" s="156" t="s">
        <v>929</v>
      </c>
      <c r="E8" s="158">
        <v>1.541666666666667</v>
      </c>
      <c r="F8" s="156" t="s">
        <v>78</v>
      </c>
      <c r="G8" s="159">
        <v>1</v>
      </c>
      <c r="H8" s="230">
        <v>621</v>
      </c>
    </row>
    <row r="9" spans="1:8" ht="18" x14ac:dyDescent="0.3">
      <c r="A9" s="242">
        <v>45991</v>
      </c>
      <c r="B9" s="104" t="s">
        <v>76</v>
      </c>
      <c r="C9" s="105" t="s">
        <v>936</v>
      </c>
      <c r="D9" s="104" t="s">
        <v>929</v>
      </c>
      <c r="E9" s="106">
        <v>1.020833333333333</v>
      </c>
      <c r="F9" s="104" t="s">
        <v>78</v>
      </c>
      <c r="G9" s="107">
        <v>3</v>
      </c>
      <c r="H9" s="246">
        <v>578</v>
      </c>
    </row>
  </sheetData>
  <dataValidations count="2">
    <dataValidation type="custom" allowBlank="1" showInputMessage="1" promptTitle="LOAD FACTOR ANALYSIS" prompt="SM-330_x000d__x000a_LF 37.5%_x000d__x000a_SOLD 63_x000d__x000a_LST-SOLD 25NOV_x000d__x000a_WEEKLY 18_x000d__x000a_TO-DAY NIL_x000d__x000a_Y-DAY 3_x000d__x000a_LOWEST AVAIL T9_x000d__x000a_CAPACITY 168_x000d__x000a_CLASSES G2 &amp; S1 &amp; W5 &amp; +3 more" sqref="A7 B7 C7 D7 E7 F7 G7 H7" xr:uid="{00000000-0002-0000-4800-000000000000}">
      <formula1>TRUE</formula1>
    </dataValidation>
    <dataValidation type="custom" allowBlank="1" showInputMessage="1" promptTitle="LOAD FACTOR ANALYSIS" prompt="SM-330_x000d__x000a_LF 34.5%_x000d__x000a_SOLD 58_x000d__x000a_LST-SOLD 26NOV_x000d__x000a_WEEKLY 18_x000d__x000a_TO-DAY 3_x000d__x000a_Y-DAY 4_x000d__x000a_LOWEST AVAIL X3_x000d__x000a_CAPACITY 168_x000d__x000a_CLASSES X14 &amp; U34 &amp; O5 &amp; +1 more" sqref="A9 B9 C9 D9 E9 F9 G9 H9" xr:uid="{00000000-0002-0000-48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I73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118" t="s">
        <v>123</v>
      </c>
      <c r="B1" s="118" t="s">
        <v>124</v>
      </c>
      <c r="C1" s="118" t="s">
        <v>125</v>
      </c>
      <c r="D1" s="118" t="s">
        <v>22</v>
      </c>
      <c r="E1" s="118" t="s">
        <v>126</v>
      </c>
      <c r="F1" s="118" t="s">
        <v>127</v>
      </c>
      <c r="G1" s="118" t="s">
        <v>15</v>
      </c>
      <c r="H1" s="118" t="s">
        <v>129</v>
      </c>
      <c r="I1" s="118" t="s">
        <v>130</v>
      </c>
      <c r="J1" s="118" t="s">
        <v>131</v>
      </c>
      <c r="K1" s="118" t="s">
        <v>17</v>
      </c>
      <c r="L1" s="118" t="s">
        <v>19</v>
      </c>
      <c r="M1" s="118" t="s">
        <v>20</v>
      </c>
      <c r="N1" s="118" t="s">
        <v>18</v>
      </c>
      <c r="O1" s="118" t="s">
        <v>21</v>
      </c>
      <c r="P1" s="118" t="s">
        <v>132</v>
      </c>
      <c r="Q1" s="118" t="s">
        <v>133</v>
      </c>
      <c r="R1" s="118" t="s">
        <v>134</v>
      </c>
      <c r="S1" s="118" t="s">
        <v>135</v>
      </c>
      <c r="T1" s="118" t="s">
        <v>136</v>
      </c>
      <c r="U1" s="118" t="s">
        <v>137</v>
      </c>
      <c r="V1" s="118" t="s">
        <v>138</v>
      </c>
      <c r="W1" s="118" t="s">
        <v>139</v>
      </c>
      <c r="X1" s="118" t="s">
        <v>140</v>
      </c>
      <c r="Y1" s="118" t="s">
        <v>141</v>
      </c>
      <c r="Z1" s="118" t="s">
        <v>142</v>
      </c>
      <c r="AA1" s="118" t="s">
        <v>143</v>
      </c>
      <c r="AB1" s="118" t="s">
        <v>144</v>
      </c>
      <c r="AC1" s="118" t="s">
        <v>145</v>
      </c>
      <c r="AD1" s="118" t="s">
        <v>146</v>
      </c>
      <c r="AE1" s="118" t="s">
        <v>147</v>
      </c>
      <c r="AF1" s="118" t="s">
        <v>148</v>
      </c>
      <c r="AG1" s="118" t="s">
        <v>149</v>
      </c>
      <c r="AH1" s="118" t="s">
        <v>150</v>
      </c>
      <c r="AI1" s="118" t="s">
        <v>151</v>
      </c>
    </row>
    <row r="2" spans="1:35" ht="18" x14ac:dyDescent="0.3">
      <c r="A2" s="119" t="s">
        <v>181</v>
      </c>
      <c r="B2" s="120">
        <v>45988</v>
      </c>
      <c r="C2" s="99" t="s">
        <v>812</v>
      </c>
      <c r="D2" s="121">
        <v>0.86458333333333337</v>
      </c>
      <c r="E2" s="99" t="s">
        <v>811</v>
      </c>
      <c r="F2" s="99" t="s">
        <v>153</v>
      </c>
      <c r="G2" s="122">
        <v>0.4345</v>
      </c>
      <c r="H2" s="101">
        <v>168</v>
      </c>
      <c r="I2" s="101">
        <v>73</v>
      </c>
      <c r="J2" s="101">
        <v>0</v>
      </c>
      <c r="K2" s="120">
        <v>45987</v>
      </c>
      <c r="L2" s="101">
        <v>1</v>
      </c>
      <c r="M2" s="101">
        <v>10</v>
      </c>
      <c r="N2" s="101">
        <v>27</v>
      </c>
      <c r="O2" s="99" t="s">
        <v>280</v>
      </c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101">
        <v>1</v>
      </c>
      <c r="AC2" s="101">
        <v>3</v>
      </c>
      <c r="AD2" s="101">
        <v>41</v>
      </c>
      <c r="AE2" s="101">
        <v>28</v>
      </c>
      <c r="AF2" s="98"/>
      <c r="AG2" s="98"/>
      <c r="AH2" s="98"/>
      <c r="AI2" s="98"/>
    </row>
    <row r="3" spans="1:35" ht="18" x14ac:dyDescent="0.3">
      <c r="A3" s="119" t="s">
        <v>182</v>
      </c>
      <c r="B3" s="120">
        <v>45990</v>
      </c>
      <c r="C3" s="99" t="s">
        <v>812</v>
      </c>
      <c r="D3" s="121">
        <v>0.98958333333333337</v>
      </c>
      <c r="E3" s="99" t="s">
        <v>811</v>
      </c>
      <c r="F3" s="99" t="s">
        <v>153</v>
      </c>
      <c r="G3" s="122">
        <v>0.19639999999999999</v>
      </c>
      <c r="H3" s="101">
        <v>168</v>
      </c>
      <c r="I3" s="101">
        <v>33</v>
      </c>
      <c r="J3" s="101">
        <v>0</v>
      </c>
      <c r="K3" s="120">
        <v>45985</v>
      </c>
      <c r="L3" s="101">
        <v>0</v>
      </c>
      <c r="M3" s="101">
        <v>0</v>
      </c>
      <c r="N3" s="101">
        <v>13</v>
      </c>
      <c r="O3" s="99" t="s">
        <v>280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101">
        <v>18</v>
      </c>
      <c r="AE3" s="101">
        <v>15</v>
      </c>
      <c r="AF3" s="98"/>
      <c r="AG3" s="98"/>
      <c r="AH3" s="98"/>
      <c r="AI3" s="98"/>
    </row>
    <row r="4" spans="1:35" ht="18" x14ac:dyDescent="0.3">
      <c r="A4" s="119" t="s">
        <v>946</v>
      </c>
      <c r="B4" s="120">
        <v>45989</v>
      </c>
      <c r="C4" s="99" t="s">
        <v>833</v>
      </c>
      <c r="D4" s="121">
        <v>0.51736111111111105</v>
      </c>
      <c r="E4" s="99" t="s">
        <v>830</v>
      </c>
      <c r="F4" s="99" t="s">
        <v>153</v>
      </c>
      <c r="G4" s="122">
        <v>0.53569999999999995</v>
      </c>
      <c r="H4" s="101">
        <v>168</v>
      </c>
      <c r="I4" s="101">
        <v>90</v>
      </c>
      <c r="J4" s="101">
        <v>0</v>
      </c>
      <c r="K4" s="120">
        <v>45986</v>
      </c>
      <c r="L4" s="101">
        <v>0</v>
      </c>
      <c r="M4" s="101">
        <v>11</v>
      </c>
      <c r="N4" s="101">
        <v>59</v>
      </c>
      <c r="O4" s="99" t="s">
        <v>587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101">
        <v>2</v>
      </c>
      <c r="AC4" s="101">
        <v>10</v>
      </c>
      <c r="AD4" s="101">
        <v>68</v>
      </c>
      <c r="AE4" s="101">
        <v>10</v>
      </c>
      <c r="AF4" s="98"/>
      <c r="AG4" s="98"/>
      <c r="AH4" s="98"/>
      <c r="AI4" s="98"/>
    </row>
    <row r="5" spans="1:35" ht="18" x14ac:dyDescent="0.3">
      <c r="A5" s="119" t="s">
        <v>946</v>
      </c>
      <c r="B5" s="120">
        <v>45989</v>
      </c>
      <c r="C5" s="99" t="s">
        <v>937</v>
      </c>
      <c r="D5" s="121">
        <v>2.0833333333333329E-2</v>
      </c>
      <c r="E5" s="99" t="s">
        <v>929</v>
      </c>
      <c r="F5" s="99" t="s">
        <v>153</v>
      </c>
      <c r="G5" s="122">
        <v>0.375</v>
      </c>
      <c r="H5" s="101">
        <v>168</v>
      </c>
      <c r="I5" s="101">
        <v>63</v>
      </c>
      <c r="J5" s="101">
        <v>0</v>
      </c>
      <c r="K5" s="120">
        <v>45986</v>
      </c>
      <c r="L5" s="101">
        <v>0</v>
      </c>
      <c r="M5" s="101">
        <v>3</v>
      </c>
      <c r="N5" s="101">
        <v>18</v>
      </c>
      <c r="O5" s="99" t="s">
        <v>452</v>
      </c>
      <c r="P5" s="98"/>
      <c r="Q5" s="98"/>
      <c r="R5" s="98"/>
      <c r="S5" s="98"/>
      <c r="T5" s="98"/>
      <c r="U5" s="98"/>
      <c r="V5" s="98"/>
      <c r="W5" s="98"/>
      <c r="X5" s="101">
        <v>2</v>
      </c>
      <c r="Y5" s="101">
        <v>1</v>
      </c>
      <c r="Z5" s="101">
        <v>5</v>
      </c>
      <c r="AA5" s="101">
        <v>2</v>
      </c>
      <c r="AB5" s="101">
        <v>18</v>
      </c>
      <c r="AC5" s="101">
        <v>35</v>
      </c>
      <c r="AD5" s="98"/>
      <c r="AE5" s="98"/>
      <c r="AF5" s="98"/>
      <c r="AG5" s="98"/>
      <c r="AH5" s="98"/>
      <c r="AI5" s="98"/>
    </row>
    <row r="6" spans="1:35" ht="18" x14ac:dyDescent="0.3">
      <c r="A6" s="119" t="s">
        <v>183</v>
      </c>
      <c r="B6" s="120">
        <v>45991</v>
      </c>
      <c r="C6" s="99" t="s">
        <v>937</v>
      </c>
      <c r="D6" s="121">
        <v>2.0833333333333329E-2</v>
      </c>
      <c r="E6" s="99" t="s">
        <v>929</v>
      </c>
      <c r="F6" s="99" t="s">
        <v>153</v>
      </c>
      <c r="G6" s="122">
        <v>0.34520000000000001</v>
      </c>
      <c r="H6" s="101">
        <v>168</v>
      </c>
      <c r="I6" s="101">
        <v>58</v>
      </c>
      <c r="J6" s="101">
        <v>0</v>
      </c>
      <c r="K6" s="120">
        <v>45987</v>
      </c>
      <c r="L6" s="101">
        <v>3</v>
      </c>
      <c r="M6" s="101">
        <v>4</v>
      </c>
      <c r="N6" s="101">
        <v>18</v>
      </c>
      <c r="O6" s="99" t="s">
        <v>445</v>
      </c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101">
        <v>14</v>
      </c>
      <c r="AC6" s="101">
        <v>34</v>
      </c>
      <c r="AD6" s="101">
        <v>5</v>
      </c>
      <c r="AE6" s="101">
        <v>5</v>
      </c>
      <c r="AF6" s="98"/>
      <c r="AG6" s="98"/>
      <c r="AH6" s="98"/>
      <c r="AI6" s="98"/>
    </row>
    <row r="7" spans="1:35" ht="18" x14ac:dyDescent="0.3">
      <c r="A7" s="119" t="s">
        <v>181</v>
      </c>
      <c r="B7" s="120">
        <v>45988</v>
      </c>
      <c r="C7" s="99" t="s">
        <v>572</v>
      </c>
      <c r="D7" s="121">
        <v>8.3333333333333329E-2</v>
      </c>
      <c r="E7" s="99" t="s">
        <v>570</v>
      </c>
      <c r="F7" s="99" t="s">
        <v>153</v>
      </c>
      <c r="G7" s="122">
        <v>0.38690000000000002</v>
      </c>
      <c r="H7" s="101">
        <v>168</v>
      </c>
      <c r="I7" s="101">
        <v>65</v>
      </c>
      <c r="J7" s="101">
        <v>0</v>
      </c>
      <c r="K7" s="120">
        <v>45987</v>
      </c>
      <c r="L7" s="101">
        <v>6</v>
      </c>
      <c r="M7" s="101">
        <v>16</v>
      </c>
      <c r="N7" s="101">
        <v>44</v>
      </c>
      <c r="O7" s="99" t="s">
        <v>158</v>
      </c>
      <c r="P7" s="98"/>
      <c r="Q7" s="98"/>
      <c r="R7" s="98"/>
      <c r="S7" s="98"/>
      <c r="T7" s="98"/>
      <c r="U7" s="98"/>
      <c r="V7" s="98"/>
      <c r="W7" s="98"/>
      <c r="X7" s="98"/>
      <c r="Y7" s="101">
        <v>1</v>
      </c>
      <c r="Z7" s="98"/>
      <c r="AA7" s="98"/>
      <c r="AB7" s="98"/>
      <c r="AC7" s="101">
        <v>8</v>
      </c>
      <c r="AD7" s="101">
        <v>11</v>
      </c>
      <c r="AE7" s="101">
        <v>45</v>
      </c>
      <c r="AF7" s="98"/>
      <c r="AG7" s="98"/>
      <c r="AH7" s="98"/>
      <c r="AI7" s="98"/>
    </row>
    <row r="8" spans="1:35" ht="18" x14ac:dyDescent="0.3">
      <c r="A8" s="119" t="s">
        <v>181</v>
      </c>
      <c r="B8" s="120">
        <v>45988</v>
      </c>
      <c r="C8" s="99" t="s">
        <v>279</v>
      </c>
      <c r="D8" s="121">
        <v>4.8611111111111112E-2</v>
      </c>
      <c r="E8" s="99" t="s">
        <v>238</v>
      </c>
      <c r="F8" s="99" t="s">
        <v>153</v>
      </c>
      <c r="G8" s="122">
        <v>0.51959999999999995</v>
      </c>
      <c r="H8" s="101">
        <v>179</v>
      </c>
      <c r="I8" s="101">
        <v>93</v>
      </c>
      <c r="J8" s="101">
        <v>84</v>
      </c>
      <c r="K8" s="120">
        <v>45986</v>
      </c>
      <c r="L8" s="101">
        <v>0</v>
      </c>
      <c r="M8" s="101">
        <v>3</v>
      </c>
      <c r="N8" s="101">
        <v>9</v>
      </c>
      <c r="O8" s="99" t="s">
        <v>280</v>
      </c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101">
        <v>1</v>
      </c>
      <c r="AC8" s="101">
        <v>1</v>
      </c>
      <c r="AD8" s="101">
        <v>4</v>
      </c>
      <c r="AE8" s="101">
        <v>3</v>
      </c>
      <c r="AF8" s="98"/>
      <c r="AG8" s="98"/>
      <c r="AH8" s="101">
        <v>84</v>
      </c>
      <c r="AI8" s="98"/>
    </row>
    <row r="9" spans="1:35" ht="18" x14ac:dyDescent="0.3">
      <c r="A9" s="119" t="s">
        <v>946</v>
      </c>
      <c r="B9" s="120">
        <v>45989</v>
      </c>
      <c r="C9" s="99" t="s">
        <v>279</v>
      </c>
      <c r="D9" s="121">
        <v>0.1145833333333333</v>
      </c>
      <c r="E9" s="99" t="s">
        <v>238</v>
      </c>
      <c r="F9" s="99" t="s">
        <v>153</v>
      </c>
      <c r="G9" s="122">
        <v>0.47489999999999999</v>
      </c>
      <c r="H9" s="101">
        <v>179</v>
      </c>
      <c r="I9" s="101">
        <v>85</v>
      </c>
      <c r="J9" s="101">
        <v>0</v>
      </c>
      <c r="K9" s="120">
        <v>45986</v>
      </c>
      <c r="L9" s="101">
        <v>0</v>
      </c>
      <c r="M9" s="101">
        <v>10</v>
      </c>
      <c r="N9" s="101">
        <v>49</v>
      </c>
      <c r="O9" s="99" t="s">
        <v>352</v>
      </c>
      <c r="P9" s="98"/>
      <c r="Q9" s="101">
        <v>1</v>
      </c>
      <c r="R9" s="98"/>
      <c r="S9" s="98"/>
      <c r="T9" s="98"/>
      <c r="U9" s="98"/>
      <c r="V9" s="98"/>
      <c r="W9" s="98"/>
      <c r="X9" s="98"/>
      <c r="Y9" s="98"/>
      <c r="Z9" s="98"/>
      <c r="AA9" s="98"/>
      <c r="AB9" s="101">
        <v>1</v>
      </c>
      <c r="AC9" s="101">
        <v>4</v>
      </c>
      <c r="AD9" s="101">
        <v>11</v>
      </c>
      <c r="AE9" s="101">
        <v>68</v>
      </c>
      <c r="AF9" s="98"/>
      <c r="AG9" s="98"/>
      <c r="AH9" s="98"/>
      <c r="AI9" s="98"/>
    </row>
    <row r="10" spans="1:35" ht="18" x14ac:dyDescent="0.3">
      <c r="A10" s="119" t="s">
        <v>183</v>
      </c>
      <c r="B10" s="120">
        <v>45991</v>
      </c>
      <c r="C10" s="99" t="s">
        <v>279</v>
      </c>
      <c r="D10" s="121">
        <v>8.3333333333333329E-2</v>
      </c>
      <c r="E10" s="99" t="s">
        <v>238</v>
      </c>
      <c r="F10" s="99" t="s">
        <v>153</v>
      </c>
      <c r="G10" s="122">
        <v>0.72070000000000001</v>
      </c>
      <c r="H10" s="101">
        <v>179</v>
      </c>
      <c r="I10" s="101">
        <v>129</v>
      </c>
      <c r="J10" s="101">
        <v>95</v>
      </c>
      <c r="K10" s="120">
        <v>45986</v>
      </c>
      <c r="L10" s="101">
        <v>0</v>
      </c>
      <c r="M10" s="101">
        <v>9</v>
      </c>
      <c r="N10" s="101">
        <v>17</v>
      </c>
      <c r="O10" s="99" t="s">
        <v>176</v>
      </c>
      <c r="P10" s="98"/>
      <c r="Q10" s="98"/>
      <c r="R10" s="98"/>
      <c r="S10" s="98"/>
      <c r="T10" s="98"/>
      <c r="U10" s="98"/>
      <c r="V10" s="98"/>
      <c r="W10" s="98"/>
      <c r="X10" s="98"/>
      <c r="Y10" s="101">
        <v>2</v>
      </c>
      <c r="Z10" s="101">
        <v>2</v>
      </c>
      <c r="AA10" s="98"/>
      <c r="AB10" s="101">
        <v>3</v>
      </c>
      <c r="AC10" s="101">
        <v>10</v>
      </c>
      <c r="AD10" s="101">
        <v>16</v>
      </c>
      <c r="AE10" s="101">
        <v>1</v>
      </c>
      <c r="AF10" s="98"/>
      <c r="AG10" s="98"/>
      <c r="AH10" s="101">
        <v>95</v>
      </c>
      <c r="AI10" s="98"/>
    </row>
    <row r="11" spans="1:35" ht="18" x14ac:dyDescent="0.3">
      <c r="A11" s="119" t="s">
        <v>181</v>
      </c>
      <c r="B11" s="120">
        <v>45988</v>
      </c>
      <c r="C11" s="99" t="s">
        <v>907</v>
      </c>
      <c r="D11" s="121">
        <v>0.79861111111111116</v>
      </c>
      <c r="E11" s="99" t="s">
        <v>906</v>
      </c>
      <c r="F11" s="99" t="s">
        <v>153</v>
      </c>
      <c r="G11" s="122">
        <v>0.42859999999999998</v>
      </c>
      <c r="H11" s="101">
        <v>168</v>
      </c>
      <c r="I11" s="101">
        <v>72</v>
      </c>
      <c r="J11" s="101">
        <v>0</v>
      </c>
      <c r="K11" s="120">
        <v>45986</v>
      </c>
      <c r="L11" s="101">
        <v>0</v>
      </c>
      <c r="M11" s="101">
        <v>2</v>
      </c>
      <c r="N11" s="101">
        <v>28</v>
      </c>
      <c r="O11" s="99" t="s">
        <v>158</v>
      </c>
      <c r="P11" s="98"/>
      <c r="Q11" s="98"/>
      <c r="R11" s="98"/>
      <c r="S11" s="98"/>
      <c r="T11" s="98"/>
      <c r="U11" s="98"/>
      <c r="V11" s="98"/>
      <c r="W11" s="98"/>
      <c r="X11" s="98"/>
      <c r="Y11" s="101">
        <v>2</v>
      </c>
      <c r="Z11" s="101">
        <v>2</v>
      </c>
      <c r="AA11" s="98"/>
      <c r="AB11" s="98"/>
      <c r="AC11" s="98"/>
      <c r="AD11" s="101">
        <v>22</v>
      </c>
      <c r="AE11" s="101">
        <v>46</v>
      </c>
      <c r="AF11" s="98"/>
      <c r="AG11" s="98"/>
      <c r="AH11" s="98"/>
      <c r="AI11" s="98"/>
    </row>
    <row r="12" spans="1:35" ht="18" x14ac:dyDescent="0.3">
      <c r="A12" s="119" t="s">
        <v>182</v>
      </c>
      <c r="B12" s="120">
        <v>45990</v>
      </c>
      <c r="C12" s="99" t="s">
        <v>907</v>
      </c>
      <c r="D12" s="121">
        <v>6.9444444444444447E-4</v>
      </c>
      <c r="E12" s="99" t="s">
        <v>906</v>
      </c>
      <c r="F12" s="99" t="s">
        <v>153</v>
      </c>
      <c r="G12" s="122">
        <v>0.11310000000000001</v>
      </c>
      <c r="H12" s="101">
        <v>168</v>
      </c>
      <c r="I12" s="101">
        <v>19</v>
      </c>
      <c r="J12" s="101">
        <v>0</v>
      </c>
      <c r="K12" s="120">
        <v>45986</v>
      </c>
      <c r="L12" s="101">
        <v>0</v>
      </c>
      <c r="M12" s="101">
        <v>1</v>
      </c>
      <c r="N12" s="101">
        <v>3</v>
      </c>
      <c r="O12" s="99" t="s">
        <v>158</v>
      </c>
      <c r="P12" s="98"/>
      <c r="Q12" s="98"/>
      <c r="R12" s="98"/>
      <c r="S12" s="98"/>
      <c r="T12" s="98"/>
      <c r="U12" s="98"/>
      <c r="V12" s="98"/>
      <c r="W12" s="98"/>
      <c r="X12" s="98"/>
      <c r="Y12" s="101">
        <v>2</v>
      </c>
      <c r="Z12" s="101">
        <v>4</v>
      </c>
      <c r="AA12" s="98"/>
      <c r="AB12" s="98"/>
      <c r="AC12" s="98"/>
      <c r="AD12" s="101">
        <v>13</v>
      </c>
      <c r="AE12" s="98"/>
      <c r="AF12" s="98"/>
      <c r="AG12" s="98"/>
      <c r="AH12" s="98"/>
      <c r="AI12" s="98"/>
    </row>
    <row r="13" spans="1:35" ht="18" x14ac:dyDescent="0.3">
      <c r="A13" s="119" t="s">
        <v>183</v>
      </c>
      <c r="B13" s="120">
        <v>45991</v>
      </c>
      <c r="C13" s="99" t="s">
        <v>907</v>
      </c>
      <c r="D13" s="121">
        <v>0.79861111111111116</v>
      </c>
      <c r="E13" s="99" t="s">
        <v>906</v>
      </c>
      <c r="F13" s="99" t="s">
        <v>153</v>
      </c>
      <c r="G13" s="122">
        <v>0.46429999999999999</v>
      </c>
      <c r="H13" s="101">
        <v>168</v>
      </c>
      <c r="I13" s="101">
        <v>78</v>
      </c>
      <c r="J13" s="101">
        <v>0</v>
      </c>
      <c r="K13" s="120">
        <v>45985</v>
      </c>
      <c r="L13" s="101">
        <v>0</v>
      </c>
      <c r="M13" s="101">
        <v>0</v>
      </c>
      <c r="N13" s="101">
        <v>9</v>
      </c>
      <c r="O13" s="99" t="s">
        <v>355</v>
      </c>
      <c r="P13" s="98"/>
      <c r="Q13" s="98"/>
      <c r="R13" s="98"/>
      <c r="S13" s="98"/>
      <c r="T13" s="98"/>
      <c r="U13" s="98"/>
      <c r="V13" s="98"/>
      <c r="W13" s="98"/>
      <c r="X13" s="98"/>
      <c r="Y13" s="101">
        <v>8</v>
      </c>
      <c r="Z13" s="101">
        <v>4</v>
      </c>
      <c r="AA13" s="98"/>
      <c r="AB13" s="98"/>
      <c r="AC13" s="98"/>
      <c r="AD13" s="101">
        <v>66</v>
      </c>
      <c r="AE13" s="98"/>
      <c r="AF13" s="98"/>
      <c r="AG13" s="98"/>
      <c r="AH13" s="98"/>
      <c r="AI13" s="98"/>
    </row>
    <row r="14" spans="1:35" ht="18" x14ac:dyDescent="0.3">
      <c r="A14" s="119" t="s">
        <v>181</v>
      </c>
      <c r="B14" s="120">
        <v>45988</v>
      </c>
      <c r="C14" s="99" t="s">
        <v>283</v>
      </c>
      <c r="D14" s="121">
        <v>0.36458333333333331</v>
      </c>
      <c r="E14" s="99" t="s">
        <v>238</v>
      </c>
      <c r="F14" s="99" t="s">
        <v>153</v>
      </c>
      <c r="G14" s="122">
        <v>0.46929999999999999</v>
      </c>
      <c r="H14" s="101">
        <v>179</v>
      </c>
      <c r="I14" s="101">
        <v>84</v>
      </c>
      <c r="J14" s="101">
        <v>0</v>
      </c>
      <c r="K14" s="120">
        <v>45986</v>
      </c>
      <c r="L14" s="101">
        <v>0</v>
      </c>
      <c r="M14" s="101">
        <v>18</v>
      </c>
      <c r="N14" s="101">
        <v>48</v>
      </c>
      <c r="O14" s="99" t="s">
        <v>280</v>
      </c>
      <c r="P14" s="98"/>
      <c r="Q14" s="98"/>
      <c r="R14" s="98"/>
      <c r="S14" s="98"/>
      <c r="T14" s="98"/>
      <c r="U14" s="98"/>
      <c r="V14" s="98"/>
      <c r="W14" s="98"/>
      <c r="X14" s="98"/>
      <c r="Y14" s="101">
        <v>1</v>
      </c>
      <c r="Z14" s="98"/>
      <c r="AA14" s="98"/>
      <c r="AB14" s="98"/>
      <c r="AC14" s="98"/>
      <c r="AD14" s="101">
        <v>6</v>
      </c>
      <c r="AE14" s="101">
        <v>77</v>
      </c>
      <c r="AF14" s="98"/>
      <c r="AG14" s="98"/>
      <c r="AH14" s="98"/>
      <c r="AI14" s="98"/>
    </row>
    <row r="15" spans="1:35" ht="18" x14ac:dyDescent="0.3">
      <c r="A15" s="119" t="s">
        <v>183</v>
      </c>
      <c r="B15" s="120">
        <v>45991</v>
      </c>
      <c r="C15" s="99" t="s">
        <v>283</v>
      </c>
      <c r="D15" s="121">
        <v>0.33333333333333331</v>
      </c>
      <c r="E15" s="99" t="s">
        <v>238</v>
      </c>
      <c r="F15" s="99" t="s">
        <v>153</v>
      </c>
      <c r="G15" s="122">
        <v>0.66069999999999995</v>
      </c>
      <c r="H15" s="101">
        <v>168</v>
      </c>
      <c r="I15" s="101">
        <v>111</v>
      </c>
      <c r="J15" s="101">
        <v>83</v>
      </c>
      <c r="K15" s="120">
        <v>45986</v>
      </c>
      <c r="L15" s="101">
        <v>0</v>
      </c>
      <c r="M15" s="101">
        <v>2</v>
      </c>
      <c r="N15" s="101">
        <v>9</v>
      </c>
      <c r="O15" s="99" t="s">
        <v>158</v>
      </c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101">
        <v>4</v>
      </c>
      <c r="AD15" s="101">
        <v>19</v>
      </c>
      <c r="AE15" s="101">
        <v>5</v>
      </c>
      <c r="AF15" s="98"/>
      <c r="AG15" s="98"/>
      <c r="AH15" s="101">
        <v>83</v>
      </c>
      <c r="AI15" s="98"/>
    </row>
    <row r="16" spans="1:35" ht="18" x14ac:dyDescent="0.3">
      <c r="A16" s="119" t="s">
        <v>181</v>
      </c>
      <c r="B16" s="120">
        <v>45988</v>
      </c>
      <c r="C16" s="99" t="s">
        <v>773</v>
      </c>
      <c r="D16" s="121">
        <v>0.92361111111111116</v>
      </c>
      <c r="E16" s="99" t="s">
        <v>755</v>
      </c>
      <c r="F16" s="99" t="s">
        <v>153</v>
      </c>
      <c r="G16" s="122">
        <v>0.27379999999999999</v>
      </c>
      <c r="H16" s="101">
        <v>168</v>
      </c>
      <c r="I16" s="101">
        <v>46</v>
      </c>
      <c r="J16" s="101">
        <v>0</v>
      </c>
      <c r="K16" s="120">
        <v>45986</v>
      </c>
      <c r="L16" s="101">
        <v>0</v>
      </c>
      <c r="M16" s="101">
        <v>1</v>
      </c>
      <c r="N16" s="101">
        <v>15</v>
      </c>
      <c r="O16" s="99" t="s">
        <v>280</v>
      </c>
      <c r="P16" s="98"/>
      <c r="Q16" s="98"/>
      <c r="R16" s="98"/>
      <c r="S16" s="98"/>
      <c r="T16" s="98"/>
      <c r="U16" s="98"/>
      <c r="V16" s="98"/>
      <c r="W16" s="101">
        <v>1</v>
      </c>
      <c r="X16" s="98"/>
      <c r="Y16" s="101">
        <v>2</v>
      </c>
      <c r="Z16" s="101">
        <v>4</v>
      </c>
      <c r="AA16" s="98"/>
      <c r="AB16" s="101">
        <v>1</v>
      </c>
      <c r="AC16" s="101">
        <v>4</v>
      </c>
      <c r="AD16" s="101">
        <v>1</v>
      </c>
      <c r="AE16" s="101">
        <v>33</v>
      </c>
      <c r="AF16" s="98"/>
      <c r="AG16" s="98"/>
      <c r="AH16" s="98"/>
      <c r="AI16" s="98"/>
    </row>
    <row r="17" spans="1:35" ht="18" x14ac:dyDescent="0.3">
      <c r="A17" s="119" t="s">
        <v>946</v>
      </c>
      <c r="B17" s="120">
        <v>45989</v>
      </c>
      <c r="C17" s="99" t="s">
        <v>773</v>
      </c>
      <c r="D17" s="121">
        <v>0.57986111111111105</v>
      </c>
      <c r="E17" s="99" t="s">
        <v>755</v>
      </c>
      <c r="F17" s="99" t="s">
        <v>153</v>
      </c>
      <c r="G17" s="122">
        <v>0.42259999999999998</v>
      </c>
      <c r="H17" s="101">
        <v>168</v>
      </c>
      <c r="I17" s="101">
        <v>71</v>
      </c>
      <c r="J17" s="101">
        <v>0</v>
      </c>
      <c r="K17" s="120">
        <v>45986</v>
      </c>
      <c r="L17" s="101">
        <v>0</v>
      </c>
      <c r="M17" s="101">
        <v>12</v>
      </c>
      <c r="N17" s="101">
        <v>31</v>
      </c>
      <c r="O17" s="99" t="s">
        <v>280</v>
      </c>
      <c r="P17" s="98"/>
      <c r="Q17" s="98"/>
      <c r="R17" s="98"/>
      <c r="S17" s="98"/>
      <c r="T17" s="98"/>
      <c r="U17" s="101">
        <v>1</v>
      </c>
      <c r="V17" s="98"/>
      <c r="W17" s="98"/>
      <c r="X17" s="101">
        <v>3</v>
      </c>
      <c r="Y17" s="101">
        <v>10</v>
      </c>
      <c r="Z17" s="101">
        <v>1</v>
      </c>
      <c r="AA17" s="98"/>
      <c r="AB17" s="98"/>
      <c r="AC17" s="98"/>
      <c r="AD17" s="101">
        <v>6</v>
      </c>
      <c r="AE17" s="101">
        <v>50</v>
      </c>
      <c r="AF17" s="98"/>
      <c r="AG17" s="98"/>
      <c r="AH17" s="98"/>
      <c r="AI17" s="98"/>
    </row>
    <row r="18" spans="1:35" ht="18" x14ac:dyDescent="0.3">
      <c r="A18" s="119" t="s">
        <v>182</v>
      </c>
      <c r="B18" s="120">
        <v>45990</v>
      </c>
      <c r="C18" s="99" t="s">
        <v>773</v>
      </c>
      <c r="D18" s="121">
        <v>0.92361111111111116</v>
      </c>
      <c r="E18" s="99" t="s">
        <v>755</v>
      </c>
      <c r="F18" s="99" t="s">
        <v>153</v>
      </c>
      <c r="G18" s="122">
        <v>0.1905</v>
      </c>
      <c r="H18" s="101">
        <v>168</v>
      </c>
      <c r="I18" s="101">
        <v>32</v>
      </c>
      <c r="J18" s="101">
        <v>0</v>
      </c>
      <c r="K18" s="120">
        <v>45986</v>
      </c>
      <c r="L18" s="101">
        <v>0</v>
      </c>
      <c r="M18" s="101">
        <v>1</v>
      </c>
      <c r="N18" s="101">
        <v>2</v>
      </c>
      <c r="O18" s="99" t="s">
        <v>280</v>
      </c>
      <c r="P18" s="98"/>
      <c r="Q18" s="98"/>
      <c r="R18" s="98"/>
      <c r="S18" s="98"/>
      <c r="T18" s="98"/>
      <c r="U18" s="98"/>
      <c r="V18" s="98"/>
      <c r="W18" s="101">
        <v>2</v>
      </c>
      <c r="X18" s="101">
        <v>1</v>
      </c>
      <c r="Y18" s="101">
        <v>7</v>
      </c>
      <c r="Z18" s="101">
        <v>6</v>
      </c>
      <c r="AA18" s="98"/>
      <c r="AB18" s="98"/>
      <c r="AC18" s="101">
        <v>1</v>
      </c>
      <c r="AD18" s="98"/>
      <c r="AE18" s="101">
        <v>15</v>
      </c>
      <c r="AF18" s="98"/>
      <c r="AG18" s="98"/>
      <c r="AH18" s="98"/>
      <c r="AI18" s="98"/>
    </row>
    <row r="19" spans="1:35" ht="18" x14ac:dyDescent="0.3">
      <c r="A19" s="119" t="s">
        <v>182</v>
      </c>
      <c r="B19" s="120">
        <v>45990</v>
      </c>
      <c r="C19" s="99" t="s">
        <v>921</v>
      </c>
      <c r="D19" s="121">
        <v>0.85416666666666663</v>
      </c>
      <c r="E19" s="99" t="s">
        <v>919</v>
      </c>
      <c r="F19" s="99" t="s">
        <v>153</v>
      </c>
      <c r="G19" s="122">
        <v>0.35120000000000001</v>
      </c>
      <c r="H19" s="101">
        <v>168</v>
      </c>
      <c r="I19" s="101">
        <v>59</v>
      </c>
      <c r="J19" s="101">
        <v>0</v>
      </c>
      <c r="K19" s="120">
        <v>45986</v>
      </c>
      <c r="L19" s="101">
        <v>0</v>
      </c>
      <c r="M19" s="101">
        <v>6</v>
      </c>
      <c r="N19" s="101">
        <v>18</v>
      </c>
      <c r="O19" s="99" t="s">
        <v>222</v>
      </c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101">
        <v>1</v>
      </c>
      <c r="AA19" s="98"/>
      <c r="AB19" s="101">
        <v>8</v>
      </c>
      <c r="AC19" s="101">
        <v>20</v>
      </c>
      <c r="AD19" s="101">
        <v>30</v>
      </c>
      <c r="AE19" s="98"/>
      <c r="AF19" s="98"/>
      <c r="AG19" s="98"/>
      <c r="AH19" s="98"/>
      <c r="AI19" s="98"/>
    </row>
    <row r="20" spans="1:35" ht="18" x14ac:dyDescent="0.3">
      <c r="A20" s="119" t="s">
        <v>946</v>
      </c>
      <c r="B20" s="120">
        <v>45989</v>
      </c>
      <c r="C20" s="99" t="s">
        <v>798</v>
      </c>
      <c r="D20" s="121">
        <v>0.29166666666666669</v>
      </c>
      <c r="E20" s="99" t="s">
        <v>795</v>
      </c>
      <c r="F20" s="99" t="s">
        <v>153</v>
      </c>
      <c r="G20" s="122">
        <v>0.55359999999999998</v>
      </c>
      <c r="H20" s="101">
        <v>168</v>
      </c>
      <c r="I20" s="101">
        <v>93</v>
      </c>
      <c r="J20" s="101">
        <v>0</v>
      </c>
      <c r="K20" s="120">
        <v>45986</v>
      </c>
      <c r="L20" s="101">
        <v>0</v>
      </c>
      <c r="M20" s="101">
        <v>7</v>
      </c>
      <c r="N20" s="101">
        <v>42</v>
      </c>
      <c r="O20" s="99" t="s">
        <v>567</v>
      </c>
      <c r="P20" s="98"/>
      <c r="Q20" s="98"/>
      <c r="R20" s="98"/>
      <c r="S20" s="98"/>
      <c r="T20" s="98"/>
      <c r="U20" s="98"/>
      <c r="V20" s="98"/>
      <c r="W20" s="98"/>
      <c r="X20" s="98"/>
      <c r="Y20" s="101">
        <v>2</v>
      </c>
      <c r="Z20" s="101">
        <v>2</v>
      </c>
      <c r="AA20" s="101">
        <v>6</v>
      </c>
      <c r="AB20" s="101">
        <v>13</v>
      </c>
      <c r="AC20" s="101">
        <v>42</v>
      </c>
      <c r="AD20" s="101">
        <v>18</v>
      </c>
      <c r="AE20" s="101">
        <v>10</v>
      </c>
      <c r="AF20" s="98"/>
      <c r="AG20" s="98"/>
      <c r="AH20" s="98"/>
      <c r="AI20" s="98"/>
    </row>
    <row r="21" spans="1:35" ht="18" x14ac:dyDescent="0.3">
      <c r="A21" s="119" t="s">
        <v>181</v>
      </c>
      <c r="B21" s="120">
        <v>45988</v>
      </c>
      <c r="C21" s="99" t="s">
        <v>862</v>
      </c>
      <c r="D21" s="121">
        <v>0.59722222222222221</v>
      </c>
      <c r="E21" s="99" t="s">
        <v>861</v>
      </c>
      <c r="F21" s="99" t="s">
        <v>153</v>
      </c>
      <c r="G21" s="122">
        <v>0.98319999999999996</v>
      </c>
      <c r="H21" s="101">
        <v>179</v>
      </c>
      <c r="I21" s="101">
        <v>176</v>
      </c>
      <c r="J21" s="101">
        <v>137</v>
      </c>
      <c r="K21" s="120">
        <v>45986</v>
      </c>
      <c r="L21" s="101">
        <v>0</v>
      </c>
      <c r="M21" s="101">
        <v>1</v>
      </c>
      <c r="N21" s="101">
        <v>7</v>
      </c>
      <c r="O21" s="99" t="s">
        <v>864</v>
      </c>
      <c r="P21" s="98"/>
      <c r="Q21" s="98"/>
      <c r="R21" s="98"/>
      <c r="S21" s="98"/>
      <c r="T21" s="98"/>
      <c r="U21" s="101">
        <v>4</v>
      </c>
      <c r="V21" s="101">
        <v>7</v>
      </c>
      <c r="W21" s="98"/>
      <c r="X21" s="98"/>
      <c r="Y21" s="98"/>
      <c r="Z21" s="101">
        <v>6</v>
      </c>
      <c r="AA21" s="101">
        <v>1</v>
      </c>
      <c r="AB21" s="101">
        <v>21</v>
      </c>
      <c r="AC21" s="98"/>
      <c r="AD21" s="98"/>
      <c r="AE21" s="98"/>
      <c r="AF21" s="98"/>
      <c r="AG21" s="98"/>
      <c r="AH21" s="101">
        <v>137</v>
      </c>
      <c r="AI21" s="98"/>
    </row>
    <row r="22" spans="1:35" ht="18" x14ac:dyDescent="0.3">
      <c r="A22" s="119" t="s">
        <v>946</v>
      </c>
      <c r="B22" s="120">
        <v>45989</v>
      </c>
      <c r="C22" s="99" t="s">
        <v>862</v>
      </c>
      <c r="D22" s="121">
        <v>0.3263888888888889</v>
      </c>
      <c r="E22" s="99" t="s">
        <v>861</v>
      </c>
      <c r="F22" s="99" t="s">
        <v>153</v>
      </c>
      <c r="G22" s="122">
        <v>0.91059999999999997</v>
      </c>
      <c r="H22" s="101">
        <v>179</v>
      </c>
      <c r="I22" s="101">
        <v>163</v>
      </c>
      <c r="J22" s="101">
        <v>40</v>
      </c>
      <c r="K22" s="120">
        <v>45986</v>
      </c>
      <c r="L22" s="101">
        <v>0</v>
      </c>
      <c r="M22" s="101">
        <v>4</v>
      </c>
      <c r="N22" s="101">
        <v>24</v>
      </c>
      <c r="O22" s="99" t="s">
        <v>173</v>
      </c>
      <c r="P22" s="98"/>
      <c r="Q22" s="98"/>
      <c r="R22" s="98"/>
      <c r="S22" s="98"/>
      <c r="T22" s="98"/>
      <c r="U22" s="98"/>
      <c r="V22" s="101">
        <v>2</v>
      </c>
      <c r="W22" s="98"/>
      <c r="X22" s="98"/>
      <c r="Y22" s="101">
        <v>1</v>
      </c>
      <c r="Z22" s="101">
        <v>9</v>
      </c>
      <c r="AA22" s="101">
        <v>33</v>
      </c>
      <c r="AB22" s="101">
        <v>10</v>
      </c>
      <c r="AC22" s="101">
        <v>31</v>
      </c>
      <c r="AD22" s="101">
        <v>9</v>
      </c>
      <c r="AE22" s="101">
        <v>28</v>
      </c>
      <c r="AF22" s="98"/>
      <c r="AG22" s="98"/>
      <c r="AH22" s="101">
        <v>40</v>
      </c>
      <c r="AI22" s="98"/>
    </row>
    <row r="23" spans="1:35" ht="18" x14ac:dyDescent="0.3">
      <c r="A23" s="119" t="s">
        <v>182</v>
      </c>
      <c r="B23" s="120">
        <v>45990</v>
      </c>
      <c r="C23" s="99" t="s">
        <v>862</v>
      </c>
      <c r="D23" s="121">
        <v>0.28472222222222221</v>
      </c>
      <c r="E23" s="99" t="s">
        <v>861</v>
      </c>
      <c r="F23" s="99" t="s">
        <v>153</v>
      </c>
      <c r="G23" s="122">
        <v>0.97770000000000001</v>
      </c>
      <c r="H23" s="101">
        <v>179</v>
      </c>
      <c r="I23" s="101">
        <v>175</v>
      </c>
      <c r="J23" s="101">
        <v>137</v>
      </c>
      <c r="K23" s="120">
        <v>45986</v>
      </c>
      <c r="L23" s="101">
        <v>0</v>
      </c>
      <c r="M23" s="101">
        <v>3</v>
      </c>
      <c r="N23" s="101">
        <v>12</v>
      </c>
      <c r="O23" s="99" t="s">
        <v>163</v>
      </c>
      <c r="P23" s="101">
        <v>1</v>
      </c>
      <c r="Q23" s="98"/>
      <c r="R23" s="98"/>
      <c r="S23" s="98"/>
      <c r="T23" s="98"/>
      <c r="U23" s="98"/>
      <c r="V23" s="98"/>
      <c r="W23" s="101">
        <v>3</v>
      </c>
      <c r="X23" s="101">
        <v>15</v>
      </c>
      <c r="Y23" s="98"/>
      <c r="Z23" s="101">
        <v>1</v>
      </c>
      <c r="AA23" s="98"/>
      <c r="AB23" s="101">
        <v>7</v>
      </c>
      <c r="AC23" s="101">
        <v>1</v>
      </c>
      <c r="AD23" s="101">
        <v>6</v>
      </c>
      <c r="AE23" s="101">
        <v>4</v>
      </c>
      <c r="AF23" s="98"/>
      <c r="AG23" s="98"/>
      <c r="AH23" s="101">
        <v>137</v>
      </c>
      <c r="AI23" s="98"/>
    </row>
    <row r="24" spans="1:35" ht="18" x14ac:dyDescent="0.3">
      <c r="A24" s="119" t="s">
        <v>183</v>
      </c>
      <c r="B24" s="120">
        <v>45991</v>
      </c>
      <c r="C24" s="99" t="s">
        <v>862</v>
      </c>
      <c r="D24" s="121">
        <v>0.375</v>
      </c>
      <c r="E24" s="99" t="s">
        <v>861</v>
      </c>
      <c r="F24" s="99" t="s">
        <v>153</v>
      </c>
      <c r="G24" s="122">
        <v>0.96650000000000003</v>
      </c>
      <c r="H24" s="101">
        <v>179</v>
      </c>
      <c r="I24" s="101">
        <v>173</v>
      </c>
      <c r="J24" s="101">
        <v>89</v>
      </c>
      <c r="K24" s="120">
        <v>45981</v>
      </c>
      <c r="L24" s="101">
        <v>0</v>
      </c>
      <c r="M24" s="101">
        <v>0</v>
      </c>
      <c r="N24" s="101">
        <v>2</v>
      </c>
      <c r="O24" s="99" t="s">
        <v>107</v>
      </c>
      <c r="P24" s="98"/>
      <c r="Q24" s="98"/>
      <c r="R24" s="98"/>
      <c r="S24" s="98"/>
      <c r="T24" s="98"/>
      <c r="U24" s="98"/>
      <c r="V24" s="98"/>
      <c r="W24" s="98"/>
      <c r="X24" s="98"/>
      <c r="Y24" s="101">
        <v>2</v>
      </c>
      <c r="Z24" s="101">
        <v>2</v>
      </c>
      <c r="AA24" s="101">
        <v>6</v>
      </c>
      <c r="AB24" s="101">
        <v>7</v>
      </c>
      <c r="AC24" s="101">
        <v>18</v>
      </c>
      <c r="AD24" s="101">
        <v>20</v>
      </c>
      <c r="AE24" s="101">
        <v>29</v>
      </c>
      <c r="AF24" s="98"/>
      <c r="AG24" s="98"/>
      <c r="AH24" s="101">
        <v>89</v>
      </c>
      <c r="AI24" s="98"/>
    </row>
    <row r="25" spans="1:35" ht="18" x14ac:dyDescent="0.3">
      <c r="A25" s="119" t="s">
        <v>946</v>
      </c>
      <c r="B25" s="120">
        <v>45989</v>
      </c>
      <c r="C25" s="99" t="s">
        <v>885</v>
      </c>
      <c r="D25" s="121">
        <v>3.472222222222222E-3</v>
      </c>
      <c r="E25" s="99" t="s">
        <v>881</v>
      </c>
      <c r="F25" s="99" t="s">
        <v>153</v>
      </c>
      <c r="G25" s="122">
        <v>0.60119999999999996</v>
      </c>
      <c r="H25" s="101">
        <v>168</v>
      </c>
      <c r="I25" s="101">
        <v>101</v>
      </c>
      <c r="J25" s="101">
        <v>0</v>
      </c>
      <c r="K25" s="120">
        <v>45986</v>
      </c>
      <c r="L25" s="101">
        <v>0</v>
      </c>
      <c r="M25" s="101">
        <v>4</v>
      </c>
      <c r="N25" s="101">
        <v>51</v>
      </c>
      <c r="O25" s="99" t="s">
        <v>793</v>
      </c>
      <c r="P25" s="98"/>
      <c r="Q25" s="98"/>
      <c r="R25" s="98"/>
      <c r="S25" s="98"/>
      <c r="T25" s="98"/>
      <c r="U25" s="98"/>
      <c r="V25" s="98"/>
      <c r="W25" s="98"/>
      <c r="X25" s="98"/>
      <c r="Y25" s="101">
        <v>2</v>
      </c>
      <c r="Z25" s="101">
        <v>8</v>
      </c>
      <c r="AA25" s="101">
        <v>17</v>
      </c>
      <c r="AB25" s="101">
        <v>56</v>
      </c>
      <c r="AC25" s="101">
        <v>9</v>
      </c>
      <c r="AD25" s="101">
        <v>9</v>
      </c>
      <c r="AE25" s="98"/>
      <c r="AF25" s="98"/>
      <c r="AG25" s="98"/>
      <c r="AH25" s="98"/>
      <c r="AI25" s="98"/>
    </row>
    <row r="26" spans="1:35" ht="18" x14ac:dyDescent="0.3">
      <c r="A26" s="119" t="s">
        <v>183</v>
      </c>
      <c r="B26" s="120">
        <v>45991</v>
      </c>
      <c r="C26" s="99" t="s">
        <v>885</v>
      </c>
      <c r="D26" s="121">
        <v>3.472222222222222E-3</v>
      </c>
      <c r="E26" s="99" t="s">
        <v>881</v>
      </c>
      <c r="F26" s="99" t="s">
        <v>153</v>
      </c>
      <c r="G26" s="122">
        <v>0.45829999999999999</v>
      </c>
      <c r="H26" s="101">
        <v>168</v>
      </c>
      <c r="I26" s="101">
        <v>77</v>
      </c>
      <c r="J26" s="101">
        <v>0</v>
      </c>
      <c r="K26" s="120">
        <v>45986</v>
      </c>
      <c r="L26" s="101">
        <v>0</v>
      </c>
      <c r="M26" s="101">
        <v>11</v>
      </c>
      <c r="N26" s="101">
        <v>28</v>
      </c>
      <c r="O26" s="99" t="s">
        <v>397</v>
      </c>
      <c r="P26" s="98"/>
      <c r="Q26" s="98"/>
      <c r="R26" s="98"/>
      <c r="S26" s="98"/>
      <c r="T26" s="98"/>
      <c r="U26" s="98"/>
      <c r="V26" s="98"/>
      <c r="W26" s="98"/>
      <c r="X26" s="98"/>
      <c r="Y26" s="101">
        <v>1</v>
      </c>
      <c r="Z26" s="101">
        <v>2</v>
      </c>
      <c r="AA26" s="101">
        <v>1</v>
      </c>
      <c r="AB26" s="101">
        <v>51</v>
      </c>
      <c r="AC26" s="101">
        <v>5</v>
      </c>
      <c r="AD26" s="101">
        <v>9</v>
      </c>
      <c r="AE26" s="101">
        <v>8</v>
      </c>
      <c r="AF26" s="98"/>
      <c r="AG26" s="98"/>
      <c r="AH26" s="98"/>
      <c r="AI26" s="98"/>
    </row>
    <row r="27" spans="1:35" ht="18" x14ac:dyDescent="0.3">
      <c r="A27" s="119" t="s">
        <v>946</v>
      </c>
      <c r="B27" s="120">
        <v>45989</v>
      </c>
      <c r="C27" s="99" t="s">
        <v>900</v>
      </c>
      <c r="D27" s="121">
        <v>0.76041666666666663</v>
      </c>
      <c r="E27" s="99" t="s">
        <v>899</v>
      </c>
      <c r="F27" s="99" t="s">
        <v>153</v>
      </c>
      <c r="G27" s="122">
        <v>0.36899999999999999</v>
      </c>
      <c r="H27" s="101">
        <v>168</v>
      </c>
      <c r="I27" s="101">
        <v>62</v>
      </c>
      <c r="J27" s="101">
        <v>0</v>
      </c>
      <c r="K27" s="120">
        <v>45986</v>
      </c>
      <c r="L27" s="101">
        <v>0</v>
      </c>
      <c r="M27" s="101">
        <v>5</v>
      </c>
      <c r="N27" s="101">
        <v>22</v>
      </c>
      <c r="O27" s="99" t="s">
        <v>891</v>
      </c>
      <c r="P27" s="98"/>
      <c r="Q27" s="98"/>
      <c r="R27" s="98"/>
      <c r="S27" s="98"/>
      <c r="T27" s="98"/>
      <c r="U27" s="98"/>
      <c r="V27" s="98"/>
      <c r="W27" s="101">
        <v>3</v>
      </c>
      <c r="X27" s="101">
        <v>35</v>
      </c>
      <c r="Y27" s="101">
        <v>14</v>
      </c>
      <c r="Z27" s="101">
        <v>10</v>
      </c>
      <c r="AA27" s="98"/>
      <c r="AB27" s="98"/>
      <c r="AC27" s="98"/>
      <c r="AD27" s="98"/>
      <c r="AE27" s="98"/>
      <c r="AF27" s="98"/>
      <c r="AG27" s="98"/>
      <c r="AH27" s="98"/>
      <c r="AI27" s="98"/>
    </row>
    <row r="28" spans="1:35" ht="18" x14ac:dyDescent="0.3">
      <c r="A28" s="119" t="s">
        <v>181</v>
      </c>
      <c r="B28" s="120">
        <v>45988</v>
      </c>
      <c r="C28" s="99" t="s">
        <v>882</v>
      </c>
      <c r="D28" s="121">
        <v>4.5138888888888888E-2</v>
      </c>
      <c r="E28" s="99" t="s">
        <v>881</v>
      </c>
      <c r="F28" s="99" t="s">
        <v>153</v>
      </c>
      <c r="G28" s="122">
        <v>0.64290000000000003</v>
      </c>
      <c r="H28" s="101">
        <v>168</v>
      </c>
      <c r="I28" s="101">
        <v>108</v>
      </c>
      <c r="J28" s="101">
        <v>0</v>
      </c>
      <c r="K28" s="120">
        <v>45986</v>
      </c>
      <c r="L28" s="101">
        <v>0</v>
      </c>
      <c r="M28" s="101">
        <v>16</v>
      </c>
      <c r="N28" s="101">
        <v>54</v>
      </c>
      <c r="O28" s="99" t="s">
        <v>428</v>
      </c>
      <c r="P28" s="98"/>
      <c r="Q28" s="98"/>
      <c r="R28" s="98"/>
      <c r="S28" s="98"/>
      <c r="T28" s="98"/>
      <c r="U28" s="98"/>
      <c r="V28" s="98"/>
      <c r="W28" s="101">
        <v>1</v>
      </c>
      <c r="X28" s="101">
        <v>9</v>
      </c>
      <c r="Y28" s="101">
        <v>10</v>
      </c>
      <c r="Z28" s="101">
        <v>10</v>
      </c>
      <c r="AA28" s="101">
        <v>10</v>
      </c>
      <c r="AB28" s="101">
        <v>67</v>
      </c>
      <c r="AC28" s="98"/>
      <c r="AD28" s="101">
        <v>1</v>
      </c>
      <c r="AE28" s="98"/>
      <c r="AF28" s="98"/>
      <c r="AG28" s="98"/>
      <c r="AH28" s="98"/>
      <c r="AI28" s="98"/>
    </row>
    <row r="29" spans="1:35" ht="18" x14ac:dyDescent="0.3">
      <c r="A29" s="119" t="s">
        <v>181</v>
      </c>
      <c r="B29" s="120">
        <v>45988</v>
      </c>
      <c r="C29" s="99" t="s">
        <v>286</v>
      </c>
      <c r="D29" s="121">
        <v>0.25347222222222221</v>
      </c>
      <c r="E29" s="99" t="s">
        <v>238</v>
      </c>
      <c r="F29" s="99" t="s">
        <v>153</v>
      </c>
      <c r="G29" s="122">
        <v>0.4022</v>
      </c>
      <c r="H29" s="101">
        <v>179</v>
      </c>
      <c r="I29" s="101">
        <v>72</v>
      </c>
      <c r="J29" s="101">
        <v>29</v>
      </c>
      <c r="K29" s="120">
        <v>45985</v>
      </c>
      <c r="L29" s="101">
        <v>0</v>
      </c>
      <c r="M29" s="101">
        <v>0</v>
      </c>
      <c r="N29" s="101">
        <v>24</v>
      </c>
      <c r="O29" s="99" t="s">
        <v>280</v>
      </c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101">
        <v>43</v>
      </c>
      <c r="AF29" s="101">
        <v>28</v>
      </c>
      <c r="AG29" s="98"/>
      <c r="AH29" s="98"/>
      <c r="AI29" s="101">
        <v>1</v>
      </c>
    </row>
    <row r="30" spans="1:35" ht="18" x14ac:dyDescent="0.3">
      <c r="A30" s="119" t="s">
        <v>182</v>
      </c>
      <c r="B30" s="120">
        <v>45990</v>
      </c>
      <c r="C30" s="99" t="s">
        <v>286</v>
      </c>
      <c r="D30" s="121">
        <v>0.2361111111111111</v>
      </c>
      <c r="E30" s="99" t="s">
        <v>238</v>
      </c>
      <c r="F30" s="99" t="s">
        <v>153</v>
      </c>
      <c r="G30" s="122">
        <v>0.86029999999999995</v>
      </c>
      <c r="H30" s="101">
        <v>179</v>
      </c>
      <c r="I30" s="101">
        <v>154</v>
      </c>
      <c r="J30" s="101">
        <v>74</v>
      </c>
      <c r="K30" s="120">
        <v>45987</v>
      </c>
      <c r="L30" s="101">
        <v>2</v>
      </c>
      <c r="M30" s="101">
        <v>3</v>
      </c>
      <c r="N30" s="101">
        <v>47</v>
      </c>
      <c r="O30" s="99" t="s">
        <v>375</v>
      </c>
      <c r="P30" s="98"/>
      <c r="Q30" s="98"/>
      <c r="R30" s="98"/>
      <c r="S30" s="98"/>
      <c r="T30" s="98"/>
      <c r="U30" s="98"/>
      <c r="V30" s="98"/>
      <c r="W30" s="98"/>
      <c r="X30" s="98"/>
      <c r="Y30" s="101">
        <v>2</v>
      </c>
      <c r="Z30" s="101">
        <v>1</v>
      </c>
      <c r="AA30" s="98"/>
      <c r="AB30" s="101">
        <v>3</v>
      </c>
      <c r="AC30" s="101">
        <v>2</v>
      </c>
      <c r="AD30" s="101">
        <v>47</v>
      </c>
      <c r="AE30" s="101">
        <v>25</v>
      </c>
      <c r="AF30" s="98"/>
      <c r="AG30" s="98"/>
      <c r="AH30" s="101">
        <v>74</v>
      </c>
      <c r="AI30" s="98"/>
    </row>
    <row r="31" spans="1:35" ht="18" x14ac:dyDescent="0.3">
      <c r="A31" s="119" t="s">
        <v>181</v>
      </c>
      <c r="B31" s="120">
        <v>45988</v>
      </c>
      <c r="C31" s="99" t="s">
        <v>484</v>
      </c>
      <c r="D31" s="121">
        <v>0.27430555555555552</v>
      </c>
      <c r="E31" s="99" t="s">
        <v>471</v>
      </c>
      <c r="F31" s="99" t="s">
        <v>153</v>
      </c>
      <c r="G31" s="122">
        <v>0.97770000000000001</v>
      </c>
      <c r="H31" s="101">
        <v>179</v>
      </c>
      <c r="I31" s="101">
        <v>175</v>
      </c>
      <c r="J31" s="101">
        <v>170</v>
      </c>
      <c r="K31" s="120">
        <v>45983</v>
      </c>
      <c r="L31" s="101">
        <v>0</v>
      </c>
      <c r="M31" s="101">
        <v>0</v>
      </c>
      <c r="N31" s="101">
        <v>3</v>
      </c>
      <c r="O31" s="99" t="s">
        <v>169</v>
      </c>
      <c r="P31" s="98"/>
      <c r="Q31" s="98"/>
      <c r="R31" s="98"/>
      <c r="S31" s="98"/>
      <c r="T31" s="98"/>
      <c r="U31" s="98"/>
      <c r="V31" s="98"/>
      <c r="W31" s="101">
        <v>3</v>
      </c>
      <c r="X31" s="98"/>
      <c r="Y31" s="101">
        <v>1</v>
      </c>
      <c r="Z31" s="98"/>
      <c r="AA31" s="98"/>
      <c r="AB31" s="101">
        <v>1</v>
      </c>
      <c r="AC31" s="98"/>
      <c r="AD31" s="98"/>
      <c r="AE31" s="98"/>
      <c r="AF31" s="98"/>
      <c r="AG31" s="98"/>
      <c r="AH31" s="101">
        <v>170</v>
      </c>
      <c r="AI31" s="98"/>
    </row>
    <row r="32" spans="1:35" ht="18" x14ac:dyDescent="0.3">
      <c r="A32" s="119" t="s">
        <v>946</v>
      </c>
      <c r="B32" s="120">
        <v>45989</v>
      </c>
      <c r="C32" s="99" t="s">
        <v>484</v>
      </c>
      <c r="D32" s="121">
        <v>0.41666666666666669</v>
      </c>
      <c r="E32" s="99" t="s">
        <v>471</v>
      </c>
      <c r="F32" s="99" t="s">
        <v>153</v>
      </c>
      <c r="G32" s="122">
        <v>0.71430000000000005</v>
      </c>
      <c r="H32" s="101">
        <v>168</v>
      </c>
      <c r="I32" s="101">
        <v>120</v>
      </c>
      <c r="J32" s="101">
        <v>0</v>
      </c>
      <c r="K32" s="120">
        <v>45986</v>
      </c>
      <c r="L32" s="101">
        <v>0</v>
      </c>
      <c r="M32" s="101">
        <v>3</v>
      </c>
      <c r="N32" s="101">
        <v>67</v>
      </c>
      <c r="O32" s="99" t="s">
        <v>511</v>
      </c>
      <c r="P32" s="98"/>
      <c r="Q32" s="98"/>
      <c r="R32" s="98"/>
      <c r="S32" s="98"/>
      <c r="T32" s="98"/>
      <c r="U32" s="98"/>
      <c r="V32" s="98"/>
      <c r="W32" s="101">
        <v>10</v>
      </c>
      <c r="X32" s="101">
        <v>15</v>
      </c>
      <c r="Y32" s="101">
        <v>15</v>
      </c>
      <c r="Z32" s="101">
        <v>21</v>
      </c>
      <c r="AA32" s="101">
        <v>17</v>
      </c>
      <c r="AB32" s="101">
        <v>27</v>
      </c>
      <c r="AC32" s="101">
        <v>15</v>
      </c>
      <c r="AD32" s="98"/>
      <c r="AE32" s="98"/>
      <c r="AF32" s="98"/>
      <c r="AG32" s="98"/>
      <c r="AH32" s="98"/>
      <c r="AI32" s="98"/>
    </row>
    <row r="33" spans="1:35" ht="18" x14ac:dyDescent="0.3">
      <c r="A33" s="119" t="s">
        <v>182</v>
      </c>
      <c r="B33" s="120">
        <v>45990</v>
      </c>
      <c r="C33" s="99" t="s">
        <v>484</v>
      </c>
      <c r="D33" s="121">
        <v>0.79166666666666663</v>
      </c>
      <c r="E33" s="99" t="s">
        <v>471</v>
      </c>
      <c r="F33" s="99" t="s">
        <v>153</v>
      </c>
      <c r="G33" s="122">
        <v>0.98809999999999998</v>
      </c>
      <c r="H33" s="101">
        <v>168</v>
      </c>
      <c r="I33" s="101">
        <v>166</v>
      </c>
      <c r="J33" s="101">
        <v>119</v>
      </c>
      <c r="K33" s="120">
        <v>45986</v>
      </c>
      <c r="L33" s="101">
        <v>0</v>
      </c>
      <c r="M33" s="101">
        <v>6</v>
      </c>
      <c r="N33" s="101">
        <v>6</v>
      </c>
      <c r="O33" s="99" t="s">
        <v>163</v>
      </c>
      <c r="P33" s="98"/>
      <c r="Q33" s="98"/>
      <c r="R33" s="98"/>
      <c r="S33" s="98"/>
      <c r="T33" s="98"/>
      <c r="U33" s="98"/>
      <c r="V33" s="98"/>
      <c r="W33" s="98"/>
      <c r="X33" s="101">
        <v>8</v>
      </c>
      <c r="Y33" s="101">
        <v>11</v>
      </c>
      <c r="Z33" s="98"/>
      <c r="AA33" s="98"/>
      <c r="AB33" s="101">
        <v>7</v>
      </c>
      <c r="AC33" s="101">
        <v>7</v>
      </c>
      <c r="AD33" s="101">
        <v>6</v>
      </c>
      <c r="AE33" s="101">
        <v>8</v>
      </c>
      <c r="AF33" s="98"/>
      <c r="AG33" s="98"/>
      <c r="AH33" s="101">
        <v>119</v>
      </c>
      <c r="AI33" s="98"/>
    </row>
    <row r="34" spans="1:35" ht="18" x14ac:dyDescent="0.3">
      <c r="A34" s="119" t="s">
        <v>183</v>
      </c>
      <c r="B34" s="120">
        <v>45991</v>
      </c>
      <c r="C34" s="99" t="s">
        <v>484</v>
      </c>
      <c r="D34" s="121">
        <v>0.6875</v>
      </c>
      <c r="E34" s="99" t="s">
        <v>471</v>
      </c>
      <c r="F34" s="99" t="s">
        <v>153</v>
      </c>
      <c r="G34" s="122">
        <v>1</v>
      </c>
      <c r="H34" s="101">
        <v>168</v>
      </c>
      <c r="I34" s="101">
        <v>168</v>
      </c>
      <c r="J34" s="101">
        <v>138</v>
      </c>
      <c r="K34" s="120">
        <v>45983</v>
      </c>
      <c r="L34" s="101">
        <v>0</v>
      </c>
      <c r="M34" s="101">
        <v>0</v>
      </c>
      <c r="N34" s="101">
        <v>7</v>
      </c>
      <c r="O34" s="99" t="s">
        <v>107</v>
      </c>
      <c r="P34" s="98"/>
      <c r="Q34" s="98"/>
      <c r="R34" s="98"/>
      <c r="S34" s="98"/>
      <c r="T34" s="98"/>
      <c r="U34" s="98"/>
      <c r="V34" s="98"/>
      <c r="W34" s="98"/>
      <c r="X34" s="101">
        <v>1</v>
      </c>
      <c r="Y34" s="101">
        <v>4</v>
      </c>
      <c r="Z34" s="101">
        <v>6</v>
      </c>
      <c r="AA34" s="101">
        <v>7</v>
      </c>
      <c r="AB34" s="101">
        <v>10</v>
      </c>
      <c r="AC34" s="98"/>
      <c r="AD34" s="98"/>
      <c r="AE34" s="98"/>
      <c r="AF34" s="98"/>
      <c r="AG34" s="98"/>
      <c r="AH34" s="101">
        <v>138</v>
      </c>
      <c r="AI34" s="101">
        <v>2</v>
      </c>
    </row>
    <row r="35" spans="1:35" ht="18" x14ac:dyDescent="0.3">
      <c r="A35" s="119" t="s">
        <v>181</v>
      </c>
      <c r="B35" s="120">
        <v>45988</v>
      </c>
      <c r="C35" s="99" t="s">
        <v>575</v>
      </c>
      <c r="D35" s="121">
        <v>0.48958333333333331</v>
      </c>
      <c r="E35" s="99" t="s">
        <v>570</v>
      </c>
      <c r="F35" s="99" t="s">
        <v>153</v>
      </c>
      <c r="G35" s="122">
        <v>0.84519999999999995</v>
      </c>
      <c r="H35" s="101">
        <v>168</v>
      </c>
      <c r="I35" s="101">
        <v>142</v>
      </c>
      <c r="J35" s="101">
        <v>95</v>
      </c>
      <c r="K35" s="120">
        <v>45986</v>
      </c>
      <c r="L35" s="101">
        <v>0</v>
      </c>
      <c r="M35" s="101">
        <v>12</v>
      </c>
      <c r="N35" s="101">
        <v>33</v>
      </c>
      <c r="O35" s="99" t="s">
        <v>158</v>
      </c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101">
        <v>3</v>
      </c>
      <c r="AD35" s="101">
        <v>19</v>
      </c>
      <c r="AE35" s="101">
        <v>25</v>
      </c>
      <c r="AF35" s="98"/>
      <c r="AG35" s="98"/>
      <c r="AH35" s="101">
        <v>95</v>
      </c>
      <c r="AI35" s="98"/>
    </row>
    <row r="36" spans="1:35" ht="18" x14ac:dyDescent="0.3">
      <c r="A36" s="119" t="s">
        <v>181</v>
      </c>
      <c r="B36" s="120">
        <v>45988</v>
      </c>
      <c r="C36" s="99" t="s">
        <v>578</v>
      </c>
      <c r="D36" s="121">
        <v>0.70833333333333337</v>
      </c>
      <c r="E36" s="99" t="s">
        <v>570</v>
      </c>
      <c r="F36" s="99" t="s">
        <v>153</v>
      </c>
      <c r="G36" s="122">
        <v>0.65359999999999996</v>
      </c>
      <c r="H36" s="101">
        <v>179</v>
      </c>
      <c r="I36" s="101">
        <v>117</v>
      </c>
      <c r="J36" s="101">
        <v>44</v>
      </c>
      <c r="K36" s="120">
        <v>45986</v>
      </c>
      <c r="L36" s="101">
        <v>0</v>
      </c>
      <c r="M36" s="101">
        <v>9</v>
      </c>
      <c r="N36" s="101">
        <v>46</v>
      </c>
      <c r="O36" s="99" t="s">
        <v>361</v>
      </c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101">
        <v>2</v>
      </c>
      <c r="AB36" s="101">
        <v>5</v>
      </c>
      <c r="AC36" s="101">
        <v>16</v>
      </c>
      <c r="AD36" s="101">
        <v>15</v>
      </c>
      <c r="AE36" s="101">
        <v>35</v>
      </c>
      <c r="AF36" s="98"/>
      <c r="AG36" s="98"/>
      <c r="AH36" s="101">
        <v>44</v>
      </c>
      <c r="AI36" s="98"/>
    </row>
    <row r="37" spans="1:35" ht="18" x14ac:dyDescent="0.3">
      <c r="A37" s="119" t="s">
        <v>182</v>
      </c>
      <c r="B37" s="120">
        <v>45990</v>
      </c>
      <c r="C37" s="99" t="s">
        <v>578</v>
      </c>
      <c r="D37" s="121">
        <v>0.6875</v>
      </c>
      <c r="E37" s="99" t="s">
        <v>570</v>
      </c>
      <c r="F37" s="99" t="s">
        <v>153</v>
      </c>
      <c r="G37" s="122">
        <v>0.95240000000000002</v>
      </c>
      <c r="H37" s="101">
        <v>168</v>
      </c>
      <c r="I37" s="101">
        <v>160</v>
      </c>
      <c r="J37" s="101">
        <v>135</v>
      </c>
      <c r="K37" s="120">
        <v>45985</v>
      </c>
      <c r="L37" s="101">
        <v>0</v>
      </c>
      <c r="M37" s="101">
        <v>0</v>
      </c>
      <c r="N37" s="101">
        <v>8</v>
      </c>
      <c r="O37" s="99" t="s">
        <v>587</v>
      </c>
      <c r="P37" s="98"/>
      <c r="Q37" s="98"/>
      <c r="R37" s="98"/>
      <c r="S37" s="98"/>
      <c r="T37" s="98"/>
      <c r="U37" s="98"/>
      <c r="V37" s="98"/>
      <c r="W37" s="98"/>
      <c r="X37" s="98"/>
      <c r="Y37" s="101">
        <v>1</v>
      </c>
      <c r="Z37" s="101">
        <v>1</v>
      </c>
      <c r="AA37" s="101">
        <v>2</v>
      </c>
      <c r="AB37" s="101">
        <v>5</v>
      </c>
      <c r="AC37" s="101">
        <v>12</v>
      </c>
      <c r="AD37" s="98"/>
      <c r="AE37" s="101">
        <v>4</v>
      </c>
      <c r="AF37" s="98"/>
      <c r="AG37" s="98"/>
      <c r="AH37" s="101">
        <v>135</v>
      </c>
      <c r="AI37" s="98"/>
    </row>
    <row r="38" spans="1:35" ht="18" x14ac:dyDescent="0.3">
      <c r="A38" s="119" t="s">
        <v>183</v>
      </c>
      <c r="B38" s="120">
        <v>45991</v>
      </c>
      <c r="C38" s="99" t="s">
        <v>578</v>
      </c>
      <c r="D38" s="121">
        <v>0.85069444444444453</v>
      </c>
      <c r="E38" s="99" t="s">
        <v>570</v>
      </c>
      <c r="F38" s="99" t="s">
        <v>153</v>
      </c>
      <c r="G38" s="122">
        <v>0.63690000000000002</v>
      </c>
      <c r="H38" s="101">
        <v>168</v>
      </c>
      <c r="I38" s="101">
        <v>107</v>
      </c>
      <c r="J38" s="101">
        <v>45</v>
      </c>
      <c r="K38" s="120">
        <v>45985</v>
      </c>
      <c r="L38" s="101">
        <v>0</v>
      </c>
      <c r="M38" s="101">
        <v>0</v>
      </c>
      <c r="N38" s="101">
        <v>40</v>
      </c>
      <c r="O38" s="99" t="s">
        <v>222</v>
      </c>
      <c r="P38" s="98"/>
      <c r="Q38" s="98"/>
      <c r="R38" s="98"/>
      <c r="S38" s="98"/>
      <c r="T38" s="98"/>
      <c r="U38" s="98"/>
      <c r="V38" s="98"/>
      <c r="W38" s="98"/>
      <c r="X38" s="98"/>
      <c r="Y38" s="101">
        <v>1</v>
      </c>
      <c r="Z38" s="101">
        <v>2</v>
      </c>
      <c r="AA38" s="98"/>
      <c r="AB38" s="101">
        <v>5</v>
      </c>
      <c r="AC38" s="101">
        <v>9</v>
      </c>
      <c r="AD38" s="101">
        <v>9</v>
      </c>
      <c r="AE38" s="101">
        <v>36</v>
      </c>
      <c r="AF38" s="101">
        <v>45</v>
      </c>
      <c r="AG38" s="98"/>
      <c r="AH38" s="98"/>
      <c r="AI38" s="98"/>
    </row>
    <row r="39" spans="1:35" ht="18" x14ac:dyDescent="0.3">
      <c r="A39" s="119" t="s">
        <v>182</v>
      </c>
      <c r="B39" s="120">
        <v>45990</v>
      </c>
      <c r="C39" s="99" t="s">
        <v>530</v>
      </c>
      <c r="D39" s="121">
        <v>0.45833333333333331</v>
      </c>
      <c r="E39" s="99" t="s">
        <v>471</v>
      </c>
      <c r="F39" s="99" t="s">
        <v>153</v>
      </c>
      <c r="G39" s="122">
        <v>0.99399999999999999</v>
      </c>
      <c r="H39" s="101">
        <v>168</v>
      </c>
      <c r="I39" s="101">
        <v>167</v>
      </c>
      <c r="J39" s="101">
        <v>138</v>
      </c>
      <c r="K39" s="120">
        <v>45987</v>
      </c>
      <c r="L39" s="101">
        <v>1</v>
      </c>
      <c r="M39" s="101">
        <v>3</v>
      </c>
      <c r="N39" s="101">
        <v>4</v>
      </c>
      <c r="O39" s="99" t="s">
        <v>428</v>
      </c>
      <c r="P39" s="98"/>
      <c r="Q39" s="98"/>
      <c r="R39" s="98"/>
      <c r="S39" s="98"/>
      <c r="T39" s="98"/>
      <c r="U39" s="98"/>
      <c r="V39" s="98"/>
      <c r="W39" s="98"/>
      <c r="X39" s="101">
        <v>7</v>
      </c>
      <c r="Y39" s="101">
        <v>3</v>
      </c>
      <c r="Z39" s="98"/>
      <c r="AA39" s="101">
        <v>1</v>
      </c>
      <c r="AB39" s="101">
        <v>17</v>
      </c>
      <c r="AC39" s="98"/>
      <c r="AD39" s="98"/>
      <c r="AE39" s="98"/>
      <c r="AF39" s="98"/>
      <c r="AG39" s="98"/>
      <c r="AH39" s="101">
        <v>139</v>
      </c>
      <c r="AI39" s="98"/>
    </row>
    <row r="40" spans="1:35" ht="18" x14ac:dyDescent="0.3">
      <c r="A40" s="119" t="s">
        <v>183</v>
      </c>
      <c r="B40" s="120">
        <v>45991</v>
      </c>
      <c r="C40" s="99" t="s">
        <v>530</v>
      </c>
      <c r="D40" s="121">
        <v>0.48958333333333331</v>
      </c>
      <c r="E40" s="99" t="s">
        <v>471</v>
      </c>
      <c r="F40" s="99" t="s">
        <v>153</v>
      </c>
      <c r="G40" s="122">
        <v>1</v>
      </c>
      <c r="H40" s="101">
        <v>168</v>
      </c>
      <c r="I40" s="101">
        <v>168</v>
      </c>
      <c r="J40" s="101">
        <v>138</v>
      </c>
      <c r="K40" s="120">
        <v>45986</v>
      </c>
      <c r="L40" s="101">
        <v>0</v>
      </c>
      <c r="M40" s="101">
        <v>2</v>
      </c>
      <c r="N40" s="101">
        <v>3</v>
      </c>
      <c r="O40" s="99" t="s">
        <v>107</v>
      </c>
      <c r="P40" s="98"/>
      <c r="Q40" s="98"/>
      <c r="R40" s="98"/>
      <c r="S40" s="98"/>
      <c r="T40" s="98"/>
      <c r="U40" s="98"/>
      <c r="V40" s="98"/>
      <c r="W40" s="98"/>
      <c r="X40" s="101">
        <v>1</v>
      </c>
      <c r="Y40" s="101">
        <v>1</v>
      </c>
      <c r="Z40" s="98"/>
      <c r="AA40" s="98"/>
      <c r="AB40" s="101">
        <v>4</v>
      </c>
      <c r="AC40" s="101">
        <v>7</v>
      </c>
      <c r="AD40" s="101">
        <v>8</v>
      </c>
      <c r="AE40" s="101">
        <v>8</v>
      </c>
      <c r="AF40" s="101">
        <v>1</v>
      </c>
      <c r="AG40" s="98"/>
      <c r="AH40" s="101">
        <v>137</v>
      </c>
      <c r="AI40" s="101">
        <v>1</v>
      </c>
    </row>
    <row r="41" spans="1:35" ht="18" x14ac:dyDescent="0.3">
      <c r="A41" s="119" t="s">
        <v>946</v>
      </c>
      <c r="B41" s="120">
        <v>45989</v>
      </c>
      <c r="C41" s="99" t="s">
        <v>363</v>
      </c>
      <c r="D41" s="121">
        <v>0.9375</v>
      </c>
      <c r="E41" s="99" t="s">
        <v>238</v>
      </c>
      <c r="F41" s="99" t="s">
        <v>153</v>
      </c>
      <c r="G41" s="122">
        <v>0.9385</v>
      </c>
      <c r="H41" s="101">
        <v>179</v>
      </c>
      <c r="I41" s="101">
        <v>168</v>
      </c>
      <c r="J41" s="101">
        <v>114</v>
      </c>
      <c r="K41" s="120">
        <v>45984</v>
      </c>
      <c r="L41" s="101">
        <v>0</v>
      </c>
      <c r="M41" s="101">
        <v>0</v>
      </c>
      <c r="N41" s="101">
        <v>6</v>
      </c>
      <c r="O41" s="99" t="s">
        <v>107</v>
      </c>
      <c r="P41" s="98"/>
      <c r="Q41" s="98"/>
      <c r="R41" s="98"/>
      <c r="S41" s="98"/>
      <c r="T41" s="98"/>
      <c r="U41" s="98"/>
      <c r="V41" s="98"/>
      <c r="W41" s="98"/>
      <c r="X41" s="98"/>
      <c r="Y41" s="101">
        <v>5</v>
      </c>
      <c r="Z41" s="101">
        <v>3</v>
      </c>
      <c r="AA41" s="98"/>
      <c r="AB41" s="98"/>
      <c r="AC41" s="101">
        <v>16</v>
      </c>
      <c r="AD41" s="101">
        <v>20</v>
      </c>
      <c r="AE41" s="101">
        <v>10</v>
      </c>
      <c r="AF41" s="98"/>
      <c r="AG41" s="98"/>
      <c r="AH41" s="101">
        <v>114</v>
      </c>
      <c r="AI41" s="98"/>
    </row>
    <row r="42" spans="1:35" ht="18" x14ac:dyDescent="0.3">
      <c r="A42" s="119" t="s">
        <v>183</v>
      </c>
      <c r="B42" s="120">
        <v>45991</v>
      </c>
      <c r="C42" s="99" t="s">
        <v>363</v>
      </c>
      <c r="D42" s="121">
        <v>0.51041666666666663</v>
      </c>
      <c r="E42" s="99" t="s">
        <v>238</v>
      </c>
      <c r="F42" s="99" t="s">
        <v>153</v>
      </c>
      <c r="G42" s="122">
        <v>0.9385</v>
      </c>
      <c r="H42" s="101">
        <v>179</v>
      </c>
      <c r="I42" s="101">
        <v>168</v>
      </c>
      <c r="J42" s="101">
        <v>157</v>
      </c>
      <c r="K42" s="120">
        <v>45986</v>
      </c>
      <c r="L42" s="101">
        <v>0</v>
      </c>
      <c r="M42" s="101">
        <v>1</v>
      </c>
      <c r="N42" s="101">
        <v>6</v>
      </c>
      <c r="O42" s="99" t="s">
        <v>107</v>
      </c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101">
        <v>3</v>
      </c>
      <c r="AC42" s="98"/>
      <c r="AD42" s="101">
        <v>3</v>
      </c>
      <c r="AE42" s="101">
        <v>5</v>
      </c>
      <c r="AF42" s="98"/>
      <c r="AG42" s="98"/>
      <c r="AH42" s="101">
        <v>157</v>
      </c>
      <c r="AI42" s="98"/>
    </row>
    <row r="43" spans="1:35" ht="18" x14ac:dyDescent="0.3">
      <c r="A43" s="119" t="s">
        <v>181</v>
      </c>
      <c r="B43" s="120">
        <v>45988</v>
      </c>
      <c r="C43" s="99" t="s">
        <v>653</v>
      </c>
      <c r="D43" s="121">
        <v>0.61111111111111105</v>
      </c>
      <c r="E43" s="99" t="s">
        <v>627</v>
      </c>
      <c r="F43" s="99" t="s">
        <v>153</v>
      </c>
      <c r="G43" s="122">
        <v>0.67859999999999998</v>
      </c>
      <c r="H43" s="101">
        <v>168</v>
      </c>
      <c r="I43" s="101">
        <v>114</v>
      </c>
      <c r="J43" s="101">
        <v>0</v>
      </c>
      <c r="K43" s="120">
        <v>45986</v>
      </c>
      <c r="L43" s="101">
        <v>0</v>
      </c>
      <c r="M43" s="101">
        <v>4</v>
      </c>
      <c r="N43" s="101">
        <v>31</v>
      </c>
      <c r="O43" s="99" t="s">
        <v>361</v>
      </c>
      <c r="P43" s="98"/>
      <c r="Q43" s="98"/>
      <c r="R43" s="98"/>
      <c r="S43" s="98"/>
      <c r="T43" s="98"/>
      <c r="U43" s="101">
        <v>2</v>
      </c>
      <c r="V43" s="98"/>
      <c r="W43" s="98"/>
      <c r="X43" s="98"/>
      <c r="Y43" s="101">
        <v>2</v>
      </c>
      <c r="Z43" s="101">
        <v>3</v>
      </c>
      <c r="AA43" s="98"/>
      <c r="AB43" s="101">
        <v>6</v>
      </c>
      <c r="AC43" s="101">
        <v>32</v>
      </c>
      <c r="AD43" s="101">
        <v>10</v>
      </c>
      <c r="AE43" s="101">
        <v>59</v>
      </c>
      <c r="AF43" s="98"/>
      <c r="AG43" s="98"/>
      <c r="AH43" s="98"/>
      <c r="AI43" s="98"/>
    </row>
    <row r="44" spans="1:35" ht="18" x14ac:dyDescent="0.3">
      <c r="A44" s="119" t="s">
        <v>946</v>
      </c>
      <c r="B44" s="120">
        <v>45989</v>
      </c>
      <c r="C44" s="99" t="s">
        <v>653</v>
      </c>
      <c r="D44" s="121">
        <v>0.60416666666666663</v>
      </c>
      <c r="E44" s="99" t="s">
        <v>627</v>
      </c>
      <c r="F44" s="99" t="s">
        <v>153</v>
      </c>
      <c r="G44" s="122">
        <v>0.64880000000000004</v>
      </c>
      <c r="H44" s="101">
        <v>168</v>
      </c>
      <c r="I44" s="101">
        <v>109</v>
      </c>
      <c r="J44" s="101">
        <v>0</v>
      </c>
      <c r="K44" s="120">
        <v>45986</v>
      </c>
      <c r="L44" s="101">
        <v>0</v>
      </c>
      <c r="M44" s="101">
        <v>5</v>
      </c>
      <c r="N44" s="101">
        <v>45</v>
      </c>
      <c r="O44" s="99" t="s">
        <v>158</v>
      </c>
      <c r="P44" s="98"/>
      <c r="Q44" s="98"/>
      <c r="R44" s="98"/>
      <c r="S44" s="98"/>
      <c r="T44" s="98"/>
      <c r="U44" s="101">
        <v>1</v>
      </c>
      <c r="V44" s="98"/>
      <c r="W44" s="98"/>
      <c r="X44" s="98"/>
      <c r="Y44" s="101">
        <v>1</v>
      </c>
      <c r="Z44" s="98"/>
      <c r="AA44" s="101">
        <v>3</v>
      </c>
      <c r="AB44" s="98"/>
      <c r="AC44" s="101">
        <v>3</v>
      </c>
      <c r="AD44" s="101">
        <v>51</v>
      </c>
      <c r="AE44" s="101">
        <v>50</v>
      </c>
      <c r="AF44" s="98"/>
      <c r="AG44" s="98"/>
      <c r="AH44" s="98"/>
      <c r="AI44" s="98"/>
    </row>
    <row r="45" spans="1:35" ht="18" x14ac:dyDescent="0.3">
      <c r="A45" s="119" t="s">
        <v>182</v>
      </c>
      <c r="B45" s="120">
        <v>45990</v>
      </c>
      <c r="C45" s="99" t="s">
        <v>653</v>
      </c>
      <c r="D45" s="121">
        <v>0.61111111111111105</v>
      </c>
      <c r="E45" s="99" t="s">
        <v>627</v>
      </c>
      <c r="F45" s="99" t="s">
        <v>153</v>
      </c>
      <c r="G45" s="122">
        <v>0.64880000000000004</v>
      </c>
      <c r="H45" s="101">
        <v>168</v>
      </c>
      <c r="I45" s="101">
        <v>109</v>
      </c>
      <c r="J45" s="101">
        <v>0</v>
      </c>
      <c r="K45" s="120">
        <v>45986</v>
      </c>
      <c r="L45" s="101">
        <v>0</v>
      </c>
      <c r="M45" s="101">
        <v>9</v>
      </c>
      <c r="N45" s="101">
        <v>44</v>
      </c>
      <c r="O45" s="99" t="s">
        <v>158</v>
      </c>
      <c r="P45" s="98"/>
      <c r="Q45" s="98"/>
      <c r="R45" s="98"/>
      <c r="S45" s="98"/>
      <c r="T45" s="98"/>
      <c r="U45" s="101">
        <v>1</v>
      </c>
      <c r="V45" s="98"/>
      <c r="W45" s="98"/>
      <c r="X45" s="98"/>
      <c r="Y45" s="101">
        <v>2</v>
      </c>
      <c r="Z45" s="101">
        <v>1</v>
      </c>
      <c r="AA45" s="98"/>
      <c r="AB45" s="98"/>
      <c r="AC45" s="101">
        <v>2</v>
      </c>
      <c r="AD45" s="101">
        <v>43</v>
      </c>
      <c r="AE45" s="101">
        <v>60</v>
      </c>
      <c r="AF45" s="98"/>
      <c r="AG45" s="98"/>
      <c r="AH45" s="98"/>
      <c r="AI45" s="98"/>
    </row>
    <row r="46" spans="1:35" ht="18" x14ac:dyDescent="0.3">
      <c r="A46" s="119" t="s">
        <v>183</v>
      </c>
      <c r="B46" s="120">
        <v>45991</v>
      </c>
      <c r="C46" s="99" t="s">
        <v>653</v>
      </c>
      <c r="D46" s="121">
        <v>0.625</v>
      </c>
      <c r="E46" s="99" t="s">
        <v>627</v>
      </c>
      <c r="F46" s="99" t="s">
        <v>153</v>
      </c>
      <c r="G46" s="122">
        <v>0.54759999999999998</v>
      </c>
      <c r="H46" s="101">
        <v>168</v>
      </c>
      <c r="I46" s="101">
        <v>92</v>
      </c>
      <c r="J46" s="101">
        <v>0</v>
      </c>
      <c r="K46" s="120">
        <v>45986</v>
      </c>
      <c r="L46" s="101">
        <v>0</v>
      </c>
      <c r="M46" s="101">
        <v>5</v>
      </c>
      <c r="N46" s="101">
        <v>27</v>
      </c>
      <c r="O46" s="99" t="s">
        <v>158</v>
      </c>
      <c r="P46" s="98"/>
      <c r="Q46" s="98"/>
      <c r="R46" s="98"/>
      <c r="S46" s="98"/>
      <c r="T46" s="98"/>
      <c r="U46" s="101">
        <v>1</v>
      </c>
      <c r="V46" s="98"/>
      <c r="W46" s="98"/>
      <c r="X46" s="98"/>
      <c r="Y46" s="101">
        <v>1</v>
      </c>
      <c r="Z46" s="101">
        <v>1</v>
      </c>
      <c r="AA46" s="98"/>
      <c r="AB46" s="98"/>
      <c r="AC46" s="101">
        <v>1</v>
      </c>
      <c r="AD46" s="101">
        <v>38</v>
      </c>
      <c r="AE46" s="101">
        <v>50</v>
      </c>
      <c r="AF46" s="98"/>
      <c r="AG46" s="98"/>
      <c r="AH46" s="98"/>
      <c r="AI46" s="98"/>
    </row>
    <row r="47" spans="1:35" ht="18" x14ac:dyDescent="0.3">
      <c r="A47" s="119" t="s">
        <v>183</v>
      </c>
      <c r="B47" s="120">
        <v>45991</v>
      </c>
      <c r="C47" s="99" t="s">
        <v>734</v>
      </c>
      <c r="D47" s="121">
        <v>0.61111111111111105</v>
      </c>
      <c r="E47" s="99" t="s">
        <v>731</v>
      </c>
      <c r="F47" s="99" t="s">
        <v>153</v>
      </c>
      <c r="G47" s="122">
        <v>0.58330000000000004</v>
      </c>
      <c r="H47" s="101">
        <v>168</v>
      </c>
      <c r="I47" s="101">
        <v>98</v>
      </c>
      <c r="J47" s="101">
        <v>0</v>
      </c>
      <c r="K47" s="120">
        <v>45986</v>
      </c>
      <c r="L47" s="101">
        <v>0</v>
      </c>
      <c r="M47" s="101">
        <v>6</v>
      </c>
      <c r="N47" s="101">
        <v>18</v>
      </c>
      <c r="O47" s="99" t="s">
        <v>361</v>
      </c>
      <c r="P47" s="98"/>
      <c r="Q47" s="98"/>
      <c r="R47" s="98"/>
      <c r="S47" s="98"/>
      <c r="T47" s="98"/>
      <c r="U47" s="98"/>
      <c r="V47" s="98"/>
      <c r="W47" s="98"/>
      <c r="X47" s="98"/>
      <c r="Y47" s="101">
        <v>5</v>
      </c>
      <c r="Z47" s="101">
        <v>3</v>
      </c>
      <c r="AA47" s="98"/>
      <c r="AB47" s="101">
        <v>9</v>
      </c>
      <c r="AC47" s="101">
        <v>31</v>
      </c>
      <c r="AD47" s="101">
        <v>49</v>
      </c>
      <c r="AE47" s="101">
        <v>1</v>
      </c>
      <c r="AF47" s="98"/>
      <c r="AG47" s="98"/>
      <c r="AH47" s="98"/>
      <c r="AI47" s="98"/>
    </row>
    <row r="48" spans="1:35" ht="18" x14ac:dyDescent="0.3">
      <c r="A48" s="119" t="s">
        <v>946</v>
      </c>
      <c r="B48" s="120">
        <v>45989</v>
      </c>
      <c r="C48" s="99" t="s">
        <v>686</v>
      </c>
      <c r="D48" s="121">
        <v>0.92361111111111116</v>
      </c>
      <c r="E48" s="99" t="s">
        <v>627</v>
      </c>
      <c r="F48" s="99" t="s">
        <v>153</v>
      </c>
      <c r="G48" s="122">
        <v>0.5</v>
      </c>
      <c r="H48" s="101">
        <v>168</v>
      </c>
      <c r="I48" s="101">
        <v>84</v>
      </c>
      <c r="J48" s="101">
        <v>0</v>
      </c>
      <c r="K48" s="120">
        <v>45987</v>
      </c>
      <c r="L48" s="101">
        <v>1</v>
      </c>
      <c r="M48" s="101">
        <v>5</v>
      </c>
      <c r="N48" s="101">
        <v>47</v>
      </c>
      <c r="O48" s="99" t="s">
        <v>158</v>
      </c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101">
        <v>4</v>
      </c>
      <c r="AA48" s="98"/>
      <c r="AB48" s="98"/>
      <c r="AC48" s="98"/>
      <c r="AD48" s="101">
        <v>10</v>
      </c>
      <c r="AE48" s="101">
        <v>70</v>
      </c>
      <c r="AF48" s="98"/>
      <c r="AG48" s="98"/>
      <c r="AH48" s="98"/>
      <c r="AI48" s="98"/>
    </row>
    <row r="49" spans="1:35" ht="18" x14ac:dyDescent="0.3">
      <c r="A49" s="119" t="s">
        <v>181</v>
      </c>
      <c r="B49" s="120">
        <v>45988</v>
      </c>
      <c r="C49" s="99" t="s">
        <v>289</v>
      </c>
      <c r="D49" s="121">
        <v>0.1145833333333333</v>
      </c>
      <c r="E49" s="99" t="s">
        <v>238</v>
      </c>
      <c r="F49" s="99" t="s">
        <v>153</v>
      </c>
      <c r="G49" s="122">
        <v>0.29049999999999998</v>
      </c>
      <c r="H49" s="101">
        <v>179</v>
      </c>
      <c r="I49" s="101">
        <v>52</v>
      </c>
      <c r="J49" s="101">
        <v>0</v>
      </c>
      <c r="K49" s="120">
        <v>45986</v>
      </c>
      <c r="L49" s="101">
        <v>0</v>
      </c>
      <c r="M49" s="101">
        <v>2</v>
      </c>
      <c r="N49" s="101">
        <v>12</v>
      </c>
      <c r="O49" s="99" t="s">
        <v>280</v>
      </c>
      <c r="P49" s="98"/>
      <c r="Q49" s="98"/>
      <c r="R49" s="98"/>
      <c r="S49" s="98"/>
      <c r="T49" s="98"/>
      <c r="U49" s="98"/>
      <c r="V49" s="98"/>
      <c r="W49" s="98"/>
      <c r="X49" s="98"/>
      <c r="Y49" s="101">
        <v>1</v>
      </c>
      <c r="Z49" s="98"/>
      <c r="AA49" s="98"/>
      <c r="AB49" s="98"/>
      <c r="AC49" s="101">
        <v>4</v>
      </c>
      <c r="AD49" s="101">
        <v>16</v>
      </c>
      <c r="AE49" s="101">
        <v>31</v>
      </c>
      <c r="AF49" s="98"/>
      <c r="AG49" s="98"/>
      <c r="AH49" s="98"/>
      <c r="AI49" s="98"/>
    </row>
    <row r="50" spans="1:35" ht="18" x14ac:dyDescent="0.3">
      <c r="A50" s="119" t="s">
        <v>946</v>
      </c>
      <c r="B50" s="120">
        <v>45989</v>
      </c>
      <c r="C50" s="99" t="s">
        <v>289</v>
      </c>
      <c r="D50" s="121">
        <v>0.73611111111111116</v>
      </c>
      <c r="E50" s="99" t="s">
        <v>238</v>
      </c>
      <c r="F50" s="99" t="s">
        <v>153</v>
      </c>
      <c r="G50" s="122">
        <v>0.60340000000000005</v>
      </c>
      <c r="H50" s="101">
        <v>179</v>
      </c>
      <c r="I50" s="101">
        <v>108</v>
      </c>
      <c r="J50" s="101">
        <v>2</v>
      </c>
      <c r="K50" s="120">
        <v>45985</v>
      </c>
      <c r="L50" s="101">
        <v>0</v>
      </c>
      <c r="M50" s="101">
        <v>0</v>
      </c>
      <c r="N50" s="101">
        <v>56</v>
      </c>
      <c r="O50" s="99" t="s">
        <v>359</v>
      </c>
      <c r="P50" s="98"/>
      <c r="Q50" s="98"/>
      <c r="R50" s="98"/>
      <c r="S50" s="98"/>
      <c r="T50" s="98"/>
      <c r="U50" s="98"/>
      <c r="V50" s="98"/>
      <c r="W50" s="98"/>
      <c r="X50" s="98"/>
      <c r="Y50" s="101">
        <v>4</v>
      </c>
      <c r="Z50" s="98"/>
      <c r="AA50" s="98"/>
      <c r="AB50" s="101">
        <v>2</v>
      </c>
      <c r="AC50" s="101">
        <v>14</v>
      </c>
      <c r="AD50" s="101">
        <v>47</v>
      </c>
      <c r="AE50" s="101">
        <v>36</v>
      </c>
      <c r="AF50" s="98"/>
      <c r="AG50" s="98"/>
      <c r="AH50" s="101">
        <v>2</v>
      </c>
      <c r="AI50" s="101">
        <v>3</v>
      </c>
    </row>
    <row r="51" spans="1:35" ht="18" x14ac:dyDescent="0.3">
      <c r="A51" s="119" t="s">
        <v>181</v>
      </c>
      <c r="B51" s="120">
        <v>45988</v>
      </c>
      <c r="C51" s="99" t="s">
        <v>292</v>
      </c>
      <c r="D51" s="121">
        <v>0.33333333333333331</v>
      </c>
      <c r="E51" s="99" t="s">
        <v>238</v>
      </c>
      <c r="F51" s="99" t="s">
        <v>153</v>
      </c>
      <c r="G51" s="122">
        <v>0.82120000000000004</v>
      </c>
      <c r="H51" s="101">
        <v>179</v>
      </c>
      <c r="I51" s="101">
        <v>147</v>
      </c>
      <c r="J51" s="101">
        <v>132</v>
      </c>
      <c r="K51" s="120">
        <v>45986</v>
      </c>
      <c r="L51" s="101">
        <v>0</v>
      </c>
      <c r="M51" s="101">
        <v>2</v>
      </c>
      <c r="N51" s="101">
        <v>4</v>
      </c>
      <c r="O51" s="99" t="s">
        <v>280</v>
      </c>
      <c r="P51" s="98"/>
      <c r="Q51" s="98"/>
      <c r="R51" s="98"/>
      <c r="S51" s="98"/>
      <c r="T51" s="98"/>
      <c r="U51" s="98"/>
      <c r="V51" s="98"/>
      <c r="W51" s="98"/>
      <c r="X51" s="98"/>
      <c r="Y51" s="101">
        <v>1</v>
      </c>
      <c r="Z51" s="98"/>
      <c r="AA51" s="98"/>
      <c r="AB51" s="98"/>
      <c r="AC51" s="98"/>
      <c r="AD51" s="101">
        <v>3</v>
      </c>
      <c r="AE51" s="101">
        <v>11</v>
      </c>
      <c r="AF51" s="98"/>
      <c r="AG51" s="98"/>
      <c r="AH51" s="101">
        <v>132</v>
      </c>
      <c r="AI51" s="98"/>
    </row>
    <row r="52" spans="1:35" ht="18" x14ac:dyDescent="0.3">
      <c r="A52" s="119" t="s">
        <v>946</v>
      </c>
      <c r="B52" s="120">
        <v>45989</v>
      </c>
      <c r="C52" s="99" t="s">
        <v>292</v>
      </c>
      <c r="D52" s="121">
        <v>0.31944444444444448</v>
      </c>
      <c r="E52" s="99" t="s">
        <v>238</v>
      </c>
      <c r="F52" s="99" t="s">
        <v>153</v>
      </c>
      <c r="G52" s="122">
        <v>0.49159999999999998</v>
      </c>
      <c r="H52" s="101">
        <v>179</v>
      </c>
      <c r="I52" s="101">
        <v>88</v>
      </c>
      <c r="J52" s="101">
        <v>1</v>
      </c>
      <c r="K52" s="120">
        <v>45986</v>
      </c>
      <c r="L52" s="101">
        <v>0</v>
      </c>
      <c r="M52" s="101">
        <v>14</v>
      </c>
      <c r="N52" s="101">
        <v>46</v>
      </c>
      <c r="O52" s="99" t="s">
        <v>361</v>
      </c>
      <c r="P52" s="98"/>
      <c r="Q52" s="98"/>
      <c r="R52" s="98"/>
      <c r="S52" s="98"/>
      <c r="T52" s="98"/>
      <c r="U52" s="98"/>
      <c r="V52" s="98"/>
      <c r="W52" s="98"/>
      <c r="X52" s="98"/>
      <c r="Y52" s="101">
        <v>3</v>
      </c>
      <c r="Z52" s="98"/>
      <c r="AA52" s="98"/>
      <c r="AB52" s="98"/>
      <c r="AC52" s="98"/>
      <c r="AD52" s="101">
        <v>10</v>
      </c>
      <c r="AE52" s="101">
        <v>74</v>
      </c>
      <c r="AF52" s="98"/>
      <c r="AG52" s="98"/>
      <c r="AH52" s="101">
        <v>1</v>
      </c>
      <c r="AI52" s="98"/>
    </row>
    <row r="53" spans="1:35" ht="18" x14ac:dyDescent="0.3">
      <c r="A53" s="119" t="s">
        <v>182</v>
      </c>
      <c r="B53" s="120">
        <v>45990</v>
      </c>
      <c r="C53" s="99" t="s">
        <v>292</v>
      </c>
      <c r="D53" s="121">
        <v>0.33333333333333331</v>
      </c>
      <c r="E53" s="99" t="s">
        <v>238</v>
      </c>
      <c r="F53" s="99" t="s">
        <v>153</v>
      </c>
      <c r="G53" s="122">
        <v>0.92179999999999995</v>
      </c>
      <c r="H53" s="101">
        <v>179</v>
      </c>
      <c r="I53" s="101">
        <v>165</v>
      </c>
      <c r="J53" s="101">
        <v>98</v>
      </c>
      <c r="K53" s="120">
        <v>45985</v>
      </c>
      <c r="L53" s="101">
        <v>0</v>
      </c>
      <c r="M53" s="101">
        <v>0</v>
      </c>
      <c r="N53" s="101">
        <v>35</v>
      </c>
      <c r="O53" s="99" t="s">
        <v>107</v>
      </c>
      <c r="P53" s="98"/>
      <c r="Q53" s="98"/>
      <c r="R53" s="98"/>
      <c r="S53" s="98"/>
      <c r="T53" s="98"/>
      <c r="U53" s="98"/>
      <c r="V53" s="98"/>
      <c r="W53" s="98"/>
      <c r="X53" s="98"/>
      <c r="Y53" s="101">
        <v>3</v>
      </c>
      <c r="Z53" s="98"/>
      <c r="AA53" s="98"/>
      <c r="AB53" s="101">
        <v>1</v>
      </c>
      <c r="AC53" s="101">
        <v>10</v>
      </c>
      <c r="AD53" s="101">
        <v>28</v>
      </c>
      <c r="AE53" s="101">
        <v>25</v>
      </c>
      <c r="AF53" s="101">
        <v>3</v>
      </c>
      <c r="AG53" s="98"/>
      <c r="AH53" s="101">
        <v>95</v>
      </c>
      <c r="AI53" s="98"/>
    </row>
    <row r="54" spans="1:35" ht="18" x14ac:dyDescent="0.3">
      <c r="A54" s="119" t="s">
        <v>183</v>
      </c>
      <c r="B54" s="120">
        <v>45991</v>
      </c>
      <c r="C54" s="99" t="s">
        <v>292</v>
      </c>
      <c r="D54" s="121">
        <v>0.31944444444444448</v>
      </c>
      <c r="E54" s="99" t="s">
        <v>238</v>
      </c>
      <c r="F54" s="99" t="s">
        <v>153</v>
      </c>
      <c r="G54" s="122">
        <v>0.79890000000000005</v>
      </c>
      <c r="H54" s="101">
        <v>179</v>
      </c>
      <c r="I54" s="101">
        <v>143</v>
      </c>
      <c r="J54" s="101">
        <v>47</v>
      </c>
      <c r="K54" s="120">
        <v>45986</v>
      </c>
      <c r="L54" s="101">
        <v>0</v>
      </c>
      <c r="M54" s="101">
        <v>4</v>
      </c>
      <c r="N54" s="101">
        <v>55</v>
      </c>
      <c r="O54" s="99" t="s">
        <v>352</v>
      </c>
      <c r="P54" s="98"/>
      <c r="Q54" s="98"/>
      <c r="R54" s="98"/>
      <c r="S54" s="98"/>
      <c r="T54" s="98"/>
      <c r="U54" s="98"/>
      <c r="V54" s="98"/>
      <c r="W54" s="98"/>
      <c r="X54" s="98"/>
      <c r="Y54" s="101">
        <v>3</v>
      </c>
      <c r="Z54" s="98"/>
      <c r="AA54" s="98"/>
      <c r="AB54" s="98"/>
      <c r="AC54" s="101">
        <v>4</v>
      </c>
      <c r="AD54" s="101">
        <v>34</v>
      </c>
      <c r="AE54" s="101">
        <v>55</v>
      </c>
      <c r="AF54" s="98"/>
      <c r="AG54" s="98"/>
      <c r="AH54" s="101">
        <v>47</v>
      </c>
      <c r="AI54" s="98"/>
    </row>
    <row r="55" spans="1:35" ht="18" x14ac:dyDescent="0.3">
      <c r="A55" s="119" t="s">
        <v>181</v>
      </c>
      <c r="B55" s="120">
        <v>45988</v>
      </c>
      <c r="C55" s="99" t="s">
        <v>298</v>
      </c>
      <c r="D55" s="121">
        <v>0.58333333333333337</v>
      </c>
      <c r="E55" s="99" t="s">
        <v>238</v>
      </c>
      <c r="F55" s="99" t="s">
        <v>153</v>
      </c>
      <c r="G55" s="122">
        <v>1</v>
      </c>
      <c r="H55" s="101">
        <v>179</v>
      </c>
      <c r="I55" s="101">
        <v>179</v>
      </c>
      <c r="J55" s="101">
        <v>89</v>
      </c>
      <c r="K55" s="120">
        <v>45986</v>
      </c>
      <c r="L55" s="101">
        <v>0</v>
      </c>
      <c r="M55" s="101">
        <v>2</v>
      </c>
      <c r="N55" s="101">
        <v>56</v>
      </c>
      <c r="O55" s="99" t="s">
        <v>107</v>
      </c>
      <c r="P55" s="98"/>
      <c r="Q55" s="98"/>
      <c r="R55" s="98"/>
      <c r="S55" s="98"/>
      <c r="T55" s="98"/>
      <c r="U55" s="98"/>
      <c r="V55" s="98"/>
      <c r="W55" s="98"/>
      <c r="X55" s="98"/>
      <c r="Y55" s="101">
        <v>4</v>
      </c>
      <c r="Z55" s="98"/>
      <c r="AA55" s="98"/>
      <c r="AB55" s="98"/>
      <c r="AC55" s="101">
        <v>6</v>
      </c>
      <c r="AD55" s="101">
        <v>25</v>
      </c>
      <c r="AE55" s="101">
        <v>55</v>
      </c>
      <c r="AF55" s="98"/>
      <c r="AG55" s="98"/>
      <c r="AH55" s="101">
        <v>89</v>
      </c>
      <c r="AI55" s="98"/>
    </row>
    <row r="56" spans="1:35" ht="18" x14ac:dyDescent="0.3">
      <c r="A56" s="119" t="s">
        <v>946</v>
      </c>
      <c r="B56" s="120">
        <v>45989</v>
      </c>
      <c r="C56" s="99" t="s">
        <v>298</v>
      </c>
      <c r="D56" s="121">
        <v>0.45833333333333331</v>
      </c>
      <c r="E56" s="99" t="s">
        <v>238</v>
      </c>
      <c r="F56" s="99" t="s">
        <v>153</v>
      </c>
      <c r="G56" s="122">
        <v>0.5978</v>
      </c>
      <c r="H56" s="101">
        <v>179</v>
      </c>
      <c r="I56" s="101">
        <v>107</v>
      </c>
      <c r="J56" s="101">
        <v>39</v>
      </c>
      <c r="K56" s="120">
        <v>45986</v>
      </c>
      <c r="L56" s="101">
        <v>0</v>
      </c>
      <c r="M56" s="101">
        <v>3</v>
      </c>
      <c r="N56" s="101">
        <v>52</v>
      </c>
      <c r="O56" s="99" t="s">
        <v>355</v>
      </c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101">
        <v>23</v>
      </c>
      <c r="AE56" s="101">
        <v>45</v>
      </c>
      <c r="AF56" s="98"/>
      <c r="AG56" s="98"/>
      <c r="AH56" s="101">
        <v>39</v>
      </c>
      <c r="AI56" s="98"/>
    </row>
    <row r="57" spans="1:35" ht="18" x14ac:dyDescent="0.3">
      <c r="A57" s="119" t="s">
        <v>182</v>
      </c>
      <c r="B57" s="120">
        <v>45990</v>
      </c>
      <c r="C57" s="99" t="s">
        <v>298</v>
      </c>
      <c r="D57" s="121">
        <v>0.68055555555555547</v>
      </c>
      <c r="E57" s="99" t="s">
        <v>238</v>
      </c>
      <c r="F57" s="99" t="s">
        <v>153</v>
      </c>
      <c r="G57" s="122">
        <v>0.9385</v>
      </c>
      <c r="H57" s="101">
        <v>179</v>
      </c>
      <c r="I57" s="101">
        <v>168</v>
      </c>
      <c r="J57" s="101">
        <v>107</v>
      </c>
      <c r="K57" s="120">
        <v>45985</v>
      </c>
      <c r="L57" s="101">
        <v>0</v>
      </c>
      <c r="M57" s="101">
        <v>0</v>
      </c>
      <c r="N57" s="101">
        <v>43</v>
      </c>
      <c r="O57" s="99" t="s">
        <v>107</v>
      </c>
      <c r="P57" s="98"/>
      <c r="Q57" s="98"/>
      <c r="R57" s="98"/>
      <c r="S57" s="98"/>
      <c r="T57" s="98"/>
      <c r="U57" s="98"/>
      <c r="V57" s="98"/>
      <c r="W57" s="98"/>
      <c r="X57" s="98"/>
      <c r="Y57" s="101">
        <v>1</v>
      </c>
      <c r="Z57" s="98"/>
      <c r="AA57" s="101">
        <v>9</v>
      </c>
      <c r="AB57" s="101">
        <v>11</v>
      </c>
      <c r="AC57" s="101">
        <v>15</v>
      </c>
      <c r="AD57" s="101">
        <v>20</v>
      </c>
      <c r="AE57" s="98"/>
      <c r="AF57" s="98"/>
      <c r="AG57" s="98"/>
      <c r="AH57" s="101">
        <v>102</v>
      </c>
      <c r="AI57" s="101">
        <v>10</v>
      </c>
    </row>
    <row r="58" spans="1:35" ht="18" x14ac:dyDescent="0.3">
      <c r="A58" s="119" t="s">
        <v>183</v>
      </c>
      <c r="B58" s="120">
        <v>45991</v>
      </c>
      <c r="C58" s="99" t="s">
        <v>298</v>
      </c>
      <c r="D58" s="121">
        <v>0.63194444444444442</v>
      </c>
      <c r="E58" s="99" t="s">
        <v>238</v>
      </c>
      <c r="F58" s="99" t="s">
        <v>153</v>
      </c>
      <c r="G58" s="122">
        <v>0.96650000000000003</v>
      </c>
      <c r="H58" s="101">
        <v>179</v>
      </c>
      <c r="I58" s="101">
        <v>173</v>
      </c>
      <c r="J58" s="101">
        <v>135</v>
      </c>
      <c r="K58" s="120">
        <v>45982</v>
      </c>
      <c r="L58" s="101">
        <v>0</v>
      </c>
      <c r="M58" s="101">
        <v>0</v>
      </c>
      <c r="N58" s="101">
        <v>3</v>
      </c>
      <c r="O58" s="99" t="s">
        <v>107</v>
      </c>
      <c r="P58" s="98"/>
      <c r="Q58" s="98"/>
      <c r="R58" s="98"/>
      <c r="S58" s="98"/>
      <c r="T58" s="98"/>
      <c r="U58" s="101">
        <v>1</v>
      </c>
      <c r="V58" s="98"/>
      <c r="W58" s="98"/>
      <c r="X58" s="98"/>
      <c r="Y58" s="101">
        <v>4</v>
      </c>
      <c r="Z58" s="98"/>
      <c r="AA58" s="98"/>
      <c r="AB58" s="101">
        <v>7</v>
      </c>
      <c r="AC58" s="101">
        <v>8</v>
      </c>
      <c r="AD58" s="101">
        <v>8</v>
      </c>
      <c r="AE58" s="101">
        <v>8</v>
      </c>
      <c r="AF58" s="101">
        <v>43</v>
      </c>
      <c r="AG58" s="98"/>
      <c r="AH58" s="101">
        <v>92</v>
      </c>
      <c r="AI58" s="101">
        <v>2</v>
      </c>
    </row>
    <row r="59" spans="1:35" ht="18" x14ac:dyDescent="0.3">
      <c r="A59" s="119" t="s">
        <v>181</v>
      </c>
      <c r="B59" s="120">
        <v>45988</v>
      </c>
      <c r="C59" s="99" t="s">
        <v>296</v>
      </c>
      <c r="D59" s="121">
        <v>0.73958333333333337</v>
      </c>
      <c r="E59" s="99" t="s">
        <v>238</v>
      </c>
      <c r="F59" s="99" t="s">
        <v>153</v>
      </c>
      <c r="G59" s="122">
        <v>0.78210000000000002</v>
      </c>
      <c r="H59" s="101">
        <v>179</v>
      </c>
      <c r="I59" s="101">
        <v>140</v>
      </c>
      <c r="J59" s="101">
        <v>44</v>
      </c>
      <c r="K59" s="120">
        <v>45986</v>
      </c>
      <c r="L59" s="101">
        <v>0</v>
      </c>
      <c r="M59" s="101">
        <v>6</v>
      </c>
      <c r="N59" s="101">
        <v>64</v>
      </c>
      <c r="O59" s="99" t="s">
        <v>158</v>
      </c>
      <c r="P59" s="98"/>
      <c r="Q59" s="98"/>
      <c r="R59" s="98"/>
      <c r="S59" s="98"/>
      <c r="T59" s="98"/>
      <c r="U59" s="98"/>
      <c r="V59" s="98"/>
      <c r="W59" s="98"/>
      <c r="X59" s="98"/>
      <c r="Y59" s="101">
        <v>1</v>
      </c>
      <c r="Z59" s="98"/>
      <c r="AA59" s="98"/>
      <c r="AB59" s="98"/>
      <c r="AC59" s="101">
        <v>14</v>
      </c>
      <c r="AD59" s="101">
        <v>34</v>
      </c>
      <c r="AE59" s="101">
        <v>45</v>
      </c>
      <c r="AF59" s="101">
        <v>44</v>
      </c>
      <c r="AG59" s="98"/>
      <c r="AH59" s="98"/>
      <c r="AI59" s="101">
        <v>2</v>
      </c>
    </row>
    <row r="60" spans="1:35" ht="18" x14ac:dyDescent="0.3">
      <c r="A60" s="119" t="s">
        <v>946</v>
      </c>
      <c r="B60" s="120">
        <v>45989</v>
      </c>
      <c r="C60" s="99" t="s">
        <v>296</v>
      </c>
      <c r="D60" s="121">
        <v>0.61458333333333337</v>
      </c>
      <c r="E60" s="99" t="s">
        <v>238</v>
      </c>
      <c r="F60" s="99" t="s">
        <v>153</v>
      </c>
      <c r="G60" s="122">
        <v>0.81010000000000004</v>
      </c>
      <c r="H60" s="101">
        <v>179</v>
      </c>
      <c r="I60" s="101">
        <v>145</v>
      </c>
      <c r="J60" s="101">
        <v>68</v>
      </c>
      <c r="K60" s="120">
        <v>45986</v>
      </c>
      <c r="L60" s="101">
        <v>0</v>
      </c>
      <c r="M60" s="101">
        <v>2</v>
      </c>
      <c r="N60" s="101">
        <v>40</v>
      </c>
      <c r="O60" s="99" t="s">
        <v>176</v>
      </c>
      <c r="P60" s="98"/>
      <c r="Q60" s="98"/>
      <c r="R60" s="98"/>
      <c r="S60" s="98"/>
      <c r="T60" s="98"/>
      <c r="U60" s="98"/>
      <c r="V60" s="98"/>
      <c r="W60" s="101">
        <v>1</v>
      </c>
      <c r="X60" s="101">
        <v>1</v>
      </c>
      <c r="Y60" s="101">
        <v>1</v>
      </c>
      <c r="Z60" s="98"/>
      <c r="AA60" s="98"/>
      <c r="AB60" s="98"/>
      <c r="AC60" s="101">
        <v>3</v>
      </c>
      <c r="AD60" s="101">
        <v>46</v>
      </c>
      <c r="AE60" s="101">
        <v>25</v>
      </c>
      <c r="AF60" s="98"/>
      <c r="AG60" s="98"/>
      <c r="AH60" s="101">
        <v>68</v>
      </c>
      <c r="AI60" s="98"/>
    </row>
    <row r="61" spans="1:35" ht="18" x14ac:dyDescent="0.3">
      <c r="A61" s="119" t="s">
        <v>181</v>
      </c>
      <c r="B61" s="120">
        <v>45988</v>
      </c>
      <c r="C61" s="99" t="s">
        <v>188</v>
      </c>
      <c r="D61" s="121">
        <v>0.64583333333333337</v>
      </c>
      <c r="E61" s="99" t="s">
        <v>184</v>
      </c>
      <c r="F61" s="99" t="s">
        <v>153</v>
      </c>
      <c r="G61" s="122">
        <v>0.97770000000000001</v>
      </c>
      <c r="H61" s="101">
        <v>179</v>
      </c>
      <c r="I61" s="101">
        <v>175</v>
      </c>
      <c r="J61" s="101">
        <v>121</v>
      </c>
      <c r="K61" s="120">
        <v>45981</v>
      </c>
      <c r="L61" s="101">
        <v>0</v>
      </c>
      <c r="M61" s="101">
        <v>0</v>
      </c>
      <c r="N61" s="101">
        <v>2</v>
      </c>
      <c r="O61" s="99" t="s">
        <v>189</v>
      </c>
      <c r="P61" s="98"/>
      <c r="Q61" s="98"/>
      <c r="R61" s="98"/>
      <c r="S61" s="98"/>
      <c r="T61" s="98"/>
      <c r="U61" s="98"/>
      <c r="V61" s="101">
        <v>1</v>
      </c>
      <c r="W61" s="101">
        <v>6</v>
      </c>
      <c r="X61" s="98"/>
      <c r="Y61" s="101">
        <v>29</v>
      </c>
      <c r="Z61" s="98"/>
      <c r="AA61" s="101">
        <v>8</v>
      </c>
      <c r="AB61" s="101">
        <v>10</v>
      </c>
      <c r="AC61" s="98"/>
      <c r="AD61" s="98"/>
      <c r="AE61" s="98"/>
      <c r="AF61" s="98"/>
      <c r="AG61" s="98"/>
      <c r="AH61" s="101">
        <v>121</v>
      </c>
      <c r="AI61" s="98"/>
    </row>
    <row r="62" spans="1:35" ht="18" x14ac:dyDescent="0.3">
      <c r="A62" s="119" t="s">
        <v>183</v>
      </c>
      <c r="B62" s="120">
        <v>45991</v>
      </c>
      <c r="C62" s="99" t="s">
        <v>188</v>
      </c>
      <c r="D62" s="121">
        <v>0.40277777777777768</v>
      </c>
      <c r="E62" s="99" t="s">
        <v>184</v>
      </c>
      <c r="F62" s="99" t="s">
        <v>153</v>
      </c>
      <c r="G62" s="122">
        <v>0.96089999999999998</v>
      </c>
      <c r="H62" s="101">
        <v>179</v>
      </c>
      <c r="I62" s="101">
        <v>172</v>
      </c>
      <c r="J62" s="101">
        <v>145</v>
      </c>
      <c r="K62" s="120">
        <v>45986</v>
      </c>
      <c r="L62" s="101">
        <v>0</v>
      </c>
      <c r="M62" s="101">
        <v>3</v>
      </c>
      <c r="N62" s="101">
        <v>5</v>
      </c>
      <c r="O62" s="99" t="s">
        <v>207</v>
      </c>
      <c r="P62" s="98"/>
      <c r="Q62" s="98"/>
      <c r="R62" s="98"/>
      <c r="S62" s="101">
        <v>3</v>
      </c>
      <c r="T62" s="98"/>
      <c r="U62" s="98"/>
      <c r="V62" s="98"/>
      <c r="W62" s="98"/>
      <c r="X62" s="98"/>
      <c r="Y62" s="101">
        <v>14</v>
      </c>
      <c r="Z62" s="98"/>
      <c r="AA62" s="98"/>
      <c r="AB62" s="101">
        <v>9</v>
      </c>
      <c r="AC62" s="98"/>
      <c r="AD62" s="98"/>
      <c r="AE62" s="98"/>
      <c r="AF62" s="101">
        <v>1</v>
      </c>
      <c r="AG62" s="98"/>
      <c r="AH62" s="101">
        <v>145</v>
      </c>
      <c r="AI62" s="98"/>
    </row>
    <row r="63" spans="1:35" ht="18" x14ac:dyDescent="0.3">
      <c r="A63" s="119" t="s">
        <v>182</v>
      </c>
      <c r="B63" s="120">
        <v>45990</v>
      </c>
      <c r="C63" s="99" t="s">
        <v>229</v>
      </c>
      <c r="D63" s="121">
        <v>0.95486111111111116</v>
      </c>
      <c r="E63" s="99" t="s">
        <v>226</v>
      </c>
      <c r="F63" s="99" t="s">
        <v>153</v>
      </c>
      <c r="G63" s="122">
        <v>0.61309999999999998</v>
      </c>
      <c r="H63" s="101">
        <v>168</v>
      </c>
      <c r="I63" s="101">
        <v>103</v>
      </c>
      <c r="J63" s="101">
        <v>0</v>
      </c>
      <c r="K63" s="120">
        <v>45986</v>
      </c>
      <c r="L63" s="101">
        <v>0</v>
      </c>
      <c r="M63" s="101">
        <v>3</v>
      </c>
      <c r="N63" s="101">
        <v>32</v>
      </c>
      <c r="O63" s="99" t="s">
        <v>230</v>
      </c>
      <c r="P63" s="98"/>
      <c r="Q63" s="98"/>
      <c r="R63" s="98"/>
      <c r="S63" s="98"/>
      <c r="T63" s="98"/>
      <c r="U63" s="98"/>
      <c r="V63" s="98"/>
      <c r="W63" s="98"/>
      <c r="X63" s="98"/>
      <c r="Y63" s="101">
        <v>8</v>
      </c>
      <c r="Z63" s="98"/>
      <c r="AA63" s="98"/>
      <c r="AB63" s="101">
        <v>15</v>
      </c>
      <c r="AC63" s="101">
        <v>32</v>
      </c>
      <c r="AD63" s="101">
        <v>30</v>
      </c>
      <c r="AE63" s="101">
        <v>18</v>
      </c>
      <c r="AF63" s="98"/>
      <c r="AG63" s="98"/>
      <c r="AH63" s="98"/>
      <c r="AI63" s="98"/>
    </row>
    <row r="64" spans="1:35" ht="18" x14ac:dyDescent="0.3">
      <c r="A64" s="119" t="s">
        <v>946</v>
      </c>
      <c r="B64" s="120">
        <v>45989</v>
      </c>
      <c r="C64" s="99" t="s">
        <v>584</v>
      </c>
      <c r="D64" s="121">
        <v>0.29166666666666669</v>
      </c>
      <c r="E64" s="99" t="s">
        <v>570</v>
      </c>
      <c r="F64" s="99" t="s">
        <v>153</v>
      </c>
      <c r="G64" s="122">
        <v>0.64290000000000003</v>
      </c>
      <c r="H64" s="101">
        <v>168</v>
      </c>
      <c r="I64" s="101">
        <v>108</v>
      </c>
      <c r="J64" s="101">
        <v>2</v>
      </c>
      <c r="K64" s="120">
        <v>45986</v>
      </c>
      <c r="L64" s="101">
        <v>0</v>
      </c>
      <c r="M64" s="101">
        <v>5</v>
      </c>
      <c r="N64" s="101">
        <v>43</v>
      </c>
      <c r="O64" s="99" t="s">
        <v>445</v>
      </c>
      <c r="P64" s="98"/>
      <c r="Q64" s="98"/>
      <c r="R64" s="98"/>
      <c r="S64" s="98"/>
      <c r="T64" s="98"/>
      <c r="U64" s="98"/>
      <c r="V64" s="98"/>
      <c r="W64" s="98"/>
      <c r="X64" s="98"/>
      <c r="Y64" s="101">
        <v>3</v>
      </c>
      <c r="Z64" s="101">
        <v>1</v>
      </c>
      <c r="AA64" s="98"/>
      <c r="AB64" s="101">
        <v>12</v>
      </c>
      <c r="AC64" s="101">
        <v>15</v>
      </c>
      <c r="AD64" s="101">
        <v>26</v>
      </c>
      <c r="AE64" s="101">
        <v>49</v>
      </c>
      <c r="AF64" s="98"/>
      <c r="AG64" s="98"/>
      <c r="AH64" s="101">
        <v>2</v>
      </c>
      <c r="AI64" s="98"/>
    </row>
    <row r="65" spans="1:35" ht="18" x14ac:dyDescent="0.3">
      <c r="A65" s="119" t="s">
        <v>182</v>
      </c>
      <c r="B65" s="120">
        <v>45990</v>
      </c>
      <c r="C65" s="99" t="s">
        <v>584</v>
      </c>
      <c r="D65" s="121">
        <v>0.30208333333333331</v>
      </c>
      <c r="E65" s="99" t="s">
        <v>570</v>
      </c>
      <c r="F65" s="99" t="s">
        <v>153</v>
      </c>
      <c r="G65" s="122">
        <v>0.83930000000000005</v>
      </c>
      <c r="H65" s="101">
        <v>168</v>
      </c>
      <c r="I65" s="101">
        <v>141</v>
      </c>
      <c r="J65" s="101">
        <v>95</v>
      </c>
      <c r="K65" s="120">
        <v>45986</v>
      </c>
      <c r="L65" s="101">
        <v>0</v>
      </c>
      <c r="M65" s="101">
        <v>4</v>
      </c>
      <c r="N65" s="101">
        <v>23</v>
      </c>
      <c r="O65" s="99" t="s">
        <v>398</v>
      </c>
      <c r="P65" s="98"/>
      <c r="Q65" s="98"/>
      <c r="R65" s="98"/>
      <c r="S65" s="98"/>
      <c r="T65" s="98"/>
      <c r="U65" s="98"/>
      <c r="V65" s="98"/>
      <c r="W65" s="98"/>
      <c r="X65" s="98"/>
      <c r="Y65" s="101">
        <v>8</v>
      </c>
      <c r="Z65" s="101">
        <v>4</v>
      </c>
      <c r="AA65" s="98"/>
      <c r="AB65" s="101">
        <v>13</v>
      </c>
      <c r="AC65" s="101">
        <v>15</v>
      </c>
      <c r="AD65" s="101">
        <v>2</v>
      </c>
      <c r="AE65" s="101">
        <v>4</v>
      </c>
      <c r="AF65" s="98"/>
      <c r="AG65" s="98"/>
      <c r="AH65" s="101">
        <v>95</v>
      </c>
      <c r="AI65" s="98"/>
    </row>
    <row r="66" spans="1:35" ht="18" x14ac:dyDescent="0.3">
      <c r="A66" s="119" t="s">
        <v>183</v>
      </c>
      <c r="B66" s="120">
        <v>45991</v>
      </c>
      <c r="C66" s="99" t="s">
        <v>584</v>
      </c>
      <c r="D66" s="121">
        <v>0.76736111111111116</v>
      </c>
      <c r="E66" s="99" t="s">
        <v>570</v>
      </c>
      <c r="F66" s="99" t="s">
        <v>153</v>
      </c>
      <c r="G66" s="122">
        <v>0.89290000000000003</v>
      </c>
      <c r="H66" s="101">
        <v>168</v>
      </c>
      <c r="I66" s="101">
        <v>150</v>
      </c>
      <c r="J66" s="101">
        <v>75</v>
      </c>
      <c r="K66" s="120">
        <v>45986</v>
      </c>
      <c r="L66" s="101">
        <v>0</v>
      </c>
      <c r="M66" s="101">
        <v>7</v>
      </c>
      <c r="N66" s="101">
        <v>38</v>
      </c>
      <c r="O66" s="99" t="s">
        <v>594</v>
      </c>
      <c r="P66" s="98"/>
      <c r="Q66" s="98"/>
      <c r="R66" s="98"/>
      <c r="S66" s="98"/>
      <c r="T66" s="98"/>
      <c r="U66" s="98"/>
      <c r="V66" s="98"/>
      <c r="W66" s="98"/>
      <c r="X66" s="98"/>
      <c r="Y66" s="101">
        <v>6</v>
      </c>
      <c r="Z66" s="98"/>
      <c r="AA66" s="98"/>
      <c r="AB66" s="101">
        <v>9</v>
      </c>
      <c r="AC66" s="101">
        <v>19</v>
      </c>
      <c r="AD66" s="101">
        <v>21</v>
      </c>
      <c r="AE66" s="101">
        <v>20</v>
      </c>
      <c r="AF66" s="98"/>
      <c r="AG66" s="98"/>
      <c r="AH66" s="101">
        <v>75</v>
      </c>
      <c r="AI66" s="98"/>
    </row>
    <row r="67" spans="1:35" ht="18" x14ac:dyDescent="0.3">
      <c r="A67" s="119" t="s">
        <v>181</v>
      </c>
      <c r="B67" s="120">
        <v>45988</v>
      </c>
      <c r="C67" s="99" t="s">
        <v>81</v>
      </c>
      <c r="D67" s="121">
        <v>0.53819444444444442</v>
      </c>
      <c r="E67" s="99" t="s">
        <v>1</v>
      </c>
      <c r="F67" s="99" t="s">
        <v>153</v>
      </c>
      <c r="G67" s="122">
        <v>0.98280000000000001</v>
      </c>
      <c r="H67" s="101">
        <v>174</v>
      </c>
      <c r="I67" s="101">
        <v>171</v>
      </c>
      <c r="J67" s="101">
        <v>128</v>
      </c>
      <c r="K67" s="120">
        <v>45986</v>
      </c>
      <c r="L67" s="101">
        <v>0</v>
      </c>
      <c r="M67" s="101">
        <v>3</v>
      </c>
      <c r="N67" s="101">
        <v>4</v>
      </c>
      <c r="O67" s="99" t="s">
        <v>82</v>
      </c>
      <c r="P67" s="98"/>
      <c r="Q67" s="98"/>
      <c r="R67" s="98"/>
      <c r="S67" s="98"/>
      <c r="T67" s="98"/>
      <c r="U67" s="98"/>
      <c r="V67" s="101">
        <v>7</v>
      </c>
      <c r="W67" s="101">
        <v>2</v>
      </c>
      <c r="X67" s="98"/>
      <c r="Y67" s="101">
        <v>1</v>
      </c>
      <c r="Z67" s="98"/>
      <c r="AA67" s="98"/>
      <c r="AB67" s="98"/>
      <c r="AC67" s="101">
        <v>6</v>
      </c>
      <c r="AD67" s="101">
        <v>9</v>
      </c>
      <c r="AE67" s="101">
        <v>17</v>
      </c>
      <c r="AF67" s="98"/>
      <c r="AG67" s="98"/>
      <c r="AH67" s="101">
        <v>128</v>
      </c>
      <c r="AI67" s="101">
        <v>1</v>
      </c>
    </row>
    <row r="68" spans="1:35" ht="18" x14ac:dyDescent="0.3">
      <c r="A68" s="119" t="s">
        <v>182</v>
      </c>
      <c r="B68" s="120">
        <v>45990</v>
      </c>
      <c r="C68" s="99" t="s">
        <v>81</v>
      </c>
      <c r="D68" s="121">
        <v>0.39583333333333331</v>
      </c>
      <c r="E68" s="99" t="s">
        <v>1</v>
      </c>
      <c r="F68" s="99" t="s">
        <v>153</v>
      </c>
      <c r="G68" s="122">
        <v>1.0298</v>
      </c>
      <c r="H68" s="101">
        <v>168</v>
      </c>
      <c r="I68" s="101">
        <v>173</v>
      </c>
      <c r="J68" s="101">
        <v>131</v>
      </c>
      <c r="K68" s="120">
        <v>45970</v>
      </c>
      <c r="L68" s="101">
        <v>0</v>
      </c>
      <c r="M68" s="101">
        <v>0</v>
      </c>
      <c r="N68" s="101">
        <v>0</v>
      </c>
      <c r="O68" s="99" t="s">
        <v>107</v>
      </c>
      <c r="P68" s="98"/>
      <c r="Q68" s="98"/>
      <c r="R68" s="98"/>
      <c r="S68" s="98"/>
      <c r="T68" s="98"/>
      <c r="U68" s="98"/>
      <c r="V68" s="98"/>
      <c r="W68" s="98"/>
      <c r="X68" s="101">
        <v>2</v>
      </c>
      <c r="Y68" s="101">
        <v>12</v>
      </c>
      <c r="Z68" s="98"/>
      <c r="AA68" s="98"/>
      <c r="AB68" s="98"/>
      <c r="AC68" s="98"/>
      <c r="AD68" s="98"/>
      <c r="AE68" s="101">
        <v>22</v>
      </c>
      <c r="AF68" s="98"/>
      <c r="AG68" s="98"/>
      <c r="AH68" s="101">
        <v>133</v>
      </c>
      <c r="AI68" s="101">
        <v>4</v>
      </c>
    </row>
    <row r="69" spans="1:35" ht="18" x14ac:dyDescent="0.3">
      <c r="A69" s="119" t="s">
        <v>183</v>
      </c>
      <c r="B69" s="120">
        <v>45991</v>
      </c>
      <c r="C69" s="99" t="s">
        <v>81</v>
      </c>
      <c r="D69" s="121">
        <v>0.90277777777777779</v>
      </c>
      <c r="E69" s="99" t="s">
        <v>1</v>
      </c>
      <c r="F69" s="99" t="s">
        <v>153</v>
      </c>
      <c r="G69" s="122">
        <v>0.96550000000000002</v>
      </c>
      <c r="H69" s="101">
        <v>174</v>
      </c>
      <c r="I69" s="101">
        <v>168</v>
      </c>
      <c r="J69" s="101">
        <v>133</v>
      </c>
      <c r="K69" s="120">
        <v>45975</v>
      </c>
      <c r="L69" s="101">
        <v>0</v>
      </c>
      <c r="M69" s="101">
        <v>0</v>
      </c>
      <c r="N69" s="101">
        <v>0</v>
      </c>
      <c r="O69" s="99" t="s">
        <v>119</v>
      </c>
      <c r="P69" s="98"/>
      <c r="Q69" s="98"/>
      <c r="R69" s="98"/>
      <c r="S69" s="98"/>
      <c r="T69" s="98"/>
      <c r="U69" s="98"/>
      <c r="V69" s="98"/>
      <c r="W69" s="101">
        <v>4</v>
      </c>
      <c r="X69" s="101">
        <v>3</v>
      </c>
      <c r="Y69" s="101">
        <v>4</v>
      </c>
      <c r="Z69" s="101">
        <v>4</v>
      </c>
      <c r="AA69" s="101">
        <v>4</v>
      </c>
      <c r="AB69" s="101">
        <v>4</v>
      </c>
      <c r="AC69" s="101">
        <v>4</v>
      </c>
      <c r="AD69" s="101">
        <v>4</v>
      </c>
      <c r="AE69" s="101">
        <v>4</v>
      </c>
      <c r="AF69" s="98"/>
      <c r="AG69" s="98"/>
      <c r="AH69" s="101">
        <v>133</v>
      </c>
      <c r="AI69" s="98"/>
    </row>
    <row r="70" spans="1:35" ht="18" x14ac:dyDescent="0.3">
      <c r="A70" s="119" t="s">
        <v>181</v>
      </c>
      <c r="B70" s="120">
        <v>45988</v>
      </c>
      <c r="C70" s="99" t="s">
        <v>843</v>
      </c>
      <c r="D70" s="121">
        <v>0.91319444444444453</v>
      </c>
      <c r="E70" s="99" t="s">
        <v>840</v>
      </c>
      <c r="F70" s="99" t="s">
        <v>153</v>
      </c>
      <c r="G70" s="122">
        <v>0.58330000000000004</v>
      </c>
      <c r="H70" s="101">
        <v>168</v>
      </c>
      <c r="I70" s="101">
        <v>98</v>
      </c>
      <c r="J70" s="101">
        <v>0</v>
      </c>
      <c r="K70" s="120">
        <v>45986</v>
      </c>
      <c r="L70" s="101">
        <v>0</v>
      </c>
      <c r="M70" s="101">
        <v>12</v>
      </c>
      <c r="N70" s="101">
        <v>63</v>
      </c>
      <c r="O70" s="99" t="s">
        <v>176</v>
      </c>
      <c r="P70" s="98"/>
      <c r="Q70" s="98"/>
      <c r="R70" s="98"/>
      <c r="S70" s="98"/>
      <c r="T70" s="98"/>
      <c r="U70" s="98"/>
      <c r="V70" s="98"/>
      <c r="W70" s="98"/>
      <c r="X70" s="98"/>
      <c r="Y70" s="101">
        <v>1</v>
      </c>
      <c r="Z70" s="98"/>
      <c r="AA70" s="101">
        <v>4</v>
      </c>
      <c r="AB70" s="101">
        <v>1</v>
      </c>
      <c r="AC70" s="101">
        <v>1</v>
      </c>
      <c r="AD70" s="101">
        <v>54</v>
      </c>
      <c r="AE70" s="101">
        <v>37</v>
      </c>
      <c r="AF70" s="98"/>
      <c r="AG70" s="98"/>
      <c r="AH70" s="98"/>
      <c r="AI70" s="98"/>
    </row>
    <row r="71" spans="1:35" ht="18" x14ac:dyDescent="0.3">
      <c r="A71" s="119" t="s">
        <v>182</v>
      </c>
      <c r="B71" s="120">
        <v>45990</v>
      </c>
      <c r="C71" s="99" t="s">
        <v>843</v>
      </c>
      <c r="D71" s="121">
        <v>0.86458333333333337</v>
      </c>
      <c r="E71" s="99" t="s">
        <v>840</v>
      </c>
      <c r="F71" s="99" t="s">
        <v>153</v>
      </c>
      <c r="G71" s="122">
        <v>0.38100000000000001</v>
      </c>
      <c r="H71" s="101">
        <v>168</v>
      </c>
      <c r="I71" s="101">
        <v>64</v>
      </c>
      <c r="J71" s="101">
        <v>0</v>
      </c>
      <c r="K71" s="120">
        <v>45986</v>
      </c>
      <c r="L71" s="101">
        <v>0</v>
      </c>
      <c r="M71" s="101">
        <v>3</v>
      </c>
      <c r="N71" s="101">
        <v>35</v>
      </c>
      <c r="O71" s="99" t="s">
        <v>158</v>
      </c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101">
        <v>1</v>
      </c>
      <c r="AA71" s="98"/>
      <c r="AB71" s="98"/>
      <c r="AC71" s="98"/>
      <c r="AD71" s="101">
        <v>62</v>
      </c>
      <c r="AE71" s="101">
        <v>1</v>
      </c>
      <c r="AF71" s="98"/>
      <c r="AG71" s="98"/>
      <c r="AH71" s="98"/>
      <c r="AI71" s="98"/>
    </row>
    <row r="72" spans="1:35" ht="18" x14ac:dyDescent="0.3">
      <c r="A72" s="119" t="s">
        <v>946</v>
      </c>
      <c r="B72" s="120">
        <v>45989</v>
      </c>
      <c r="C72" s="99" t="s">
        <v>853</v>
      </c>
      <c r="D72" s="121">
        <v>0.63541666666666663</v>
      </c>
      <c r="E72" s="99" t="s">
        <v>852</v>
      </c>
      <c r="F72" s="99" t="s">
        <v>153</v>
      </c>
      <c r="G72" s="122">
        <v>0.72019999999999995</v>
      </c>
      <c r="H72" s="101">
        <v>168</v>
      </c>
      <c r="I72" s="101">
        <v>121</v>
      </c>
      <c r="J72" s="101">
        <v>0</v>
      </c>
      <c r="K72" s="120">
        <v>45986</v>
      </c>
      <c r="L72" s="101">
        <v>0</v>
      </c>
      <c r="M72" s="101">
        <v>6</v>
      </c>
      <c r="N72" s="101">
        <v>68</v>
      </c>
      <c r="O72" s="99" t="s">
        <v>854</v>
      </c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101">
        <v>6</v>
      </c>
      <c r="AA72" s="101">
        <v>12</v>
      </c>
      <c r="AB72" s="101">
        <v>13</v>
      </c>
      <c r="AC72" s="101">
        <v>40</v>
      </c>
      <c r="AD72" s="101">
        <v>49</v>
      </c>
      <c r="AE72" s="101">
        <v>1</v>
      </c>
      <c r="AF72" s="98"/>
      <c r="AG72" s="98"/>
      <c r="AH72" s="98"/>
      <c r="AI72" s="98"/>
    </row>
    <row r="73" spans="1:35" x14ac:dyDescent="0.3">
      <c r="A73" s="123" t="s">
        <v>178</v>
      </c>
      <c r="B73" s="124"/>
      <c r="C73" s="125">
        <f>COUNTA(C2:C72)</f>
        <v>71</v>
      </c>
      <c r="D73" s="124"/>
      <c r="E73" s="124"/>
      <c r="F73" s="124"/>
      <c r="G73" s="126">
        <f>AVERAGE(G2:G72)</f>
        <v>0.67530422535211287</v>
      </c>
      <c r="H73" s="127">
        <f>SUM(H2:H72)</f>
        <v>12248</v>
      </c>
      <c r="I73" s="127">
        <f>SUM(I2:I72)</f>
        <v>8306</v>
      </c>
      <c r="J73" s="127">
        <f>SUM(J2:J72)</f>
        <v>3653</v>
      </c>
      <c r="K73" s="124"/>
      <c r="L73" s="127">
        <f>SUM(L2:L72)</f>
        <v>14</v>
      </c>
      <c r="M73" s="127">
        <f>SUM(M2:M72)</f>
        <v>314</v>
      </c>
      <c r="N73" s="127">
        <f>SUM(N2:N72)</f>
        <v>1950</v>
      </c>
      <c r="O73" s="124"/>
      <c r="P73" s="127">
        <f t="shared" ref="P73:AI73" si="0">SUM(P2:P72)</f>
        <v>1</v>
      </c>
      <c r="Q73" s="127">
        <f t="shared" si="0"/>
        <v>1</v>
      </c>
      <c r="R73" s="127">
        <f t="shared" si="0"/>
        <v>0</v>
      </c>
      <c r="S73" s="127">
        <f t="shared" si="0"/>
        <v>3</v>
      </c>
      <c r="T73" s="127">
        <f t="shared" si="0"/>
        <v>0</v>
      </c>
      <c r="U73" s="127">
        <f t="shared" si="0"/>
        <v>11</v>
      </c>
      <c r="V73" s="127">
        <f t="shared" si="0"/>
        <v>17</v>
      </c>
      <c r="W73" s="127">
        <f t="shared" si="0"/>
        <v>36</v>
      </c>
      <c r="X73" s="127">
        <f t="shared" si="0"/>
        <v>103</v>
      </c>
      <c r="Y73" s="127">
        <f t="shared" si="0"/>
        <v>235</v>
      </c>
      <c r="Z73" s="127">
        <f t="shared" si="0"/>
        <v>141</v>
      </c>
      <c r="AA73" s="127">
        <f t="shared" si="0"/>
        <v>145</v>
      </c>
      <c r="AB73" s="127">
        <f t="shared" si="0"/>
        <v>490</v>
      </c>
      <c r="AC73" s="127">
        <f t="shared" si="0"/>
        <v>606</v>
      </c>
      <c r="AD73" s="127">
        <f t="shared" si="0"/>
        <v>1288</v>
      </c>
      <c r="AE73" s="127">
        <f t="shared" si="0"/>
        <v>1552</v>
      </c>
      <c r="AF73" s="127">
        <f t="shared" si="0"/>
        <v>165</v>
      </c>
      <c r="AG73" s="127">
        <f t="shared" si="0"/>
        <v>0</v>
      </c>
      <c r="AH73" s="127">
        <f t="shared" si="0"/>
        <v>3486</v>
      </c>
      <c r="AI73" s="127">
        <f t="shared" si="0"/>
        <v>26</v>
      </c>
    </row>
  </sheetData>
  <autoFilter ref="A1:AI72" xr:uid="{00000000-0009-0000-0000-00004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2025-11-26T05:37:08Z</dcterms:created>
  <dcterms:modified xsi:type="dcterms:W3CDTF">2025-11-26T07:04:45Z</dcterms:modified>
</cp:coreProperties>
</file>