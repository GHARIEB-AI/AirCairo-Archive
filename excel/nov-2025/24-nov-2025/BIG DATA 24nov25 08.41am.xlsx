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egy_oct_9222\9222_OUTPUT\"/>
    </mc:Choice>
  </mc:AlternateContent>
  <xr:revisionPtr revIDLastSave="0" documentId="13_ncr:1_{62C2CE2A-1A8A-4749-B699-44F79E86783B}" xr6:coauthVersionLast="47" xr6:coauthVersionMax="47" xr10:uidLastSave="{00000000-0000-0000-0000-000000000000}"/>
  <bookViews>
    <workbookView xWindow="4044" yWindow="3360" windowWidth="17280" windowHeight="8880" xr2:uid="{00000000-000D-0000-FFFF-FFFF00000000}"/>
  </bookViews>
  <sheets>
    <sheet name="CAI-MED" sheetId="1" r:id="rId1"/>
    <sheet name="CAI-MED LF LEGACY" sheetId="2" r:id="rId2"/>
    <sheet name="CAI-MED — FOCUS MODE" sheetId="3" r:id="rId3"/>
    <sheet name="LF_ALL_ROUTES"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HBE-JED" sheetId="14" r:id="rId14"/>
    <sheet name="HBE-JED LF LEGACY" sheetId="15" r:id="rId15"/>
    <sheet name="HBE-JED — FOCUS MODE" sheetId="16" r:id="rId16"/>
    <sheet name="ATZ-JED" sheetId="17" r:id="rId17"/>
    <sheet name="ATZ-JED LF LEGACY" sheetId="18" r:id="rId18"/>
    <sheet name="ATZ-JED — FOCUS MODE" sheetId="19" r:id="rId19"/>
    <sheet name="LXR-JED" sheetId="20" r:id="rId20"/>
    <sheet name="LXR-JED LF LEGACY" sheetId="21" r:id="rId21"/>
    <sheet name="LXR-JED — FOCUS MODE" sheetId="22" r:id="rId22"/>
    <sheet name="ASW-JED" sheetId="23" r:id="rId23"/>
    <sheet name="ASW-JED LF LEGACY" sheetId="24" r:id="rId24"/>
    <sheet name="ASW-JED — FOCUS MODE" sheetId="25" r:id="rId25"/>
    <sheet name="SSH-JED" sheetId="26" r:id="rId26"/>
    <sheet name="SSH-JED LF LEGACY" sheetId="27" r:id="rId27"/>
    <sheet name="SSH-JED — FOCUS MODE" sheetId="28" r:id="rId28"/>
    <sheet name="HRG-JED" sheetId="29" r:id="rId29"/>
    <sheet name="HRG-JED LF LEGACY" sheetId="30" r:id="rId30"/>
    <sheet name="HRG-JED — FOCUS MODE" sheetId="31" r:id="rId31"/>
    <sheet name="CAI-RUH" sheetId="32" r:id="rId32"/>
    <sheet name="CAI-RUH LF LEGACY" sheetId="33" r:id="rId33"/>
    <sheet name="CAI-RUH — FOCUS MODE" sheetId="34" r:id="rId34"/>
    <sheet name="ATZ-RUH" sheetId="35" r:id="rId35"/>
    <sheet name="ATZ-RUH LF LEGACY" sheetId="36" r:id="rId36"/>
    <sheet name="ATZ-RUH — FOCUS MODE" sheetId="37" r:id="rId37"/>
    <sheet name="CAI-DMM" sheetId="38" r:id="rId38"/>
    <sheet name="CAI-DMM LF LEGACY" sheetId="39" r:id="rId39"/>
    <sheet name="CAI-DMM — FOCUS MODE" sheetId="40" r:id="rId40"/>
    <sheet name="ATZ-DMM" sheetId="41" r:id="rId41"/>
    <sheet name="ATZ-DMM LF LEGACY" sheetId="42" r:id="rId42"/>
    <sheet name="ATZ-DMM — FOCUS MODE" sheetId="43" r:id="rId43"/>
    <sheet name="CAI-TUU" sheetId="44" r:id="rId44"/>
    <sheet name="CAI-TUU LF LEGACY" sheetId="45" r:id="rId45"/>
    <sheet name="CAI-TUU — FOCUS MODE" sheetId="46" r:id="rId46"/>
    <sheet name="ATZ-TUU" sheetId="47" r:id="rId47"/>
    <sheet name="ATZ-TUU LF LEGACY" sheetId="48" r:id="rId48"/>
    <sheet name="ATZ-TUU — FOCUS MODE" sheetId="49" r:id="rId49"/>
    <sheet name="CAI-AJF" sheetId="50" r:id="rId50"/>
    <sheet name="CAI-AJF LF LEGACY" sheetId="51" r:id="rId51"/>
    <sheet name="CAI-AJF — FOCUS MODE" sheetId="52" r:id="rId52"/>
    <sheet name="ATZ-AJF" sheetId="53" r:id="rId53"/>
    <sheet name="ATZ-AJF LF LEGACY" sheetId="54" r:id="rId54"/>
    <sheet name="ATZ-AJF — FOCUS MODE" sheetId="55" r:id="rId55"/>
    <sheet name="CAI-YNB" sheetId="56" r:id="rId56"/>
    <sheet name="CAI-YNB LF LEGACY" sheetId="57" r:id="rId57"/>
    <sheet name="CAI-YNB — FOCUS MODE" sheetId="58" r:id="rId58"/>
    <sheet name="CAI-AHB" sheetId="59" r:id="rId59"/>
    <sheet name="CAI-AHB LF LEGACY" sheetId="60" r:id="rId60"/>
    <sheet name="CAI-AHB — FOCUS MODE" sheetId="61" r:id="rId61"/>
    <sheet name="ATZ-AHB" sheetId="62" r:id="rId62"/>
    <sheet name="ATZ-AHB LF LEGACY" sheetId="63" r:id="rId63"/>
    <sheet name="ATZ-AHB — FOCUS MODE" sheetId="64" r:id="rId64"/>
    <sheet name="CAI-ELQ" sheetId="65" r:id="rId65"/>
    <sheet name="CAI-ELQ LF LEGACY" sheetId="66" r:id="rId66"/>
    <sheet name="CAI-ELQ — FOCUS MODE" sheetId="67" r:id="rId67"/>
    <sheet name="ATZ-ELQ" sheetId="68" r:id="rId68"/>
    <sheet name="ATZ-ELQ LF LEGACY" sheetId="69" r:id="rId69"/>
    <sheet name="ATZ-ELQ — FOCUS MODE" sheetId="70" r:id="rId70"/>
    <sheet name="CAI-GIZ" sheetId="71" r:id="rId71"/>
    <sheet name="CAI-GIZ LF LEGACY" sheetId="72" r:id="rId72"/>
    <sheet name="CAI-GIZ — FOCUS MODE" sheetId="73" r:id="rId73"/>
    <sheet name="LF_ALL_ROUTES1" sheetId="74" r:id="rId74"/>
  </sheets>
  <definedNames>
    <definedName name="_xlnm._FilterDatabase" localSheetId="62" hidden="1">'ATZ-AHB LF LEGACY'!$A$1:$AI$2</definedName>
    <definedName name="_xlnm._FilterDatabase" localSheetId="53" hidden="1">'ATZ-AJF LF LEGACY'!$A$1:$AI$2</definedName>
    <definedName name="_xlnm._FilterDatabase" localSheetId="41" hidden="1">'ATZ-DMM LF LEGACY'!$A$1:$AI$2</definedName>
    <definedName name="_xlnm._FilterDatabase" localSheetId="68" hidden="1">'ATZ-ELQ LF LEGACY'!$A$1:$AI$3</definedName>
    <definedName name="_xlnm._FilterDatabase" localSheetId="17" hidden="1">'ATZ-JED LF LEGACY'!$A$1:$AI$13</definedName>
    <definedName name="_xlnm._FilterDatabase" localSheetId="8" hidden="1">'ATZ-MED LF LEGACY'!$A$1:$AI$3</definedName>
    <definedName name="_xlnm._FilterDatabase" localSheetId="35" hidden="1">'ATZ-RUH LF LEGACY'!$A$1:$AI$4</definedName>
    <definedName name="_xlnm._FilterDatabase" localSheetId="47" hidden="1">'ATZ-TUU LF LEGACY'!$A$1:$AI$2</definedName>
    <definedName name="_xlnm._FilterDatabase" localSheetId="59" hidden="1">'CAI-AHB LF LEGACY'!$A$1:$AI$4</definedName>
    <definedName name="_xlnm._FilterDatabase" localSheetId="50" hidden="1">'CAI-AJF LF LEGACY'!$A$1:$AI$4</definedName>
    <definedName name="_xlnm._FilterDatabase" localSheetId="38" hidden="1">'CAI-DMM LF LEGACY'!$A$1:$AI$5</definedName>
    <definedName name="_xlnm._FilterDatabase" localSheetId="65" hidden="1">'CAI-ELQ LF LEGACY'!$A$1:$AI$4</definedName>
    <definedName name="_xlnm._FilterDatabase" localSheetId="71" hidden="1">'CAI-GIZ LF LEGACY'!$A$1:$AI$3</definedName>
    <definedName name="_xlnm._FilterDatabase" localSheetId="11" hidden="1">'CAI-JED LF LEGACY'!$A$1:$AI$32</definedName>
    <definedName name="_xlnm._FilterDatabase" localSheetId="1" hidden="1">'CAI-MED LF LEGACY'!$A$1:$AI$6</definedName>
    <definedName name="_xlnm._FilterDatabase" localSheetId="32" hidden="1">'CAI-RUH LF LEGACY'!$A$1:$AI$9</definedName>
    <definedName name="_xlnm._FilterDatabase" localSheetId="44" hidden="1">'CAI-TUU LF LEGACY'!$A$1:$AI$4</definedName>
    <definedName name="_xlnm._FilterDatabase" localSheetId="56" hidden="1">'CAI-YNB LF LEGACY'!$A$1:$AI$7</definedName>
    <definedName name="_xlnm._FilterDatabase" localSheetId="14" hidden="1">'HBE-JED LF LEGACY'!$A$1:$AI$11</definedName>
    <definedName name="_xlnm._FilterDatabase" localSheetId="5" hidden="1">'HBE-MED LF LEGACY'!$A$1:$AI$5</definedName>
    <definedName name="_xlnm._FilterDatabase" localSheetId="3" hidden="1">LF_ALL_ROUTES!$A$1:$AI$6</definedName>
    <definedName name="_xlnm._FilterDatabase" localSheetId="73" hidden="1">LF_ALL_ROUTES1!$A$1:$AI$109</definedName>
    <definedName name="_xlnm._FilterDatabase" localSheetId="20" hidden="1">'LXR-JED LF LEGACY'!$A$1:$AI$4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110" i="74" l="1"/>
  <c r="AH110" i="74"/>
  <c r="AG110" i="74"/>
  <c r="AF110" i="74"/>
  <c r="AE110" i="74"/>
  <c r="AD110" i="74"/>
  <c r="AC110" i="74"/>
  <c r="AB110" i="74"/>
  <c r="AA110" i="74"/>
  <c r="Z110" i="74"/>
  <c r="Y110" i="74"/>
  <c r="X110" i="74"/>
  <c r="W110" i="74"/>
  <c r="V110" i="74"/>
  <c r="U110" i="74"/>
  <c r="T110" i="74"/>
  <c r="S110" i="74"/>
  <c r="R110" i="74"/>
  <c r="Q110" i="74"/>
  <c r="P110" i="74"/>
  <c r="N110" i="74"/>
  <c r="M110" i="74"/>
  <c r="L110" i="74"/>
  <c r="J110" i="74"/>
  <c r="I110" i="74"/>
  <c r="H110" i="74"/>
  <c r="G110" i="74"/>
  <c r="C110" i="74"/>
  <c r="AI4" i="72"/>
  <c r="AH4" i="72"/>
  <c r="AG4" i="72"/>
  <c r="AF4" i="72"/>
  <c r="AE4" i="72"/>
  <c r="AD4" i="72"/>
  <c r="AC4" i="72"/>
  <c r="AB4" i="72"/>
  <c r="AA4" i="72"/>
  <c r="Z4" i="72"/>
  <c r="Y4" i="72"/>
  <c r="X4" i="72"/>
  <c r="W4" i="72"/>
  <c r="V4" i="72"/>
  <c r="U4" i="72"/>
  <c r="T4" i="72"/>
  <c r="S4" i="72"/>
  <c r="R4" i="72"/>
  <c r="Q4" i="72"/>
  <c r="P4" i="72"/>
  <c r="N4" i="72"/>
  <c r="M4" i="72"/>
  <c r="L4" i="72"/>
  <c r="J4" i="72"/>
  <c r="I4" i="72"/>
  <c r="H4" i="72"/>
  <c r="G4" i="72"/>
  <c r="C4" i="72"/>
  <c r="AI4" i="69"/>
  <c r="AH4" i="69"/>
  <c r="AG4" i="69"/>
  <c r="AF4" i="69"/>
  <c r="AE4" i="69"/>
  <c r="AD4" i="69"/>
  <c r="AC4" i="69"/>
  <c r="AB4" i="69"/>
  <c r="AA4" i="69"/>
  <c r="Z4" i="69"/>
  <c r="Y4" i="69"/>
  <c r="X4" i="69"/>
  <c r="W4" i="69"/>
  <c r="V4" i="69"/>
  <c r="U4" i="69"/>
  <c r="T4" i="69"/>
  <c r="S4" i="69"/>
  <c r="R4" i="69"/>
  <c r="Q4" i="69"/>
  <c r="P4" i="69"/>
  <c r="N4" i="69"/>
  <c r="M4" i="69"/>
  <c r="L4" i="69"/>
  <c r="J4" i="69"/>
  <c r="I4" i="69"/>
  <c r="H4" i="69"/>
  <c r="G4" i="69"/>
  <c r="C4" i="69"/>
  <c r="AI5" i="66"/>
  <c r="AH5" i="66"/>
  <c r="AG5" i="66"/>
  <c r="AF5" i="66"/>
  <c r="AE5" i="66"/>
  <c r="AD5" i="66"/>
  <c r="AC5" i="66"/>
  <c r="AB5" i="66"/>
  <c r="AA5" i="66"/>
  <c r="Z5" i="66"/>
  <c r="Y5" i="66"/>
  <c r="X5" i="66"/>
  <c r="W5" i="66"/>
  <c r="V5" i="66"/>
  <c r="U5" i="66"/>
  <c r="T5" i="66"/>
  <c r="S5" i="66"/>
  <c r="R5" i="66"/>
  <c r="Q5" i="66"/>
  <c r="P5" i="66"/>
  <c r="N5" i="66"/>
  <c r="M5" i="66"/>
  <c r="L5" i="66"/>
  <c r="J5" i="66"/>
  <c r="I5" i="66"/>
  <c r="H5" i="66"/>
  <c r="G5" i="66"/>
  <c r="C5" i="66"/>
  <c r="AI3" i="63"/>
  <c r="AH3" i="63"/>
  <c r="AG3" i="63"/>
  <c r="AF3" i="63"/>
  <c r="AE3" i="63"/>
  <c r="AD3" i="63"/>
  <c r="AC3" i="63"/>
  <c r="AB3" i="63"/>
  <c r="AA3" i="63"/>
  <c r="Z3" i="63"/>
  <c r="Y3" i="63"/>
  <c r="X3" i="63"/>
  <c r="W3" i="63"/>
  <c r="V3" i="63"/>
  <c r="U3" i="63"/>
  <c r="T3" i="63"/>
  <c r="S3" i="63"/>
  <c r="R3" i="63"/>
  <c r="Q3" i="63"/>
  <c r="P3" i="63"/>
  <c r="N3" i="63"/>
  <c r="M3" i="63"/>
  <c r="L3" i="63"/>
  <c r="J3" i="63"/>
  <c r="I3" i="63"/>
  <c r="H3" i="63"/>
  <c r="G3" i="63"/>
  <c r="C3" i="63"/>
  <c r="AI5" i="60"/>
  <c r="AH5" i="60"/>
  <c r="AG5" i="60"/>
  <c r="AF5" i="60"/>
  <c r="AE5" i="60"/>
  <c r="AD5" i="60"/>
  <c r="AC5" i="60"/>
  <c r="AB5" i="60"/>
  <c r="AA5" i="60"/>
  <c r="Z5" i="60"/>
  <c r="Y5" i="60"/>
  <c r="X5" i="60"/>
  <c r="W5" i="60"/>
  <c r="V5" i="60"/>
  <c r="U5" i="60"/>
  <c r="T5" i="60"/>
  <c r="S5" i="60"/>
  <c r="R5" i="60"/>
  <c r="Q5" i="60"/>
  <c r="P5" i="60"/>
  <c r="N5" i="60"/>
  <c r="M5" i="60"/>
  <c r="L5" i="60"/>
  <c r="J5" i="60"/>
  <c r="I5" i="60"/>
  <c r="H5" i="60"/>
  <c r="G5" i="60"/>
  <c r="C5" i="60"/>
  <c r="AI8" i="57"/>
  <c r="AH8" i="57"/>
  <c r="AG8" i="57"/>
  <c r="AF8" i="57"/>
  <c r="AE8" i="57"/>
  <c r="AD8" i="57"/>
  <c r="AC8" i="57"/>
  <c r="AB8" i="57"/>
  <c r="AA8" i="57"/>
  <c r="Z8" i="57"/>
  <c r="Y8" i="57"/>
  <c r="X8" i="57"/>
  <c r="W8" i="57"/>
  <c r="V8" i="57"/>
  <c r="U8" i="57"/>
  <c r="T8" i="57"/>
  <c r="S8" i="57"/>
  <c r="R8" i="57"/>
  <c r="Q8" i="57"/>
  <c r="P8" i="57"/>
  <c r="N8" i="57"/>
  <c r="M8" i="57"/>
  <c r="L8" i="57"/>
  <c r="J8" i="57"/>
  <c r="I8" i="57"/>
  <c r="H8" i="57"/>
  <c r="G8" i="57"/>
  <c r="C8" i="57"/>
  <c r="AI3" i="54"/>
  <c r="AH3" i="54"/>
  <c r="AG3" i="54"/>
  <c r="AF3" i="54"/>
  <c r="AE3" i="54"/>
  <c r="AD3" i="54"/>
  <c r="AC3" i="54"/>
  <c r="AB3" i="54"/>
  <c r="AA3" i="54"/>
  <c r="Z3" i="54"/>
  <c r="Y3" i="54"/>
  <c r="X3" i="54"/>
  <c r="W3" i="54"/>
  <c r="V3" i="54"/>
  <c r="U3" i="54"/>
  <c r="T3" i="54"/>
  <c r="S3" i="54"/>
  <c r="R3" i="54"/>
  <c r="Q3" i="54"/>
  <c r="P3" i="54"/>
  <c r="N3" i="54"/>
  <c r="M3" i="54"/>
  <c r="L3" i="54"/>
  <c r="J3" i="54"/>
  <c r="I3" i="54"/>
  <c r="H3" i="54"/>
  <c r="G3" i="54"/>
  <c r="C3" i="54"/>
  <c r="AI5" i="51"/>
  <c r="AH5" i="51"/>
  <c r="AG5" i="51"/>
  <c r="AF5" i="51"/>
  <c r="AE5" i="51"/>
  <c r="AD5" i="51"/>
  <c r="AC5" i="51"/>
  <c r="AB5" i="51"/>
  <c r="AA5" i="51"/>
  <c r="Z5" i="51"/>
  <c r="Y5" i="51"/>
  <c r="X5" i="51"/>
  <c r="W5" i="51"/>
  <c r="V5" i="51"/>
  <c r="U5" i="51"/>
  <c r="T5" i="51"/>
  <c r="S5" i="51"/>
  <c r="R5" i="51"/>
  <c r="Q5" i="51"/>
  <c r="P5" i="51"/>
  <c r="N5" i="51"/>
  <c r="M5" i="51"/>
  <c r="L5" i="51"/>
  <c r="J5" i="51"/>
  <c r="I5" i="51"/>
  <c r="H5" i="51"/>
  <c r="G5" i="51"/>
  <c r="C5" i="51"/>
  <c r="AI3" i="48"/>
  <c r="AH3" i="48"/>
  <c r="AG3" i="48"/>
  <c r="AF3" i="48"/>
  <c r="AE3" i="48"/>
  <c r="AD3" i="48"/>
  <c r="AC3" i="48"/>
  <c r="AB3" i="48"/>
  <c r="AA3" i="48"/>
  <c r="Z3" i="48"/>
  <c r="Y3" i="48"/>
  <c r="X3" i="48"/>
  <c r="W3" i="48"/>
  <c r="V3" i="48"/>
  <c r="U3" i="48"/>
  <c r="T3" i="48"/>
  <c r="S3" i="48"/>
  <c r="R3" i="48"/>
  <c r="Q3" i="48"/>
  <c r="P3" i="48"/>
  <c r="N3" i="48"/>
  <c r="M3" i="48"/>
  <c r="L3" i="48"/>
  <c r="J3" i="48"/>
  <c r="I3" i="48"/>
  <c r="H3" i="48"/>
  <c r="G3" i="48"/>
  <c r="C3" i="48"/>
  <c r="AI5" i="45"/>
  <c r="AH5" i="45"/>
  <c r="AG5" i="45"/>
  <c r="AF5" i="45"/>
  <c r="AE5" i="45"/>
  <c r="AD5" i="45"/>
  <c r="AC5" i="45"/>
  <c r="AB5" i="45"/>
  <c r="AA5" i="45"/>
  <c r="Z5" i="45"/>
  <c r="Y5" i="45"/>
  <c r="X5" i="45"/>
  <c r="W5" i="45"/>
  <c r="V5" i="45"/>
  <c r="U5" i="45"/>
  <c r="T5" i="45"/>
  <c r="S5" i="45"/>
  <c r="R5" i="45"/>
  <c r="Q5" i="45"/>
  <c r="P5" i="45"/>
  <c r="N5" i="45"/>
  <c r="M5" i="45"/>
  <c r="L5" i="45"/>
  <c r="J5" i="45"/>
  <c r="I5" i="45"/>
  <c r="H5" i="45"/>
  <c r="G5" i="45"/>
  <c r="C5" i="45"/>
  <c r="AI3" i="42"/>
  <c r="AH3" i="42"/>
  <c r="AG3" i="42"/>
  <c r="AF3" i="42"/>
  <c r="AE3" i="42"/>
  <c r="AD3" i="42"/>
  <c r="AC3" i="42"/>
  <c r="AB3" i="42"/>
  <c r="AA3" i="42"/>
  <c r="Z3" i="42"/>
  <c r="Y3" i="42"/>
  <c r="X3" i="42"/>
  <c r="W3" i="42"/>
  <c r="V3" i="42"/>
  <c r="U3" i="42"/>
  <c r="T3" i="42"/>
  <c r="S3" i="42"/>
  <c r="R3" i="42"/>
  <c r="Q3" i="42"/>
  <c r="P3" i="42"/>
  <c r="N3" i="42"/>
  <c r="M3" i="42"/>
  <c r="L3" i="42"/>
  <c r="J3" i="42"/>
  <c r="I3" i="42"/>
  <c r="H3" i="42"/>
  <c r="G3" i="42"/>
  <c r="C3" i="42"/>
  <c r="AI6" i="39"/>
  <c r="AH6" i="39"/>
  <c r="AG6" i="39"/>
  <c r="AF6" i="39"/>
  <c r="AE6" i="39"/>
  <c r="AD6" i="39"/>
  <c r="AC6" i="39"/>
  <c r="AB6" i="39"/>
  <c r="AA6" i="39"/>
  <c r="Z6" i="39"/>
  <c r="Y6" i="39"/>
  <c r="X6" i="39"/>
  <c r="W6" i="39"/>
  <c r="V6" i="39"/>
  <c r="U6" i="39"/>
  <c r="T6" i="39"/>
  <c r="S6" i="39"/>
  <c r="R6" i="39"/>
  <c r="Q6" i="39"/>
  <c r="P6" i="39"/>
  <c r="N6" i="39"/>
  <c r="M6" i="39"/>
  <c r="L6" i="39"/>
  <c r="J6" i="39"/>
  <c r="I6" i="39"/>
  <c r="H6" i="39"/>
  <c r="G6" i="39"/>
  <c r="C6" i="39"/>
  <c r="AI5" i="36"/>
  <c r="AH5" i="36"/>
  <c r="AG5" i="36"/>
  <c r="AF5" i="36"/>
  <c r="AE5" i="36"/>
  <c r="AD5" i="36"/>
  <c r="AC5" i="36"/>
  <c r="AB5" i="36"/>
  <c r="AA5" i="36"/>
  <c r="Z5" i="36"/>
  <c r="Y5" i="36"/>
  <c r="X5" i="36"/>
  <c r="W5" i="36"/>
  <c r="V5" i="36"/>
  <c r="U5" i="36"/>
  <c r="T5" i="36"/>
  <c r="S5" i="36"/>
  <c r="R5" i="36"/>
  <c r="Q5" i="36"/>
  <c r="P5" i="36"/>
  <c r="N5" i="36"/>
  <c r="M5" i="36"/>
  <c r="L5" i="36"/>
  <c r="J5" i="36"/>
  <c r="I5" i="36"/>
  <c r="H5" i="36"/>
  <c r="G5" i="36"/>
  <c r="C5" i="36"/>
  <c r="AI10" i="33"/>
  <c r="AH10" i="33"/>
  <c r="AG10" i="33"/>
  <c r="AF10" i="33"/>
  <c r="AE10" i="33"/>
  <c r="AD10" i="33"/>
  <c r="AC10" i="33"/>
  <c r="AB10" i="33"/>
  <c r="AA10" i="33"/>
  <c r="Z10" i="33"/>
  <c r="Y10" i="33"/>
  <c r="X10" i="33"/>
  <c r="W10" i="33"/>
  <c r="V10" i="33"/>
  <c r="U10" i="33"/>
  <c r="T10" i="33"/>
  <c r="S10" i="33"/>
  <c r="R10" i="33"/>
  <c r="Q10" i="33"/>
  <c r="P10" i="33"/>
  <c r="N10" i="33"/>
  <c r="M10" i="33"/>
  <c r="L10" i="33"/>
  <c r="J10" i="33"/>
  <c r="I10" i="33"/>
  <c r="H10" i="33"/>
  <c r="G10" i="33"/>
  <c r="C10" i="33"/>
  <c r="AI5" i="21"/>
  <c r="AH5" i="21"/>
  <c r="AG5" i="21"/>
  <c r="AF5" i="21"/>
  <c r="AE5" i="21"/>
  <c r="AD5" i="21"/>
  <c r="AC5" i="21"/>
  <c r="AB5" i="21"/>
  <c r="AA5" i="21"/>
  <c r="Z5" i="21"/>
  <c r="Y5" i="21"/>
  <c r="X5" i="21"/>
  <c r="W5" i="21"/>
  <c r="V5" i="21"/>
  <c r="U5" i="21"/>
  <c r="T5" i="21"/>
  <c r="S5" i="21"/>
  <c r="R5" i="21"/>
  <c r="Q5" i="21"/>
  <c r="P5" i="21"/>
  <c r="N5" i="21"/>
  <c r="M5" i="21"/>
  <c r="L5" i="21"/>
  <c r="J5" i="21"/>
  <c r="I5" i="21"/>
  <c r="H5" i="21"/>
  <c r="G5" i="21"/>
  <c r="C5" i="21"/>
  <c r="AI14" i="18"/>
  <c r="AH14" i="18"/>
  <c r="AG14" i="18"/>
  <c r="AF14" i="18"/>
  <c r="AE14" i="18"/>
  <c r="AD14" i="18"/>
  <c r="AC14" i="18"/>
  <c r="AB14" i="18"/>
  <c r="AA14" i="18"/>
  <c r="Z14" i="18"/>
  <c r="Y14" i="18"/>
  <c r="X14" i="18"/>
  <c r="W14" i="18"/>
  <c r="V14" i="18"/>
  <c r="U14" i="18"/>
  <c r="T14" i="18"/>
  <c r="S14" i="18"/>
  <c r="R14" i="18"/>
  <c r="Q14" i="18"/>
  <c r="P14" i="18"/>
  <c r="N14" i="18"/>
  <c r="M14" i="18"/>
  <c r="L14" i="18"/>
  <c r="J14" i="18"/>
  <c r="I14" i="18"/>
  <c r="H14" i="18"/>
  <c r="G14" i="18"/>
  <c r="C14" i="18"/>
  <c r="AI12" i="15"/>
  <c r="AH12" i="15"/>
  <c r="AG12" i="15"/>
  <c r="AF12" i="15"/>
  <c r="AE12" i="15"/>
  <c r="AD12" i="15"/>
  <c r="AC12" i="15"/>
  <c r="AB12" i="15"/>
  <c r="AA12" i="15"/>
  <c r="Z12" i="15"/>
  <c r="Y12" i="15"/>
  <c r="X12" i="15"/>
  <c r="W12" i="15"/>
  <c r="V12" i="15"/>
  <c r="U12" i="15"/>
  <c r="T12" i="15"/>
  <c r="S12" i="15"/>
  <c r="R12" i="15"/>
  <c r="Q12" i="15"/>
  <c r="P12" i="15"/>
  <c r="N12" i="15"/>
  <c r="M12" i="15"/>
  <c r="L12" i="15"/>
  <c r="J12" i="15"/>
  <c r="I12" i="15"/>
  <c r="H12" i="15"/>
  <c r="G12" i="15"/>
  <c r="C12" i="15"/>
  <c r="AI33" i="12"/>
  <c r="AH33" i="12"/>
  <c r="AG33" i="12"/>
  <c r="AF33" i="12"/>
  <c r="AE33" i="12"/>
  <c r="AD33" i="12"/>
  <c r="AC33" i="12"/>
  <c r="AB33" i="12"/>
  <c r="AA33" i="12"/>
  <c r="Z33" i="12"/>
  <c r="Y33" i="12"/>
  <c r="X33" i="12"/>
  <c r="W33" i="12"/>
  <c r="V33" i="12"/>
  <c r="U33" i="12"/>
  <c r="T33" i="12"/>
  <c r="S33" i="12"/>
  <c r="R33" i="12"/>
  <c r="Q33" i="12"/>
  <c r="P33" i="12"/>
  <c r="N33" i="12"/>
  <c r="M33" i="12"/>
  <c r="L33" i="12"/>
  <c r="J33" i="12"/>
  <c r="I33" i="12"/>
  <c r="H33" i="12"/>
  <c r="G33" i="12"/>
  <c r="C33" i="12"/>
  <c r="AI4" i="9"/>
  <c r="AH4" i="9"/>
  <c r="AG4" i="9"/>
  <c r="AF4" i="9"/>
  <c r="AE4" i="9"/>
  <c r="AD4" i="9"/>
  <c r="AC4" i="9"/>
  <c r="AB4" i="9"/>
  <c r="AA4" i="9"/>
  <c r="Z4" i="9"/>
  <c r="Y4" i="9"/>
  <c r="X4" i="9"/>
  <c r="W4" i="9"/>
  <c r="V4" i="9"/>
  <c r="U4" i="9"/>
  <c r="T4" i="9"/>
  <c r="S4" i="9"/>
  <c r="R4" i="9"/>
  <c r="Q4" i="9"/>
  <c r="P4" i="9"/>
  <c r="N4" i="9"/>
  <c r="M4" i="9"/>
  <c r="L4" i="9"/>
  <c r="J4" i="9"/>
  <c r="I4" i="9"/>
  <c r="H4" i="9"/>
  <c r="G4" i="9"/>
  <c r="C4" i="9"/>
  <c r="AI6" i="6"/>
  <c r="AH6" i="6"/>
  <c r="AG6" i="6"/>
  <c r="AF6" i="6"/>
  <c r="AE6" i="6"/>
  <c r="AD6" i="6"/>
  <c r="AC6" i="6"/>
  <c r="AB6" i="6"/>
  <c r="AA6" i="6"/>
  <c r="Z6" i="6"/>
  <c r="Y6" i="6"/>
  <c r="X6" i="6"/>
  <c r="W6" i="6"/>
  <c r="V6" i="6"/>
  <c r="U6" i="6"/>
  <c r="T6" i="6"/>
  <c r="S6" i="6"/>
  <c r="R6" i="6"/>
  <c r="Q6" i="6"/>
  <c r="P6" i="6"/>
  <c r="N6" i="6"/>
  <c r="M6" i="6"/>
  <c r="L6" i="6"/>
  <c r="J6" i="6"/>
  <c r="I6" i="6"/>
  <c r="H6" i="6"/>
  <c r="G6" i="6"/>
  <c r="C6" i="6"/>
  <c r="AI7" i="4"/>
  <c r="AH7" i="4"/>
  <c r="AG7" i="4"/>
  <c r="AF7" i="4"/>
  <c r="AE7" i="4"/>
  <c r="AD7" i="4"/>
  <c r="AC7" i="4"/>
  <c r="AB7" i="4"/>
  <c r="AA7" i="4"/>
  <c r="Z7" i="4"/>
  <c r="Y7" i="4"/>
  <c r="X7" i="4"/>
  <c r="W7" i="4"/>
  <c r="V7" i="4"/>
  <c r="U7" i="4"/>
  <c r="T7" i="4"/>
  <c r="S7" i="4"/>
  <c r="R7" i="4"/>
  <c r="Q7" i="4"/>
  <c r="P7" i="4"/>
  <c r="N7" i="4"/>
  <c r="M7" i="4"/>
  <c r="L7" i="4"/>
  <c r="J7" i="4"/>
  <c r="I7" i="4"/>
  <c r="H7" i="4"/>
  <c r="G7" i="4"/>
  <c r="C7" i="4"/>
  <c r="AI7" i="2"/>
  <c r="AH7" i="2"/>
  <c r="AG7" i="2"/>
  <c r="AF7" i="2"/>
  <c r="AE7" i="2"/>
  <c r="AD7" i="2"/>
  <c r="AC7" i="2"/>
  <c r="AB7" i="2"/>
  <c r="AA7" i="2"/>
  <c r="Z7" i="2"/>
  <c r="Y7" i="2"/>
  <c r="X7" i="2"/>
  <c r="W7" i="2"/>
  <c r="V7" i="2"/>
  <c r="U7" i="2"/>
  <c r="T7" i="2"/>
  <c r="S7" i="2"/>
  <c r="R7" i="2"/>
  <c r="Q7" i="2"/>
  <c r="P7" i="2"/>
  <c r="N7" i="2"/>
  <c r="M7" i="2"/>
  <c r="L7" i="2"/>
  <c r="J7" i="2"/>
  <c r="I7" i="2"/>
  <c r="H7" i="2"/>
  <c r="G7" i="2"/>
  <c r="C7" i="2"/>
</calcChain>
</file>

<file path=xl/sharedStrings.xml><?xml version="1.0" encoding="utf-8"?>
<sst xmlns="http://schemas.openxmlformats.org/spreadsheetml/2006/main" count="18643" uniqueCount="1213">
  <si>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</si>
  <si>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</si>
  <si>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</si>
  <si>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</si>
  <si>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</si>
  <si>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</si>
  <si>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</si>
  <si>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</si>
  <si>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</si>
  <si>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</si>
  <si>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</si>
  <si>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</si>
  <si>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</si>
  <si>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</si>
  <si>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</si>
  <si>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</si>
  <si>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</si>
  <si>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</si>
  <si>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</si>
  <si>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</si>
  <si>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</si>
  <si>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</si>
  <si>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</si>
  <si>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</si>
  <si>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</si>
  <si>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</si>
  <si>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</si>
  <si>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</si>
  <si>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4"/>
        <color rgb="FFBC0000"/>
        <rFont val="Calibri"/>
      </rPr>
      <t>8</t>
    </r>
    <r>
      <rPr>
        <b/>
        <i/>
        <sz val="10"/>
        <color rgb="FFBC0000"/>
        <rFont val="Calibri"/>
      </rPr>
      <t xml:space="preserve"> FOR SAME CLASS</t>
    </r>
  </si>
  <si>
    <t>9,719 EGP</t>
  </si>
  <si>
    <t>Cabin: 10 KG / Check-in: 2 x 40 KG</t>
  </si>
  <si>
    <r>
      <rPr>
        <i/>
        <sz val="14"/>
        <rFont val="Calibri"/>
      </rPr>
      <t>8</t>
    </r>
    <r>
      <rPr>
        <i/>
        <sz val="10"/>
        <rFont val="Calibri"/>
      </rPr>
      <t xml:space="preserve"> FOR SAME CLASS</t>
    </r>
  </si>
  <si>
    <t>10,872 EGP</t>
  </si>
  <si>
    <t>Cabin: 10 KG / Check-in: 25 KG</t>
  </si>
  <si>
    <t>11,640 EGP</t>
  </si>
  <si>
    <t>Air Cairo</t>
  </si>
  <si>
    <t>SM-487</t>
  </si>
  <si>
    <t>Cabin: 7 KG | Check-in: 30 KG</t>
  </si>
  <si>
    <r>
      <rPr>
        <b/>
        <i/>
        <sz val="14"/>
        <color rgb="FFBC0000"/>
        <rFont val="Calibri"/>
      </rPr>
      <t>4</t>
    </r>
    <r>
      <rPr>
        <b/>
        <i/>
        <sz val="10"/>
        <color rgb="FFBC0000"/>
        <rFont val="Calibri"/>
      </rPr>
      <t xml:space="preserve"> FOR SAME CLASS</t>
    </r>
  </si>
  <si>
    <t>10,175 EGP</t>
  </si>
  <si>
    <t>SM487</t>
  </si>
  <si>
    <t>G4</t>
  </si>
  <si>
    <t>G6 &amp; W4 &amp; T10 &amp; X10 &amp; U10 &amp; O10 &amp; I10 &amp; P115</t>
  </si>
  <si>
    <t>SM493</t>
  </si>
  <si>
    <t>20KG + 7KG CABIN</t>
  </si>
  <si>
    <t>FULLY BOOKED</t>
  </si>
  <si>
    <t>CLOSED</t>
  </si>
  <si>
    <t>V1 &amp; G1 &amp; U3 &amp; O12 &amp; I8 &amp; E65 &amp; P87 &amp; N2</t>
  </si>
  <si>
    <t>flynas</t>
  </si>
  <si>
    <t>XY-575</t>
  </si>
  <si>
    <t>Cabin: 7 KG / Check-in: 20 KG</t>
  </si>
  <si>
    <r>
      <rPr>
        <b/>
        <i/>
        <sz val="14"/>
        <color rgb="FFBC0000"/>
        <rFont val="Calibri"/>
      </rPr>
      <t>3</t>
    </r>
    <r>
      <rPr>
        <b/>
        <i/>
        <sz val="10"/>
        <color rgb="FFBC0000"/>
        <rFont val="Calibri"/>
      </rPr>
      <t xml:space="preserve"> FOR SAME CLASS</t>
    </r>
  </si>
  <si>
    <t>14,201 EGP</t>
  </si>
  <si>
    <t>Cabin: 7 KG / Check-in: 30 KG</t>
  </si>
  <si>
    <r>
      <rPr>
        <i/>
        <sz val="14"/>
        <rFont val="Calibri"/>
      </rPr>
      <t>3</t>
    </r>
    <r>
      <rPr>
        <i/>
        <sz val="10"/>
        <rFont val="Calibri"/>
      </rPr>
      <t xml:space="preserve"> FOR SAME CLASS</t>
    </r>
  </si>
  <si>
    <t>15,482 EGP</t>
  </si>
  <si>
    <t>Cabin: 7 KG / Check-in: 2 x 40 KG</t>
  </si>
  <si>
    <t>16,250 EGP</t>
  </si>
  <si>
    <t>Saudia</t>
  </si>
  <si>
    <t>SV-318</t>
  </si>
  <si>
    <t>Cabin: 7 KG | Check-in: 2 PIECE</t>
  </si>
  <si>
    <r>
      <rPr>
        <b/>
        <i/>
        <sz val="14"/>
        <color rgb="FFBC0000"/>
        <rFont val="Calibri"/>
      </rPr>
      <t>1</t>
    </r>
    <r>
      <rPr>
        <b/>
        <i/>
        <sz val="10"/>
        <color rgb="FFBC0000"/>
        <rFont val="Calibri"/>
      </rPr>
      <t xml:space="preserve"> FOR SAME CLASS</t>
    </r>
  </si>
  <si>
    <t>15,323 EGP</t>
  </si>
  <si>
    <t>Cabin: 7 KG / Check-in: 2 x 46 KG</t>
  </si>
  <si>
    <r>
      <rPr>
        <i/>
        <sz val="14"/>
        <rFont val="Calibri"/>
      </rPr>
      <t>1</t>
    </r>
    <r>
      <rPr>
        <i/>
        <sz val="10"/>
        <rFont val="Calibri"/>
      </rPr>
      <t xml:space="preserve"> FOR SAME CLASS</t>
    </r>
  </si>
  <si>
    <t>SV-380</t>
  </si>
  <si>
    <r>
      <rPr>
        <b/>
        <i/>
        <sz val="14"/>
        <rFont val="Calibri"/>
      </rPr>
      <t>2</t>
    </r>
    <r>
      <rPr>
        <b/>
        <i/>
        <sz val="10"/>
        <rFont val="Calibri"/>
      </rPr>
      <t xml:space="preserve"> FOR SAME CLASS</t>
    </r>
  </si>
  <si>
    <t>20,419 EGP</t>
  </si>
  <si>
    <r>
      <rPr>
        <i/>
        <sz val="14"/>
        <rFont val="Calibri"/>
      </rPr>
      <t>2</t>
    </r>
    <r>
      <rPr>
        <i/>
        <sz val="10"/>
        <rFont val="Calibri"/>
      </rPr>
      <t xml:space="preserve"> FOR SAME CLASS</t>
    </r>
  </si>
  <si>
    <t>SV-390</t>
  </si>
  <si>
    <r>
      <rPr>
        <b/>
        <i/>
        <sz val="14"/>
        <rFont val="Calibri"/>
      </rPr>
      <t>3</t>
    </r>
    <r>
      <rPr>
        <b/>
        <i/>
        <sz val="10"/>
        <rFont val="Calibri"/>
      </rPr>
      <t xml:space="preserve"> FOR SAME CLASS</t>
    </r>
  </si>
  <si>
    <t>SV-6904</t>
  </si>
  <si>
    <r>
      <rPr>
        <b/>
        <i/>
        <sz val="14"/>
        <rFont val="Calibri"/>
      </rPr>
      <t>4</t>
    </r>
    <r>
      <rPr>
        <b/>
        <i/>
        <sz val="10"/>
        <rFont val="Calibri"/>
      </rPr>
      <t xml:space="preserve"> FOR SAME CLASS</t>
    </r>
  </si>
  <si>
    <t>22,724 EGP</t>
  </si>
  <si>
    <r>
      <rPr>
        <i/>
        <sz val="14"/>
        <rFont val="Calibri"/>
      </rPr>
      <t>4</t>
    </r>
    <r>
      <rPr>
        <i/>
        <sz val="10"/>
        <rFont val="Calibri"/>
      </rPr>
      <t xml:space="preserve"> FOR SAME CLASS</t>
    </r>
  </si>
  <si>
    <t>EgyptAir</t>
  </si>
  <si>
    <t>MS-639</t>
  </si>
  <si>
    <r>
      <rPr>
        <b/>
        <i/>
        <sz val="14"/>
        <color rgb="FFBC0000"/>
        <rFont val="Calibri"/>
      </rPr>
      <t>+9</t>
    </r>
    <r>
      <rPr>
        <b/>
        <i/>
        <sz val="10"/>
        <color rgb="FFBC0000"/>
        <rFont val="Calibri"/>
      </rPr>
      <t xml:space="preserve"> FOR SAME CLASS</t>
    </r>
  </si>
  <si>
    <t>16,373 EGP</t>
  </si>
  <si>
    <t>MS-675</t>
  </si>
  <si>
    <r>
      <rPr>
        <b/>
        <i/>
        <sz val="14"/>
        <rFont val="Calibri"/>
      </rPr>
      <t>1</t>
    </r>
    <r>
      <rPr>
        <b/>
        <i/>
        <sz val="10"/>
        <rFont val="Calibri"/>
      </rPr>
      <t xml:space="preserve"> FOR SAME CLASS</t>
    </r>
  </si>
  <si>
    <t>MS-677</t>
  </si>
  <si>
    <t>MS-693</t>
  </si>
  <si>
    <r>
      <rPr>
        <b/>
        <i/>
        <sz val="14"/>
        <rFont val="Calibri"/>
      </rPr>
      <t>7</t>
    </r>
    <r>
      <rPr>
        <b/>
        <i/>
        <sz val="10"/>
        <rFont val="Calibri"/>
      </rPr>
      <t xml:space="preserve"> FOR SAME CLASS</t>
    </r>
  </si>
  <si>
    <t>18,050 EGP</t>
  </si>
  <si>
    <t>MS-695</t>
  </si>
  <si>
    <r>
      <rPr>
        <b/>
        <i/>
        <sz val="14"/>
        <rFont val="Calibri"/>
      </rPr>
      <t>+9</t>
    </r>
    <r>
      <rPr>
        <b/>
        <i/>
        <sz val="10"/>
        <rFont val="Calibri"/>
      </rPr>
      <t xml:space="preserve"> FOR SAME CLASS</t>
    </r>
  </si>
  <si>
    <t>Cabin: 7 KG | Check-in: 1 PIECE</t>
  </si>
  <si>
    <t>8,587 EGP</t>
  </si>
  <si>
    <t>Cabin: 7 KG / Check-in: 23 KG</t>
  </si>
  <si>
    <t>10,239 EGP</t>
  </si>
  <si>
    <r>
      <rPr>
        <b/>
        <i/>
        <sz val="14"/>
        <rFont val="Calibri"/>
      </rPr>
      <t>5</t>
    </r>
    <r>
      <rPr>
        <b/>
        <i/>
        <sz val="10"/>
        <rFont val="Calibri"/>
      </rPr>
      <t xml:space="preserve"> FOR SAME CLASS</t>
    </r>
  </si>
  <si>
    <t>10,744 EGP</t>
  </si>
  <si>
    <t>12,664 EGP</t>
  </si>
  <si>
    <t>15,354 EGP</t>
  </si>
  <si>
    <t>20,445 EGP</t>
  </si>
  <si>
    <t>22,968 EGP</t>
  </si>
  <si>
    <r>
      <rPr>
        <b/>
        <i/>
        <sz val="14"/>
        <color rgb="FFBC0000"/>
        <rFont val="Calibri"/>
      </rPr>
      <t>5</t>
    </r>
    <r>
      <rPr>
        <b/>
        <i/>
        <sz val="10"/>
        <color rgb="FFBC0000"/>
        <rFont val="Calibri"/>
      </rPr>
      <t xml:space="preserve"> FOR SAME CLASS</t>
    </r>
  </si>
  <si>
    <t>16,762 EGP</t>
  </si>
  <si>
    <r>
      <rPr>
        <i/>
        <sz val="14"/>
        <rFont val="Calibri"/>
      </rPr>
      <t>5</t>
    </r>
    <r>
      <rPr>
        <i/>
        <sz val="10"/>
        <rFont val="Calibri"/>
      </rPr>
      <t xml:space="preserve"> FOR SAME CLASS</t>
    </r>
  </si>
  <si>
    <t>18,043 EGP</t>
  </si>
  <si>
    <t>19,195 EGP</t>
  </si>
  <si>
    <t>Cabin: 7 KG | Check-in: 20 KG</t>
  </si>
  <si>
    <r>
      <rPr>
        <b/>
        <i/>
        <sz val="14"/>
        <color rgb="FFBC0000"/>
        <rFont val="Calibri"/>
      </rPr>
      <t>2</t>
    </r>
    <r>
      <rPr>
        <b/>
        <i/>
        <sz val="10"/>
        <color rgb="FFBC0000"/>
        <rFont val="Calibri"/>
      </rPr>
      <t xml:space="preserve"> FOR SAME CLASS</t>
    </r>
  </si>
  <si>
    <t>XY-794</t>
  </si>
  <si>
    <t>11,768 EGP</t>
  </si>
  <si>
    <t>13,689 EGP</t>
  </si>
  <si>
    <t>22,532 EGP</t>
  </si>
  <si>
    <t>26,528 EGP</t>
  </si>
  <si>
    <t>L1 &amp; O3 &amp; I8 &amp; P168 &amp; N2</t>
  </si>
  <si>
    <t>11,000 EGP</t>
  </si>
  <si>
    <t>12,280 EGP</t>
  </si>
  <si>
    <t>13,433 EGP</t>
  </si>
  <si>
    <t>12,198 EGP</t>
  </si>
  <si>
    <t>13,376 EGP</t>
  </si>
  <si>
    <t>17,871 EGP</t>
  </si>
  <si>
    <t>9,847 EGP</t>
  </si>
  <si>
    <t>11,128 EGP</t>
  </si>
  <si>
    <r>
      <rPr>
        <b/>
        <i/>
        <sz val="14"/>
        <rFont val="Calibri"/>
      </rPr>
      <t>9</t>
    </r>
    <r>
      <rPr>
        <b/>
        <i/>
        <sz val="10"/>
        <rFont val="Calibri"/>
      </rPr>
      <t xml:space="preserve"> FOR SAME CLASS</t>
    </r>
  </si>
  <si>
    <r>
      <rPr>
        <i/>
        <sz val="14"/>
        <rFont val="Calibri"/>
      </rPr>
      <t>9</t>
    </r>
    <r>
      <rPr>
        <i/>
        <sz val="10"/>
        <rFont val="Calibri"/>
      </rPr>
      <t xml:space="preserve"> FOR SAME CLASS</t>
    </r>
  </si>
  <si>
    <t>14,887 EGP</t>
  </si>
  <si>
    <r>
      <rPr>
        <b/>
        <i/>
        <sz val="14"/>
        <rFont val="Calibri"/>
      </rPr>
      <t>6</t>
    </r>
    <r>
      <rPr>
        <b/>
        <i/>
        <sz val="10"/>
        <rFont val="Calibri"/>
      </rPr>
      <t xml:space="preserve"> FOR SAME CLASS</t>
    </r>
  </si>
  <si>
    <t>G2 &amp; X7 &amp; U11 &amp; O11 &amp; I10 &amp; P135 &amp; N3</t>
  </si>
  <si>
    <t>8,951 EGP</t>
  </si>
  <si>
    <t>SM-493</t>
  </si>
  <si>
    <t>11,225 EGP</t>
  </si>
  <si>
    <t>L1</t>
  </si>
  <si>
    <t>L4 &amp; X8 &amp; U11 &amp; O11 &amp; I10 &amp; P135</t>
  </si>
  <si>
    <t>19,894 EGP</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</si>
  <si>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</si>
  <si>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</si>
  <si>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</si>
  <si>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</si>
  <si>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</si>
  <si>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</si>
  <si>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</si>
  <si>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</si>
  <si>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</si>
  <si>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</si>
  <si>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</si>
  <si>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</si>
  <si>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</si>
  <si>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</si>
  <si>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</si>
  <si>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</si>
  <si>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</si>
  <si>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</si>
  <si>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</si>
  <si>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</si>
  <si>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</si>
  <si>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</si>
  <si>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</si>
  <si>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</si>
  <si>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</si>
  <si>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</si>
  <si>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</si>
  <si>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</si>
  <si>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</si>
  <si>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</si>
  <si>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</si>
  <si>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G6</t>
  </si>
  <si>
    <t>W4</t>
  </si>
  <si>
    <t>T10</t>
  </si>
  <si>
    <t>X10</t>
  </si>
  <si>
    <t>U10</t>
  </si>
  <si>
    <t>O10</t>
  </si>
  <si>
    <t>I10</t>
  </si>
  <si>
    <t>P115</t>
  </si>
  <si>
    <t>V1</t>
  </si>
  <si>
    <t>G1</t>
  </si>
  <si>
    <t>U3</t>
  </si>
  <si>
    <t>O12</t>
  </si>
  <si>
    <t>I8</t>
  </si>
  <si>
    <t>E65</t>
  </si>
  <si>
    <t>P87</t>
  </si>
  <si>
    <t>N2</t>
  </si>
  <si>
    <t>THURSDAY</t>
  </si>
  <si>
    <t>O3</t>
  </si>
  <si>
    <t>P168</t>
  </si>
  <si>
    <t>SATURDAY</t>
  </si>
  <si>
    <t>G2</t>
  </si>
  <si>
    <t>X7</t>
  </si>
  <si>
    <t>U11</t>
  </si>
  <si>
    <t>O11</t>
  </si>
  <si>
    <t>P135</t>
  </si>
  <si>
    <t>N3</t>
  </si>
  <si>
    <t>SUNDAY</t>
  </si>
  <si>
    <t>L4</t>
  </si>
  <si>
    <t>X8</t>
  </si>
  <si>
    <t>TOTAL</t>
  </si>
  <si>
    <t>DATE</t>
  </si>
  <si>
    <t>ROUTE</t>
  </si>
  <si>
    <t>TUE</t>
  </si>
  <si>
    <t>THU</t>
  </si>
  <si>
    <t>SAT</t>
  </si>
  <si>
    <t>SUN</t>
  </si>
  <si>
    <t>HBE-MED</t>
  </si>
  <si>
    <t>SM485</t>
  </si>
  <si>
    <t>V5 &amp; T5 &amp; X4 &amp; E41 &amp; P125</t>
  </si>
  <si>
    <t>Indirect competition route CAI – MED - diversion ratio &amp; passenger leakage</t>
  </si>
  <si>
    <t>05:30</t>
  </si>
  <si>
    <t>8 FOR SAME CLASS</t>
  </si>
  <si>
    <t>02:50</t>
  </si>
  <si>
    <t>4 FOR SAME CLASS</t>
  </si>
  <si>
    <t>14:35</t>
  </si>
  <si>
    <t>3 FOR SAME CLASS</t>
  </si>
  <si>
    <t>08:25</t>
  </si>
  <si>
    <t>1 FOR SAME CLASS</t>
  </si>
  <si>
    <t>08:05</t>
  </si>
  <si>
    <t>+9 FOR SAME CLASS</t>
  </si>
  <si>
    <t>G1 &amp; I3 &amp; P175</t>
  </si>
  <si>
    <t>04:25</t>
  </si>
  <si>
    <t>21:30</t>
  </si>
  <si>
    <t>5 FOR SAME CLASS</t>
  </si>
  <si>
    <t>06:55</t>
  </si>
  <si>
    <t>MS-679</t>
  </si>
  <si>
    <t>17,500 EGP</t>
  </si>
  <si>
    <t>G3 &amp; X3 &amp; I8 &amp; P166</t>
  </si>
  <si>
    <t>2 FOR SAME CLASS</t>
  </si>
  <si>
    <t>10:25</t>
  </si>
  <si>
    <t>22:50</t>
  </si>
  <si>
    <t>15,886 EGP</t>
  </si>
  <si>
    <t>22:35</t>
  </si>
  <si>
    <t>16:45</t>
  </si>
  <si>
    <t>01:35</t>
  </si>
  <si>
    <t>L3 &amp; X10 &amp; U11 &amp; O11 &amp; I10 &amp; P135</t>
  </si>
  <si>
    <t>17:50</t>
  </si>
  <si>
    <t>V5</t>
  </si>
  <si>
    <t>T5</t>
  </si>
  <si>
    <t>X4</t>
  </si>
  <si>
    <t>E41</t>
  </si>
  <si>
    <t>P125</t>
  </si>
  <si>
    <t>WEDNESDAY</t>
  </si>
  <si>
    <t>I3</t>
  </si>
  <si>
    <t>P175</t>
  </si>
  <si>
    <t>G3</t>
  </si>
  <si>
    <t>X3</t>
  </si>
  <si>
    <t>P166</t>
  </si>
  <si>
    <t>L3</t>
  </si>
  <si>
    <t>CAI-MED AS ALTERNATIVE ROUTE</t>
  </si>
  <si>
    <t>ATZ-MED</t>
  </si>
  <si>
    <t>SM-489</t>
  </si>
  <si>
    <t>8,203 EGP</t>
  </si>
  <si>
    <t>SM489</t>
  </si>
  <si>
    <t>T1</t>
  </si>
  <si>
    <t>S1 &amp; W2 &amp; T19 &amp; X18 &amp; U18 &amp; O21 &amp; I23 &amp; P50</t>
  </si>
  <si>
    <r>
      <rPr>
        <b/>
        <i/>
        <sz val="14"/>
        <color rgb="FFBC0000"/>
        <rFont val="Calibri"/>
      </rPr>
      <t>6</t>
    </r>
    <r>
      <rPr>
        <b/>
        <i/>
        <sz val="10"/>
        <color rgb="FFBC0000"/>
        <rFont val="Calibri"/>
      </rPr>
      <t xml:space="preserve"> FOR SAME CLASS</t>
    </r>
  </si>
  <si>
    <t>T6</t>
  </si>
  <si>
    <t>Y1 &amp; S2 &amp; W1 &amp; T17 &amp; X19 &amp; U5 &amp; O4 &amp; I9 &amp; P97</t>
  </si>
  <si>
    <t>9 FOR SAME CLASS</t>
  </si>
  <si>
    <t>S1</t>
  </si>
  <si>
    <t>W2</t>
  </si>
  <si>
    <t>T19</t>
  </si>
  <si>
    <t>X18</t>
  </si>
  <si>
    <t>U18</t>
  </si>
  <si>
    <t>O21</t>
  </si>
  <si>
    <t>I23</t>
  </si>
  <si>
    <t>P50</t>
  </si>
  <si>
    <t>Y1</t>
  </si>
  <si>
    <t>S2</t>
  </si>
  <si>
    <t>W1</t>
  </si>
  <si>
    <t>T17</t>
  </si>
  <si>
    <t>X19</t>
  </si>
  <si>
    <t>U5</t>
  </si>
  <si>
    <t>O4</t>
  </si>
  <si>
    <t>I9</t>
  </si>
  <si>
    <t>P97</t>
  </si>
  <si>
    <t>CAI-JED</t>
  </si>
  <si>
    <t>F3-754</t>
  </si>
  <si>
    <t>9,591 EGP</t>
  </si>
  <si>
    <t>11,512 EGP</t>
  </si>
  <si>
    <t>F3-756</t>
  </si>
  <si>
    <r>
      <rPr>
        <b/>
        <i/>
        <sz val="14"/>
        <rFont val="Calibri"/>
      </rPr>
      <t>10</t>
    </r>
    <r>
      <rPr>
        <b/>
        <i/>
        <sz val="10"/>
        <rFont val="Calibri"/>
      </rPr>
      <t xml:space="preserve"> FOR SAME CLASS</t>
    </r>
  </si>
  <si>
    <t>10,231 EGP</t>
  </si>
  <si>
    <r>
      <rPr>
        <i/>
        <sz val="14"/>
        <rFont val="Calibri"/>
      </rPr>
      <t>10</t>
    </r>
    <r>
      <rPr>
        <i/>
        <sz val="10"/>
        <rFont val="Calibri"/>
      </rPr>
      <t xml:space="preserve"> FOR SAME CLASS</t>
    </r>
  </si>
  <si>
    <t>12,152 EGP</t>
  </si>
  <si>
    <t>F3-762</t>
  </si>
  <si>
    <t>F3-764</t>
  </si>
  <si>
    <t>XY-568</t>
  </si>
  <si>
    <t>XY-566</t>
  </si>
  <si>
    <t>12,792 EGP</t>
  </si>
  <si>
    <t>13,945 EGP</t>
  </si>
  <si>
    <t>XY-570</t>
  </si>
  <si>
    <t>XY-572</t>
  </si>
  <si>
    <r>
      <rPr>
        <i/>
        <sz val="14"/>
        <rFont val="Calibri"/>
      </rPr>
      <t>6</t>
    </r>
    <r>
      <rPr>
        <i/>
        <sz val="10"/>
        <rFont val="Calibri"/>
      </rPr>
      <t xml:space="preserve"> FOR SAME CLASS</t>
    </r>
  </si>
  <si>
    <t>XY-574</t>
  </si>
  <si>
    <t>XY-578</t>
  </si>
  <si>
    <r>
      <rPr>
        <b/>
        <i/>
        <sz val="14"/>
        <rFont val="Calibri"/>
      </rPr>
      <t>8</t>
    </r>
    <r>
      <rPr>
        <b/>
        <i/>
        <sz val="10"/>
        <rFont val="Calibri"/>
      </rPr>
      <t xml:space="preserve"> FOR SAME CLASS</t>
    </r>
  </si>
  <si>
    <t>XY-584</t>
  </si>
  <si>
    <t>XY-590</t>
  </si>
  <si>
    <t>Air Arabia Egypt</t>
  </si>
  <si>
    <t>E5-361</t>
  </si>
  <si>
    <t>Cabin: 10 KG / Check-in: 30 KG</t>
  </si>
  <si>
    <t>10,998 EGP</t>
  </si>
  <si>
    <t>12,635 EGP</t>
  </si>
  <si>
    <t>Nile Air</t>
  </si>
  <si>
    <t>NP-127</t>
  </si>
  <si>
    <t>12,114 EGP</t>
  </si>
  <si>
    <t>NP-227</t>
  </si>
  <si>
    <t>16,122 EGP</t>
  </si>
  <si>
    <t>Nesma Airlines</t>
  </si>
  <si>
    <t>NE-172</t>
  </si>
  <si>
    <t>13,599 EGP</t>
  </si>
  <si>
    <t>SV-6665</t>
  </si>
  <si>
    <t>19,989 EGP</t>
  </si>
  <si>
    <t>SV-6892</t>
  </si>
  <si>
    <t>SV-6894</t>
  </si>
  <si>
    <t>SV-6896</t>
  </si>
  <si>
    <t>SV-300</t>
  </si>
  <si>
    <t>20,578 EGP</t>
  </si>
  <si>
    <t>SV-382</t>
  </si>
  <si>
    <t>SV-386</t>
  </si>
  <si>
    <t>SV-388</t>
  </si>
  <si>
    <t>SV-304</t>
  </si>
  <si>
    <t>23,844 EGP</t>
  </si>
  <si>
    <t>SV-330</t>
  </si>
  <si>
    <t>MS-643</t>
  </si>
  <si>
    <t>20,732 EGP</t>
  </si>
  <si>
    <t>MS-661</t>
  </si>
  <si>
    <t>MS-663</t>
  </si>
  <si>
    <t>MS-665</t>
  </si>
  <si>
    <t>MS-669</t>
  </si>
  <si>
    <t>MS-671</t>
  </si>
  <si>
    <t>SM471</t>
  </si>
  <si>
    <t>V7 &amp; L12 &amp; G11 &amp; S10 &amp; W12 &amp; T11 &amp; X28 &amp; U10 &amp; O11 &amp; I21 &amp; P46</t>
  </si>
  <si>
    <t>SM479</t>
  </si>
  <si>
    <t>S4 &amp; T1 &amp; X9 &amp; U10 &amp; O10 &amp; I5 &amp; P139 &amp; N3</t>
  </si>
  <si>
    <t>SM477</t>
  </si>
  <si>
    <t>S9 &amp; W12 &amp; T12 &amp; X10 &amp; U12 &amp; O22 &amp; I10 &amp; P93</t>
  </si>
  <si>
    <t>SM459</t>
  </si>
  <si>
    <t>S11 &amp; U22 &amp; O22 &amp; I6 &amp; E40 &amp; P76</t>
  </si>
  <si>
    <t>SM423</t>
  </si>
  <si>
    <t>S5 &amp; W2 &amp; T11 &amp; X11 &amp; U17 &amp; O23 &amp; I20 &amp; P90</t>
  </si>
  <si>
    <t>SM475</t>
  </si>
  <si>
    <t>V8 &amp; L12 &amp; G26 &amp; S28 &amp; W12 &amp; T19 &amp; X21 &amp; U29 &amp; O11 &amp; I10 &amp; P2 &amp; N1</t>
  </si>
  <si>
    <t>Cabin: 0 KG | Check-in: 15 KG</t>
  </si>
  <si>
    <t>23,037 EGP</t>
  </si>
  <si>
    <t>14,073 EGP</t>
  </si>
  <si>
    <t>10,833 EGP</t>
  </si>
  <si>
    <t>MS-673</t>
  </si>
  <si>
    <t>MS-1671</t>
  </si>
  <si>
    <t>E5-327</t>
  </si>
  <si>
    <t>11,428 EGP</t>
  </si>
  <si>
    <t>13,065 EGP</t>
  </si>
  <si>
    <t>18,107 EGP</t>
  </si>
  <si>
    <t>15,277 EGP</t>
  </si>
  <si>
    <t>SV-302</t>
  </si>
  <si>
    <t>SV-308</t>
  </si>
  <si>
    <r>
      <rPr>
        <i/>
        <sz val="14"/>
        <rFont val="Calibri"/>
      </rPr>
      <t>+9</t>
    </r>
    <r>
      <rPr>
        <i/>
        <sz val="10"/>
        <rFont val="Calibri"/>
      </rPr>
      <t xml:space="preserve"> FOR SAME CLASS</t>
    </r>
  </si>
  <si>
    <t>22,154 EGP</t>
  </si>
  <si>
    <t>S4 &amp; W3 &amp; T11 &amp; X19 &amp; U17 &amp; O18 &amp; I18 &amp; P90</t>
  </si>
  <si>
    <t>G2 &amp; S18 &amp; W18 &amp; T18 &amp; X20 &amp; U16 &amp; O18 &amp; I18 &amp; P51</t>
  </si>
  <si>
    <t>T11 &amp; X21 &amp; U18 &amp; O18 &amp; I18 &amp; P90 &amp; N3</t>
  </si>
  <si>
    <t>S3 &amp; W6 &amp; T11 &amp; X12 &amp; U12 &amp; O10 &amp; I11 &amp; P114</t>
  </si>
  <si>
    <t>V14 &amp; L17 &amp; G33 &amp; S33 &amp; W18 &amp; T24 &amp; X10 &amp; U11 &amp; O9 &amp; I10</t>
  </si>
  <si>
    <t>SM-449</t>
  </si>
  <si>
    <t>SM449</t>
  </si>
  <si>
    <t>V7 &amp; L10 &amp; G24 &amp; S31 &amp; W22 &amp; T20 &amp; X19 &amp; U11 &amp; O11 &amp; I21</t>
  </si>
  <si>
    <t>SM-423</t>
  </si>
  <si>
    <t>11,281 EGP</t>
  </si>
  <si>
    <t>V3</t>
  </si>
  <si>
    <t>K6 &amp; V33 &amp; L25 &amp; G11 &amp; S22 &amp; W12 &amp; T9 &amp; X12 &amp; U21 &amp; O11 &amp; I10 &amp; N4</t>
  </si>
  <si>
    <t>SM-431</t>
  </si>
  <si>
    <t>SM431</t>
  </si>
  <si>
    <t>V3 &amp; L10 &amp; G25 &amp; S46 &amp; W9 &amp; T20 &amp; X5 &amp; U5 &amp; O5 &amp; I5 &amp; P45</t>
  </si>
  <si>
    <t>SM-479</t>
  </si>
  <si>
    <t>12,139 EGP</t>
  </si>
  <si>
    <t>K1</t>
  </si>
  <si>
    <t>K5 &amp; L5 &amp; S3 &amp; W2 &amp; T3 &amp; X13 &amp; U6 &amp; O4 &amp; I5 &amp; P132</t>
  </si>
  <si>
    <t>L3 &amp; G11 &amp; S21 &amp; W9 &amp; T9 &amp; X23 &amp; U12 &amp; O5 &amp; I21 &amp; P65</t>
  </si>
  <si>
    <t>X1 &amp; U12 &amp; O11 &amp; I21 &amp; P135</t>
  </si>
  <si>
    <r>
      <rPr>
        <b/>
        <i/>
        <sz val="14"/>
        <rFont val="Calibri"/>
      </rPr>
      <t>12</t>
    </r>
    <r>
      <rPr>
        <b/>
        <i/>
        <sz val="10"/>
        <rFont val="Calibri"/>
      </rPr>
      <t xml:space="preserve"> FOR SAME CLASS</t>
    </r>
  </si>
  <si>
    <r>
      <rPr>
        <i/>
        <sz val="14"/>
        <rFont val="Calibri"/>
      </rPr>
      <t>12</t>
    </r>
    <r>
      <rPr>
        <i/>
        <sz val="10"/>
        <rFont val="Calibri"/>
      </rPr>
      <t xml:space="preserve"> FOR SAME CLASS</t>
    </r>
  </si>
  <si>
    <r>
      <rPr>
        <i/>
        <sz val="14"/>
        <rFont val="Calibri"/>
      </rPr>
      <t>7</t>
    </r>
    <r>
      <rPr>
        <i/>
        <sz val="10"/>
        <rFont val="Calibri"/>
      </rPr>
      <t xml:space="preserve"> FOR SAME CLASS</t>
    </r>
  </si>
  <si>
    <t>NE-170</t>
  </si>
  <si>
    <r>
      <rPr>
        <b/>
        <i/>
        <sz val="14"/>
        <color rgb="FFBC0000"/>
        <rFont val="Calibri"/>
      </rPr>
      <t>7</t>
    </r>
    <r>
      <rPr>
        <b/>
        <i/>
        <sz val="10"/>
        <color rgb="FFBC0000"/>
        <rFont val="Calibri"/>
      </rPr>
      <t xml:space="preserve"> FOR SAME CLASS</t>
    </r>
  </si>
  <si>
    <t>10,500 EGP</t>
  </si>
  <si>
    <t>K3 &amp; V22 &amp; L34 &amp; G8 &amp; S9 &amp; W9 &amp; T9 &amp; X9 &amp; U8 &amp; O8 &amp; I14 &amp; P45</t>
  </si>
  <si>
    <t>SM-459</t>
  </si>
  <si>
    <t>K25 &amp; V29 &amp; L26 &amp; G10 &amp; S12 &amp; W21 &amp; T13 &amp; X9 &amp; U12 &amp; O11 &amp; I10</t>
  </si>
  <si>
    <t>SM-471</t>
  </si>
  <si>
    <t>K14 &amp; V30 &amp; L41 &amp; G11 &amp; S11 &amp; W11 &amp; T10 &amp; X18 &amp; U11 &amp; O11 &amp; I10</t>
  </si>
  <si>
    <t>SM-477</t>
  </si>
  <si>
    <t>K2</t>
  </si>
  <si>
    <t>K7 &amp; V10 &amp; L35 &amp; G38 &amp; S10 &amp; W11 &amp; T11 &amp; X11 &amp; U12 &amp; O22 &amp; I10</t>
  </si>
  <si>
    <t>K9 &amp; V11 &amp; L24 &amp; G11 &amp; S14 &amp; W11 &amp; T9 &amp; X11 &amp; U23 &amp; O11 &amp; I10 &amp; P35 &amp; N1</t>
  </si>
  <si>
    <t>10,884 EGP</t>
  </si>
  <si>
    <t>11,220 EGP</t>
  </si>
  <si>
    <t>12,857 EGP</t>
  </si>
  <si>
    <t>E5-321</t>
  </si>
  <si>
    <t>12,804 EGP</t>
  </si>
  <si>
    <t>14,441 EGP</t>
  </si>
  <si>
    <r>
      <rPr>
        <b/>
        <i/>
        <sz val="14"/>
        <rFont val="Calibri"/>
      </rPr>
      <t>18</t>
    </r>
    <r>
      <rPr>
        <b/>
        <i/>
        <sz val="10"/>
        <rFont val="Calibri"/>
      </rPr>
      <t xml:space="preserve"> FOR SAME CLASS</t>
    </r>
  </si>
  <si>
    <r>
      <rPr>
        <i/>
        <sz val="14"/>
        <rFont val="Calibri"/>
      </rPr>
      <t>18</t>
    </r>
    <r>
      <rPr>
        <i/>
        <sz val="10"/>
        <rFont val="Calibri"/>
      </rPr>
      <t xml:space="preserve"> FOR SAME CLASS</t>
    </r>
  </si>
  <si>
    <t>14,585 EGP</t>
  </si>
  <si>
    <t>14,713 EGP</t>
  </si>
  <si>
    <t>15,994 EGP</t>
  </si>
  <si>
    <t>17,146 EGP</t>
  </si>
  <si>
    <t>32,603 EGP</t>
  </si>
  <si>
    <t>MS-667</t>
  </si>
  <si>
    <t>34,178 EGP</t>
  </si>
  <si>
    <r>
      <rPr>
        <b/>
        <i/>
        <sz val="14"/>
        <rFont val="Calibri"/>
      </rPr>
      <t>19</t>
    </r>
    <r>
      <rPr>
        <b/>
        <i/>
        <sz val="10"/>
        <rFont val="Calibri"/>
      </rPr>
      <t xml:space="preserve"> FOR SAME CLASS</t>
    </r>
  </si>
  <si>
    <r>
      <rPr>
        <i/>
        <sz val="14"/>
        <rFont val="Calibri"/>
      </rPr>
      <t>19</t>
    </r>
    <r>
      <rPr>
        <i/>
        <sz val="10"/>
        <rFont val="Calibri"/>
      </rPr>
      <t xml:space="preserve"> FOR SAME CLASS</t>
    </r>
  </si>
  <si>
    <t>17,915 EGP</t>
  </si>
  <si>
    <t>20,348 EGP</t>
  </si>
  <si>
    <r>
      <rPr>
        <b/>
        <i/>
        <sz val="14"/>
        <color rgb="FFBC0000"/>
        <rFont val="Calibri"/>
      </rPr>
      <t>9</t>
    </r>
    <r>
      <rPr>
        <b/>
        <i/>
        <sz val="10"/>
        <color rgb="FFBC0000"/>
        <rFont val="Calibri"/>
      </rPr>
      <t xml:space="preserve"> FOR SAME CLASS</t>
    </r>
  </si>
  <si>
    <t>12,244 EGP</t>
  </si>
  <si>
    <t>13,881 EGP</t>
  </si>
  <si>
    <t>17,185 EGP</t>
  </si>
  <si>
    <t>17,313 EGP</t>
  </si>
  <si>
    <t>M1</t>
  </si>
  <si>
    <t>H4 &amp; Q10 &amp; K13 &amp; V20 &amp; L18 &amp; G16 &amp; S21 &amp; W12 &amp; T11 &amp; X11 &amp; U12 &amp; O11 &amp; I10 &amp; N3</t>
  </si>
  <si>
    <t>V1 &amp; G15 &amp; S21 &amp; W20 &amp; T42 &amp; X9 &amp; U12 &amp; O11 &amp; I10 &amp; P45</t>
  </si>
  <si>
    <t>G5 &amp; X7 &amp; U11 &amp; O11 &amp; I10 &amp; P135 &amp; N1</t>
  </si>
  <si>
    <t>Y3 &amp; K8 &amp; V9 &amp; L15 &amp; G9 &amp; S10 &amp; W18 &amp; T9 &amp; X9 &amp; P90</t>
  </si>
  <si>
    <t>25,521 EGP</t>
  </si>
  <si>
    <t>V4 &amp; L11 &amp; G29 &amp; S12 &amp; W9 &amp; T10 &amp; X4 &amp; U5 &amp; O5 &amp; I5 &amp; E40 &amp; P45</t>
  </si>
  <si>
    <t>G2 &amp; S10 &amp; W12 &amp; T11 &amp; X11 &amp; U23 &amp; O11 &amp; I10 &amp; P90</t>
  </si>
  <si>
    <t>G7 &amp; S9 &amp; W11 &amp; T10 &amp; X10 &amp; U12 &amp; O22 &amp; I10 &amp; P89</t>
  </si>
  <si>
    <t>L8 &amp; G21 &amp; S22 &amp; W10 &amp; T8 &amp; X20 &amp; P90</t>
  </si>
  <si>
    <t>V5 &amp; L10 &amp; G23 &amp; S11 &amp; W7 &amp; T9 &amp; X9 &amp; U5 &amp; O5 &amp; I5 &amp; P90</t>
  </si>
  <si>
    <t>Cabin: 10 KG | Check-in: 30 KG</t>
  </si>
  <si>
    <t>10,968 EGP</t>
  </si>
  <si>
    <t>NE-176</t>
  </si>
  <si>
    <t>15,366 EGP</t>
  </si>
  <si>
    <t>18,120 EGP</t>
  </si>
  <si>
    <t>V7</t>
  </si>
  <si>
    <t>L12</t>
  </si>
  <si>
    <t>G11</t>
  </si>
  <si>
    <t>S10</t>
  </si>
  <si>
    <t>W12</t>
  </si>
  <si>
    <t>T11</t>
  </si>
  <si>
    <t>X28</t>
  </si>
  <si>
    <t>I21</t>
  </si>
  <si>
    <t>P46</t>
  </si>
  <si>
    <t>S4</t>
  </si>
  <si>
    <t>X9</t>
  </si>
  <si>
    <t>I5</t>
  </si>
  <si>
    <t>P139</t>
  </si>
  <si>
    <t>S9</t>
  </si>
  <si>
    <t>T12</t>
  </si>
  <si>
    <t>U12</t>
  </si>
  <si>
    <t>O22</t>
  </si>
  <si>
    <t>P93</t>
  </si>
  <si>
    <t>S11</t>
  </si>
  <si>
    <t>U22</t>
  </si>
  <si>
    <t>I6</t>
  </si>
  <si>
    <t>E40</t>
  </si>
  <si>
    <t>P76</t>
  </si>
  <si>
    <t>S5</t>
  </si>
  <si>
    <t>X11</t>
  </si>
  <si>
    <t>U17</t>
  </si>
  <si>
    <t>O23</t>
  </si>
  <si>
    <t>I20</t>
  </si>
  <si>
    <t>P90</t>
  </si>
  <si>
    <t>V8</t>
  </si>
  <si>
    <t>G26</t>
  </si>
  <si>
    <t>S28</t>
  </si>
  <si>
    <t>X21</t>
  </si>
  <si>
    <t>U29</t>
  </si>
  <si>
    <t>P2</t>
  </si>
  <si>
    <t>N1</t>
  </si>
  <si>
    <t>W3</t>
  </si>
  <si>
    <t>O18</t>
  </si>
  <si>
    <t>I18</t>
  </si>
  <si>
    <t>S18</t>
  </si>
  <si>
    <t>W18</t>
  </si>
  <si>
    <t>T18</t>
  </si>
  <si>
    <t>X20</t>
  </si>
  <si>
    <t>U16</t>
  </si>
  <si>
    <t>P51</t>
  </si>
  <si>
    <t>S3</t>
  </si>
  <si>
    <t>W6</t>
  </si>
  <si>
    <t>X12</t>
  </si>
  <si>
    <t>I11</t>
  </si>
  <si>
    <t>P114</t>
  </si>
  <si>
    <t>V14</t>
  </si>
  <si>
    <t>L17</t>
  </si>
  <si>
    <t>G33</t>
  </si>
  <si>
    <t>S33</t>
  </si>
  <si>
    <t>T24</t>
  </si>
  <si>
    <t>O9</t>
  </si>
  <si>
    <t>L10</t>
  </si>
  <si>
    <t>G24</t>
  </si>
  <si>
    <t>S31</t>
  </si>
  <si>
    <t>W22</t>
  </si>
  <si>
    <t>T20</t>
  </si>
  <si>
    <t>S21</t>
  </si>
  <si>
    <t>W9</t>
  </si>
  <si>
    <t>T9</t>
  </si>
  <si>
    <t>X23</t>
  </si>
  <si>
    <t>O5</t>
  </si>
  <si>
    <t>P65</t>
  </si>
  <si>
    <t>G25</t>
  </si>
  <si>
    <t>S46</t>
  </si>
  <si>
    <t>X5</t>
  </si>
  <si>
    <t>P45</t>
  </si>
  <si>
    <t>X1</t>
  </si>
  <si>
    <t>K5</t>
  </si>
  <si>
    <t>L5</t>
  </si>
  <si>
    <t>T3</t>
  </si>
  <si>
    <t>X13</t>
  </si>
  <si>
    <t>U6</t>
  </si>
  <si>
    <t>P132</t>
  </si>
  <si>
    <t>K6</t>
  </si>
  <si>
    <t>V33</t>
  </si>
  <si>
    <t>L25</t>
  </si>
  <si>
    <t>S22</t>
  </si>
  <si>
    <t>U21</t>
  </si>
  <si>
    <t>N4</t>
  </si>
  <si>
    <t>FRIDAY</t>
  </si>
  <si>
    <t>K9</t>
  </si>
  <si>
    <t>V11</t>
  </si>
  <si>
    <t>L24</t>
  </si>
  <si>
    <t>S14</t>
  </si>
  <si>
    <t>W11</t>
  </si>
  <si>
    <t>U23</t>
  </si>
  <si>
    <t>P35</t>
  </si>
  <si>
    <t>K7</t>
  </si>
  <si>
    <t>V10</t>
  </si>
  <si>
    <t>L35</t>
  </si>
  <si>
    <t>G38</t>
  </si>
  <si>
    <t>K3</t>
  </si>
  <si>
    <t>V22</t>
  </si>
  <si>
    <t>L34</t>
  </si>
  <si>
    <t>G8</t>
  </si>
  <si>
    <t>U8</t>
  </si>
  <si>
    <t>O8</t>
  </si>
  <si>
    <t>I14</t>
  </si>
  <si>
    <t>K14</t>
  </si>
  <si>
    <t>V30</t>
  </si>
  <si>
    <t>L41</t>
  </si>
  <si>
    <t>K25</t>
  </si>
  <si>
    <t>V29</t>
  </si>
  <si>
    <t>L26</t>
  </si>
  <si>
    <t>G10</t>
  </si>
  <si>
    <t>S12</t>
  </si>
  <si>
    <t>W21</t>
  </si>
  <si>
    <t>T13</t>
  </si>
  <si>
    <t>G15</t>
  </si>
  <si>
    <t>W20</t>
  </si>
  <si>
    <t>T42</t>
  </si>
  <si>
    <t>G5</t>
  </si>
  <si>
    <t>Y3</t>
  </si>
  <si>
    <t>K8</t>
  </si>
  <si>
    <t>V9</t>
  </si>
  <si>
    <t>L15</t>
  </si>
  <si>
    <t>G9</t>
  </si>
  <si>
    <t>H4</t>
  </si>
  <si>
    <t>Q10</t>
  </si>
  <si>
    <t>K13</t>
  </si>
  <si>
    <t>V20</t>
  </si>
  <si>
    <t>L18</t>
  </si>
  <si>
    <t>G16</t>
  </si>
  <si>
    <t>V4</t>
  </si>
  <si>
    <t>L11</t>
  </si>
  <si>
    <t>G29</t>
  </si>
  <si>
    <t>G7</t>
  </si>
  <si>
    <t>P89</t>
  </si>
  <si>
    <t>L8</t>
  </si>
  <si>
    <t>G21</t>
  </si>
  <si>
    <t>W10</t>
  </si>
  <si>
    <t>T8</t>
  </si>
  <si>
    <t>G23</t>
  </si>
  <si>
    <t>W7</t>
  </si>
  <si>
    <t>HBE-JED</t>
  </si>
  <si>
    <t>F3-774</t>
  </si>
  <si>
    <t>Hand baggage only</t>
  </si>
  <si>
    <t>Cabin: 10 KG</t>
  </si>
  <si>
    <t>16,878 EGP</t>
  </si>
  <si>
    <t>Cabin: 10 KG / Check-in: 20 KG</t>
  </si>
  <si>
    <t>Cabin: 10 KG / Check-in: 32 KG</t>
  </si>
  <si>
    <t>19,323 EGP</t>
  </si>
  <si>
    <t>SV-332</t>
  </si>
  <si>
    <t>19,183 EGP</t>
  </si>
  <si>
    <t>SV-410</t>
  </si>
  <si>
    <t>MS-655</t>
  </si>
  <si>
    <t>19,375 EGP</t>
  </si>
  <si>
    <t>SM451</t>
  </si>
  <si>
    <t>X5 &amp; U4 &amp; O5 &amp; I5 &amp; P161</t>
  </si>
  <si>
    <t>Indirect competition route CAI – JED - diversion ratio &amp; passenger leakage</t>
  </si>
  <si>
    <t>09:35</t>
  </si>
  <si>
    <t>11:45</t>
  </si>
  <si>
    <t>10 FOR SAME CLASS</t>
  </si>
  <si>
    <t>21:20</t>
  </si>
  <si>
    <t>23:45</t>
  </si>
  <si>
    <t>23:50</t>
  </si>
  <si>
    <t>01:20</t>
  </si>
  <si>
    <t>08:20</t>
  </si>
  <si>
    <t>17:40</t>
  </si>
  <si>
    <t>K1 &amp; S3 &amp; W9 &amp; T19 &amp; X17 &amp; P130</t>
  </si>
  <si>
    <t>SM457</t>
  </si>
  <si>
    <t>T9 &amp; X9 &amp; U9 &amp; O9 &amp; I9 &amp; P135</t>
  </si>
  <si>
    <t>SM473</t>
  </si>
  <si>
    <t>S1 &amp; T4 &amp; X9 &amp; P166</t>
  </si>
  <si>
    <t>20:05</t>
  </si>
  <si>
    <t>02:25</t>
  </si>
  <si>
    <t>01:10</t>
  </si>
  <si>
    <t>6 FOR SAME CLASS</t>
  </si>
  <si>
    <t>05:25</t>
  </si>
  <si>
    <t>20,719 EGP</t>
  </si>
  <si>
    <t>S13 &amp; W10 &amp; T5 &amp; X5 &amp; U5 &amp; O5 &amp; I5 &amp; P126 &amp; N5</t>
  </si>
  <si>
    <t>12 FOR SAME CLASS</t>
  </si>
  <si>
    <t>22:30</t>
  </si>
  <si>
    <t>04:30</t>
  </si>
  <si>
    <t>09:25</t>
  </si>
  <si>
    <t>G7 &amp; S40 &amp; W28 &amp; T33 &amp; X18 &amp; I2 &amp; P50 &amp; N2</t>
  </si>
  <si>
    <t>10:30</t>
  </si>
  <si>
    <t>07:10</t>
  </si>
  <si>
    <t>02:30</t>
  </si>
  <si>
    <t>18:50</t>
  </si>
  <si>
    <t>7 FOR SAME CLASS</t>
  </si>
  <si>
    <t>14:20</t>
  </si>
  <si>
    <t>18:15</t>
  </si>
  <si>
    <t>15,341 EGP</t>
  </si>
  <si>
    <t>15,648 EGP</t>
  </si>
  <si>
    <t>17,787 EGP</t>
  </si>
  <si>
    <t>L3 &amp; S8 &amp; W16 &amp; T9 &amp; X9 &amp; P135</t>
  </si>
  <si>
    <t>K4 &amp; V9 &amp; L11 &amp; G7 &amp; S18 &amp; W18 &amp; T9 &amp; X9 &amp; P95</t>
  </si>
  <si>
    <t>07:30</t>
  </si>
  <si>
    <t>23:20</t>
  </si>
  <si>
    <t>E5-325</t>
  </si>
  <si>
    <t>12,062 EGP</t>
  </si>
  <si>
    <t>13,211 EGP</t>
  </si>
  <si>
    <t>13,929 EGP</t>
  </si>
  <si>
    <t>16,634 EGP</t>
  </si>
  <si>
    <t>G5 &amp; S11 &amp; W4 &amp; T5 &amp; X5 &amp; U5 &amp; O5 &amp; I4 &amp; P135</t>
  </si>
  <si>
    <t>G6 &amp; S3 &amp; W1 &amp; T18 &amp; X17 &amp; P135</t>
  </si>
  <si>
    <t>03:45</t>
  </si>
  <si>
    <t>14:25</t>
  </si>
  <si>
    <t>U4</t>
  </si>
  <si>
    <t>P161</t>
  </si>
  <si>
    <t>X17</t>
  </si>
  <si>
    <t>P130</t>
  </si>
  <si>
    <t>U9</t>
  </si>
  <si>
    <t>T4</t>
  </si>
  <si>
    <t>S13</t>
  </si>
  <si>
    <t>P126</t>
  </si>
  <si>
    <t>N5</t>
  </si>
  <si>
    <t>S40</t>
  </si>
  <si>
    <t>W28</t>
  </si>
  <si>
    <t>T33</t>
  </si>
  <si>
    <t>I2</t>
  </si>
  <si>
    <t>S8</t>
  </si>
  <si>
    <t>W16</t>
  </si>
  <si>
    <t>K4</t>
  </si>
  <si>
    <t>P95</t>
  </si>
  <si>
    <t>I4</t>
  </si>
  <si>
    <t>CAI-JED AS ALTERNATIVE ROUTE</t>
  </si>
  <si>
    <t>ATZ-JED</t>
  </si>
  <si>
    <t>SM-453</t>
  </si>
  <si>
    <t>7,132 EGP</t>
  </si>
  <si>
    <t>SM453</t>
  </si>
  <si>
    <t>G5 &amp; S6 &amp; W20 &amp; T4 &amp; X10 &amp; U17 &amp; O30 &amp; I10 &amp; P47</t>
  </si>
  <si>
    <t>SM-455</t>
  </si>
  <si>
    <t>SM455</t>
  </si>
  <si>
    <t>G6 &amp; S36 &amp; W12 &amp; T10 &amp; X9 &amp; U41 &amp; O10 &amp; I2 &amp; P50</t>
  </si>
  <si>
    <t>MS-8223</t>
  </si>
  <si>
    <t>9,245 EGP</t>
  </si>
  <si>
    <t>F3-778</t>
  </si>
  <si>
    <t>7,030 EGP</t>
  </si>
  <si>
    <t>7,785 EGP</t>
  </si>
  <si>
    <t>8,093 EGP</t>
  </si>
  <si>
    <t>MS-8261</t>
  </si>
  <si>
    <t>8,285 EGP</t>
  </si>
  <si>
    <t>E45 &amp; P135</t>
  </si>
  <si>
    <t>SM491</t>
  </si>
  <si>
    <t>L1 &amp; G4 &amp; X3 &amp; U14 &amp; O10 &amp; I12 &amp; P136</t>
  </si>
  <si>
    <t>SM421</t>
  </si>
  <si>
    <t>S1 &amp; W2 &amp; X12 &amp; U21 &amp; O18 &amp; I16 &amp; P109</t>
  </si>
  <si>
    <t>S2 &amp; W1 &amp; T9 &amp; X23 &amp; U5 &amp; O3 &amp; I2 &amp; P135</t>
  </si>
  <si>
    <t>S14 &amp; W28 &amp; T15 &amp; X25 &amp; O2 &amp; I1 &amp; P95</t>
  </si>
  <si>
    <t>SM-491</t>
  </si>
  <si>
    <t>7,619 EGP</t>
  </si>
  <si>
    <t>G3 &amp; S17 &amp; W20 &amp; T22 &amp; X46 &amp; U1 &amp; O1</t>
  </si>
  <si>
    <t>Y1 &amp; G2 &amp; S16 &amp; W11 &amp; T5 &amp; X4 &amp; P85</t>
  </si>
  <si>
    <t>Y2 &amp; G22 &amp; S19 &amp; W25 &amp; T2 &amp; X11 &amp; P90</t>
  </si>
  <si>
    <r>
      <rPr>
        <b/>
        <i/>
        <sz val="14"/>
        <color rgb="FFBC0000"/>
        <rFont val="Calibri"/>
      </rPr>
      <t>11</t>
    </r>
    <r>
      <rPr>
        <b/>
        <i/>
        <sz val="10"/>
        <color rgb="FFBC0000"/>
        <rFont val="Calibri"/>
      </rPr>
      <t xml:space="preserve"> FOR SAME CLASS</t>
    </r>
  </si>
  <si>
    <t>5,109 EGP</t>
  </si>
  <si>
    <r>
      <rPr>
        <i/>
        <sz val="14"/>
        <rFont val="Calibri"/>
      </rPr>
      <t>11</t>
    </r>
    <r>
      <rPr>
        <i/>
        <sz val="10"/>
        <rFont val="Calibri"/>
      </rPr>
      <t xml:space="preserve"> FOR SAME CLASS</t>
    </r>
  </si>
  <si>
    <t>5,865 EGP</t>
  </si>
  <si>
    <t>6,172 EGP</t>
  </si>
  <si>
    <t>8,310 EGP</t>
  </si>
  <si>
    <t>Y1 &amp; S11 &amp; W19 &amp; T23 &amp; X12 &amp; U20 &amp; P45</t>
  </si>
  <si>
    <t>W8 &amp; T31 &amp; X17 &amp; U22 &amp; O3 &amp; I2 &amp; E37 &amp; P45</t>
  </si>
  <si>
    <t>S6</t>
  </si>
  <si>
    <t>O30</t>
  </si>
  <si>
    <t>P47</t>
  </si>
  <si>
    <t>S36</t>
  </si>
  <si>
    <t>U41</t>
  </si>
  <si>
    <t>E45</t>
  </si>
  <si>
    <t>U14</t>
  </si>
  <si>
    <t>I12</t>
  </si>
  <si>
    <t>P136</t>
  </si>
  <si>
    <t>I16</t>
  </si>
  <si>
    <t>P109</t>
  </si>
  <si>
    <t>T15</t>
  </si>
  <si>
    <t>X25</t>
  </si>
  <si>
    <t>O2</t>
  </si>
  <si>
    <t>I1</t>
  </si>
  <si>
    <t>S17</t>
  </si>
  <si>
    <t>T22</t>
  </si>
  <si>
    <t>X46</t>
  </si>
  <si>
    <t>U1</t>
  </si>
  <si>
    <t>O1</t>
  </si>
  <si>
    <t>S16</t>
  </si>
  <si>
    <t>P85</t>
  </si>
  <si>
    <t>Y2</t>
  </si>
  <si>
    <t>G22</t>
  </si>
  <si>
    <t>S19</t>
  </si>
  <si>
    <t>W25</t>
  </si>
  <si>
    <t>T2</t>
  </si>
  <si>
    <t>W8</t>
  </si>
  <si>
    <t>T31</t>
  </si>
  <si>
    <t>E37</t>
  </si>
  <si>
    <t>W19</t>
  </si>
  <si>
    <t>T23</t>
  </si>
  <si>
    <t>U20</t>
  </si>
  <si>
    <t>LXR-JED</t>
  </si>
  <si>
    <t>SM429</t>
  </si>
  <si>
    <t>P180</t>
  </si>
  <si>
    <t>SM483</t>
  </si>
  <si>
    <t>NIL</t>
  </si>
  <si>
    <t>SM981</t>
  </si>
  <si>
    <t>NP-551</t>
  </si>
  <si>
    <t>10,628 EGP</t>
  </si>
  <si>
    <t>NE-675</t>
  </si>
  <si>
    <t>11,064 EGP</t>
  </si>
  <si>
    <t>23,242 EGP</t>
  </si>
  <si>
    <t>ASW-JED</t>
  </si>
  <si>
    <t>SSH-JED</t>
  </si>
  <si>
    <t>SV-326</t>
  </si>
  <si>
    <t>19,951 EGP</t>
  </si>
  <si>
    <t>17,057 EGP</t>
  </si>
  <si>
    <t>HRG-JED</t>
  </si>
  <si>
    <t>CAI-RUH</t>
  </si>
  <si>
    <t>F3-606</t>
  </si>
  <si>
    <t>6,646 EGP</t>
  </si>
  <si>
    <t>F3-608</t>
  </si>
  <si>
    <t>F3-616</t>
  </si>
  <si>
    <t>F3-612</t>
  </si>
  <si>
    <t>7,414 EGP</t>
  </si>
  <si>
    <t>XY-264</t>
  </si>
  <si>
    <t>7,798 EGP</t>
  </si>
  <si>
    <t>XY-268</t>
  </si>
  <si>
    <t>XY-270</t>
  </si>
  <si>
    <t>XY-274</t>
  </si>
  <si>
    <t>XY-272</t>
  </si>
  <si>
    <t>8,695 EGP</t>
  </si>
  <si>
    <t>XY-276</t>
  </si>
  <si>
    <t>XY-266</t>
  </si>
  <si>
    <t>10,487 EGP</t>
  </si>
  <si>
    <t>SM-469</t>
  </si>
  <si>
    <t>8,733 EGP</t>
  </si>
  <si>
    <t>SM469</t>
  </si>
  <si>
    <t>V6 &amp; L8 &amp; G9 &amp; S17 &amp; W29 &amp; T18 &amp; X9 &amp; U8 &amp; O43 &amp; I1</t>
  </si>
  <si>
    <t>E5-410</t>
  </si>
  <si>
    <t>9,008 EGP</t>
  </si>
  <si>
    <t>NE-160</t>
  </si>
  <si>
    <t>9,348 EGP</t>
  </si>
  <si>
    <t>SV-310</t>
  </si>
  <si>
    <t>13,650 EGP</t>
  </si>
  <si>
    <t>SV-418</t>
  </si>
  <si>
    <t>SV-6632</t>
  </si>
  <si>
    <t>17,492 EGP</t>
  </si>
  <si>
    <t>SV-6693</t>
  </si>
  <si>
    <t>SV-6905</t>
  </si>
  <si>
    <t>SV-312</t>
  </si>
  <si>
    <t>20,425 EGP</t>
  </si>
  <si>
    <t>SV-320</t>
  </si>
  <si>
    <t>SV-324</t>
  </si>
  <si>
    <t>MS-649</t>
  </si>
  <si>
    <t>18,529 EGP</t>
  </si>
  <si>
    <t>MS-651</t>
  </si>
  <si>
    <t>MS-647</t>
  </si>
  <si>
    <t>18,581 EGP</t>
  </si>
  <si>
    <t>9,335 EGP</t>
  </si>
  <si>
    <t>7,901 EGP</t>
  </si>
  <si>
    <t>V2 &amp; L9 &amp; G35 &amp; S7 &amp; W5 &amp; T4 &amp; X21 &amp; U7 &amp; O30 &amp; I4</t>
  </si>
  <si>
    <t>SM-461</t>
  </si>
  <si>
    <t>SM461</t>
  </si>
  <si>
    <t>L2</t>
  </si>
  <si>
    <t>L6 &amp; G18 &amp; S18 &amp; W39 &amp; X7 &amp; U18 &amp; O8 &amp; I26</t>
  </si>
  <si>
    <t>9,975 EGP</t>
  </si>
  <si>
    <t>12,024 EGP</t>
  </si>
  <si>
    <t>8,746 EGP</t>
  </si>
  <si>
    <t>NP-251</t>
  </si>
  <si>
    <t>9,181 EGP</t>
  </si>
  <si>
    <t>E5-415</t>
  </si>
  <si>
    <t>9,583 EGP</t>
  </si>
  <si>
    <t>19,759 EGP</t>
  </si>
  <si>
    <t>18,299 EGP</t>
  </si>
  <si>
    <r>
      <rPr>
        <b/>
        <i/>
        <sz val="14"/>
        <rFont val="Calibri"/>
      </rPr>
      <t>11</t>
    </r>
    <r>
      <rPr>
        <b/>
        <i/>
        <sz val="10"/>
        <rFont val="Calibri"/>
      </rPr>
      <t xml:space="preserve"> FOR SAME CLASS</t>
    </r>
  </si>
  <si>
    <t>NP-151</t>
  </si>
  <si>
    <t>9,224 EGP</t>
  </si>
  <si>
    <t>10,861 EGP</t>
  </si>
  <si>
    <t>9,540 EGP</t>
  </si>
  <si>
    <t>V8 &amp; L15 &amp; G30 &amp; S18 &amp; W9 &amp; T7 &amp; X12 &amp; U10 &amp; O6 &amp; I3</t>
  </si>
  <si>
    <t>12,921 EGP</t>
  </si>
  <si>
    <t>NE-164</t>
  </si>
  <si>
    <t>22,064 EGP</t>
  </si>
  <si>
    <t>10,052 EGP</t>
  </si>
  <si>
    <t>10,654 EGP</t>
  </si>
  <si>
    <t>20,911 EGP</t>
  </si>
  <si>
    <t>12,408 EGP</t>
  </si>
  <si>
    <t>13,561 EGP</t>
  </si>
  <si>
    <t>15,866 EGP</t>
  </si>
  <si>
    <t>12,370 EGP</t>
  </si>
  <si>
    <t>Q9</t>
  </si>
  <si>
    <t>Q4 &amp; K22 &amp; V7 &amp; L9 &amp; G12 &amp; S15 &amp; W8 &amp; T6 &amp; X4 &amp; U9 &amp; O5 &amp; I6</t>
  </si>
  <si>
    <t>Q2</t>
  </si>
  <si>
    <t>H6 &amp; Q18 &amp; K9 &amp; V7 &amp; L16 &amp; G10 &amp; S3 &amp; W13 &amp; T5 &amp; X5 &amp; U4 &amp; O7 &amp; I7</t>
  </si>
  <si>
    <t>24,945 EGP</t>
  </si>
  <si>
    <t>28,556 EGP</t>
  </si>
  <si>
    <t>13,753 EGP</t>
  </si>
  <si>
    <t>12,088 EGP</t>
  </si>
  <si>
    <t>NP-153</t>
  </si>
  <si>
    <t>NP-351</t>
  </si>
  <si>
    <t>13,535 EGP</t>
  </si>
  <si>
    <t>17,275 EGP</t>
  </si>
  <si>
    <t>18,555 EGP</t>
  </si>
  <si>
    <t>19,708 EGP</t>
  </si>
  <si>
    <t>20,476 EGP</t>
  </si>
  <si>
    <t>21,757 EGP</t>
  </si>
  <si>
    <t>22,909 EGP</t>
  </si>
  <si>
    <t>13,817 EGP</t>
  </si>
  <si>
    <t>15,738 EGP</t>
  </si>
  <si>
    <t>15,098 EGP</t>
  </si>
  <si>
    <t>17,018 EGP</t>
  </si>
  <si>
    <t>27,519 EGP</t>
  </si>
  <si>
    <r>
      <rPr>
        <b/>
        <i/>
        <sz val="14"/>
        <rFont val="Calibri"/>
      </rPr>
      <t>17</t>
    </r>
    <r>
      <rPr>
        <b/>
        <i/>
        <sz val="10"/>
        <rFont val="Calibri"/>
      </rPr>
      <t xml:space="preserve"> FOR SAME CLASS</t>
    </r>
  </si>
  <si>
    <t>16,378 EGP</t>
  </si>
  <si>
    <r>
      <rPr>
        <i/>
        <sz val="14"/>
        <rFont val="Calibri"/>
      </rPr>
      <t>17</t>
    </r>
    <r>
      <rPr>
        <i/>
        <sz val="10"/>
        <rFont val="Calibri"/>
      </rPr>
      <t xml:space="preserve"> FOR SAME CLASS</t>
    </r>
  </si>
  <si>
    <t>16,429 EGP</t>
  </si>
  <si>
    <t>M9</t>
  </si>
  <si>
    <t>M10 &amp; H21 &amp; K12 &amp; V14 &amp; L11 &amp; G12 &amp; S6 &amp; W10 &amp; T3 &amp; X4 &amp; U8 &amp; O9 &amp; I3</t>
  </si>
  <si>
    <r>
      <rPr>
        <b/>
        <i/>
        <sz val="14"/>
        <rFont val="Calibri"/>
      </rPr>
      <t>16</t>
    </r>
    <r>
      <rPr>
        <b/>
        <i/>
        <sz val="10"/>
        <rFont val="Calibri"/>
      </rPr>
      <t xml:space="preserve"> FOR SAME CLASS</t>
    </r>
  </si>
  <si>
    <r>
      <rPr>
        <i/>
        <sz val="14"/>
        <rFont val="Calibri"/>
      </rPr>
      <t>16</t>
    </r>
    <r>
      <rPr>
        <i/>
        <sz val="10"/>
        <rFont val="Calibri"/>
      </rPr>
      <t xml:space="preserve"> FOR SAME CLASS</t>
    </r>
  </si>
  <si>
    <t>NE-162</t>
  </si>
  <si>
    <t>10,756 EGP</t>
  </si>
  <si>
    <t>K10 &amp; V22 &amp; L28 &amp; G7 &amp; S19 &amp; W6 &amp; T7 &amp; X4 &amp; U6 &amp; O7 &amp; I5</t>
  </si>
  <si>
    <t>NP-353</t>
  </si>
  <si>
    <t>15,904 EGP</t>
  </si>
  <si>
    <t>16,199 EGP</t>
  </si>
  <si>
    <t>V6</t>
  </si>
  <si>
    <t>W29</t>
  </si>
  <si>
    <t>O43</t>
  </si>
  <si>
    <t>L6</t>
  </si>
  <si>
    <t>G18</t>
  </si>
  <si>
    <t>W39</t>
  </si>
  <si>
    <t>I26</t>
  </si>
  <si>
    <t>V2</t>
  </si>
  <si>
    <t>L9</t>
  </si>
  <si>
    <t>G35</t>
  </si>
  <si>
    <t>S7</t>
  </si>
  <si>
    <t>W5</t>
  </si>
  <si>
    <t>U7</t>
  </si>
  <si>
    <t>G30</t>
  </si>
  <si>
    <t>T7</t>
  </si>
  <si>
    <t>O6</t>
  </si>
  <si>
    <t>Q4</t>
  </si>
  <si>
    <t>K22</t>
  </si>
  <si>
    <t>G12</t>
  </si>
  <si>
    <t>S15</t>
  </si>
  <si>
    <t>H6</t>
  </si>
  <si>
    <t>Q18</t>
  </si>
  <si>
    <t>L16</t>
  </si>
  <si>
    <t>W13</t>
  </si>
  <si>
    <t>O7</t>
  </si>
  <si>
    <t>I7</t>
  </si>
  <si>
    <t>M10</t>
  </si>
  <si>
    <t>H21</t>
  </si>
  <si>
    <t>K12</t>
  </si>
  <si>
    <t>K10</t>
  </si>
  <si>
    <t>L28</t>
  </si>
  <si>
    <t>ATZ-RUH</t>
  </si>
  <si>
    <t>SM-463</t>
  </si>
  <si>
    <t>SM463</t>
  </si>
  <si>
    <t>Q2 &amp; K19 &amp; V20 &amp; L16 &amp; G10 &amp; S19 &amp; W13 &amp; T4 &amp; X7 &amp; U11 &amp; O5</t>
  </si>
  <si>
    <t>XY-284</t>
  </si>
  <si>
    <t>Cabin: 7 KG</t>
  </si>
  <si>
    <t>12,011 EGP</t>
  </si>
  <si>
    <t>13,074 EGP</t>
  </si>
  <si>
    <t>MS-8245</t>
  </si>
  <si>
    <t>20,220 EGP</t>
  </si>
  <si>
    <t>Indirect competition route CAI – RUH - diversion ratio &amp; passenger leakage</t>
  </si>
  <si>
    <t>13:50</t>
  </si>
  <si>
    <t>15:05</t>
  </si>
  <si>
    <t>22:40</t>
  </si>
  <si>
    <t>15:10</t>
  </si>
  <si>
    <t>13:25</t>
  </si>
  <si>
    <t>12:10</t>
  </si>
  <si>
    <t>19:40</t>
  </si>
  <si>
    <t>SM-465</t>
  </si>
  <si>
    <t>13,996 EGP</t>
  </si>
  <si>
    <t>SM465</t>
  </si>
  <si>
    <t>H9</t>
  </si>
  <si>
    <t>Y1 &amp; H5 &amp; V2 &amp; L11 &amp; G14 &amp; S26 &amp; W16 &amp; T17 &amp; X18 &amp; U32 &amp; O3</t>
  </si>
  <si>
    <t>MS-8239</t>
  </si>
  <si>
    <t>22,013 EGP</t>
  </si>
  <si>
    <t>17:25</t>
  </si>
  <si>
    <t>04:05</t>
  </si>
  <si>
    <t>16:10</t>
  </si>
  <si>
    <t>09:55</t>
  </si>
  <si>
    <t>11 FOR SAME CLASS</t>
  </si>
  <si>
    <t>13,445 EGP</t>
  </si>
  <si>
    <t>14,572 EGP</t>
  </si>
  <si>
    <t>15,635 EGP</t>
  </si>
  <si>
    <t>02:05</t>
  </si>
  <si>
    <t>00:35</t>
  </si>
  <si>
    <t>12:55</t>
  </si>
  <si>
    <t>16:25</t>
  </si>
  <si>
    <t>Q5</t>
  </si>
  <si>
    <t>H1 &amp; Q22 &amp; K19 &amp; V7 &amp; L1 &amp; S1 &amp; W12 &amp; T16 &amp; X12 &amp; U13 &amp; O6 &amp; I1</t>
  </si>
  <si>
    <t>16 FOR SAME CLASS</t>
  </si>
  <si>
    <t>10:15</t>
  </si>
  <si>
    <t>K19</t>
  </si>
  <si>
    <t>H5</t>
  </si>
  <si>
    <t>G14</t>
  </si>
  <si>
    <t>S26</t>
  </si>
  <si>
    <t>U32</t>
  </si>
  <si>
    <t>H1</t>
  </si>
  <si>
    <t>Q22</t>
  </si>
  <si>
    <t>T16</t>
  </si>
  <si>
    <t>U13</t>
  </si>
  <si>
    <t>CAI-RUH AS ALTERNATIVE ROUTE</t>
  </si>
  <si>
    <t>CAI-DMM</t>
  </si>
  <si>
    <t>SM-433</t>
  </si>
  <si>
    <t>12,267 EGP</t>
  </si>
  <si>
    <t>SM433</t>
  </si>
  <si>
    <t>Q4 &amp; K20 &amp; V20 &amp; L30 &amp; G21 &amp; S7 &amp; T1 &amp; X1 &amp; U7 &amp; O19 &amp; I4</t>
  </si>
  <si>
    <t>F3-912</t>
  </si>
  <si>
    <t>NE-154</t>
  </si>
  <si>
    <t>13,087 EGP</t>
  </si>
  <si>
    <t>NP-131</t>
  </si>
  <si>
    <t>13,791 EGP</t>
  </si>
  <si>
    <t>XY-895</t>
  </si>
  <si>
    <t>16,506 EGP</t>
  </si>
  <si>
    <t>XY-855</t>
  </si>
  <si>
    <t>16,993 EGP</t>
  </si>
  <si>
    <t>MS-681</t>
  </si>
  <si>
    <t>22,576 EGP</t>
  </si>
  <si>
    <t>MS-687</t>
  </si>
  <si>
    <t>MS-683</t>
  </si>
  <si>
    <t>22,627 EGP</t>
  </si>
  <si>
    <t>SV-6447</t>
  </si>
  <si>
    <t>28,416 EGP</t>
  </si>
  <si>
    <t>25,598 EGP</t>
  </si>
  <si>
    <t>NP-231</t>
  </si>
  <si>
    <t>19,746 EGP</t>
  </si>
  <si>
    <t>25,470 EGP</t>
  </si>
  <si>
    <t>NP-331</t>
  </si>
  <si>
    <t>11,499 EGP</t>
  </si>
  <si>
    <t>NE-150</t>
  </si>
  <si>
    <t>NE-152</t>
  </si>
  <si>
    <t>Q7</t>
  </si>
  <si>
    <t>H6 &amp; Q46 &amp; K18 &amp; V7 &amp; L10 &amp; G8 &amp; S8 &amp; W17 &amp; T9 &amp; X7 &amp; U9 &amp; O7 &amp; I7</t>
  </si>
  <si>
    <t>14,086 EGP</t>
  </si>
  <si>
    <t>M7 &amp; H20 &amp; Q3 &amp; K16 &amp; V7 &amp; L11 &amp; G27 &amp; S13 &amp; W12 &amp; T8 &amp; X5 &amp; U3 &amp; O5 &amp; I4</t>
  </si>
  <si>
    <t>15,930 EGP</t>
  </si>
  <si>
    <t>29,978 EGP</t>
  </si>
  <si>
    <t>NP-233</t>
  </si>
  <si>
    <t>14,969 EGP</t>
  </si>
  <si>
    <t>16,890 EGP</t>
  </si>
  <si>
    <t>16,071 EGP</t>
  </si>
  <si>
    <t>B1 &amp; M24 &amp; H21 &amp; Q9 &amp; V12 &amp; L12 &amp; G8 &amp; S6 &amp; W9 &amp; T10 &amp; X2 &amp; U4 &amp; O7 &amp; I3</t>
  </si>
  <si>
    <t>E5-315</t>
  </si>
  <si>
    <t>16,380 EGP</t>
  </si>
  <si>
    <t>18,018 EGP</t>
  </si>
  <si>
    <t>43,181 EGP</t>
  </si>
  <si>
    <t>NP-133</t>
  </si>
  <si>
    <t>13,049 EGP</t>
  </si>
  <si>
    <t>29,927 EGP</t>
  </si>
  <si>
    <t>K20</t>
  </si>
  <si>
    <t>L30</t>
  </si>
  <si>
    <t>O19</t>
  </si>
  <si>
    <t>Q46</t>
  </si>
  <si>
    <t>K18</t>
  </si>
  <si>
    <t>W17</t>
  </si>
  <si>
    <t>M7</t>
  </si>
  <si>
    <t>H20</t>
  </si>
  <si>
    <t>Q3</t>
  </si>
  <si>
    <t>K16</t>
  </si>
  <si>
    <t>G27</t>
  </si>
  <si>
    <t>B1</t>
  </si>
  <si>
    <t>M24</t>
  </si>
  <si>
    <t>V12</t>
  </si>
  <si>
    <t>X2</t>
  </si>
  <si>
    <t>ATZ-DMM</t>
  </si>
  <si>
    <t>SM-437</t>
  </si>
  <si>
    <t>SM437</t>
  </si>
  <si>
    <t>Y2 &amp; M2 &amp; H4 &amp; Q10 &amp; K15 &amp; V10 &amp; L15 &amp; G30 &amp; S16 &amp; W19 &amp; T20 &amp; X20 &amp; U5 &amp; O4 &amp; I1</t>
  </si>
  <si>
    <t>Indirect competition route CAI – DMM - diversion ratio &amp; passenger leakage</t>
  </si>
  <si>
    <t>10:45</t>
  </si>
  <si>
    <t>09:10</t>
  </si>
  <si>
    <t>23:10</t>
  </si>
  <si>
    <t>18:10</t>
  </si>
  <si>
    <t>23:30</t>
  </si>
  <si>
    <t>M2</t>
  </si>
  <si>
    <t>K15</t>
  </si>
  <si>
    <t>CAI-DMM AS ALTERNATIVE ROUTE</t>
  </si>
  <si>
    <t>CAI-TUU</t>
  </si>
  <si>
    <t>NE-120</t>
  </si>
  <si>
    <t>9,373 EGP</t>
  </si>
  <si>
    <t>E5-599</t>
  </si>
  <si>
    <t>7,489 EGP</t>
  </si>
  <si>
    <t>9,126 EGP</t>
  </si>
  <si>
    <t>SM-325</t>
  </si>
  <si>
    <t>8,131 EGP</t>
  </si>
  <si>
    <t>SM325</t>
  </si>
  <si>
    <t>S1 &amp; X2 &amp; U10 &amp; O28 &amp; I63</t>
  </si>
  <si>
    <t>NP-117</t>
  </si>
  <si>
    <t>8,477 EGP</t>
  </si>
  <si>
    <t>MS-811</t>
  </si>
  <si>
    <t>10,372 EGP</t>
  </si>
  <si>
    <t>7,837 EGP</t>
  </si>
  <si>
    <t>T9 &amp; X14 &amp; U10 &amp; O20 &amp; I40</t>
  </si>
  <si>
    <t>NP-107</t>
  </si>
  <si>
    <t>9,399 EGP</t>
  </si>
  <si>
    <t>10,002 EGP</t>
  </si>
  <si>
    <t>11,639 EGP</t>
  </si>
  <si>
    <t>11,166 EGP</t>
  </si>
  <si>
    <t>8,579 EGP</t>
  </si>
  <si>
    <t>12,511 EGP</t>
  </si>
  <si>
    <t>13,151 EGP</t>
  </si>
  <si>
    <t>H1 &amp; Q1 &amp; K13 &amp; V23 &amp; L18 &amp; G5 &amp; T7 &amp; X12 &amp; U9 &amp; O8 &amp; I18</t>
  </si>
  <si>
    <t>8,087 EGP</t>
  </si>
  <si>
    <t>9,724 EGP</t>
  </si>
  <si>
    <t>NP-307</t>
  </si>
  <si>
    <t>9,117 EGP</t>
  </si>
  <si>
    <t>O28</t>
  </si>
  <si>
    <t>I63</t>
  </si>
  <si>
    <t>X14</t>
  </si>
  <si>
    <t>O20</t>
  </si>
  <si>
    <t>I40</t>
  </si>
  <si>
    <t>Q1</t>
  </si>
  <si>
    <t>V23</t>
  </si>
  <si>
    <t>ATZ-TUU</t>
  </si>
  <si>
    <t>SM-327</t>
  </si>
  <si>
    <t>7,222 EGP</t>
  </si>
  <si>
    <t>SM327</t>
  </si>
  <si>
    <t>O45 &amp; I50</t>
  </si>
  <si>
    <t>Indirect competition route CAI – TUU - diversion ratio &amp; passenger leakage</t>
  </si>
  <si>
    <t>11:55</t>
  </si>
  <si>
    <t>O45</t>
  </si>
  <si>
    <t>I50</t>
  </si>
  <si>
    <t>CAI-TUU AS ALTERNATIVE ROUTE</t>
  </si>
  <si>
    <t>CAI-AJF</t>
  </si>
  <si>
    <t>SM-321</t>
  </si>
  <si>
    <t>9,924 EGP</t>
  </si>
  <si>
    <t>SM321</t>
  </si>
  <si>
    <t>Q1 &amp; K14 &amp; V5 &amp; G54 &amp; S23 &amp; W20 &amp; T9 &amp; X34 &amp; O1 &amp; I9</t>
  </si>
  <si>
    <t>NP-119</t>
  </si>
  <si>
    <t>9,092 EGP</t>
  </si>
  <si>
    <t>K2 &amp; V30 &amp; L21 &amp; G14 &amp; S25 &amp; W3 &amp; T15 &amp; X24 &amp; U8 &amp; O4 &amp; I17</t>
  </si>
  <si>
    <t>NP-109</t>
  </si>
  <si>
    <t>8,246 EGP</t>
  </si>
  <si>
    <t>10,808 EGP</t>
  </si>
  <si>
    <t>H4 &amp; Q21 &amp; K14 &amp; V34 &amp; L13 &amp; G3 &amp; S6 &amp; W16 &amp; T12 &amp; X8 &amp; U9 &amp; O14 &amp; I4</t>
  </si>
  <si>
    <t>G54</t>
  </si>
  <si>
    <t>S23</t>
  </si>
  <si>
    <t>X34</t>
  </si>
  <si>
    <t>L21</t>
  </si>
  <si>
    <t>S25</t>
  </si>
  <si>
    <t>X24</t>
  </si>
  <si>
    <t>I17</t>
  </si>
  <si>
    <t>Q21</t>
  </si>
  <si>
    <t>V34</t>
  </si>
  <si>
    <t>L13</t>
  </si>
  <si>
    <t>O14</t>
  </si>
  <si>
    <t>ATZ-AJF</t>
  </si>
  <si>
    <t>SM-323</t>
  </si>
  <si>
    <t>6,582 EGP</t>
  </si>
  <si>
    <t>SM323</t>
  </si>
  <si>
    <t>X54 &amp; U14 &amp; O19 &amp; I44</t>
  </si>
  <si>
    <t>Indirect competition route CAI – AJF - diversion ratio &amp; passenger leakage</t>
  </si>
  <si>
    <t>07:25</t>
  </si>
  <si>
    <t>X54</t>
  </si>
  <si>
    <t>I44</t>
  </si>
  <si>
    <t>CAI-AJF AS ALTERNATIVE ROUTE</t>
  </si>
  <si>
    <t>CAI-YNB</t>
  </si>
  <si>
    <t>NE-180</t>
  </si>
  <si>
    <t>15,290 EGP</t>
  </si>
  <si>
    <t>NP-103</t>
  </si>
  <si>
    <t>15,315 EGP</t>
  </si>
  <si>
    <t>SM441</t>
  </si>
  <si>
    <t>L8 &amp; G18 &amp; S29 &amp; W3 &amp; T4 &amp; X2 &amp; P115</t>
  </si>
  <si>
    <t>V6 &amp; L25 &amp; G18 &amp; S9 &amp; W7 &amp; T12 &amp; X10 &amp; P92</t>
  </si>
  <si>
    <t>Q1 &amp; V1 &amp; L6 &amp; G18 &amp; S10 &amp; W2 &amp; T4 &amp; X2 &amp; P135</t>
  </si>
  <si>
    <t>Q2 &amp; K10 &amp; V13 &amp; L18 &amp; G18 &amp; S29 &amp; W3 &amp; T4 &amp; X2 &amp; P80</t>
  </si>
  <si>
    <t>SM-441</t>
  </si>
  <si>
    <t>18,350 EGP</t>
  </si>
  <si>
    <t>B5</t>
  </si>
  <si>
    <t>B11 &amp; M1 &amp; H11 &amp; Q16 &amp; K16 &amp; V18 &amp; L17 &amp; G18 &amp; S9 &amp; W3 &amp; T4 &amp; X1 &amp; P44</t>
  </si>
  <si>
    <t>V9 &amp; L12 &amp; G20 &amp; S24 &amp; W19 &amp; T4 &amp; X2 &amp; P90</t>
  </si>
  <si>
    <t>S29</t>
  </si>
  <si>
    <t>P92</t>
  </si>
  <si>
    <t>V13</t>
  </si>
  <si>
    <t>P80</t>
  </si>
  <si>
    <t>B11</t>
  </si>
  <si>
    <t>H11</t>
  </si>
  <si>
    <t>Q16</t>
  </si>
  <si>
    <t>V18</t>
  </si>
  <si>
    <t>P44</t>
  </si>
  <si>
    <t>G20</t>
  </si>
  <si>
    <t>S24</t>
  </si>
  <si>
    <t>CAI-AHB</t>
  </si>
  <si>
    <t>E5-511</t>
  </si>
  <si>
    <t>15,377 EGP</t>
  </si>
  <si>
    <t>17,014 EGP</t>
  </si>
  <si>
    <t>NP-143</t>
  </si>
  <si>
    <t>16,596 EGP</t>
  </si>
  <si>
    <t>SM447</t>
  </si>
  <si>
    <t>B5 &amp; M15 &amp; H14 &amp; Q20 &amp; K27 &amp; V27 &amp; L9 &amp; G9 &amp; S8 &amp; W8 &amp; T10 &amp; X15 &amp; U3 &amp; O3 &amp; I6</t>
  </si>
  <si>
    <t>SM443</t>
  </si>
  <si>
    <t>Y25 &amp; B15 &amp; M14 &amp; H25 &amp; Q12 &amp; K9 &amp; V8 &amp; L9 &amp; G9 &amp; S8 &amp; W13 &amp; T9 &amp; X8 &amp; U6 &amp; O6 &amp; I3</t>
  </si>
  <si>
    <t>16,226 EGP</t>
  </si>
  <si>
    <t>17,863 EGP</t>
  </si>
  <si>
    <t>NP-243</t>
  </si>
  <si>
    <t>LAST SEATS</t>
  </si>
  <si>
    <t>Y72 &amp; B5 &amp; M9 &amp; H7 &amp; Q21 &amp; L9 &amp; G3 &amp; S10 &amp; W8 &amp; T9 &amp; X7 &amp; U5 &amp; O7 &amp; I6</t>
  </si>
  <si>
    <t>13,855 EGP</t>
  </si>
  <si>
    <t>M15</t>
  </si>
  <si>
    <t>H14</t>
  </si>
  <si>
    <t>Q20</t>
  </si>
  <si>
    <t>K27</t>
  </si>
  <si>
    <t>V27</t>
  </si>
  <si>
    <t>X15</t>
  </si>
  <si>
    <t>Y25</t>
  </si>
  <si>
    <t>B15</t>
  </si>
  <si>
    <t>M14</t>
  </si>
  <si>
    <t>H25</t>
  </si>
  <si>
    <t>Q12</t>
  </si>
  <si>
    <t>Y72</t>
  </si>
  <si>
    <t>H7</t>
  </si>
  <si>
    <t>ATZ-AHB</t>
  </si>
  <si>
    <t>SM445</t>
  </si>
  <si>
    <t>L9 &amp; G20 &amp; S20 &amp; W20 &amp; T38 &amp; X18 &amp; U27 &amp; O27</t>
  </si>
  <si>
    <t>Indirect competition route CAI – AHB - diversion ratio &amp; passenger leakage</t>
  </si>
  <si>
    <t>S20</t>
  </si>
  <si>
    <t>T38</t>
  </si>
  <si>
    <t>U27</t>
  </si>
  <si>
    <t>O27</t>
  </si>
  <si>
    <t>CAI-AHB AS ALTERNATIVE ROUTE</t>
  </si>
  <si>
    <t>CAI-ELQ</t>
  </si>
  <si>
    <t>NP-105</t>
  </si>
  <si>
    <t>8,720 EGP</t>
  </si>
  <si>
    <t>NE-140</t>
  </si>
  <si>
    <t>8,771 EGP</t>
  </si>
  <si>
    <t>9,271 EGP</t>
  </si>
  <si>
    <t>9,693 EGP</t>
  </si>
  <si>
    <t>E5-591</t>
  </si>
  <si>
    <t>10,696 EGP</t>
  </si>
  <si>
    <t>12,333 EGP</t>
  </si>
  <si>
    <t>MS-633</t>
  </si>
  <si>
    <t>14,252 EGP</t>
  </si>
  <si>
    <t>10,321 EGP</t>
  </si>
  <si>
    <t>11,038 EGP</t>
  </si>
  <si>
    <t>SM-427</t>
  </si>
  <si>
    <t>11,077 EGP</t>
  </si>
  <si>
    <t>SM427</t>
  </si>
  <si>
    <t>Q7 &amp; K10 &amp; V10 &amp; L9 &amp; G17 &amp; S10 &amp; W10 &amp; T21 &amp; X16 &amp; U3 &amp; O6 &amp; I8</t>
  </si>
  <si>
    <t>15,725 EGP</t>
  </si>
  <si>
    <t>12,203 EGP</t>
  </si>
  <si>
    <t>12,242 EGP</t>
  </si>
  <si>
    <t>12,293 EGP</t>
  </si>
  <si>
    <t>H8</t>
  </si>
  <si>
    <t>M16 &amp; H41 &amp; K9 &amp; V7 &amp; L9 &amp; G10 &amp; S8 &amp; W5 &amp; T6 &amp; X7 &amp; U9 &amp; O11</t>
  </si>
  <si>
    <t>NP-115</t>
  </si>
  <si>
    <t>19,208 EGP</t>
  </si>
  <si>
    <t>H1 &amp; K2 &amp; V64 &amp; L9 &amp; G10 &amp; S15 &amp; W11 &amp; T10 &amp; X12 &amp; U5 &amp; O8 &amp; I4 &amp; N2</t>
  </si>
  <si>
    <t>9,207 EGP</t>
  </si>
  <si>
    <t>G17</t>
  </si>
  <si>
    <t>T21</t>
  </si>
  <si>
    <t>X16</t>
  </si>
  <si>
    <t>M16</t>
  </si>
  <si>
    <t>H41</t>
  </si>
  <si>
    <t>V64</t>
  </si>
  <si>
    <t>ATZ-ELQ</t>
  </si>
  <si>
    <t>SM-435</t>
  </si>
  <si>
    <t>10,359 EGP</t>
  </si>
  <si>
    <t>SM435</t>
  </si>
  <si>
    <t>V17 &amp; L12 &amp; G13 &amp; S15 &amp; W5 &amp; X7 &amp; U15 &amp; O14 &amp; I19</t>
  </si>
  <si>
    <t>Indirect competition route CAI – ELQ - diversion ratio &amp; passenger leakage</t>
  </si>
  <si>
    <t>V5 &amp; L12 &amp; G15 &amp; S16 &amp; W15 &amp; T11 &amp; X7 &amp; U9 &amp; O5</t>
  </si>
  <si>
    <t>20:10</t>
  </si>
  <si>
    <t>20:50</t>
  </si>
  <si>
    <t>V17</t>
  </si>
  <si>
    <t>G13</t>
  </si>
  <si>
    <t>U15</t>
  </si>
  <si>
    <t>I19</t>
  </si>
  <si>
    <t>W15</t>
  </si>
  <si>
    <t>CAI-ELQ AS ALTERNATIVE ROUTE</t>
  </si>
  <si>
    <t>CAI-GIZ</t>
  </si>
  <si>
    <t>NP-141</t>
  </si>
  <si>
    <t>14,944 EGP</t>
  </si>
  <si>
    <t>E5-585</t>
  </si>
  <si>
    <t>13,453 EGP</t>
  </si>
  <si>
    <t>15,090 EGP</t>
  </si>
  <si>
    <t>SM-329</t>
  </si>
  <si>
    <t>13,574 EGP</t>
  </si>
  <si>
    <t>SM329</t>
  </si>
  <si>
    <t>Q8</t>
  </si>
  <si>
    <t>H1 &amp; Q12 &amp; K40 &amp; V20 &amp; L8 &amp; G7 &amp; S9 &amp; W9 &amp; T10 &amp; X6 &amp; U8 &amp; O9 &amp; I4</t>
  </si>
  <si>
    <t>13,979 EGP</t>
  </si>
  <si>
    <t>15,616 EGP</t>
  </si>
  <si>
    <t>17,198 EGP</t>
  </si>
  <si>
    <t>M6 &amp; H20 &amp; Q16 &amp; K8 &amp; V5 &amp; L9 &amp; G7 &amp; S9 &amp; W7 &amp; T10 &amp; X9 &amp; U9 &amp; O9 &amp; I2</t>
  </si>
  <si>
    <t>K40</t>
  </si>
  <si>
    <t>X6</t>
  </si>
  <si>
    <t>M6</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</si>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</sst>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mmm"/>
    <numFmt numFmtId="172" formatCode="[$-409]dddd"/>
    <numFmt numFmtId="173" formatCode="dd\-mmm\-yy"/>
    <numFmt numFmtId="174" formatCode="hh:mm"/>
  </numFmts>
  <fonts count="34" x14ac:knownFonts="1">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3"/>
      <color rgb="FF006100"/>
      <name val="Calibri"/>
    </font>
    <font>
      <b/>
      <i/>
      <sz val="12"/>
      <name val="Calibri"/>
    </font>
    <font>
      <b/>
      <i/>
      <sz val="18"/>
      <color rgb="FFFF0000"/>
      <name val="Calibri"/>
    </font>
    <font>
      <sz val="12"/>
      <color theme="1"/>
      <name val="Calibri"/>
    </font>
    <font>
      <b/>
      <i/>
      <sz val="20"/>
      <color theme="1"/>
      <name val="Calibri"/>
    </font>
    <font>
      <b/>
      <sz val="11"/>
      <color rgb="FFFFFFFF"/>
      <name val="Calibri"/>
    </font>
    <font>
      <b/>
      <sz val="11"/>
      <name val="Calibri"/>
    </font>
    <font>
      <b/>
      <i/>
      <sz val="14"/>
      <color rgb="FF8B0000"/>
      <name val="Calibri"/>
    </font>
    <font>
      <b/>
      <sz val="11"/>
      <name val="Calibri"/>
    </font>
    <font>
      <b/>
      <i/>
      <sz val="12"/>
      <color rgb="FFFF0000"/>
      <name val="Calibri"/>
    </font>
    <font>
      <b/>
      <i/>
      <sz val="13"/>
      <color rgb="FF9C0006"/>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F2CA93"/>
      </patternFill>
    </fill>
    <fill>
      <patternFill patternType="solid">
        <fgColor rgb="FF808080"/>
      </patternFill>
    </fill>
    <fill>
      <patternFill patternType="solid">
        <fgColor rgb="FFD8E4B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
      <patternFill patternType="solid">
        <fgColor rgb="FFFFFFCC"/>
      </patternFill>
    </fill>
    <fill>
      <patternFill patternType="solid">
        <fgColor rgb="FFC5D9F1"/>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292">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7"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6" xfId="0" applyNumberFormat="1" applyFont="1" applyBorder="1" applyAlignment="1">
      <alignment horizontal="center" vertical="center"/>
    </xf>
    <xf numFmtId="170" fontId="15" fillId="0" borderId="16"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7" xfId="0" applyNumberFormat="1" applyFont="1" applyBorder="1" applyAlignment="1">
      <alignment horizontal="center" vertical="center"/>
    </xf>
    <xf numFmtId="170" fontId="18" fillId="0" borderId="17"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70" fontId="15" fillId="8" borderId="3" xfId="0" applyNumberFormat="1" applyFont="1" applyFill="1" applyBorder="1" applyAlignment="1">
      <alignment horizontal="center" vertical="center"/>
    </xf>
    <xf numFmtId="49" fontId="9" fillId="8" borderId="10" xfId="0" applyNumberFormat="1" applyFont="1" applyFill="1" applyBorder="1" applyAlignment="1">
      <alignment horizontal="center" vertical="center"/>
    </xf>
    <xf numFmtId="168" fontId="19"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71"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70"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20" fillId="9" borderId="3" xfId="0" applyNumberFormat="1" applyFont="1" applyFill="1" applyBorder="1" applyAlignment="1">
      <alignment horizontal="center" vertical="center"/>
    </xf>
    <xf numFmtId="170" fontId="20" fillId="9" borderId="3" xfId="0" applyNumberFormat="1" applyFont="1" applyFill="1" applyBorder="1" applyAlignment="1">
      <alignment horizontal="center" vertical="center"/>
    </xf>
    <xf numFmtId="0" fontId="20" fillId="9" borderId="3" xfId="0" applyFont="1" applyFill="1" applyBorder="1" applyAlignment="1">
      <alignment horizontal="center" vertical="center"/>
    </xf>
    <xf numFmtId="49" fontId="9" fillId="9" borderId="10" xfId="0" applyNumberFormat="1" applyFont="1" applyFill="1" applyBorder="1" applyAlignment="1">
      <alignment horizontal="center" vertical="center"/>
    </xf>
    <xf numFmtId="168" fontId="19" fillId="9" borderId="11" xfId="0" applyNumberFormat="1" applyFont="1" applyFill="1" applyBorder="1" applyAlignment="1">
      <alignment horizontal="center" vertical="center"/>
    </xf>
    <xf numFmtId="1" fontId="9" fillId="9" borderId="11" xfId="0" applyNumberFormat="1" applyFont="1" applyFill="1" applyBorder="1" applyAlignment="1">
      <alignment horizontal="center" vertical="center"/>
    </xf>
    <xf numFmtId="171" fontId="9" fillId="9" borderId="11" xfId="0" applyNumberFormat="1" applyFont="1" applyFill="1" applyBorder="1" applyAlignment="1">
      <alignment horizontal="center" vertical="center"/>
    </xf>
    <xf numFmtId="49" fontId="8" fillId="9" borderId="11" xfId="0" applyNumberFormat="1" applyFont="1" applyFill="1" applyBorder="1" applyAlignment="1">
      <alignment horizontal="center" vertical="center"/>
    </xf>
    <xf numFmtId="170" fontId="9" fillId="9" borderId="11" xfId="0" applyNumberFormat="1" applyFont="1" applyFill="1" applyBorder="1" applyAlignment="1">
      <alignment horizontal="center" vertical="center"/>
    </xf>
    <xf numFmtId="49" fontId="9" fillId="9" borderId="12" xfId="0" applyNumberFormat="1" applyFont="1" applyFill="1" applyBorder="1" applyAlignment="1">
      <alignment horizontal="center" vertical="center"/>
    </xf>
    <xf numFmtId="49" fontId="15" fillId="0" borderId="17" xfId="0" applyNumberFormat="1" applyFont="1" applyBorder="1" applyAlignment="1">
      <alignment horizontal="center" vertical="center"/>
    </xf>
    <xf numFmtId="170" fontId="15" fillId="0" borderId="17" xfId="0" applyNumberFormat="1" applyFont="1" applyBorder="1" applyAlignment="1">
      <alignment horizontal="center" vertical="center"/>
    </xf>
    <xf numFmtId="49" fontId="20" fillId="0" borderId="17" xfId="0" applyNumberFormat="1" applyFont="1" applyBorder="1" applyAlignment="1">
      <alignment horizontal="center" vertical="center"/>
    </xf>
    <xf numFmtId="170" fontId="20" fillId="0" borderId="17" xfId="0" applyNumberFormat="1" applyFont="1" applyBorder="1" applyAlignment="1">
      <alignment horizontal="center" vertical="center"/>
    </xf>
    <xf numFmtId="49" fontId="20" fillId="0" borderId="18" xfId="0" applyNumberFormat="1" applyFont="1" applyBorder="1" applyAlignment="1">
      <alignment horizontal="center" vertical="center"/>
    </xf>
    <xf numFmtId="170" fontId="20" fillId="0" borderId="18" xfId="0" applyNumberFormat="1"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6" fillId="6" borderId="3" xfId="0" applyNumberFormat="1" applyFont="1" applyFill="1" applyBorder="1" applyAlignment="1">
      <alignment horizontal="center" vertical="center"/>
    </xf>
    <xf numFmtId="170"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71" fontId="6" fillId="6" borderId="3" xfId="0" applyNumberFormat="1" applyFont="1" applyFill="1" applyBorder="1" applyAlignment="1">
      <alignment horizontal="center" vertical="center"/>
    </xf>
    <xf numFmtId="49" fontId="18" fillId="0" borderId="18" xfId="0" applyNumberFormat="1" applyFont="1" applyBorder="1" applyAlignment="1">
      <alignment horizontal="center" vertical="center"/>
    </xf>
    <xf numFmtId="170" fontId="18" fillId="0" borderId="18" xfId="0" applyNumberFormat="1" applyFont="1" applyBorder="1" applyAlignment="1">
      <alignment horizontal="center" vertical="center"/>
    </xf>
    <xf numFmtId="49" fontId="15" fillId="9" borderId="18" xfId="0" applyNumberFormat="1" applyFont="1" applyFill="1" applyBorder="1" applyAlignment="1">
      <alignment horizontal="center" vertical="center"/>
    </xf>
    <xf numFmtId="170" fontId="15" fillId="9" borderId="18" xfId="0" applyNumberFormat="1" applyFont="1" applyFill="1" applyBorder="1" applyAlignment="1">
      <alignment horizontal="center" vertical="center"/>
    </xf>
    <xf numFmtId="0" fontId="15" fillId="9" borderId="18" xfId="0" applyFont="1" applyFill="1" applyBorder="1" applyAlignment="1">
      <alignment horizontal="center" vertical="center"/>
    </xf>
    <xf numFmtId="49" fontId="9" fillId="9" borderId="19" xfId="0" applyNumberFormat="1" applyFont="1" applyFill="1" applyBorder="1" applyAlignment="1">
      <alignment horizontal="center" vertical="center"/>
    </xf>
    <xf numFmtId="168" fontId="19" fillId="9" borderId="20" xfId="0" applyNumberFormat="1" applyFont="1" applyFill="1" applyBorder="1" applyAlignment="1">
      <alignment horizontal="center" vertical="center"/>
    </xf>
    <xf numFmtId="1" fontId="9" fillId="9" borderId="20" xfId="0" applyNumberFormat="1" applyFont="1" applyFill="1" applyBorder="1" applyAlignment="1">
      <alignment horizontal="center" vertical="center"/>
    </xf>
    <xf numFmtId="171" fontId="9" fillId="9" borderId="20" xfId="0" applyNumberFormat="1" applyFont="1" applyFill="1" applyBorder="1" applyAlignment="1">
      <alignment horizontal="center" vertical="center"/>
    </xf>
    <xf numFmtId="49" fontId="8" fillId="9" borderId="20" xfId="0" applyNumberFormat="1" applyFont="1" applyFill="1" applyBorder="1" applyAlignment="1">
      <alignment horizontal="center" vertical="center"/>
    </xf>
    <xf numFmtId="170" fontId="9" fillId="9" borderId="20" xfId="0" applyNumberFormat="1" applyFont="1" applyFill="1" applyBorder="1" applyAlignment="1">
      <alignment horizontal="center" vertical="center"/>
    </xf>
    <xf numFmtId="49" fontId="9" fillId="9" borderId="21" xfId="0" applyNumberFormat="1" applyFont="1" applyFill="1" applyBorder="1" applyAlignment="1">
      <alignment horizontal="center" vertical="center"/>
    </xf>
    <xf numFmtId="49" fontId="15" fillId="11" borderId="18" xfId="0" applyNumberFormat="1" applyFont="1" applyFill="1" applyBorder="1" applyAlignment="1">
      <alignment horizontal="center" vertical="center"/>
    </xf>
    <xf numFmtId="170" fontId="15" fillId="11" borderId="18" xfId="0" applyNumberFormat="1" applyFont="1" applyFill="1" applyBorder="1" applyAlignment="1">
      <alignment horizontal="center" vertical="center"/>
    </xf>
    <xf numFmtId="0" fontId="15" fillId="11" borderId="18" xfId="0" applyFont="1" applyFill="1" applyBorder="1" applyAlignment="1">
      <alignment horizontal="center" vertical="center"/>
    </xf>
    <xf numFmtId="49" fontId="9" fillId="11" borderId="19" xfId="0" applyNumberFormat="1" applyFont="1" applyFill="1" applyBorder="1" applyAlignment="1">
      <alignment horizontal="center" vertical="center"/>
    </xf>
    <xf numFmtId="168" fontId="19" fillId="11" borderId="20" xfId="0" applyNumberFormat="1" applyFont="1" applyFill="1" applyBorder="1" applyAlignment="1">
      <alignment horizontal="center" vertical="center"/>
    </xf>
    <xf numFmtId="1" fontId="9" fillId="11" borderId="20" xfId="0" applyNumberFormat="1" applyFont="1" applyFill="1" applyBorder="1" applyAlignment="1">
      <alignment horizontal="center" vertical="center"/>
    </xf>
    <xf numFmtId="171" fontId="9" fillId="11" borderId="20" xfId="0" applyNumberFormat="1" applyFont="1" applyFill="1" applyBorder="1" applyAlignment="1">
      <alignment horizontal="center" vertical="center"/>
    </xf>
    <xf numFmtId="49" fontId="8" fillId="11" borderId="20" xfId="0" applyNumberFormat="1" applyFont="1" applyFill="1" applyBorder="1" applyAlignment="1">
      <alignment horizontal="center" vertical="center"/>
    </xf>
    <xf numFmtId="170" fontId="9" fillId="11" borderId="20" xfId="0" applyNumberFormat="1" applyFont="1" applyFill="1" applyBorder="1" applyAlignment="1">
      <alignment horizontal="center" vertical="center"/>
    </xf>
    <xf numFmtId="49" fontId="9" fillId="11" borderId="21"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70" fontId="15" fillId="9" borderId="3" xfId="0" applyNumberFormat="1" applyFont="1" applyFill="1" applyBorder="1" applyAlignment="1">
      <alignment horizontal="center" vertical="center"/>
    </xf>
    <xf numFmtId="0" fontId="24" fillId="12" borderId="25" xfId="0" applyFont="1" applyFill="1" applyBorder="1" applyAlignment="1">
      <alignment horizontal="center" vertical="center"/>
    </xf>
    <xf numFmtId="172" fontId="8" fillId="13" borderId="25" xfId="0" applyNumberFormat="1" applyFont="1" applyFill="1" applyBorder="1" applyAlignment="1">
      <alignment horizontal="center" vertical="center"/>
    </xf>
    <xf numFmtId="171" fontId="8" fillId="13" borderId="25" xfId="0" applyNumberFormat="1" applyFont="1" applyFill="1" applyBorder="1" applyAlignment="1">
      <alignment horizontal="center" vertical="center"/>
    </xf>
    <xf numFmtId="49" fontId="8" fillId="13" borderId="25" xfId="0" applyNumberFormat="1" applyFont="1" applyFill="1" applyBorder="1" applyAlignment="1">
      <alignment horizontal="center" vertical="center"/>
    </xf>
    <xf numFmtId="170" fontId="8" fillId="13" borderId="25" xfId="0" applyNumberFormat="1" applyFont="1" applyFill="1" applyBorder="1" applyAlignment="1">
      <alignment horizontal="center" vertical="center"/>
    </xf>
    <xf numFmtId="168" fontId="8" fillId="13" borderId="25" xfId="0" applyNumberFormat="1" applyFont="1" applyFill="1" applyBorder="1" applyAlignment="1">
      <alignment horizontal="center" vertical="center"/>
    </xf>
    <xf numFmtId="1" fontId="8" fillId="13" borderId="25" xfId="0" applyNumberFormat="1" applyFont="1" applyFill="1" applyBorder="1" applyAlignment="1">
      <alignment horizontal="center" vertical="center"/>
    </xf>
    <xf numFmtId="0" fontId="8" fillId="13" borderId="25" xfId="0" applyFont="1" applyFill="1" applyBorder="1" applyAlignment="1">
      <alignment horizontal="center" vertical="center"/>
    </xf>
    <xf numFmtId="172" fontId="8" fillId="14" borderId="25" xfId="0" applyNumberFormat="1" applyFont="1" applyFill="1" applyBorder="1" applyAlignment="1">
      <alignment horizontal="center" vertical="center"/>
    </xf>
    <xf numFmtId="171" fontId="8" fillId="14" borderId="25" xfId="0" applyNumberFormat="1" applyFont="1" applyFill="1" applyBorder="1" applyAlignment="1">
      <alignment horizontal="center" vertical="center"/>
    </xf>
    <xf numFmtId="49" fontId="8" fillId="14" borderId="25" xfId="0" applyNumberFormat="1" applyFont="1" applyFill="1" applyBorder="1" applyAlignment="1">
      <alignment horizontal="center" vertical="center"/>
    </xf>
    <xf numFmtId="170" fontId="8" fillId="14" borderId="25" xfId="0" applyNumberFormat="1" applyFont="1" applyFill="1" applyBorder="1" applyAlignment="1">
      <alignment horizontal="center" vertical="center"/>
    </xf>
    <xf numFmtId="168" fontId="8" fillId="14" borderId="25" xfId="0" applyNumberFormat="1" applyFont="1" applyFill="1" applyBorder="1" applyAlignment="1">
      <alignment horizontal="center" vertical="center"/>
    </xf>
    <xf numFmtId="1" fontId="8" fillId="14" borderId="25" xfId="0" applyNumberFormat="1" applyFont="1" applyFill="1" applyBorder="1" applyAlignment="1">
      <alignment horizontal="center" vertical="center"/>
    </xf>
    <xf numFmtId="0" fontId="8" fillId="14" borderId="25" xfId="0" applyFont="1" applyFill="1" applyBorder="1" applyAlignment="1">
      <alignment horizontal="center" vertical="center"/>
    </xf>
    <xf numFmtId="172" fontId="8" fillId="15" borderId="25" xfId="0" applyNumberFormat="1" applyFont="1" applyFill="1" applyBorder="1" applyAlignment="1">
      <alignment horizontal="center" vertical="center"/>
    </xf>
    <xf numFmtId="0" fontId="8" fillId="15" borderId="25" xfId="0" applyFont="1" applyFill="1" applyBorder="1" applyAlignment="1">
      <alignment horizontal="center" vertical="center"/>
    </xf>
    <xf numFmtId="49" fontId="8" fillId="15" borderId="25" xfId="0" applyNumberFormat="1" applyFont="1" applyFill="1" applyBorder="1" applyAlignment="1">
      <alignment horizontal="center" vertical="center"/>
    </xf>
    <xf numFmtId="168" fontId="8" fillId="15" borderId="25" xfId="0" applyNumberFormat="1" applyFont="1" applyFill="1" applyBorder="1" applyAlignment="1">
      <alignment horizontal="center" vertical="center"/>
    </xf>
    <xf numFmtId="1" fontId="8" fillId="15" borderId="25" xfId="0" applyNumberFormat="1" applyFont="1" applyFill="1" applyBorder="1" applyAlignment="1">
      <alignment horizontal="center" vertical="center"/>
    </xf>
    <xf numFmtId="0" fontId="25" fillId="16" borderId="25" xfId="0" applyFont="1" applyFill="1" applyBorder="1" applyAlignment="1">
      <alignment horizontal="center" vertical="center"/>
    </xf>
    <xf numFmtId="173" fontId="10" fillId="0" borderId="26" xfId="0" applyNumberFormat="1" applyFont="1" applyBorder="1" applyAlignment="1">
      <alignment horizontal="center" vertical="center"/>
    </xf>
    <xf numFmtId="0" fontId="10" fillId="0" borderId="25" xfId="0" applyFont="1" applyBorder="1" applyAlignment="1">
      <alignment horizontal="center" vertical="center"/>
    </xf>
    <xf numFmtId="49" fontId="10" fillId="0" borderId="25" xfId="0" applyNumberFormat="1" applyFont="1" applyBorder="1" applyAlignment="1">
      <alignment horizontal="center" vertical="center"/>
    </xf>
    <xf numFmtId="174" fontId="10" fillId="0" borderId="25" xfId="0" applyNumberFormat="1" applyFont="1" applyBorder="1" applyAlignment="1">
      <alignment horizontal="center" vertical="center"/>
    </xf>
    <xf numFmtId="1" fontId="10" fillId="0" borderId="25" xfId="0" applyNumberFormat="1" applyFont="1" applyBorder="1" applyAlignment="1">
      <alignment horizontal="center" vertical="center"/>
    </xf>
    <xf numFmtId="0" fontId="10" fillId="0" borderId="26" xfId="0" applyFont="1" applyBorder="1" applyAlignment="1">
      <alignment horizontal="center" vertical="center"/>
    </xf>
    <xf numFmtId="173" fontId="11" fillId="0" borderId="25" xfId="0" applyNumberFormat="1" applyFont="1" applyBorder="1" applyAlignment="1">
      <alignment horizontal="center" vertical="center"/>
    </xf>
    <xf numFmtId="0" fontId="11" fillId="0" borderId="25" xfId="0" applyFont="1" applyBorder="1" applyAlignment="1">
      <alignment horizontal="center" vertical="center"/>
    </xf>
    <xf numFmtId="49" fontId="11" fillId="0" borderId="25" xfId="0" applyNumberFormat="1" applyFont="1" applyBorder="1" applyAlignment="1">
      <alignment horizontal="center" vertical="center"/>
    </xf>
    <xf numFmtId="174" fontId="11" fillId="0" borderId="25" xfId="0" applyNumberFormat="1" applyFont="1" applyBorder="1" applyAlignment="1">
      <alignment horizontal="center" vertical="center"/>
    </xf>
    <xf numFmtId="1" fontId="11" fillId="0" borderId="25" xfId="0" applyNumberFormat="1" applyFont="1" applyBorder="1" applyAlignment="1">
      <alignment horizontal="center" vertical="center"/>
    </xf>
    <xf numFmtId="173" fontId="10" fillId="17" borderId="25" xfId="0" applyNumberFormat="1" applyFont="1" applyFill="1" applyBorder="1" applyAlignment="1">
      <alignment horizontal="center" vertical="center"/>
    </xf>
    <xf numFmtId="0" fontId="10" fillId="17" borderId="25" xfId="0" applyFont="1" applyFill="1" applyBorder="1" applyAlignment="1">
      <alignment horizontal="center" vertical="center"/>
    </xf>
    <xf numFmtId="49" fontId="26" fillId="17" borderId="25" xfId="0" applyNumberFormat="1" applyFont="1" applyFill="1" applyBorder="1" applyAlignment="1">
      <alignment horizontal="center" vertical="center"/>
    </xf>
    <xf numFmtId="174" fontId="10" fillId="17" borderId="25" xfId="0" applyNumberFormat="1" applyFont="1" applyFill="1" applyBorder="1" applyAlignment="1">
      <alignment horizontal="center" vertical="center"/>
    </xf>
    <xf numFmtId="1" fontId="10" fillId="17" borderId="25" xfId="0" applyNumberFormat="1" applyFont="1" applyFill="1" applyBorder="1" applyAlignment="1">
      <alignment horizontal="center" vertical="center"/>
    </xf>
    <xf numFmtId="173" fontId="8" fillId="17" borderId="25" xfId="0" applyNumberFormat="1" applyFont="1" applyFill="1" applyBorder="1" applyAlignment="1">
      <alignment horizontal="center" vertical="center"/>
    </xf>
    <xf numFmtId="0" fontId="8" fillId="17" borderId="25" xfId="0" applyFont="1" applyFill="1" applyBorder="1" applyAlignment="1">
      <alignment horizontal="center" vertical="center"/>
    </xf>
    <xf numFmtId="49" fontId="6" fillId="17" borderId="25" xfId="0" applyNumberFormat="1" applyFont="1" applyFill="1" applyBorder="1" applyAlignment="1">
      <alignment horizontal="center" vertical="center"/>
    </xf>
    <xf numFmtId="174" fontId="8" fillId="17" borderId="25" xfId="0" applyNumberFormat="1" applyFont="1" applyFill="1" applyBorder="1" applyAlignment="1">
      <alignment horizontal="center" vertical="center"/>
    </xf>
    <xf numFmtId="173" fontId="10" fillId="0" borderId="25" xfId="0" applyNumberFormat="1" applyFont="1" applyBorder="1" applyAlignment="1">
      <alignment horizontal="center" vertical="center"/>
    </xf>
    <xf numFmtId="173"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49" fontId="8" fillId="0" borderId="25" xfId="0" applyNumberFormat="1" applyFont="1" applyBorder="1" applyAlignment="1">
      <alignment horizontal="center" vertical="center"/>
    </xf>
    <xf numFmtId="174" fontId="8" fillId="0" borderId="25" xfId="0" applyNumberFormat="1" applyFont="1" applyBorder="1" applyAlignment="1">
      <alignment horizontal="center" vertical="center"/>
    </xf>
    <xf numFmtId="1" fontId="8" fillId="0" borderId="25" xfId="0" applyNumberFormat="1" applyFont="1" applyBorder="1" applyAlignment="1">
      <alignment horizontal="center" vertical="center"/>
    </xf>
    <xf numFmtId="173" fontId="8" fillId="0" borderId="27" xfId="0" applyNumberFormat="1" applyFont="1" applyBorder="1" applyAlignment="1">
      <alignment horizontal="center" vertical="center"/>
    </xf>
    <xf numFmtId="0" fontId="8" fillId="0" borderId="27" xfId="0" applyFont="1" applyBorder="1" applyAlignment="1">
      <alignment horizontal="center" vertical="center"/>
    </xf>
    <xf numFmtId="49" fontId="8" fillId="0" borderId="27" xfId="0" applyNumberFormat="1" applyFont="1" applyBorder="1" applyAlignment="1">
      <alignment horizontal="center" vertical="center"/>
    </xf>
    <xf numFmtId="174" fontId="8" fillId="0" borderId="27" xfId="0" applyNumberFormat="1" applyFont="1" applyBorder="1" applyAlignment="1">
      <alignment horizontal="center" vertical="center"/>
    </xf>
    <xf numFmtId="1" fontId="8" fillId="0" borderId="27" xfId="0" applyNumberFormat="1" applyFont="1" applyBorder="1" applyAlignment="1">
      <alignment horizontal="center" vertical="center"/>
    </xf>
    <xf numFmtId="173" fontId="11" fillId="0" borderId="27" xfId="0" applyNumberFormat="1" applyFont="1" applyBorder="1" applyAlignment="1">
      <alignment horizontal="center" vertical="center"/>
    </xf>
    <xf numFmtId="0" fontId="11" fillId="0" borderId="27" xfId="0" applyFont="1" applyBorder="1" applyAlignment="1">
      <alignment horizontal="center" vertical="center"/>
    </xf>
    <xf numFmtId="49" fontId="11" fillId="0" borderId="27" xfId="0" applyNumberFormat="1" applyFont="1" applyBorder="1" applyAlignment="1">
      <alignment horizontal="center" vertical="center"/>
    </xf>
    <xf numFmtId="174" fontId="11" fillId="0" borderId="27" xfId="0" applyNumberFormat="1" applyFont="1" applyBorder="1" applyAlignment="1">
      <alignment horizontal="center" vertical="center"/>
    </xf>
    <xf numFmtId="1" fontId="11" fillId="0" borderId="27" xfId="0" applyNumberFormat="1" applyFont="1" applyBorder="1" applyAlignment="1">
      <alignment horizontal="center" vertical="center"/>
    </xf>
    <xf numFmtId="173" fontId="10" fillId="17" borderId="27" xfId="0" applyNumberFormat="1" applyFont="1" applyFill="1" applyBorder="1" applyAlignment="1">
      <alignment horizontal="center" vertical="center"/>
    </xf>
    <xf numFmtId="0" fontId="10" fillId="17" borderId="27" xfId="0" applyFont="1" applyFill="1" applyBorder="1" applyAlignment="1">
      <alignment horizontal="center" vertical="center"/>
    </xf>
    <xf numFmtId="49" fontId="26" fillId="17" borderId="27" xfId="0" applyNumberFormat="1" applyFont="1" applyFill="1" applyBorder="1" applyAlignment="1">
      <alignment horizontal="center" vertical="center"/>
    </xf>
    <xf numFmtId="174" fontId="10" fillId="17" borderId="27" xfId="0" applyNumberFormat="1" applyFont="1" applyFill="1" applyBorder="1" applyAlignment="1">
      <alignment horizontal="center" vertical="center"/>
    </xf>
    <xf numFmtId="0" fontId="27" fillId="18" borderId="25" xfId="0" applyFont="1" applyFill="1" applyBorder="1" applyAlignment="1">
      <alignment horizontal="center" vertical="center"/>
    </xf>
    <xf numFmtId="172" fontId="8" fillId="0" borderId="25" xfId="0" applyNumberFormat="1" applyFont="1" applyBorder="1" applyAlignment="1">
      <alignment horizontal="center" vertical="center"/>
    </xf>
    <xf numFmtId="171" fontId="8" fillId="0" borderId="25" xfId="0" applyNumberFormat="1" applyFont="1" applyBorder="1" applyAlignment="1">
      <alignment horizontal="center" vertical="center"/>
    </xf>
    <xf numFmtId="170" fontId="8" fillId="0" borderId="25" xfId="0" applyNumberFormat="1" applyFont="1" applyBorder="1" applyAlignment="1">
      <alignment horizontal="center" vertical="center"/>
    </xf>
    <xf numFmtId="168" fontId="8" fillId="0" borderId="25" xfId="0" applyNumberFormat="1" applyFont="1" applyBorder="1" applyAlignment="1">
      <alignment horizontal="center" vertical="center"/>
    </xf>
    <xf numFmtId="172" fontId="27" fillId="15" borderId="25" xfId="0" applyNumberFormat="1" applyFont="1" applyFill="1" applyBorder="1" applyAlignment="1">
      <alignment horizontal="center" vertical="center"/>
    </xf>
    <xf numFmtId="0" fontId="27" fillId="15" borderId="25" xfId="0" applyFont="1" applyFill="1" applyBorder="1" applyAlignment="1">
      <alignment horizontal="center" vertical="center"/>
    </xf>
    <xf numFmtId="49" fontId="27" fillId="15" borderId="25" xfId="0" applyNumberFormat="1" applyFont="1" applyFill="1" applyBorder="1" applyAlignment="1">
      <alignment horizontal="center" vertical="center"/>
    </xf>
    <xf numFmtId="168" fontId="27" fillId="15" borderId="25" xfId="0" applyNumberFormat="1" applyFont="1" applyFill="1" applyBorder="1" applyAlignment="1">
      <alignment horizontal="center" vertical="center"/>
    </xf>
    <xf numFmtId="1" fontId="27" fillId="15" borderId="25" xfId="0" applyNumberFormat="1" applyFont="1" applyFill="1" applyBorder="1" applyAlignment="1">
      <alignment horizontal="center" vertical="center"/>
    </xf>
    <xf numFmtId="49" fontId="15" fillId="19" borderId="3" xfId="0" applyNumberFormat="1" applyFont="1" applyFill="1" applyBorder="1" applyAlignment="1">
      <alignment horizontal="center" vertical="center"/>
    </xf>
    <xf numFmtId="170" fontId="15" fillId="19" borderId="3" xfId="0" applyNumberFormat="1" applyFont="1" applyFill="1" applyBorder="1" applyAlignment="1">
      <alignment horizontal="center" vertical="center"/>
    </xf>
    <xf numFmtId="0" fontId="15" fillId="19" borderId="3" xfId="0" applyFont="1" applyFill="1" applyBorder="1" applyAlignment="1">
      <alignment horizontal="center" vertical="center"/>
    </xf>
    <xf numFmtId="49" fontId="9" fillId="19" borderId="10" xfId="0" applyNumberFormat="1" applyFont="1" applyFill="1" applyBorder="1" applyAlignment="1">
      <alignment horizontal="center" vertical="center"/>
    </xf>
    <xf numFmtId="168" fontId="19" fillId="19" borderId="11" xfId="0" applyNumberFormat="1" applyFont="1" applyFill="1" applyBorder="1" applyAlignment="1">
      <alignment horizontal="center" vertical="center"/>
    </xf>
    <xf numFmtId="1" fontId="9" fillId="19" borderId="11" xfId="0" applyNumberFormat="1" applyFont="1" applyFill="1" applyBorder="1" applyAlignment="1">
      <alignment horizontal="center" vertical="center"/>
    </xf>
    <xf numFmtId="171" fontId="9" fillId="19" borderId="11" xfId="0" applyNumberFormat="1" applyFont="1" applyFill="1" applyBorder="1" applyAlignment="1">
      <alignment horizontal="center" vertical="center"/>
    </xf>
    <xf numFmtId="49" fontId="8" fillId="19" borderId="11" xfId="0" applyNumberFormat="1" applyFont="1" applyFill="1" applyBorder="1" applyAlignment="1">
      <alignment horizontal="center" vertical="center"/>
    </xf>
    <xf numFmtId="170" fontId="9" fillId="19" borderId="11" xfId="0" applyNumberFormat="1" applyFont="1" applyFill="1" applyBorder="1" applyAlignment="1">
      <alignment horizontal="center" vertical="center"/>
    </xf>
    <xf numFmtId="49" fontId="9" fillId="19" borderId="12"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20" xfId="0" applyFont="1" applyBorder="1" applyAlignment="1">
      <alignment horizontal="center" vertical="center"/>
    </xf>
    <xf numFmtId="0" fontId="17" fillId="0" borderId="20" xfId="0" applyFont="1" applyBorder="1" applyAlignment="1">
      <alignment horizontal="center" vertical="center"/>
    </xf>
    <xf numFmtId="0" fontId="0" fillId="0" borderId="20" xfId="0" applyBorder="1" applyAlignment="1">
      <alignment horizontal="center" vertical="center"/>
    </xf>
    <xf numFmtId="0" fontId="15" fillId="9" borderId="3" xfId="0" applyFont="1" applyFill="1" applyBorder="1" applyAlignment="1">
      <alignment horizontal="center" vertical="center"/>
    </xf>
    <xf numFmtId="173" fontId="10" fillId="17" borderId="26" xfId="0" applyNumberFormat="1" applyFont="1" applyFill="1" applyBorder="1" applyAlignment="1">
      <alignment horizontal="center" vertical="center"/>
    </xf>
    <xf numFmtId="0" fontId="10" fillId="17" borderId="26" xfId="0" applyFont="1" applyFill="1" applyBorder="1" applyAlignment="1">
      <alignment horizontal="center" vertical="center"/>
    </xf>
    <xf numFmtId="0" fontId="0" fillId="0" borderId="25" xfId="0" applyBorder="1" applyAlignment="1">
      <alignment vertical="center"/>
    </xf>
    <xf numFmtId="0" fontId="28" fillId="0" borderId="25" xfId="0" applyFont="1" applyBorder="1" applyAlignment="1">
      <alignment horizontal="center" vertical="center"/>
    </xf>
    <xf numFmtId="173" fontId="10" fillId="0" borderId="27" xfId="0" applyNumberFormat="1" applyFont="1" applyBorder="1" applyAlignment="1">
      <alignment horizontal="center" vertical="center"/>
    </xf>
    <xf numFmtId="0" fontId="10" fillId="0" borderId="27" xfId="0" applyFont="1" applyBorder="1" applyAlignment="1">
      <alignment horizontal="center" vertical="center"/>
    </xf>
    <xf numFmtId="49" fontId="10" fillId="0" borderId="27" xfId="0" applyNumberFormat="1" applyFont="1" applyBorder="1" applyAlignment="1">
      <alignment horizontal="center" vertical="center"/>
    </xf>
    <xf numFmtId="174" fontId="10" fillId="0" borderId="27" xfId="0" applyNumberFormat="1" applyFont="1" applyBorder="1" applyAlignment="1">
      <alignment horizontal="center" vertical="center"/>
    </xf>
    <xf numFmtId="1" fontId="10" fillId="0" borderId="27" xfId="0" applyNumberFormat="1" applyFont="1" applyBorder="1" applyAlignment="1">
      <alignment horizontal="center" vertical="center"/>
    </xf>
    <xf numFmtId="49" fontId="15" fillId="20" borderId="3" xfId="0" applyNumberFormat="1" applyFont="1" applyFill="1" applyBorder="1" applyAlignment="1">
      <alignment horizontal="center" vertical="center"/>
    </xf>
    <xf numFmtId="170" fontId="15" fillId="20" borderId="3" xfId="0" applyNumberFormat="1" applyFont="1" applyFill="1" applyBorder="1" applyAlignment="1">
      <alignment horizontal="center" vertical="center"/>
    </xf>
    <xf numFmtId="49" fontId="9" fillId="20" borderId="10" xfId="0" applyNumberFormat="1" applyFont="1" applyFill="1" applyBorder="1" applyAlignment="1">
      <alignment horizontal="center" vertical="center"/>
    </xf>
    <xf numFmtId="168" fontId="9" fillId="20" borderId="11" xfId="0" applyNumberFormat="1" applyFont="1" applyFill="1" applyBorder="1" applyAlignment="1">
      <alignment horizontal="center" vertical="center"/>
    </xf>
    <xf numFmtId="1" fontId="9" fillId="20" borderId="11" xfId="0" applyNumberFormat="1" applyFont="1" applyFill="1" applyBorder="1" applyAlignment="1">
      <alignment horizontal="center" vertical="center"/>
    </xf>
    <xf numFmtId="171" fontId="9" fillId="20" borderId="11" xfId="0" applyNumberFormat="1" applyFont="1" applyFill="1" applyBorder="1" applyAlignment="1">
      <alignment horizontal="center" vertical="center"/>
    </xf>
    <xf numFmtId="49" fontId="8" fillId="20" borderId="11" xfId="0" applyNumberFormat="1" applyFont="1" applyFill="1" applyBorder="1" applyAlignment="1">
      <alignment horizontal="center" vertical="center"/>
    </xf>
    <xf numFmtId="170" fontId="9" fillId="20" borderId="11" xfId="0" applyNumberFormat="1" applyFont="1" applyFill="1" applyBorder="1" applyAlignment="1">
      <alignment horizontal="center" vertical="center"/>
    </xf>
    <xf numFmtId="49" fontId="9" fillId="20" borderId="12"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70" fontId="15" fillId="11" borderId="3" xfId="0" applyNumberFormat="1" applyFont="1" applyFill="1" applyBorder="1" applyAlignment="1">
      <alignment horizontal="center" vertical="center"/>
    </xf>
    <xf numFmtId="0" fontId="15" fillId="11" borderId="3" xfId="0" applyFont="1" applyFill="1" applyBorder="1" applyAlignment="1">
      <alignment horizontal="center" vertical="center"/>
    </xf>
    <xf numFmtId="49" fontId="9" fillId="11" borderId="10" xfId="0" applyNumberFormat="1" applyFont="1" applyFill="1" applyBorder="1" applyAlignment="1">
      <alignment horizontal="center" vertical="center"/>
    </xf>
    <xf numFmtId="168" fontId="19" fillId="11" borderId="11" xfId="0" applyNumberFormat="1" applyFont="1" applyFill="1" applyBorder="1" applyAlignment="1">
      <alignment horizontal="center" vertical="center"/>
    </xf>
    <xf numFmtId="1" fontId="9" fillId="11" borderId="11" xfId="0" applyNumberFormat="1" applyFont="1" applyFill="1" applyBorder="1" applyAlignment="1">
      <alignment horizontal="center" vertical="center"/>
    </xf>
    <xf numFmtId="171" fontId="9" fillId="11" borderId="11" xfId="0" applyNumberFormat="1" applyFont="1" applyFill="1" applyBorder="1" applyAlignment="1">
      <alignment horizontal="center" vertical="center"/>
    </xf>
    <xf numFmtId="49" fontId="8" fillId="11" borderId="11" xfId="0" applyNumberFormat="1" applyFont="1" applyFill="1" applyBorder="1" applyAlignment="1">
      <alignment horizontal="center" vertical="center"/>
    </xf>
    <xf numFmtId="170" fontId="9" fillId="11" borderId="11" xfId="0" applyNumberFormat="1" applyFont="1" applyFill="1" applyBorder="1" applyAlignment="1">
      <alignment horizontal="center" vertical="center"/>
    </xf>
    <xf numFmtId="49" fontId="9" fillId="11" borderId="12" xfId="0" applyNumberFormat="1" applyFont="1" applyFill="1" applyBorder="1" applyAlignment="1">
      <alignment horizontal="center" vertical="center"/>
    </xf>
    <xf numFmtId="49" fontId="20" fillId="8" borderId="3" xfId="0" applyNumberFormat="1" applyFont="1" applyFill="1" applyBorder="1" applyAlignment="1">
      <alignment horizontal="center" vertical="center"/>
    </xf>
    <xf numFmtId="170" fontId="20" fillId="8" borderId="3" xfId="0" applyNumberFormat="1" applyFont="1" applyFill="1" applyBorder="1" applyAlignment="1">
      <alignment horizontal="center" vertical="center"/>
    </xf>
    <xf numFmtId="0" fontId="20" fillId="8" borderId="3" xfId="0" applyFont="1" applyFill="1" applyBorder="1" applyAlignment="1">
      <alignment horizontal="center" vertical="center"/>
    </xf>
    <xf numFmtId="49" fontId="20" fillId="19" borderId="3" xfId="0" applyNumberFormat="1" applyFont="1" applyFill="1" applyBorder="1" applyAlignment="1">
      <alignment horizontal="center" vertical="center"/>
    </xf>
    <xf numFmtId="170" fontId="20" fillId="19" borderId="3" xfId="0" applyNumberFormat="1" applyFont="1" applyFill="1" applyBorder="1" applyAlignment="1">
      <alignment horizontal="center" vertical="center"/>
    </xf>
    <xf numFmtId="0" fontId="20" fillId="19" borderId="3" xfId="0" applyFont="1" applyFill="1" applyBorder="1" applyAlignment="1">
      <alignment horizontal="center" vertical="center"/>
    </xf>
    <xf numFmtId="49" fontId="20" fillId="20" borderId="3" xfId="0" applyNumberFormat="1" applyFont="1" applyFill="1" applyBorder="1" applyAlignment="1">
      <alignment horizontal="center" vertical="center"/>
    </xf>
    <xf numFmtId="170" fontId="20" fillId="20" borderId="3" xfId="0" applyNumberFormat="1" applyFont="1" applyFill="1" applyBorder="1" applyAlignment="1">
      <alignment horizontal="center" vertical="center"/>
    </xf>
    <xf numFmtId="0" fontId="20" fillId="20" borderId="3" xfId="0" applyFont="1" applyFill="1" applyBorder="1" applyAlignment="1">
      <alignment horizontal="center" vertical="center"/>
    </xf>
    <xf numFmtId="168" fontId="19" fillId="20" borderId="11" xfId="0" applyNumberFormat="1" applyFont="1" applyFill="1" applyBorder="1" applyAlignment="1">
      <alignment horizontal="center" vertical="center"/>
    </xf>
    <xf numFmtId="49" fontId="20" fillId="20" borderId="18" xfId="0" applyNumberFormat="1" applyFont="1" applyFill="1" applyBorder="1" applyAlignment="1">
      <alignment horizontal="center" vertical="center"/>
    </xf>
    <xf numFmtId="170" fontId="20" fillId="20" borderId="18" xfId="0" applyNumberFormat="1" applyFont="1" applyFill="1" applyBorder="1" applyAlignment="1">
      <alignment horizontal="center" vertical="center"/>
    </xf>
    <xf numFmtId="0" fontId="20" fillId="20" borderId="18" xfId="0" applyFont="1" applyFill="1" applyBorder="1" applyAlignment="1">
      <alignment horizontal="center" vertical="center"/>
    </xf>
    <xf numFmtId="49" fontId="9" fillId="20" borderId="19" xfId="0" applyNumberFormat="1" applyFont="1" applyFill="1" applyBorder="1" applyAlignment="1">
      <alignment horizontal="center" vertical="center"/>
    </xf>
    <xf numFmtId="168" fontId="19" fillId="20" borderId="20" xfId="0" applyNumberFormat="1" applyFont="1" applyFill="1" applyBorder="1" applyAlignment="1">
      <alignment horizontal="center" vertical="center"/>
    </xf>
    <xf numFmtId="1" fontId="9" fillId="20" borderId="20" xfId="0" applyNumberFormat="1" applyFont="1" applyFill="1" applyBorder="1" applyAlignment="1">
      <alignment horizontal="center" vertical="center"/>
    </xf>
    <xf numFmtId="171" fontId="9" fillId="20" borderId="20" xfId="0" applyNumberFormat="1" applyFont="1" applyFill="1" applyBorder="1" applyAlignment="1">
      <alignment horizontal="center" vertical="center"/>
    </xf>
    <xf numFmtId="49" fontId="8" fillId="20" borderId="20" xfId="0" applyNumberFormat="1" applyFont="1" applyFill="1" applyBorder="1" applyAlignment="1">
      <alignment horizontal="center" vertical="center"/>
    </xf>
    <xf numFmtId="170" fontId="9" fillId="20" borderId="20" xfId="0" applyNumberFormat="1" applyFont="1" applyFill="1" applyBorder="1" applyAlignment="1">
      <alignment horizontal="center" vertical="center"/>
    </xf>
    <xf numFmtId="49" fontId="9" fillId="20" borderId="21" xfId="0" applyNumberFormat="1" applyFont="1" applyFill="1" applyBorder="1" applyAlignment="1">
      <alignment horizontal="center" vertical="center"/>
    </xf>
    <xf numFmtId="0" fontId="15" fillId="8" borderId="3" xfId="0" applyFont="1" applyFill="1" applyBorder="1" applyAlignment="1">
      <alignment horizontal="center" vertical="center"/>
    </xf>
    <xf numFmtId="49" fontId="20" fillId="11" borderId="3" xfId="0" applyNumberFormat="1" applyFont="1" applyFill="1" applyBorder="1" applyAlignment="1">
      <alignment horizontal="center" vertical="center"/>
    </xf>
    <xf numFmtId="170" fontId="20" fillId="11" borderId="3" xfId="0" applyNumberFormat="1" applyFont="1" applyFill="1" applyBorder="1" applyAlignment="1">
      <alignment horizontal="center" vertical="center"/>
    </xf>
    <xf numFmtId="0" fontId="20" fillId="11" borderId="3" xfId="0" applyFont="1" applyFill="1" applyBorder="1" applyAlignment="1">
      <alignment horizontal="center" vertical="center"/>
    </xf>
    <xf numFmtId="49" fontId="20" fillId="8" borderId="18" xfId="0" applyNumberFormat="1" applyFont="1" applyFill="1" applyBorder="1" applyAlignment="1">
      <alignment horizontal="center" vertical="center"/>
    </xf>
    <xf numFmtId="170" fontId="20" fillId="8" borderId="18" xfId="0" applyNumberFormat="1" applyFont="1" applyFill="1" applyBorder="1" applyAlignment="1">
      <alignment horizontal="center" vertical="center"/>
    </xf>
    <xf numFmtId="0" fontId="20" fillId="8" borderId="18" xfId="0" applyFont="1" applyFill="1" applyBorder="1" applyAlignment="1">
      <alignment horizontal="center" vertical="center"/>
    </xf>
    <xf numFmtId="49" fontId="9" fillId="8" borderId="19" xfId="0" applyNumberFormat="1" applyFont="1" applyFill="1" applyBorder="1" applyAlignment="1">
      <alignment horizontal="center" vertical="center"/>
    </xf>
    <xf numFmtId="168" fontId="19" fillId="8" borderId="20" xfId="0" applyNumberFormat="1" applyFont="1" applyFill="1" applyBorder="1" applyAlignment="1">
      <alignment horizontal="center" vertical="center"/>
    </xf>
    <xf numFmtId="1" fontId="9" fillId="8" borderId="20" xfId="0" applyNumberFormat="1" applyFont="1" applyFill="1" applyBorder="1" applyAlignment="1">
      <alignment horizontal="center" vertical="center"/>
    </xf>
    <xf numFmtId="171" fontId="9" fillId="8" borderId="20" xfId="0" applyNumberFormat="1" applyFont="1" applyFill="1" applyBorder="1" applyAlignment="1">
      <alignment horizontal="center" vertical="center"/>
    </xf>
    <xf numFmtId="49" fontId="8" fillId="8" borderId="20" xfId="0" applyNumberFormat="1" applyFont="1" applyFill="1" applyBorder="1" applyAlignment="1">
      <alignment horizontal="center" vertical="center"/>
    </xf>
    <xf numFmtId="170" fontId="9" fillId="8" borderId="20" xfId="0" applyNumberFormat="1" applyFont="1" applyFill="1" applyBorder="1" applyAlignment="1">
      <alignment horizontal="center" vertical="center"/>
    </xf>
    <xf numFmtId="49" fontId="9" fillId="8" borderId="21" xfId="0" applyNumberFormat="1" applyFont="1" applyFill="1" applyBorder="1" applyAlignment="1">
      <alignment horizontal="center" vertical="center"/>
    </xf>
    <xf numFmtId="49" fontId="15" fillId="0" borderId="18" xfId="0" applyNumberFormat="1" applyFont="1" applyBorder="1" applyAlignment="1">
      <alignment horizontal="center" vertical="center"/>
    </xf>
    <xf numFmtId="170" fontId="15" fillId="0" borderId="18" xfId="0" applyNumberFormat="1" applyFont="1" applyBorder="1" applyAlignment="1">
      <alignment horizontal="center" vertical="center"/>
    </xf>
    <xf numFmtId="173" fontId="8" fillId="17" borderId="27" xfId="0" applyNumberFormat="1" applyFont="1" applyFill="1" applyBorder="1" applyAlignment="1">
      <alignment horizontal="center" vertical="center"/>
    </xf>
    <xf numFmtId="0" fontId="8" fillId="17" borderId="27" xfId="0" applyFont="1" applyFill="1" applyBorder="1" applyAlignment="1">
      <alignment horizontal="center" vertical="center"/>
    </xf>
    <xf numFmtId="49" fontId="6" fillId="17" borderId="27" xfId="0" applyNumberFormat="1" applyFont="1" applyFill="1" applyBorder="1" applyAlignment="1">
      <alignment horizontal="center" vertical="center"/>
    </xf>
    <xf numFmtId="174" fontId="8" fillId="17" borderId="27" xfId="0" applyNumberFormat="1" applyFont="1" applyFill="1" applyBorder="1" applyAlignment="1">
      <alignment horizontal="center" vertical="center"/>
    </xf>
    <xf numFmtId="1" fontId="8" fillId="17" borderId="25"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168" fontId="9" fillId="9" borderId="11" xfId="0" applyNumberFormat="1" applyFont="1" applyFill="1" applyBorder="1" applyAlignment="1">
      <alignment horizontal="center" vertical="center"/>
    </xf>
    <xf numFmtId="168" fontId="29" fillId="8" borderId="11" xfId="0" applyNumberFormat="1" applyFont="1" applyFill="1" applyBorder="1" applyAlignment="1">
      <alignment horizontal="center" vertical="center"/>
    </xf>
    <xf numFmtId="168" fontId="29" fillId="20" borderId="20"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70" fontId="15" fillId="0" borderId="3" xfId="0" applyNumberFormat="1" applyFont="1" applyBorder="1" applyAlignment="1">
      <alignment horizontal="center" vertical="center"/>
    </xf>
    <xf numFmtId="173" fontId="10" fillId="0" borderId="29" xfId="0" applyNumberFormat="1" applyFont="1" applyBorder="1" applyAlignment="1">
      <alignment horizontal="center" vertical="center"/>
    </xf>
    <xf numFmtId="0" fontId="10" fillId="0" borderId="29" xfId="0" applyFont="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68" fontId="9" fillId="11" borderId="11" xfId="0" applyNumberFormat="1" applyFont="1" applyFill="1" applyBorder="1" applyAlignment="1">
      <alignment horizontal="center" vertical="center"/>
    </xf>
    <xf numFmtId="168" fontId="9" fillId="19" borderId="11" xfId="0" applyNumberFormat="1" applyFont="1" applyFill="1" applyBorder="1" applyAlignment="1">
      <alignment horizontal="center" vertical="center"/>
    </xf>
    <xf numFmtId="1" fontId="8" fillId="17" borderId="27" xfId="0" applyNumberFormat="1" applyFont="1" applyFill="1" applyBorder="1" applyAlignment="1">
      <alignment horizontal="center" vertical="center"/>
    </xf>
    <xf numFmtId="1" fontId="10" fillId="17" borderId="27" xfId="0" applyNumberFormat="1" applyFont="1" applyFill="1" applyBorder="1" applyAlignment="1">
      <alignment horizontal="center" vertical="center"/>
    </xf>
    <xf numFmtId="168" fontId="29" fillId="19" borderId="11" xfId="0" applyNumberFormat="1" applyFont="1" applyFill="1" applyBorder="1" applyAlignment="1">
      <alignment horizontal="center" vertical="center"/>
    </xf>
    <xf numFmtId="168" fontId="9" fillId="11" borderId="20" xfId="0" applyNumberFormat="1" applyFont="1" applyFill="1" applyBorder="1" applyAlignment="1">
      <alignment horizontal="center" vertical="center"/>
    </xf>
    <xf numFmtId="168" fontId="29" fillId="9" borderId="11" xfId="0" applyNumberFormat="1" applyFont="1" applyFill="1" applyBorder="1" applyAlignment="1">
      <alignment horizontal="center" vertical="center"/>
    </xf>
    <xf numFmtId="173" fontId="10" fillId="17" borderId="29" xfId="0" applyNumberFormat="1" applyFont="1" applyFill="1" applyBorder="1" applyAlignment="1">
      <alignment horizontal="center" vertical="center"/>
    </xf>
    <xf numFmtId="0" fontId="10" fillId="17" borderId="29" xfId="0" applyFont="1" applyFill="1" applyBorder="1" applyAlignment="1">
      <alignment horizontal="center" vertical="center"/>
    </xf>
    <xf numFmtId="49" fontId="9" fillId="19" borderId="19" xfId="0" applyNumberFormat="1" applyFont="1" applyFill="1" applyBorder="1" applyAlignment="1">
      <alignment horizontal="center" vertical="center"/>
    </xf>
    <xf numFmtId="168" fontId="19" fillId="19" borderId="20" xfId="0" applyNumberFormat="1" applyFont="1" applyFill="1" applyBorder="1" applyAlignment="1">
      <alignment horizontal="center" vertical="center"/>
    </xf>
    <xf numFmtId="1" fontId="9" fillId="19" borderId="20" xfId="0" applyNumberFormat="1" applyFont="1" applyFill="1" applyBorder="1" applyAlignment="1">
      <alignment horizontal="center" vertical="center"/>
    </xf>
    <xf numFmtId="171" fontId="9" fillId="19" borderId="20" xfId="0" applyNumberFormat="1" applyFont="1" applyFill="1" applyBorder="1" applyAlignment="1">
      <alignment horizontal="center" vertical="center"/>
    </xf>
    <xf numFmtId="49" fontId="8" fillId="19" borderId="20" xfId="0" applyNumberFormat="1" applyFont="1" applyFill="1" applyBorder="1" applyAlignment="1">
      <alignment horizontal="center" vertical="center"/>
    </xf>
    <xf numFmtId="170" fontId="9" fillId="19" borderId="20" xfId="0" applyNumberFormat="1" applyFont="1" applyFill="1" applyBorder="1" applyAlignment="1">
      <alignment horizontal="center" vertical="center"/>
    </xf>
    <xf numFmtId="49" fontId="9" fillId="19" borderId="21" xfId="0" applyNumberFormat="1" applyFont="1" applyFill="1" applyBorder="1" applyAlignment="1">
      <alignment horizontal="center" vertical="center"/>
    </xf>
    <xf numFmtId="0" fontId="21" fillId="0" borderId="22"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165" fontId="3" fillId="2" borderId="0" xfId="0" applyNumberFormat="1" applyFont="1" applyFill="1" applyAlignment="1">
      <alignment horizontal="left" vertical="center"/>
    </xf>
    <xf numFmtId="0" fontId="0" fillId="2" borderId="0" xfId="0" applyFill="1" applyAlignment="1">
      <alignment horizontal="center"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5" fillId="4" borderId="3" xfId="0" applyFont="1" applyFill="1" applyBorder="1" applyAlignment="1">
      <alignment horizontal="center" vertical="center"/>
    </xf>
    <xf numFmtId="0" fontId="0" fillId="0" borderId="3" xfId="0" applyBorder="1" applyAlignment="1">
      <alignment vertical="center"/>
    </xf>
    <xf numFmtId="49" fontId="5" fillId="4" borderId="3" xfId="0" applyNumberFormat="1" applyFont="1" applyFill="1" applyBorder="1" applyAlignment="1">
      <alignment horizontal="center" vertical="center"/>
    </xf>
    <xf numFmtId="0" fontId="12" fillId="3" borderId="0" xfId="0" applyFont="1" applyFill="1" applyAlignment="1">
      <alignment horizontal="right" vertical="center"/>
    </xf>
    <xf numFmtId="0" fontId="12" fillId="3" borderId="0" xfId="0" applyFont="1" applyFill="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0" fillId="10" borderId="7" xfId="0" applyFill="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167" fontId="12" fillId="3" borderId="0" xfId="0" applyNumberFormat="1" applyFont="1" applyFill="1" applyAlignment="1">
      <alignment horizontal="lef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165" fontId="3" fillId="2" borderId="0" xfId="0" applyNumberFormat="1" applyFont="1" applyFill="1" applyAlignment="1">
      <alignment horizontal="center"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2" fillId="2" borderId="0" xfId="0" applyFont="1" applyFill="1" applyAlignment="1">
      <alignment horizontal="center" vertical="center"/>
    </xf>
    <xf numFmtId="0" fontId="22" fillId="10" borderId="7" xfId="0" applyFont="1" applyFill="1" applyBorder="1" applyAlignment="1">
      <alignment horizontal="center" vertical="center"/>
    </xf>
    <xf numFmtId="0" fontId="22" fillId="0" borderId="8" xfId="0" applyFont="1"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49" fontId="28" fillId="0" borderId="17" xfId="0" applyNumberFormat="1" applyFont="1" applyBorder="1" applyAlignment="1">
      <alignment horizontal="center" vertical="center"/>
    </xf>
    <xf numFmtId="0" fontId="22" fillId="0" borderId="17" xfId="0" applyFont="1" applyBorder="1" applyAlignment="1">
      <alignment vertical="center"/>
    </xf>
    <xf numFmtId="0" fontId="21"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90">
  <autoFilter ref="A1:H90"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71">
  <autoFilter ref="A1:H71"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67">
  <autoFilter ref="A1:H67"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351">
  <autoFilter ref="A1:H351"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96">
  <autoFilter ref="A1:H9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89">
  <autoFilter ref="A1:H89"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7">
  <autoFilter ref="A1:H7"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SSH_JED" displayName="FocusMode_SSH_JED" ref="A1:H5">
  <autoFilter ref="A1:H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RUH" displayName="FocusMode_CAI_RUH" ref="A1:H261">
  <autoFilter ref="A1:H261"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ATZ_RUH" displayName="FocusMode_ATZ_RUH" ref="A1:H82">
  <autoFilter ref="A1:H82"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CAI_DMM" displayName="FocusMode_CAI_DMM" ref="A1:H86">
  <autoFilter ref="A1:H86"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ATZ_DMM" displayName="FocusMode_ATZ_DMM" ref="A1:H68">
  <autoFilter ref="A1:H68"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CAI_TUU" displayName="FocusMode_CAI_TUU" ref="A1:H21">
  <autoFilter ref="A1:H21"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TUU" displayName="FocusMode_ATZ_TUU" ref="A1:H28">
  <autoFilter ref="A1:H2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CAI_AJF" displayName="FocusMode_CAI_AJF" ref="A1:H7">
  <autoFilter ref="A1:H7"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TZ_AJF" displayName="FocusMode_ATZ_AJF" ref="A1:H13">
  <autoFilter ref="A1:H13"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CAI_YNB" displayName="FocusMode_CAI_YNB" ref="A1:H10">
  <autoFilter ref="A1:H10"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AHB" displayName="FocusMode_CAI_AHB" ref="A1:H12">
  <autoFilter ref="A1:H12"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TZ_AHB" displayName="FocusMode_ATZ_AHB" ref="A1:H15">
  <autoFilter ref="A1:H1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CAI_ELQ" displayName="FocusMode_CAI_ELQ" ref="A1:H21">
  <autoFilter ref="A1:H21"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ATZ_ELQ" displayName="FocusMode_ATZ_ELQ" ref="A1:H29">
  <autoFilter ref="A1:H29"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CAI_GIZ" displayName="FocusMode_CAI_GIZ" ref="A1:H10">
  <autoFilter ref="A1:H10"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10"/>
  <sheetViews>
    <sheetView tabSelected="1"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3.109375" bestFit="1" customWidth="1"/>
  </cols>
  <sheetData>
    <row r="1" spans="1:92" ht="28.8" customHeight="1" x14ac:dyDescent="0.3">
      <c r="A1" s="284" t="s">
        <v>0</v>
      </c>
      <c r="B1" s="265"/>
      <c r="C1" s="265"/>
      <c r="D1" s="284" t="s">
        <v>1</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45985.362107243011</v>
      </c>
      <c r="H2" s="272"/>
      <c r="I2" s="272"/>
      <c r="J2" s="272"/>
      <c r="K2" s="282">
        <v>45985.362107243389</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0.22916666666666671</v>
      </c>
      <c r="D6" s="8" t="s">
        <v>27</v>
      </c>
      <c r="E6" s="8" t="s">
        <v>28</v>
      </c>
      <c r="F6" s="8" t="s">
        <v>29</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0.22916666666666671</v>
      </c>
      <c r="D7" s="15" t="s">
        <v>30</v>
      </c>
      <c r="E7" s="15" t="s">
        <v>31</v>
      </c>
      <c r="F7" s="15" t="s">
        <v>32</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0.22916666666666671</v>
      </c>
      <c r="D8" s="15" t="s">
        <v>33</v>
      </c>
      <c r="E8" s="15" t="s">
        <v>31</v>
      </c>
      <c r="F8" s="15" t="s">
        <v>34</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35</v>
      </c>
      <c r="B9" s="17" t="s">
        <v>36</v>
      </c>
      <c r="C9" s="18">
        <v>0.11805555555555559</v>
      </c>
      <c r="D9" s="17" t="s">
        <v>37</v>
      </c>
      <c r="E9" s="17" t="s">
        <v>38</v>
      </c>
      <c r="F9" s="17" t="s">
        <v>39</v>
      </c>
      <c r="G9" s="262"/>
      <c r="H9" s="19" t="s">
        <v>40</v>
      </c>
      <c r="I9" s="20">
        <v>0.97219999999999995</v>
      </c>
      <c r="J9" s="21">
        <v>175</v>
      </c>
      <c r="K9" s="22">
        <v>45984</v>
      </c>
      <c r="L9" s="21">
        <v>11</v>
      </c>
      <c r="M9" s="21">
        <v>0</v>
      </c>
      <c r="N9" s="21">
        <v>10</v>
      </c>
      <c r="O9" s="23" t="s">
        <v>41</v>
      </c>
      <c r="P9" s="24">
        <v>0.11805555555555559</v>
      </c>
      <c r="Q9" s="21">
        <v>180</v>
      </c>
      <c r="R9" s="25" t="s">
        <v>42</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26" t="s">
        <v>35</v>
      </c>
      <c r="B10" s="26" t="s">
        <v>43</v>
      </c>
      <c r="C10" s="27">
        <v>0.81944444444444453</v>
      </c>
      <c r="D10" s="26" t="s">
        <v>44</v>
      </c>
      <c r="E10" s="28"/>
      <c r="F10" s="26" t="s">
        <v>45</v>
      </c>
      <c r="G10" s="262"/>
      <c r="H10" s="29" t="s">
        <v>43</v>
      </c>
      <c r="I10" s="30">
        <v>0.99439999999999995</v>
      </c>
      <c r="J10" s="31">
        <v>179</v>
      </c>
      <c r="K10" s="32">
        <v>45984</v>
      </c>
      <c r="L10" s="31">
        <v>5</v>
      </c>
      <c r="M10" s="31">
        <v>0</v>
      </c>
      <c r="N10" s="31">
        <v>1</v>
      </c>
      <c r="O10" s="33" t="s">
        <v>46</v>
      </c>
      <c r="P10" s="34">
        <v>0.81944444444444453</v>
      </c>
      <c r="Q10" s="31">
        <v>180</v>
      </c>
      <c r="R10" s="35" t="s">
        <v>47</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6" t="s">
        <v>48</v>
      </c>
      <c r="B11" s="36" t="s">
        <v>49</v>
      </c>
      <c r="C11" s="37">
        <v>0.60763888888888895</v>
      </c>
      <c r="D11" s="36" t="s">
        <v>50</v>
      </c>
      <c r="E11" s="36" t="s">
        <v>51</v>
      </c>
      <c r="F11" s="36" t="s">
        <v>52</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5" t="s">
        <v>48</v>
      </c>
      <c r="B12" s="15" t="s">
        <v>49</v>
      </c>
      <c r="C12" s="16">
        <v>0.60763888888888895</v>
      </c>
      <c r="D12" s="15" t="s">
        <v>53</v>
      </c>
      <c r="E12" s="15" t="s">
        <v>54</v>
      </c>
      <c r="F12" s="15" t="s">
        <v>55</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48</v>
      </c>
      <c r="B13" s="15" t="s">
        <v>49</v>
      </c>
      <c r="C13" s="16">
        <v>0.60763888888888895</v>
      </c>
      <c r="D13" s="15" t="s">
        <v>56</v>
      </c>
      <c r="E13" s="15" t="s">
        <v>54</v>
      </c>
      <c r="F13" s="15" t="s">
        <v>57</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6" t="s">
        <v>58</v>
      </c>
      <c r="B14" s="36" t="s">
        <v>59</v>
      </c>
      <c r="C14" s="37">
        <v>0.35069444444444442</v>
      </c>
      <c r="D14" s="36" t="s">
        <v>60</v>
      </c>
      <c r="E14" s="36" t="s">
        <v>61</v>
      </c>
      <c r="F14" s="36" t="s">
        <v>62</v>
      </c>
      <c r="G14" s="262"/>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58</v>
      </c>
      <c r="B15" s="15" t="s">
        <v>59</v>
      </c>
      <c r="C15" s="16">
        <v>0.35069444444444442</v>
      </c>
      <c r="D15" s="15" t="s">
        <v>63</v>
      </c>
      <c r="E15" s="15" t="s">
        <v>64</v>
      </c>
      <c r="F15" s="15" t="s">
        <v>62</v>
      </c>
      <c r="G15" s="262"/>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58</v>
      </c>
      <c r="B16" s="38" t="s">
        <v>65</v>
      </c>
      <c r="C16" s="39">
        <v>0.89583333333333337</v>
      </c>
      <c r="D16" s="38" t="s">
        <v>60</v>
      </c>
      <c r="E16" s="38" t="s">
        <v>66</v>
      </c>
      <c r="F16" s="38" t="s">
        <v>67</v>
      </c>
      <c r="G16" s="262"/>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58</v>
      </c>
      <c r="B17" s="15" t="s">
        <v>65</v>
      </c>
      <c r="C17" s="16">
        <v>0.89583333333333337</v>
      </c>
      <c r="D17" s="15" t="s">
        <v>63</v>
      </c>
      <c r="E17" s="15" t="s">
        <v>68</v>
      </c>
      <c r="F17" s="15" t="s">
        <v>67</v>
      </c>
      <c r="G17" s="262"/>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8" t="s">
        <v>58</v>
      </c>
      <c r="B18" s="38" t="s">
        <v>69</v>
      </c>
      <c r="C18" s="39">
        <v>0.18402777777777779</v>
      </c>
      <c r="D18" s="38" t="s">
        <v>63</v>
      </c>
      <c r="E18" s="38" t="s">
        <v>70</v>
      </c>
      <c r="F18" s="38" t="s">
        <v>67</v>
      </c>
      <c r="G18" s="262"/>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38" t="s">
        <v>58</v>
      </c>
      <c r="B19" s="38" t="s">
        <v>71</v>
      </c>
      <c r="C19" s="39">
        <v>0.22916666666666671</v>
      </c>
      <c r="D19" s="38" t="s">
        <v>60</v>
      </c>
      <c r="E19" s="38" t="s">
        <v>72</v>
      </c>
      <c r="F19" s="38" t="s">
        <v>73</v>
      </c>
      <c r="G19" s="26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58</v>
      </c>
      <c r="B20" s="15" t="s">
        <v>71</v>
      </c>
      <c r="C20" s="16">
        <v>0.22916666666666671</v>
      </c>
      <c r="D20" s="15" t="s">
        <v>63</v>
      </c>
      <c r="E20" s="15" t="s">
        <v>74</v>
      </c>
      <c r="F20" s="15" t="s">
        <v>73</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6" t="s">
        <v>75</v>
      </c>
      <c r="B21" s="36" t="s">
        <v>76</v>
      </c>
      <c r="C21" s="37">
        <v>0.33680555555555558</v>
      </c>
      <c r="D21" s="36" t="s">
        <v>60</v>
      </c>
      <c r="E21" s="36" t="s">
        <v>77</v>
      </c>
      <c r="F21" s="36" t="s">
        <v>78</v>
      </c>
      <c r="G21" s="262"/>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8" t="s">
        <v>75</v>
      </c>
      <c r="B22" s="38" t="s">
        <v>79</v>
      </c>
      <c r="C22" s="39">
        <v>0.94097222222222221</v>
      </c>
      <c r="D22" s="38" t="s">
        <v>60</v>
      </c>
      <c r="E22" s="38" t="s">
        <v>80</v>
      </c>
      <c r="F22" s="38" t="s">
        <v>78</v>
      </c>
      <c r="G22" s="262"/>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8" t="s">
        <v>75</v>
      </c>
      <c r="B23" s="38" t="s">
        <v>81</v>
      </c>
      <c r="C23" s="39">
        <v>0.69791666666666663</v>
      </c>
      <c r="D23" s="38" t="s">
        <v>60</v>
      </c>
      <c r="E23" s="38" t="s">
        <v>70</v>
      </c>
      <c r="F23" s="38" t="s">
        <v>78</v>
      </c>
      <c r="G23" s="262"/>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38" t="s">
        <v>75</v>
      </c>
      <c r="B24" s="38" t="s">
        <v>82</v>
      </c>
      <c r="C24" s="39">
        <v>6.5972222222222224E-2</v>
      </c>
      <c r="D24" s="38" t="s">
        <v>60</v>
      </c>
      <c r="E24" s="38" t="s">
        <v>83</v>
      </c>
      <c r="F24" s="38" t="s">
        <v>84</v>
      </c>
      <c r="G24" s="262"/>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0" t="s">
        <v>75</v>
      </c>
      <c r="B25" s="40" t="s">
        <v>85</v>
      </c>
      <c r="C25" s="41">
        <v>0.28819444444444448</v>
      </c>
      <c r="D25" s="40" t="s">
        <v>60</v>
      </c>
      <c r="E25" s="40" t="s">
        <v>86</v>
      </c>
      <c r="F25" s="40" t="s">
        <v>84</v>
      </c>
      <c r="G25" s="263"/>
      <c r="H25" s="42"/>
      <c r="I25" s="43"/>
      <c r="J25" s="43"/>
      <c r="K25" s="43"/>
      <c r="L25" s="43"/>
      <c r="M25" s="43"/>
      <c r="N25" s="43"/>
      <c r="O25" s="44"/>
      <c r="P25" s="43"/>
      <c r="Q25" s="45"/>
      <c r="R25" s="4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5"/>
      <c r="B26" s="276"/>
      <c r="C26" s="276"/>
      <c r="D26" s="276"/>
      <c r="E26" s="276"/>
      <c r="F26" s="276"/>
      <c r="G26" s="276"/>
      <c r="H26" s="276"/>
      <c r="I26" s="276"/>
      <c r="J26" s="276"/>
      <c r="K26" s="276"/>
      <c r="L26" s="276"/>
      <c r="M26" s="276"/>
      <c r="N26" s="276"/>
      <c r="O26" s="276"/>
      <c r="P26" s="276"/>
      <c r="Q26" s="276"/>
      <c r="R26" s="27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66" t="s">
        <v>5</v>
      </c>
      <c r="B27" s="267"/>
      <c r="C27" s="267"/>
      <c r="D27" s="267"/>
      <c r="E27" s="267"/>
      <c r="F27" s="267"/>
      <c r="G27" s="5">
        <v>45987</v>
      </c>
      <c r="H27" s="270" t="s">
        <v>6</v>
      </c>
      <c r="I27" s="269"/>
      <c r="J27" s="269"/>
      <c r="K27" s="269"/>
      <c r="L27" s="269"/>
      <c r="M27" s="269"/>
      <c r="N27" s="269"/>
      <c r="O27" s="269"/>
      <c r="P27" s="269"/>
      <c r="Q27" s="269"/>
      <c r="R27" s="26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47" t="s">
        <v>7</v>
      </c>
      <c r="B28" s="47" t="s">
        <v>8</v>
      </c>
      <c r="C28" s="48" t="s">
        <v>9</v>
      </c>
      <c r="D28" s="47" t="s">
        <v>10</v>
      </c>
      <c r="E28" s="47" t="s">
        <v>11</v>
      </c>
      <c r="F28" s="47" t="s">
        <v>12</v>
      </c>
      <c r="G28" s="49" t="s">
        <v>13</v>
      </c>
      <c r="H28" s="47" t="s">
        <v>14</v>
      </c>
      <c r="I28" s="50" t="s">
        <v>15</v>
      </c>
      <c r="J28" s="51" t="s">
        <v>16</v>
      </c>
      <c r="K28" s="52" t="s">
        <v>17</v>
      </c>
      <c r="L28" s="51" t="s">
        <v>18</v>
      </c>
      <c r="M28" s="51" t="s">
        <v>19</v>
      </c>
      <c r="N28" s="51" t="s">
        <v>20</v>
      </c>
      <c r="O28" s="47" t="s">
        <v>21</v>
      </c>
      <c r="P28" s="48" t="s">
        <v>22</v>
      </c>
      <c r="Q28" s="51" t="s">
        <v>23</v>
      </c>
      <c r="R28" s="4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8" t="s">
        <v>58</v>
      </c>
      <c r="B29" s="8" t="s">
        <v>69</v>
      </c>
      <c r="C29" s="9">
        <v>0.18402777777777779</v>
      </c>
      <c r="D29" s="8" t="s">
        <v>87</v>
      </c>
      <c r="E29" s="8" t="s">
        <v>61</v>
      </c>
      <c r="F29" s="8" t="s">
        <v>88</v>
      </c>
      <c r="G29" s="261"/>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58</v>
      </c>
      <c r="B30" s="15" t="s">
        <v>69</v>
      </c>
      <c r="C30" s="16">
        <v>0.18402777777777779</v>
      </c>
      <c r="D30" s="15" t="s">
        <v>89</v>
      </c>
      <c r="E30" s="15" t="s">
        <v>64</v>
      </c>
      <c r="F30" s="15" t="s">
        <v>88</v>
      </c>
      <c r="G30" s="262"/>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58</v>
      </c>
      <c r="B31" s="15" t="s">
        <v>69</v>
      </c>
      <c r="C31" s="16">
        <v>0.18402777777777779</v>
      </c>
      <c r="D31" s="15" t="s">
        <v>63</v>
      </c>
      <c r="E31" s="15" t="s">
        <v>64</v>
      </c>
      <c r="F31" s="15" t="s">
        <v>90</v>
      </c>
      <c r="G31" s="262"/>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8" t="s">
        <v>58</v>
      </c>
      <c r="B32" s="38" t="s">
        <v>59</v>
      </c>
      <c r="C32" s="39">
        <v>0.35069444444444442</v>
      </c>
      <c r="D32" s="38" t="s">
        <v>63</v>
      </c>
      <c r="E32" s="38" t="s">
        <v>80</v>
      </c>
      <c r="F32" s="38" t="s">
        <v>62</v>
      </c>
      <c r="G32" s="26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58</v>
      </c>
      <c r="B33" s="38" t="s">
        <v>65</v>
      </c>
      <c r="C33" s="39">
        <v>0.89583333333333337</v>
      </c>
      <c r="D33" s="38" t="s">
        <v>60</v>
      </c>
      <c r="E33" s="38" t="s">
        <v>91</v>
      </c>
      <c r="F33" s="38" t="s">
        <v>62</v>
      </c>
      <c r="G33" s="262"/>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38" t="s">
        <v>58</v>
      </c>
      <c r="B34" s="38" t="s">
        <v>71</v>
      </c>
      <c r="C34" s="39">
        <v>0.22916666666666671</v>
      </c>
      <c r="D34" s="38" t="s">
        <v>63</v>
      </c>
      <c r="E34" s="38" t="s">
        <v>72</v>
      </c>
      <c r="F34" s="38" t="s">
        <v>73</v>
      </c>
      <c r="G34" s="262"/>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36" t="s">
        <v>25</v>
      </c>
      <c r="B35" s="36" t="s">
        <v>26</v>
      </c>
      <c r="C35" s="37">
        <v>0.22916666666666671</v>
      </c>
      <c r="D35" s="36" t="s">
        <v>27</v>
      </c>
      <c r="E35" s="36" t="s">
        <v>28</v>
      </c>
      <c r="F35" s="36" t="s">
        <v>92</v>
      </c>
      <c r="G35" s="262"/>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26</v>
      </c>
      <c r="C36" s="16">
        <v>0.22916666666666671</v>
      </c>
      <c r="D36" s="15" t="s">
        <v>33</v>
      </c>
      <c r="E36" s="15" t="s">
        <v>31</v>
      </c>
      <c r="F36" s="15" t="s">
        <v>93</v>
      </c>
      <c r="G36" s="262"/>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26</v>
      </c>
      <c r="C37" s="16">
        <v>0.22916666666666671</v>
      </c>
      <c r="D37" s="15" t="s">
        <v>30</v>
      </c>
      <c r="E37" s="15" t="s">
        <v>31</v>
      </c>
      <c r="F37" s="15" t="s">
        <v>94</v>
      </c>
      <c r="G37" s="262"/>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36" t="s">
        <v>75</v>
      </c>
      <c r="B38" s="36" t="s">
        <v>85</v>
      </c>
      <c r="C38" s="37">
        <v>0.28819444444444448</v>
      </c>
      <c r="D38" s="36" t="s">
        <v>60</v>
      </c>
      <c r="E38" s="36" t="s">
        <v>77</v>
      </c>
      <c r="F38" s="36" t="s">
        <v>78</v>
      </c>
      <c r="G38" s="262"/>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38" t="s">
        <v>75</v>
      </c>
      <c r="B39" s="38" t="s">
        <v>82</v>
      </c>
      <c r="C39" s="39">
        <v>6.5972222222222224E-2</v>
      </c>
      <c r="D39" s="38" t="s">
        <v>60</v>
      </c>
      <c r="E39" s="38" t="s">
        <v>83</v>
      </c>
      <c r="F39" s="38" t="s">
        <v>95</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38" t="s">
        <v>75</v>
      </c>
      <c r="B40" s="38" t="s">
        <v>79</v>
      </c>
      <c r="C40" s="39">
        <v>0.95138888888888884</v>
      </c>
      <c r="D40" s="38" t="s">
        <v>60</v>
      </c>
      <c r="E40" s="38" t="s">
        <v>66</v>
      </c>
      <c r="F40" s="38" t="s">
        <v>96</v>
      </c>
      <c r="G40" s="262"/>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38" t="s">
        <v>75</v>
      </c>
      <c r="B41" s="38" t="s">
        <v>81</v>
      </c>
      <c r="C41" s="39">
        <v>0.69097222222222221</v>
      </c>
      <c r="D41" s="38" t="s">
        <v>60</v>
      </c>
      <c r="E41" s="38" t="s">
        <v>80</v>
      </c>
      <c r="F41" s="38" t="s">
        <v>96</v>
      </c>
      <c r="G41" s="262"/>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36" t="s">
        <v>48</v>
      </c>
      <c r="B42" s="36" t="s">
        <v>49</v>
      </c>
      <c r="C42" s="37">
        <v>0.60763888888888895</v>
      </c>
      <c r="D42" s="36" t="s">
        <v>50</v>
      </c>
      <c r="E42" s="36" t="s">
        <v>97</v>
      </c>
      <c r="F42" s="36" t="s">
        <v>98</v>
      </c>
      <c r="G42" s="262"/>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48</v>
      </c>
      <c r="B43" s="15" t="s">
        <v>49</v>
      </c>
      <c r="C43" s="16">
        <v>0.60763888888888895</v>
      </c>
      <c r="D43" s="15" t="s">
        <v>53</v>
      </c>
      <c r="E43" s="15" t="s">
        <v>99</v>
      </c>
      <c r="F43" s="15" t="s">
        <v>100</v>
      </c>
      <c r="G43" s="26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3" t="s">
        <v>48</v>
      </c>
      <c r="B44" s="53" t="s">
        <v>49</v>
      </c>
      <c r="C44" s="54">
        <v>0.60763888888888895</v>
      </c>
      <c r="D44" s="53" t="s">
        <v>56</v>
      </c>
      <c r="E44" s="53" t="s">
        <v>99</v>
      </c>
      <c r="F44" s="53" t="s">
        <v>101</v>
      </c>
      <c r="G44" s="263"/>
      <c r="H44" s="42"/>
      <c r="I44" s="43"/>
      <c r="J44" s="43"/>
      <c r="K44" s="43"/>
      <c r="L44" s="43"/>
      <c r="M44" s="43"/>
      <c r="N44" s="43"/>
      <c r="O44" s="44"/>
      <c r="P44" s="43"/>
      <c r="Q44" s="45"/>
      <c r="R44" s="4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85"/>
      <c r="B45" s="286"/>
      <c r="C45" s="286"/>
      <c r="D45" s="286"/>
      <c r="E45" s="286"/>
      <c r="F45" s="286"/>
      <c r="G45" s="276"/>
      <c r="H45" s="287"/>
      <c r="I45" s="287"/>
      <c r="J45" s="287"/>
      <c r="K45" s="287"/>
      <c r="L45" s="287"/>
      <c r="M45" s="287"/>
      <c r="N45" s="287"/>
      <c r="O45" s="288"/>
      <c r="P45" s="287"/>
      <c r="Q45" s="276"/>
      <c r="R45" s="27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66" t="s">
        <v>5</v>
      </c>
      <c r="B46" s="267"/>
      <c r="C46" s="267"/>
      <c r="D46" s="267"/>
      <c r="E46" s="267"/>
      <c r="F46" s="267"/>
      <c r="G46" s="5">
        <v>45988</v>
      </c>
      <c r="H46" s="270" t="s">
        <v>6</v>
      </c>
      <c r="I46" s="269"/>
      <c r="J46" s="269"/>
      <c r="K46" s="269"/>
      <c r="L46" s="269"/>
      <c r="M46" s="269"/>
      <c r="N46" s="269"/>
      <c r="O46" s="269"/>
      <c r="P46" s="269"/>
      <c r="Q46" s="269"/>
      <c r="R46" s="26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47" t="s">
        <v>7</v>
      </c>
      <c r="B47" s="47" t="s">
        <v>8</v>
      </c>
      <c r="C47" s="48" t="s">
        <v>9</v>
      </c>
      <c r="D47" s="47" t="s">
        <v>10</v>
      </c>
      <c r="E47" s="47" t="s">
        <v>11</v>
      </c>
      <c r="F47" s="47" t="s">
        <v>12</v>
      </c>
      <c r="G47" s="49" t="s">
        <v>13</v>
      </c>
      <c r="H47" s="47" t="s">
        <v>14</v>
      </c>
      <c r="I47" s="50" t="s">
        <v>15</v>
      </c>
      <c r="J47" s="51" t="s">
        <v>16</v>
      </c>
      <c r="K47" s="52" t="s">
        <v>17</v>
      </c>
      <c r="L47" s="51" t="s">
        <v>18</v>
      </c>
      <c r="M47" s="51" t="s">
        <v>19</v>
      </c>
      <c r="N47" s="51" t="s">
        <v>20</v>
      </c>
      <c r="O47" s="47" t="s">
        <v>21</v>
      </c>
      <c r="P47" s="48" t="s">
        <v>22</v>
      </c>
      <c r="Q47" s="51" t="s">
        <v>23</v>
      </c>
      <c r="R47" s="47"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8" t="s">
        <v>48</v>
      </c>
      <c r="B48" s="8" t="s">
        <v>49</v>
      </c>
      <c r="C48" s="9">
        <v>0.60763888888888895</v>
      </c>
      <c r="D48" s="8" t="s">
        <v>102</v>
      </c>
      <c r="E48" s="8" t="s">
        <v>103</v>
      </c>
      <c r="F48" s="8" t="s">
        <v>34</v>
      </c>
      <c r="G48" s="261"/>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8" t="s">
        <v>48</v>
      </c>
      <c r="B49" s="38" t="s">
        <v>104</v>
      </c>
      <c r="C49" s="39">
        <v>0.43402777777777768</v>
      </c>
      <c r="D49" s="38" t="s">
        <v>102</v>
      </c>
      <c r="E49" s="38" t="s">
        <v>70</v>
      </c>
      <c r="F49" s="38" t="s">
        <v>52</v>
      </c>
      <c r="G49" s="26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6" t="s">
        <v>25</v>
      </c>
      <c r="B50" s="36" t="s">
        <v>26</v>
      </c>
      <c r="C50" s="37">
        <v>0.22916666666666671</v>
      </c>
      <c r="D50" s="36" t="s">
        <v>27</v>
      </c>
      <c r="E50" s="36" t="s">
        <v>97</v>
      </c>
      <c r="F50" s="36" t="s">
        <v>105</v>
      </c>
      <c r="G50" s="262"/>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25</v>
      </c>
      <c r="B51" s="15" t="s">
        <v>26</v>
      </c>
      <c r="C51" s="16">
        <v>0.22916666666666671</v>
      </c>
      <c r="D51" s="15" t="s">
        <v>33</v>
      </c>
      <c r="E51" s="15" t="s">
        <v>99</v>
      </c>
      <c r="F51" s="15" t="s">
        <v>106</v>
      </c>
      <c r="G51" s="262"/>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25</v>
      </c>
      <c r="B52" s="15" t="s">
        <v>26</v>
      </c>
      <c r="C52" s="16">
        <v>0.22916666666666671</v>
      </c>
      <c r="D52" s="15" t="s">
        <v>30</v>
      </c>
      <c r="E52" s="15" t="s">
        <v>99</v>
      </c>
      <c r="F52" s="15" t="s">
        <v>94</v>
      </c>
      <c r="G52" s="262"/>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6" t="s">
        <v>58</v>
      </c>
      <c r="B53" s="36" t="s">
        <v>65</v>
      </c>
      <c r="C53" s="37">
        <v>0.89583333333333337</v>
      </c>
      <c r="D53" s="36" t="s">
        <v>60</v>
      </c>
      <c r="E53" s="36" t="s">
        <v>103</v>
      </c>
      <c r="F53" s="36" t="s">
        <v>107</v>
      </c>
      <c r="G53" s="262"/>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58</v>
      </c>
      <c r="B54" s="38" t="s">
        <v>71</v>
      </c>
      <c r="C54" s="39">
        <v>0.22916666666666671</v>
      </c>
      <c r="D54" s="38" t="s">
        <v>60</v>
      </c>
      <c r="E54" s="38" t="s">
        <v>72</v>
      </c>
      <c r="F54" s="38" t="s">
        <v>108</v>
      </c>
      <c r="G54" s="262"/>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6" t="s">
        <v>75</v>
      </c>
      <c r="B55" s="36" t="s">
        <v>79</v>
      </c>
      <c r="C55" s="37">
        <v>0.95138888888888884</v>
      </c>
      <c r="D55" s="36" t="s">
        <v>60</v>
      </c>
      <c r="E55" s="36" t="s">
        <v>103</v>
      </c>
      <c r="F55" s="36" t="s">
        <v>96</v>
      </c>
      <c r="G55" s="262"/>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35</v>
      </c>
      <c r="B56" s="55" t="s">
        <v>43</v>
      </c>
      <c r="C56" s="56">
        <v>0.38194444444444442</v>
      </c>
      <c r="D56" s="55" t="s">
        <v>44</v>
      </c>
      <c r="E56" s="57"/>
      <c r="F56" s="55" t="s">
        <v>45</v>
      </c>
      <c r="G56" s="263"/>
      <c r="H56" s="58" t="s">
        <v>43</v>
      </c>
      <c r="I56" s="59">
        <v>1.0111000000000001</v>
      </c>
      <c r="J56" s="60">
        <v>182</v>
      </c>
      <c r="K56" s="61">
        <v>45984</v>
      </c>
      <c r="L56" s="60">
        <v>1</v>
      </c>
      <c r="M56" s="60">
        <v>0</v>
      </c>
      <c r="N56" s="60">
        <v>1</v>
      </c>
      <c r="O56" s="62" t="s">
        <v>46</v>
      </c>
      <c r="P56" s="63">
        <v>0.38194444444444442</v>
      </c>
      <c r="Q56" s="60">
        <v>180</v>
      </c>
      <c r="R56" s="64" t="s">
        <v>109</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5"/>
      <c r="B57" s="276"/>
      <c r="C57" s="276"/>
      <c r="D57" s="276"/>
      <c r="E57" s="276"/>
      <c r="F57" s="276"/>
      <c r="G57" s="276"/>
      <c r="H57" s="276"/>
      <c r="I57" s="276"/>
      <c r="J57" s="276"/>
      <c r="K57" s="276"/>
      <c r="L57" s="276"/>
      <c r="M57" s="276"/>
      <c r="N57" s="276"/>
      <c r="O57" s="276"/>
      <c r="P57" s="276"/>
      <c r="Q57" s="276"/>
      <c r="R57" s="27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66" t="s">
        <v>5</v>
      </c>
      <c r="B58" s="267"/>
      <c r="C58" s="267"/>
      <c r="D58" s="267"/>
      <c r="E58" s="267"/>
      <c r="F58" s="267"/>
      <c r="G58" s="5">
        <v>45989</v>
      </c>
      <c r="H58" s="270" t="s">
        <v>6</v>
      </c>
      <c r="I58" s="269"/>
      <c r="J58" s="269"/>
      <c r="K58" s="269"/>
      <c r="L58" s="269"/>
      <c r="M58" s="269"/>
      <c r="N58" s="269"/>
      <c r="O58" s="269"/>
      <c r="P58" s="269"/>
      <c r="Q58" s="269"/>
      <c r="R58" s="26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47" t="s">
        <v>7</v>
      </c>
      <c r="B59" s="47" t="s">
        <v>8</v>
      </c>
      <c r="C59" s="48" t="s">
        <v>9</v>
      </c>
      <c r="D59" s="47" t="s">
        <v>10</v>
      </c>
      <c r="E59" s="47" t="s">
        <v>11</v>
      </c>
      <c r="F59" s="47" t="s">
        <v>12</v>
      </c>
      <c r="G59" s="49" t="s">
        <v>13</v>
      </c>
      <c r="H59" s="47" t="s">
        <v>14</v>
      </c>
      <c r="I59" s="50" t="s">
        <v>15</v>
      </c>
      <c r="J59" s="51" t="s">
        <v>16</v>
      </c>
      <c r="K59" s="52" t="s">
        <v>17</v>
      </c>
      <c r="L59" s="51" t="s">
        <v>18</v>
      </c>
      <c r="M59" s="51" t="s">
        <v>19</v>
      </c>
      <c r="N59" s="51" t="s">
        <v>20</v>
      </c>
      <c r="O59" s="47" t="s">
        <v>21</v>
      </c>
      <c r="P59" s="48" t="s">
        <v>22</v>
      </c>
      <c r="Q59" s="51" t="s">
        <v>23</v>
      </c>
      <c r="R59" s="4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8" t="s">
        <v>25</v>
      </c>
      <c r="B60" s="8" t="s">
        <v>26</v>
      </c>
      <c r="C60" s="9">
        <v>0.22916666666666671</v>
      </c>
      <c r="D60" s="8" t="s">
        <v>27</v>
      </c>
      <c r="E60" s="8" t="s">
        <v>28</v>
      </c>
      <c r="F60" s="8" t="s">
        <v>92</v>
      </c>
      <c r="G60" s="261"/>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25</v>
      </c>
      <c r="B61" s="15" t="s">
        <v>26</v>
      </c>
      <c r="C61" s="16">
        <v>0.22916666666666671</v>
      </c>
      <c r="D61" s="15" t="s">
        <v>33</v>
      </c>
      <c r="E61" s="15" t="s">
        <v>31</v>
      </c>
      <c r="F61" s="15" t="s">
        <v>93</v>
      </c>
      <c r="G61" s="262"/>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25</v>
      </c>
      <c r="B62" s="15" t="s">
        <v>26</v>
      </c>
      <c r="C62" s="16">
        <v>0.22916666666666671</v>
      </c>
      <c r="D62" s="15" t="s">
        <v>30</v>
      </c>
      <c r="E62" s="15" t="s">
        <v>31</v>
      </c>
      <c r="F62" s="15" t="s">
        <v>94</v>
      </c>
      <c r="G62" s="262"/>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6" t="s">
        <v>48</v>
      </c>
      <c r="B63" s="36" t="s">
        <v>49</v>
      </c>
      <c r="C63" s="37">
        <v>0.60763888888888895</v>
      </c>
      <c r="D63" s="36" t="s">
        <v>50</v>
      </c>
      <c r="E63" s="36" t="s">
        <v>38</v>
      </c>
      <c r="F63" s="36" t="s">
        <v>110</v>
      </c>
      <c r="G63" s="262"/>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48</v>
      </c>
      <c r="B64" s="15" t="s">
        <v>49</v>
      </c>
      <c r="C64" s="16">
        <v>0.60763888888888895</v>
      </c>
      <c r="D64" s="15" t="s">
        <v>53</v>
      </c>
      <c r="E64" s="15" t="s">
        <v>74</v>
      </c>
      <c r="F64" s="15" t="s">
        <v>111</v>
      </c>
      <c r="G64" s="262"/>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48</v>
      </c>
      <c r="B65" s="15" t="s">
        <v>49</v>
      </c>
      <c r="C65" s="16">
        <v>0.60763888888888895</v>
      </c>
      <c r="D65" s="15" t="s">
        <v>56</v>
      </c>
      <c r="E65" s="15" t="s">
        <v>74</v>
      </c>
      <c r="F65" s="15" t="s">
        <v>112</v>
      </c>
      <c r="G65" s="262"/>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6" t="s">
        <v>75</v>
      </c>
      <c r="B66" s="36" t="s">
        <v>79</v>
      </c>
      <c r="C66" s="37">
        <v>0.94097222222222221</v>
      </c>
      <c r="D66" s="36" t="s">
        <v>60</v>
      </c>
      <c r="E66" s="36" t="s">
        <v>77</v>
      </c>
      <c r="F66" s="36" t="s">
        <v>113</v>
      </c>
      <c r="G66" s="262"/>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8" t="s">
        <v>75</v>
      </c>
      <c r="B67" s="38" t="s">
        <v>81</v>
      </c>
      <c r="C67" s="39">
        <v>0.69791666666666663</v>
      </c>
      <c r="D67" s="38" t="s">
        <v>60</v>
      </c>
      <c r="E67" s="38" t="s">
        <v>86</v>
      </c>
      <c r="F67" s="38" t="s">
        <v>114</v>
      </c>
      <c r="G67" s="262"/>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8" t="s">
        <v>75</v>
      </c>
      <c r="B68" s="38" t="s">
        <v>82</v>
      </c>
      <c r="C68" s="39">
        <v>6.5972222222222224E-2</v>
      </c>
      <c r="D68" s="38" t="s">
        <v>60</v>
      </c>
      <c r="E68" s="38" t="s">
        <v>86</v>
      </c>
      <c r="F68" s="38" t="s">
        <v>78</v>
      </c>
      <c r="G68" s="262"/>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6" t="s">
        <v>58</v>
      </c>
      <c r="B69" s="36" t="s">
        <v>59</v>
      </c>
      <c r="C69" s="37">
        <v>0.35069444444444442</v>
      </c>
      <c r="D69" s="36" t="s">
        <v>63</v>
      </c>
      <c r="E69" s="36" t="s">
        <v>77</v>
      </c>
      <c r="F69" s="36" t="s">
        <v>115</v>
      </c>
      <c r="G69" s="262"/>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8" t="s">
        <v>58</v>
      </c>
      <c r="B70" s="38" t="s">
        <v>65</v>
      </c>
      <c r="C70" s="39">
        <v>0.89583333333333337</v>
      </c>
      <c r="D70" s="38" t="s">
        <v>63</v>
      </c>
      <c r="E70" s="38" t="s">
        <v>86</v>
      </c>
      <c r="F70" s="38" t="s">
        <v>115</v>
      </c>
      <c r="G70" s="262"/>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8" t="s">
        <v>58</v>
      </c>
      <c r="B71" s="38" t="s">
        <v>69</v>
      </c>
      <c r="C71" s="39">
        <v>0.18402777777777779</v>
      </c>
      <c r="D71" s="38" t="s">
        <v>63</v>
      </c>
      <c r="E71" s="38" t="s">
        <v>86</v>
      </c>
      <c r="F71" s="38" t="s">
        <v>115</v>
      </c>
      <c r="G71" s="262"/>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0" t="s">
        <v>58</v>
      </c>
      <c r="B72" s="40" t="s">
        <v>71</v>
      </c>
      <c r="C72" s="41">
        <v>0.22916666666666671</v>
      </c>
      <c r="D72" s="40" t="s">
        <v>63</v>
      </c>
      <c r="E72" s="40" t="s">
        <v>72</v>
      </c>
      <c r="F72" s="40" t="s">
        <v>73</v>
      </c>
      <c r="G72" s="263"/>
      <c r="H72" s="42"/>
      <c r="I72" s="43"/>
      <c r="J72" s="43"/>
      <c r="K72" s="43"/>
      <c r="L72" s="43"/>
      <c r="M72" s="43"/>
      <c r="N72" s="43"/>
      <c r="O72" s="44"/>
      <c r="P72" s="43"/>
      <c r="Q72" s="45"/>
      <c r="R72" s="4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85"/>
      <c r="B73" s="286"/>
      <c r="C73" s="286"/>
      <c r="D73" s="286"/>
      <c r="E73" s="286"/>
      <c r="F73" s="286"/>
      <c r="G73" s="276"/>
      <c r="H73" s="287"/>
      <c r="I73" s="287"/>
      <c r="J73" s="287"/>
      <c r="K73" s="287"/>
      <c r="L73" s="287"/>
      <c r="M73" s="287"/>
      <c r="N73" s="287"/>
      <c r="O73" s="288"/>
      <c r="P73" s="287"/>
      <c r="Q73" s="276"/>
      <c r="R73" s="27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66" t="s">
        <v>5</v>
      </c>
      <c r="B74" s="267"/>
      <c r="C74" s="267"/>
      <c r="D74" s="267"/>
      <c r="E74" s="267"/>
      <c r="F74" s="267"/>
      <c r="G74" s="5">
        <v>45990</v>
      </c>
      <c r="H74" s="270" t="s">
        <v>6</v>
      </c>
      <c r="I74" s="269"/>
      <c r="J74" s="269"/>
      <c r="K74" s="269"/>
      <c r="L74" s="269"/>
      <c r="M74" s="269"/>
      <c r="N74" s="269"/>
      <c r="O74" s="269"/>
      <c r="P74" s="269"/>
      <c r="Q74" s="269"/>
      <c r="R74" s="26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47" t="s">
        <v>7</v>
      </c>
      <c r="B75" s="47" t="s">
        <v>8</v>
      </c>
      <c r="C75" s="48" t="s">
        <v>9</v>
      </c>
      <c r="D75" s="47" t="s">
        <v>10</v>
      </c>
      <c r="E75" s="47" t="s">
        <v>11</v>
      </c>
      <c r="F75" s="47" t="s">
        <v>12</v>
      </c>
      <c r="G75" s="49" t="s">
        <v>13</v>
      </c>
      <c r="H75" s="47" t="s">
        <v>14</v>
      </c>
      <c r="I75" s="50" t="s">
        <v>15</v>
      </c>
      <c r="J75" s="51" t="s">
        <v>16</v>
      </c>
      <c r="K75" s="52" t="s">
        <v>17</v>
      </c>
      <c r="L75" s="51" t="s">
        <v>18</v>
      </c>
      <c r="M75" s="51" t="s">
        <v>19</v>
      </c>
      <c r="N75" s="51" t="s">
        <v>20</v>
      </c>
      <c r="O75" s="47" t="s">
        <v>21</v>
      </c>
      <c r="P75" s="48" t="s">
        <v>22</v>
      </c>
      <c r="Q75" s="51" t="s">
        <v>23</v>
      </c>
      <c r="R75" s="4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8" t="s">
        <v>25</v>
      </c>
      <c r="B76" s="8" t="s">
        <v>26</v>
      </c>
      <c r="C76" s="9">
        <v>0.22916666666666671</v>
      </c>
      <c r="D76" s="8" t="s">
        <v>27</v>
      </c>
      <c r="E76" s="8" t="s">
        <v>61</v>
      </c>
      <c r="F76" s="8" t="s">
        <v>29</v>
      </c>
      <c r="G76" s="261"/>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25</v>
      </c>
      <c r="B77" s="15" t="s">
        <v>26</v>
      </c>
      <c r="C77" s="16">
        <v>0.22916666666666671</v>
      </c>
      <c r="D77" s="15" t="s">
        <v>33</v>
      </c>
      <c r="E77" s="15" t="s">
        <v>64</v>
      </c>
      <c r="F77" s="15" t="s">
        <v>34</v>
      </c>
      <c r="G77" s="262"/>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26</v>
      </c>
      <c r="C78" s="16">
        <v>0.22916666666666671</v>
      </c>
      <c r="D78" s="15" t="s">
        <v>30</v>
      </c>
      <c r="E78" s="15" t="s">
        <v>64</v>
      </c>
      <c r="F78" s="15" t="s">
        <v>94</v>
      </c>
      <c r="G78" s="26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36" t="s">
        <v>48</v>
      </c>
      <c r="B79" s="36" t="s">
        <v>104</v>
      </c>
      <c r="C79" s="37">
        <v>0.43402777777777768</v>
      </c>
      <c r="D79" s="36" t="s">
        <v>50</v>
      </c>
      <c r="E79" s="36" t="s">
        <v>61</v>
      </c>
      <c r="F79" s="36" t="s">
        <v>116</v>
      </c>
      <c r="G79" s="26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48</v>
      </c>
      <c r="B80" s="15" t="s">
        <v>104</v>
      </c>
      <c r="C80" s="16">
        <v>0.43402777777777768</v>
      </c>
      <c r="D80" s="15" t="s">
        <v>53</v>
      </c>
      <c r="E80" s="15" t="s">
        <v>64</v>
      </c>
      <c r="F80" s="15" t="s">
        <v>117</v>
      </c>
      <c r="G80" s="262"/>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48</v>
      </c>
      <c r="B81" s="15" t="s">
        <v>104</v>
      </c>
      <c r="C81" s="16">
        <v>0.43402777777777768</v>
      </c>
      <c r="D81" s="15" t="s">
        <v>56</v>
      </c>
      <c r="E81" s="15" t="s">
        <v>64</v>
      </c>
      <c r="F81" s="15" t="s">
        <v>111</v>
      </c>
      <c r="G81" s="262"/>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38" t="s">
        <v>48</v>
      </c>
      <c r="B82" s="38" t="s">
        <v>49</v>
      </c>
      <c r="C82" s="39">
        <v>0.60763888888888895</v>
      </c>
      <c r="D82" s="38" t="s">
        <v>50</v>
      </c>
      <c r="E82" s="38" t="s">
        <v>118</v>
      </c>
      <c r="F82" s="38" t="s">
        <v>110</v>
      </c>
      <c r="G82" s="262"/>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48</v>
      </c>
      <c r="B83" s="15" t="s">
        <v>49</v>
      </c>
      <c r="C83" s="16">
        <v>0.60763888888888895</v>
      </c>
      <c r="D83" s="15" t="s">
        <v>53</v>
      </c>
      <c r="E83" s="15" t="s">
        <v>119</v>
      </c>
      <c r="F83" s="15" t="s">
        <v>111</v>
      </c>
      <c r="G83" s="262"/>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48</v>
      </c>
      <c r="B84" s="15" t="s">
        <v>49</v>
      </c>
      <c r="C84" s="16">
        <v>0.60763888888888895</v>
      </c>
      <c r="D84" s="15" t="s">
        <v>56</v>
      </c>
      <c r="E84" s="15" t="s">
        <v>119</v>
      </c>
      <c r="F84" s="15" t="s">
        <v>112</v>
      </c>
      <c r="G84" s="262"/>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36" t="s">
        <v>75</v>
      </c>
      <c r="B85" s="36" t="s">
        <v>82</v>
      </c>
      <c r="C85" s="37">
        <v>6.5972222222222224E-2</v>
      </c>
      <c r="D85" s="36" t="s">
        <v>60</v>
      </c>
      <c r="E85" s="36" t="s">
        <v>77</v>
      </c>
      <c r="F85" s="36" t="s">
        <v>113</v>
      </c>
      <c r="G85" s="262"/>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38" t="s">
        <v>75</v>
      </c>
      <c r="B86" s="38" t="s">
        <v>79</v>
      </c>
      <c r="C86" s="39">
        <v>0.94097222222222221</v>
      </c>
      <c r="D86" s="38" t="s">
        <v>60</v>
      </c>
      <c r="E86" s="38" t="s">
        <v>86</v>
      </c>
      <c r="F86" s="38" t="s">
        <v>114</v>
      </c>
      <c r="G86" s="262"/>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38" t="s">
        <v>75</v>
      </c>
      <c r="B87" s="38" t="s">
        <v>81</v>
      </c>
      <c r="C87" s="39">
        <v>0.69791666666666663</v>
      </c>
      <c r="D87" s="38" t="s">
        <v>60</v>
      </c>
      <c r="E87" s="38" t="s">
        <v>86</v>
      </c>
      <c r="F87" s="38" t="s">
        <v>120</v>
      </c>
      <c r="G87" s="262"/>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38" t="s">
        <v>75</v>
      </c>
      <c r="B88" s="38" t="s">
        <v>76</v>
      </c>
      <c r="C88" s="39">
        <v>0.33680555555555558</v>
      </c>
      <c r="D88" s="38" t="s">
        <v>60</v>
      </c>
      <c r="E88" s="38" t="s">
        <v>86</v>
      </c>
      <c r="F88" s="38" t="s">
        <v>84</v>
      </c>
      <c r="G88" s="262"/>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38" t="s">
        <v>75</v>
      </c>
      <c r="B89" s="38" t="s">
        <v>85</v>
      </c>
      <c r="C89" s="39">
        <v>0.2986111111111111</v>
      </c>
      <c r="D89" s="38" t="s">
        <v>60</v>
      </c>
      <c r="E89" s="38" t="s">
        <v>121</v>
      </c>
      <c r="F89" s="38" t="s">
        <v>84</v>
      </c>
      <c r="G89" s="262"/>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36" t="s">
        <v>58</v>
      </c>
      <c r="B90" s="36" t="s">
        <v>59</v>
      </c>
      <c r="C90" s="37">
        <v>0.35416666666666669</v>
      </c>
      <c r="D90" s="36" t="s">
        <v>63</v>
      </c>
      <c r="E90" s="36" t="s">
        <v>77</v>
      </c>
      <c r="F90" s="36" t="s">
        <v>115</v>
      </c>
      <c r="G90" s="262"/>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38" t="s">
        <v>58</v>
      </c>
      <c r="B91" s="38" t="s">
        <v>65</v>
      </c>
      <c r="C91" s="39">
        <v>0.89583333333333337</v>
      </c>
      <c r="D91" s="38" t="s">
        <v>63</v>
      </c>
      <c r="E91" s="38" t="s">
        <v>86</v>
      </c>
      <c r="F91" s="38" t="s">
        <v>115</v>
      </c>
      <c r="G91" s="262"/>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8" t="s">
        <v>58</v>
      </c>
      <c r="B92" s="38" t="s">
        <v>69</v>
      </c>
      <c r="C92" s="39">
        <v>0.18402777777777779</v>
      </c>
      <c r="D92" s="38" t="s">
        <v>63</v>
      </c>
      <c r="E92" s="38" t="s">
        <v>86</v>
      </c>
      <c r="F92" s="38" t="s">
        <v>115</v>
      </c>
      <c r="G92" s="262"/>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8" t="s">
        <v>58</v>
      </c>
      <c r="B93" s="38" t="s">
        <v>71</v>
      </c>
      <c r="C93" s="39">
        <v>0.22916666666666671</v>
      </c>
      <c r="D93" s="38" t="s">
        <v>63</v>
      </c>
      <c r="E93" s="38" t="s">
        <v>72</v>
      </c>
      <c r="F93" s="38" t="s">
        <v>73</v>
      </c>
      <c r="G93" s="262"/>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65" t="s">
        <v>35</v>
      </c>
      <c r="B94" s="65" t="s">
        <v>43</v>
      </c>
      <c r="C94" s="66">
        <v>0.2361111111111111</v>
      </c>
      <c r="D94" s="65" t="s">
        <v>44</v>
      </c>
      <c r="E94" s="67"/>
      <c r="F94" s="65" t="s">
        <v>45</v>
      </c>
      <c r="G94" s="263"/>
      <c r="H94" s="68" t="s">
        <v>43</v>
      </c>
      <c r="I94" s="69">
        <v>0.99439999999999995</v>
      </c>
      <c r="J94" s="70">
        <v>179</v>
      </c>
      <c r="K94" s="71">
        <v>45977</v>
      </c>
      <c r="L94" s="70">
        <v>0</v>
      </c>
      <c r="M94" s="70">
        <v>0</v>
      </c>
      <c r="N94" s="70">
        <v>0</v>
      </c>
      <c r="O94" s="72" t="s">
        <v>46</v>
      </c>
      <c r="P94" s="73">
        <v>0.2361111111111111</v>
      </c>
      <c r="Q94" s="70">
        <v>180</v>
      </c>
      <c r="R94" s="74" t="s">
        <v>122</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275"/>
      <c r="B95" s="276"/>
      <c r="C95" s="276"/>
      <c r="D95" s="276"/>
      <c r="E95" s="276"/>
      <c r="F95" s="276"/>
      <c r="G95" s="276"/>
      <c r="H95" s="276"/>
      <c r="I95" s="276"/>
      <c r="J95" s="276"/>
      <c r="K95" s="276"/>
      <c r="L95" s="276"/>
      <c r="M95" s="276"/>
      <c r="N95" s="276"/>
      <c r="O95" s="276"/>
      <c r="P95" s="276"/>
      <c r="Q95" s="276"/>
      <c r="R95" s="27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66" t="s">
        <v>5</v>
      </c>
      <c r="B96" s="267"/>
      <c r="C96" s="267"/>
      <c r="D96" s="267"/>
      <c r="E96" s="267"/>
      <c r="F96" s="267"/>
      <c r="G96" s="5">
        <v>45991</v>
      </c>
      <c r="H96" s="270" t="s">
        <v>6</v>
      </c>
      <c r="I96" s="269"/>
      <c r="J96" s="269"/>
      <c r="K96" s="269"/>
      <c r="L96" s="269"/>
      <c r="M96" s="269"/>
      <c r="N96" s="269"/>
      <c r="O96" s="269"/>
      <c r="P96" s="269"/>
      <c r="Q96" s="269"/>
      <c r="R96" s="26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47" t="s">
        <v>7</v>
      </c>
      <c r="B97" s="47" t="s">
        <v>8</v>
      </c>
      <c r="C97" s="48" t="s">
        <v>9</v>
      </c>
      <c r="D97" s="47" t="s">
        <v>10</v>
      </c>
      <c r="E97" s="47" t="s">
        <v>11</v>
      </c>
      <c r="F97" s="47" t="s">
        <v>12</v>
      </c>
      <c r="G97" s="49" t="s">
        <v>13</v>
      </c>
      <c r="H97" s="47" t="s">
        <v>14</v>
      </c>
      <c r="I97" s="50" t="s">
        <v>15</v>
      </c>
      <c r="J97" s="51" t="s">
        <v>16</v>
      </c>
      <c r="K97" s="52" t="s">
        <v>17</v>
      </c>
      <c r="L97" s="51" t="s">
        <v>18</v>
      </c>
      <c r="M97" s="51" t="s">
        <v>19</v>
      </c>
      <c r="N97" s="51" t="s">
        <v>20</v>
      </c>
      <c r="O97" s="47" t="s">
        <v>21</v>
      </c>
      <c r="P97" s="48" t="s">
        <v>22</v>
      </c>
      <c r="Q97" s="51" t="s">
        <v>23</v>
      </c>
      <c r="R97" s="47"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8" t="s">
        <v>25</v>
      </c>
      <c r="B98" s="8" t="s">
        <v>26</v>
      </c>
      <c r="C98" s="9">
        <v>0.22916666666666671</v>
      </c>
      <c r="D98" s="8" t="s">
        <v>27</v>
      </c>
      <c r="E98" s="8" t="s">
        <v>103</v>
      </c>
      <c r="F98" s="8" t="s">
        <v>123</v>
      </c>
      <c r="G98" s="261"/>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25</v>
      </c>
      <c r="B99" s="15" t="s">
        <v>26</v>
      </c>
      <c r="C99" s="16">
        <v>0.22916666666666671</v>
      </c>
      <c r="D99" s="15" t="s">
        <v>33</v>
      </c>
      <c r="E99" s="15" t="s">
        <v>68</v>
      </c>
      <c r="F99" s="15" t="s">
        <v>32</v>
      </c>
      <c r="G99" s="262"/>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25</v>
      </c>
      <c r="B100" s="15" t="s">
        <v>26</v>
      </c>
      <c r="C100" s="16">
        <v>0.22916666666666671</v>
      </c>
      <c r="D100" s="15" t="s">
        <v>30</v>
      </c>
      <c r="E100" s="15" t="s">
        <v>68</v>
      </c>
      <c r="F100" s="15" t="s">
        <v>94</v>
      </c>
      <c r="G100" s="26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36" t="s">
        <v>48</v>
      </c>
      <c r="B101" s="36" t="s">
        <v>49</v>
      </c>
      <c r="C101" s="37">
        <v>0.60763888888888895</v>
      </c>
      <c r="D101" s="36" t="s">
        <v>50</v>
      </c>
      <c r="E101" s="36" t="s">
        <v>28</v>
      </c>
      <c r="F101" s="36" t="s">
        <v>110</v>
      </c>
      <c r="G101" s="262"/>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48</v>
      </c>
      <c r="B102" s="15" t="s">
        <v>49</v>
      </c>
      <c r="C102" s="16">
        <v>0.60763888888888895</v>
      </c>
      <c r="D102" s="15" t="s">
        <v>53</v>
      </c>
      <c r="E102" s="15" t="s">
        <v>31</v>
      </c>
      <c r="F102" s="15" t="s">
        <v>111</v>
      </c>
      <c r="G102" s="262"/>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48</v>
      </c>
      <c r="B103" s="15" t="s">
        <v>49</v>
      </c>
      <c r="C103" s="16">
        <v>0.60763888888888895</v>
      </c>
      <c r="D103" s="15" t="s">
        <v>56</v>
      </c>
      <c r="E103" s="15" t="s">
        <v>31</v>
      </c>
      <c r="F103" s="15" t="s">
        <v>112</v>
      </c>
      <c r="G103" s="262"/>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75" t="s">
        <v>35</v>
      </c>
      <c r="B104" s="75" t="s">
        <v>124</v>
      </c>
      <c r="C104" s="76">
        <v>0.74305555555555547</v>
      </c>
      <c r="D104" s="75" t="s">
        <v>37</v>
      </c>
      <c r="E104" s="75" t="s">
        <v>61</v>
      </c>
      <c r="F104" s="75" t="s">
        <v>125</v>
      </c>
      <c r="G104" s="262"/>
      <c r="H104" s="29" t="s">
        <v>43</v>
      </c>
      <c r="I104" s="30">
        <v>0.99439999999999995</v>
      </c>
      <c r="J104" s="31">
        <v>179</v>
      </c>
      <c r="K104" s="32">
        <v>45977</v>
      </c>
      <c r="L104" s="31">
        <v>0</v>
      </c>
      <c r="M104" s="31">
        <v>0</v>
      </c>
      <c r="N104" s="31">
        <v>0</v>
      </c>
      <c r="O104" s="33" t="s">
        <v>126</v>
      </c>
      <c r="P104" s="34">
        <v>0.74305555555555547</v>
      </c>
      <c r="Q104" s="31">
        <v>180</v>
      </c>
      <c r="R104" s="35" t="s">
        <v>127</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36" t="s">
        <v>75</v>
      </c>
      <c r="B105" s="36" t="s">
        <v>79</v>
      </c>
      <c r="C105" s="37">
        <v>0.94097222222222221</v>
      </c>
      <c r="D105" s="36" t="s">
        <v>60</v>
      </c>
      <c r="E105" s="36" t="s">
        <v>77</v>
      </c>
      <c r="F105" s="36" t="s">
        <v>113</v>
      </c>
      <c r="G105" s="262"/>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38" t="s">
        <v>75</v>
      </c>
      <c r="B106" s="38" t="s">
        <v>82</v>
      </c>
      <c r="C106" s="39">
        <v>6.5972222222222224E-2</v>
      </c>
      <c r="D106" s="38" t="s">
        <v>60</v>
      </c>
      <c r="E106" s="38" t="s">
        <v>86</v>
      </c>
      <c r="F106" s="38" t="s">
        <v>113</v>
      </c>
      <c r="G106" s="262"/>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6" t="s">
        <v>58</v>
      </c>
      <c r="B107" s="36" t="s">
        <v>69</v>
      </c>
      <c r="C107" s="37">
        <v>0.18402777777777779</v>
      </c>
      <c r="D107" s="36" t="s">
        <v>63</v>
      </c>
      <c r="E107" s="36" t="s">
        <v>77</v>
      </c>
      <c r="F107" s="36" t="s">
        <v>62</v>
      </c>
      <c r="G107" s="262"/>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8" t="s">
        <v>58</v>
      </c>
      <c r="B108" s="38" t="s">
        <v>71</v>
      </c>
      <c r="C108" s="39">
        <v>0.22916666666666671</v>
      </c>
      <c r="D108" s="38" t="s">
        <v>63</v>
      </c>
      <c r="E108" s="38" t="s">
        <v>72</v>
      </c>
      <c r="F108" s="38" t="s">
        <v>128</v>
      </c>
      <c r="G108" s="262"/>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40" t="s">
        <v>58</v>
      </c>
      <c r="B109" s="40" t="s">
        <v>65</v>
      </c>
      <c r="C109" s="41">
        <v>0.89583333333333337</v>
      </c>
      <c r="D109" s="40" t="s">
        <v>63</v>
      </c>
      <c r="E109" s="40" t="s">
        <v>80</v>
      </c>
      <c r="F109" s="40" t="s">
        <v>67</v>
      </c>
      <c r="G109" s="263"/>
      <c r="H109" s="42"/>
      <c r="I109" s="43"/>
      <c r="J109" s="43"/>
      <c r="K109" s="43"/>
      <c r="L109" s="43"/>
      <c r="M109" s="43"/>
      <c r="N109" s="43"/>
      <c r="O109" s="44"/>
      <c r="P109" s="43"/>
      <c r="Q109" s="45"/>
      <c r="R109" s="4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275"/>
      <c r="B110" s="276"/>
      <c r="C110" s="276"/>
      <c r="D110" s="276"/>
      <c r="E110" s="276"/>
      <c r="F110" s="276"/>
      <c r="G110" s="276"/>
      <c r="H110" s="276"/>
      <c r="I110" s="276"/>
      <c r="J110" s="276"/>
      <c r="K110" s="276"/>
      <c r="L110" s="276"/>
      <c r="M110" s="276"/>
      <c r="N110" s="276"/>
      <c r="O110" s="276"/>
      <c r="P110" s="276"/>
      <c r="Q110" s="276"/>
      <c r="R110" s="27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sheetData>
  <mergeCells count="33">
    <mergeCell ref="A110:R110"/>
    <mergeCell ref="A96:F96"/>
    <mergeCell ref="J1:M1"/>
    <mergeCell ref="G98:G109"/>
    <mergeCell ref="A58:F58"/>
    <mergeCell ref="K2:R2"/>
    <mergeCell ref="D1:F1"/>
    <mergeCell ref="G60:G72"/>
    <mergeCell ref="H27:R27"/>
    <mergeCell ref="G76:G94"/>
    <mergeCell ref="A1:C1"/>
    <mergeCell ref="A73:R73"/>
    <mergeCell ref="H96:R96"/>
    <mergeCell ref="G1:H1"/>
    <mergeCell ref="A45:R45"/>
    <mergeCell ref="A95:R95"/>
    <mergeCell ref="H74:R74"/>
    <mergeCell ref="H46:R46"/>
    <mergeCell ref="G2:J2"/>
    <mergeCell ref="A4:F4"/>
    <mergeCell ref="G48:G56"/>
    <mergeCell ref="O1:Q1"/>
    <mergeCell ref="A46:F46"/>
    <mergeCell ref="A27:F27"/>
    <mergeCell ref="A74:F74"/>
    <mergeCell ref="G6:G25"/>
    <mergeCell ref="G29:G44"/>
    <mergeCell ref="H4:R4"/>
    <mergeCell ref="H58:R58"/>
    <mergeCell ref="A2:F2"/>
    <mergeCell ref="A3:R3"/>
    <mergeCell ref="A26:R26"/>
    <mergeCell ref="A57:R5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40</v>
      </c>
      <c r="D2" s="81">
        <v>0.11805555555555559</v>
      </c>
      <c r="E2" s="80" t="s">
        <v>1</v>
      </c>
      <c r="F2" s="80" t="s">
        <v>159</v>
      </c>
      <c r="G2" s="82">
        <v>0.97219999999999995</v>
      </c>
      <c r="H2" s="83">
        <v>180</v>
      </c>
      <c r="I2" s="83">
        <v>175</v>
      </c>
      <c r="J2" s="83">
        <v>115</v>
      </c>
      <c r="K2" s="79">
        <v>45984</v>
      </c>
      <c r="L2" s="83">
        <v>0</v>
      </c>
      <c r="M2" s="83">
        <v>10</v>
      </c>
      <c r="N2" s="83">
        <v>11</v>
      </c>
      <c r="O2" s="80" t="s">
        <v>41</v>
      </c>
      <c r="P2" s="84"/>
      <c r="Q2" s="84"/>
      <c r="R2" s="84"/>
      <c r="S2" s="84"/>
      <c r="T2" s="84"/>
      <c r="U2" s="84"/>
      <c r="V2" s="84"/>
      <c r="W2" s="84"/>
      <c r="X2" s="83" t="s">
        <v>160</v>
      </c>
      <c r="Y2" s="84"/>
      <c r="Z2" s="83" t="s">
        <v>161</v>
      </c>
      <c r="AA2" s="83" t="s">
        <v>162</v>
      </c>
      <c r="AB2" s="83" t="s">
        <v>163</v>
      </c>
      <c r="AC2" s="83" t="s">
        <v>164</v>
      </c>
      <c r="AD2" s="83" t="s">
        <v>165</v>
      </c>
      <c r="AE2" s="83" t="s">
        <v>166</v>
      </c>
      <c r="AF2" s="84"/>
      <c r="AG2" s="84"/>
      <c r="AH2" s="83" t="s">
        <v>167</v>
      </c>
      <c r="AI2" s="84"/>
    </row>
    <row r="3" spans="1:35" ht="18" x14ac:dyDescent="0.3">
      <c r="A3" s="85" t="s">
        <v>158</v>
      </c>
      <c r="B3" s="86">
        <v>45986</v>
      </c>
      <c r="C3" s="87" t="s">
        <v>43</v>
      </c>
      <c r="D3" s="88">
        <v>0.81944444444444453</v>
      </c>
      <c r="E3" s="87" t="s">
        <v>1</v>
      </c>
      <c r="F3" s="87" t="s">
        <v>159</v>
      </c>
      <c r="G3" s="89">
        <v>0.99439999999999995</v>
      </c>
      <c r="H3" s="90">
        <v>180</v>
      </c>
      <c r="I3" s="90">
        <v>179</v>
      </c>
      <c r="J3" s="90">
        <v>152</v>
      </c>
      <c r="K3" s="86">
        <v>45984</v>
      </c>
      <c r="L3" s="90">
        <v>0</v>
      </c>
      <c r="M3" s="90">
        <v>1</v>
      </c>
      <c r="N3" s="90">
        <v>5</v>
      </c>
      <c r="O3" s="87" t="s">
        <v>46</v>
      </c>
      <c r="P3" s="91"/>
      <c r="Q3" s="91"/>
      <c r="R3" s="91"/>
      <c r="S3" s="91"/>
      <c r="T3" s="91"/>
      <c r="U3" s="91"/>
      <c r="V3" s="90" t="s">
        <v>168</v>
      </c>
      <c r="W3" s="91"/>
      <c r="X3" s="90" t="s">
        <v>169</v>
      </c>
      <c r="Y3" s="91"/>
      <c r="Z3" s="91"/>
      <c r="AA3" s="91"/>
      <c r="AB3" s="91"/>
      <c r="AC3" s="90" t="s">
        <v>170</v>
      </c>
      <c r="AD3" s="90" t="s">
        <v>171</v>
      </c>
      <c r="AE3" s="90" t="s">
        <v>172</v>
      </c>
      <c r="AF3" s="90" t="s">
        <v>173</v>
      </c>
      <c r="AG3" s="91"/>
      <c r="AH3" s="90" t="s">
        <v>174</v>
      </c>
      <c r="AI3" s="90" t="s">
        <v>175</v>
      </c>
    </row>
    <row r="4" spans="1:35" ht="18" x14ac:dyDescent="0.3">
      <c r="A4" s="78" t="s">
        <v>176</v>
      </c>
      <c r="B4" s="79">
        <v>45988</v>
      </c>
      <c r="C4" s="80" t="s">
        <v>43</v>
      </c>
      <c r="D4" s="81">
        <v>0.38194444444444442</v>
      </c>
      <c r="E4" s="80" t="s">
        <v>1</v>
      </c>
      <c r="F4" s="80" t="s">
        <v>159</v>
      </c>
      <c r="G4" s="82">
        <v>1.0111000000000001</v>
      </c>
      <c r="H4" s="83">
        <v>180</v>
      </c>
      <c r="I4" s="83">
        <v>182</v>
      </c>
      <c r="J4" s="83">
        <v>170</v>
      </c>
      <c r="K4" s="79">
        <v>45984</v>
      </c>
      <c r="L4" s="83">
        <v>0</v>
      </c>
      <c r="M4" s="83">
        <v>1</v>
      </c>
      <c r="N4" s="83">
        <v>1</v>
      </c>
      <c r="O4" s="80" t="s">
        <v>46</v>
      </c>
      <c r="P4" s="84"/>
      <c r="Q4" s="84"/>
      <c r="R4" s="84"/>
      <c r="S4" s="84"/>
      <c r="T4" s="84"/>
      <c r="U4" s="84"/>
      <c r="V4" s="84"/>
      <c r="W4" s="83" t="s">
        <v>126</v>
      </c>
      <c r="X4" s="84"/>
      <c r="Y4" s="84"/>
      <c r="Z4" s="84"/>
      <c r="AA4" s="84"/>
      <c r="AB4" s="84"/>
      <c r="AC4" s="84"/>
      <c r="AD4" s="83" t="s">
        <v>177</v>
      </c>
      <c r="AE4" s="83" t="s">
        <v>172</v>
      </c>
      <c r="AF4" s="84"/>
      <c r="AG4" s="84"/>
      <c r="AH4" s="83" t="s">
        <v>178</v>
      </c>
      <c r="AI4" s="83" t="s">
        <v>175</v>
      </c>
    </row>
    <row r="5" spans="1:35" ht="18" x14ac:dyDescent="0.3">
      <c r="A5" s="85" t="s">
        <v>179</v>
      </c>
      <c r="B5" s="86">
        <v>45990</v>
      </c>
      <c r="C5" s="87" t="s">
        <v>43</v>
      </c>
      <c r="D5" s="88">
        <v>0.2361111111111111</v>
      </c>
      <c r="E5" s="87" t="s">
        <v>1</v>
      </c>
      <c r="F5" s="87" t="s">
        <v>159</v>
      </c>
      <c r="G5" s="89">
        <v>0.99439999999999995</v>
      </c>
      <c r="H5" s="90">
        <v>180</v>
      </c>
      <c r="I5" s="90">
        <v>179</v>
      </c>
      <c r="J5" s="90">
        <v>138</v>
      </c>
      <c r="K5" s="86">
        <v>45977</v>
      </c>
      <c r="L5" s="90">
        <v>0</v>
      </c>
      <c r="M5" s="90">
        <v>0</v>
      </c>
      <c r="N5" s="90">
        <v>0</v>
      </c>
      <c r="O5" s="87" t="s">
        <v>46</v>
      </c>
      <c r="P5" s="91"/>
      <c r="Q5" s="91"/>
      <c r="R5" s="91"/>
      <c r="S5" s="91"/>
      <c r="T5" s="91"/>
      <c r="U5" s="91"/>
      <c r="V5" s="91"/>
      <c r="W5" s="91"/>
      <c r="X5" s="90" t="s">
        <v>180</v>
      </c>
      <c r="Y5" s="91"/>
      <c r="Z5" s="91"/>
      <c r="AA5" s="91"/>
      <c r="AB5" s="90" t="s">
        <v>181</v>
      </c>
      <c r="AC5" s="90" t="s">
        <v>182</v>
      </c>
      <c r="AD5" s="90" t="s">
        <v>183</v>
      </c>
      <c r="AE5" s="90" t="s">
        <v>166</v>
      </c>
      <c r="AF5" s="91"/>
      <c r="AG5" s="91"/>
      <c r="AH5" s="90" t="s">
        <v>184</v>
      </c>
      <c r="AI5" s="90" t="s">
        <v>185</v>
      </c>
    </row>
    <row r="6" spans="1:35" ht="18" x14ac:dyDescent="0.3">
      <c r="A6" s="78" t="s">
        <v>186</v>
      </c>
      <c r="B6" s="79">
        <v>45991</v>
      </c>
      <c r="C6" s="80" t="s">
        <v>43</v>
      </c>
      <c r="D6" s="81">
        <v>0.74305555555555547</v>
      </c>
      <c r="E6" s="80" t="s">
        <v>1</v>
      </c>
      <c r="F6" s="80" t="s">
        <v>159</v>
      </c>
      <c r="G6" s="82">
        <v>0.99439999999999995</v>
      </c>
      <c r="H6" s="83">
        <v>180</v>
      </c>
      <c r="I6" s="83">
        <v>179</v>
      </c>
      <c r="J6" s="83">
        <v>135</v>
      </c>
      <c r="K6" s="79">
        <v>45977</v>
      </c>
      <c r="L6" s="83">
        <v>0</v>
      </c>
      <c r="M6" s="83">
        <v>0</v>
      </c>
      <c r="N6" s="83">
        <v>0</v>
      </c>
      <c r="O6" s="80" t="s">
        <v>126</v>
      </c>
      <c r="P6" s="84"/>
      <c r="Q6" s="84"/>
      <c r="R6" s="84"/>
      <c r="S6" s="84"/>
      <c r="T6" s="84"/>
      <c r="U6" s="84"/>
      <c r="V6" s="84"/>
      <c r="W6" s="83" t="s">
        <v>187</v>
      </c>
      <c r="X6" s="84"/>
      <c r="Y6" s="84"/>
      <c r="Z6" s="84"/>
      <c r="AA6" s="84"/>
      <c r="AB6" s="83" t="s">
        <v>188</v>
      </c>
      <c r="AC6" s="83" t="s">
        <v>182</v>
      </c>
      <c r="AD6" s="83" t="s">
        <v>183</v>
      </c>
      <c r="AE6" s="83" t="s">
        <v>166</v>
      </c>
      <c r="AF6" s="84"/>
      <c r="AG6" s="84"/>
      <c r="AH6" s="83" t="s">
        <v>184</v>
      </c>
      <c r="AI6" s="84"/>
    </row>
    <row r="7" spans="1:35" ht="18" x14ac:dyDescent="0.3">
      <c r="A7" s="92" t="s">
        <v>189</v>
      </c>
      <c r="B7" s="93"/>
      <c r="C7" s="94">
        <f>COUNTA(C2:C6)</f>
        <v>5</v>
      </c>
      <c r="D7" s="93"/>
      <c r="E7" s="93"/>
      <c r="F7" s="93"/>
      <c r="G7" s="95">
        <f>AVERAGE(G2:G6)</f>
        <v>0.99329999999999996</v>
      </c>
      <c r="H7" s="96">
        <f>SUM(H2:H6)</f>
        <v>900</v>
      </c>
      <c r="I7" s="96">
        <f>SUM(I2:I6)</f>
        <v>894</v>
      </c>
      <c r="J7" s="96">
        <f>SUM(J2:J6)</f>
        <v>710</v>
      </c>
      <c r="K7" s="93"/>
      <c r="L7" s="96">
        <f>SUM(L2:L6)</f>
        <v>0</v>
      </c>
      <c r="M7" s="96">
        <f>SUM(M2:M6)</f>
        <v>12</v>
      </c>
      <c r="N7" s="96">
        <f>SUM(N2:N6)</f>
        <v>17</v>
      </c>
      <c r="O7" s="93"/>
      <c r="P7" s="96">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96">
        <f t="shared" si="0"/>
        <v>0</v>
      </c>
      <c r="R7" s="96">
        <f t="shared" si="0"/>
        <v>0</v>
      </c>
      <c r="S7" s="96">
        <f t="shared" si="0"/>
        <v>0</v>
      </c>
      <c r="T7" s="96">
        <f t="shared" si="0"/>
        <v>0</v>
      </c>
      <c r="U7" s="96">
        <f t="shared" si="0"/>
        <v>0</v>
      </c>
      <c r="V7" s="96">
        <f t="shared" si="0"/>
        <v>0</v>
      </c>
      <c r="W7" s="96">
        <f t="shared" si="0"/>
        <v>0</v>
      </c>
      <c r="X7" s="96">
        <f t="shared" si="0"/>
        <v>0</v>
      </c>
      <c r="Y7" s="96">
        <f t="shared" si="0"/>
        <v>0</v>
      </c>
      <c r="Z7" s="96">
        <f t="shared" si="0"/>
        <v>0</v>
      </c>
      <c r="AA7" s="96">
        <f t="shared" si="0"/>
        <v>0</v>
      </c>
      <c r="AB7" s="96">
        <f t="shared" si="0"/>
        <v>0</v>
      </c>
      <c r="AC7" s="96">
        <f t="shared" si="0"/>
        <v>0</v>
      </c>
      <c r="AD7" s="96">
        <f t="shared" si="0"/>
        <v>0</v>
      </c>
      <c r="AE7" s="96">
        <f t="shared" si="0"/>
        <v>0</v>
      </c>
      <c r="AF7" s="96">
        <f t="shared" si="0"/>
        <v>0</v>
      </c>
      <c r="AG7" s="96">
        <f t="shared" si="0"/>
        <v>0</v>
      </c>
      <c r="AH7" s="96">
        <f t="shared" si="0"/>
        <v>0</v>
      </c>
      <c r="AI7" s="96">
        <f t="shared" si="0"/>
        <v>0</v>
      </c>
    </row>
  </sheetData>
  <autoFilter ref="A1:AI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0"/>
  <sheetViews>
    <sheetView workbookViewId="0"/>
  </sheetViews>
  <sheetFormatPr defaultRowHeight="14.4" x14ac:dyDescent="0.3"/>
  <cols>
    <col min="1" max="1" width="13"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25</v>
      </c>
      <c r="C2" s="100" t="s">
        <v>26</v>
      </c>
      <c r="D2" s="99" t="s">
        <v>1</v>
      </c>
      <c r="E2" s="101">
        <v>1.229166666666667</v>
      </c>
      <c r="F2" s="99" t="s">
        <v>27</v>
      </c>
      <c r="G2" s="102">
        <v>8</v>
      </c>
      <c r="H2" s="103" t="s">
        <v>29</v>
      </c>
    </row>
    <row r="3" spans="1:8" ht="18" x14ac:dyDescent="0.3">
      <c r="A3" s="104">
        <v>45986</v>
      </c>
      <c r="B3" s="105" t="s">
        <v>25</v>
      </c>
      <c r="C3" s="106" t="s">
        <v>26</v>
      </c>
      <c r="D3" s="105" t="s">
        <v>1</v>
      </c>
      <c r="E3" s="107">
        <v>1.229166666666667</v>
      </c>
      <c r="F3" s="105" t="s">
        <v>30</v>
      </c>
      <c r="G3" s="108">
        <v>8</v>
      </c>
      <c r="H3" s="105" t="s">
        <v>32</v>
      </c>
    </row>
    <row r="4" spans="1:8" ht="18" x14ac:dyDescent="0.3">
      <c r="A4" s="104">
        <v>45986</v>
      </c>
      <c r="B4" s="105" t="s">
        <v>25</v>
      </c>
      <c r="C4" s="106" t="s">
        <v>26</v>
      </c>
      <c r="D4" s="105" t="s">
        <v>1</v>
      </c>
      <c r="E4" s="107">
        <v>1.229166666666667</v>
      </c>
      <c r="F4" s="105" t="s">
        <v>33</v>
      </c>
      <c r="G4" s="108">
        <v>8</v>
      </c>
      <c r="H4" s="105" t="s">
        <v>34</v>
      </c>
    </row>
    <row r="5" spans="1:8" ht="18" x14ac:dyDescent="0.3">
      <c r="A5" s="109">
        <v>45986</v>
      </c>
      <c r="B5" s="110" t="s">
        <v>35</v>
      </c>
      <c r="C5" s="111" t="s">
        <v>36</v>
      </c>
      <c r="D5" s="110" t="s">
        <v>1</v>
      </c>
      <c r="E5" s="112">
        <v>1.118055555555556</v>
      </c>
      <c r="F5" s="110" t="s">
        <v>37</v>
      </c>
      <c r="G5" s="113">
        <v>4</v>
      </c>
      <c r="H5" s="110" t="s">
        <v>39</v>
      </c>
    </row>
    <row r="6" spans="1:8" ht="18" x14ac:dyDescent="0.3">
      <c r="A6" s="114">
        <v>45986</v>
      </c>
      <c r="B6" s="115" t="s">
        <v>35</v>
      </c>
      <c r="C6" s="116" t="s">
        <v>43</v>
      </c>
      <c r="D6" s="115" t="s">
        <v>1</v>
      </c>
      <c r="E6" s="117">
        <v>1.819444444444444</v>
      </c>
      <c r="F6" s="115" t="s">
        <v>44</v>
      </c>
      <c r="G6" s="115"/>
      <c r="H6" s="115" t="s">
        <v>45</v>
      </c>
    </row>
    <row r="7" spans="1:8" ht="18" x14ac:dyDescent="0.3">
      <c r="A7" s="118">
        <v>45986</v>
      </c>
      <c r="B7" s="99" t="s">
        <v>48</v>
      </c>
      <c r="C7" s="100" t="s">
        <v>49</v>
      </c>
      <c r="D7" s="99" t="s">
        <v>1</v>
      </c>
      <c r="E7" s="101">
        <v>1.6076388888888891</v>
      </c>
      <c r="F7" s="99" t="s">
        <v>50</v>
      </c>
      <c r="G7" s="102">
        <v>3</v>
      </c>
      <c r="H7" s="99" t="s">
        <v>52</v>
      </c>
    </row>
    <row r="8" spans="1:8" ht="18" x14ac:dyDescent="0.3">
      <c r="A8" s="104">
        <v>45986</v>
      </c>
      <c r="B8" s="105" t="s">
        <v>48</v>
      </c>
      <c r="C8" s="106" t="s">
        <v>49</v>
      </c>
      <c r="D8" s="105" t="s">
        <v>1</v>
      </c>
      <c r="E8" s="107">
        <v>1.6076388888888891</v>
      </c>
      <c r="F8" s="105" t="s">
        <v>53</v>
      </c>
      <c r="G8" s="108">
        <v>3</v>
      </c>
      <c r="H8" s="105" t="s">
        <v>55</v>
      </c>
    </row>
    <row r="9" spans="1:8" ht="18" x14ac:dyDescent="0.3">
      <c r="A9" s="104">
        <v>45986</v>
      </c>
      <c r="B9" s="105" t="s">
        <v>48</v>
      </c>
      <c r="C9" s="106" t="s">
        <v>49</v>
      </c>
      <c r="D9" s="105" t="s">
        <v>1</v>
      </c>
      <c r="E9" s="107">
        <v>1.6076388888888891</v>
      </c>
      <c r="F9" s="105" t="s">
        <v>56</v>
      </c>
      <c r="G9" s="108">
        <v>3</v>
      </c>
      <c r="H9" s="105" t="s">
        <v>57</v>
      </c>
    </row>
    <row r="10" spans="1:8" ht="18" x14ac:dyDescent="0.3">
      <c r="A10" s="118">
        <v>45986</v>
      </c>
      <c r="B10" s="99" t="s">
        <v>58</v>
      </c>
      <c r="C10" s="100" t="s">
        <v>59</v>
      </c>
      <c r="D10" s="99" t="s">
        <v>1</v>
      </c>
      <c r="E10" s="101">
        <v>1.350694444444444</v>
      </c>
      <c r="F10" s="99" t="s">
        <v>60</v>
      </c>
      <c r="G10" s="102">
        <v>1</v>
      </c>
      <c r="H10" s="99" t="s">
        <v>62</v>
      </c>
    </row>
    <row r="11" spans="1:8" ht="18" x14ac:dyDescent="0.3">
      <c r="A11" s="104">
        <v>45986</v>
      </c>
      <c r="B11" s="105" t="s">
        <v>58</v>
      </c>
      <c r="C11" s="106" t="s">
        <v>59</v>
      </c>
      <c r="D11" s="105" t="s">
        <v>1</v>
      </c>
      <c r="E11" s="107">
        <v>1.350694444444444</v>
      </c>
      <c r="F11" s="105" t="s">
        <v>63</v>
      </c>
      <c r="G11" s="108">
        <v>1</v>
      </c>
      <c r="H11" s="105" t="s">
        <v>62</v>
      </c>
    </row>
    <row r="12" spans="1:8" ht="18" x14ac:dyDescent="0.3">
      <c r="A12" s="119">
        <v>45986</v>
      </c>
      <c r="B12" s="120" t="s">
        <v>58</v>
      </c>
      <c r="C12" s="121" t="s">
        <v>65</v>
      </c>
      <c r="D12" s="120" t="s">
        <v>1</v>
      </c>
      <c r="E12" s="122">
        <v>1.895833333333333</v>
      </c>
      <c r="F12" s="120" t="s">
        <v>60</v>
      </c>
      <c r="G12" s="123">
        <v>2</v>
      </c>
      <c r="H12" s="120" t="s">
        <v>67</v>
      </c>
    </row>
    <row r="13" spans="1:8" ht="18" x14ac:dyDescent="0.3">
      <c r="A13" s="104">
        <v>45986</v>
      </c>
      <c r="B13" s="105" t="s">
        <v>58</v>
      </c>
      <c r="C13" s="106" t="s">
        <v>65</v>
      </c>
      <c r="D13" s="105" t="s">
        <v>1</v>
      </c>
      <c r="E13" s="107">
        <v>1.895833333333333</v>
      </c>
      <c r="F13" s="105" t="s">
        <v>63</v>
      </c>
      <c r="G13" s="108">
        <v>2</v>
      </c>
      <c r="H13" s="105" t="s">
        <v>67</v>
      </c>
    </row>
    <row r="14" spans="1:8" ht="18" x14ac:dyDescent="0.3">
      <c r="A14" s="119">
        <v>45986</v>
      </c>
      <c r="B14" s="120" t="s">
        <v>58</v>
      </c>
      <c r="C14" s="121" t="s">
        <v>69</v>
      </c>
      <c r="D14" s="120" t="s">
        <v>1</v>
      </c>
      <c r="E14" s="122">
        <v>1.1840277777777779</v>
      </c>
      <c r="F14" s="120" t="s">
        <v>63</v>
      </c>
      <c r="G14" s="123">
        <v>3</v>
      </c>
      <c r="H14" s="120" t="s">
        <v>67</v>
      </c>
    </row>
    <row r="15" spans="1:8" ht="18" x14ac:dyDescent="0.3">
      <c r="A15" s="119">
        <v>45986</v>
      </c>
      <c r="B15" s="120" t="s">
        <v>58</v>
      </c>
      <c r="C15" s="121" t="s">
        <v>71</v>
      </c>
      <c r="D15" s="120" t="s">
        <v>1</v>
      </c>
      <c r="E15" s="122">
        <v>1.229166666666667</v>
      </c>
      <c r="F15" s="120" t="s">
        <v>60</v>
      </c>
      <c r="G15" s="123">
        <v>4</v>
      </c>
      <c r="H15" s="120" t="s">
        <v>73</v>
      </c>
    </row>
    <row r="16" spans="1:8" ht="18" x14ac:dyDescent="0.3">
      <c r="A16" s="104">
        <v>45986</v>
      </c>
      <c r="B16" s="105" t="s">
        <v>58</v>
      </c>
      <c r="C16" s="106" t="s">
        <v>71</v>
      </c>
      <c r="D16" s="105" t="s">
        <v>1</v>
      </c>
      <c r="E16" s="107">
        <v>1.229166666666667</v>
      </c>
      <c r="F16" s="105" t="s">
        <v>63</v>
      </c>
      <c r="G16" s="108">
        <v>4</v>
      </c>
      <c r="H16" s="105" t="s">
        <v>73</v>
      </c>
    </row>
    <row r="17" spans="1:8" ht="18" x14ac:dyDescent="0.3">
      <c r="A17" s="118">
        <v>45986</v>
      </c>
      <c r="B17" s="99" t="s">
        <v>75</v>
      </c>
      <c r="C17" s="100" t="s">
        <v>76</v>
      </c>
      <c r="D17" s="99" t="s">
        <v>1</v>
      </c>
      <c r="E17" s="101">
        <v>1.336805555555556</v>
      </c>
      <c r="F17" s="99" t="s">
        <v>60</v>
      </c>
      <c r="G17" s="102">
        <v>9</v>
      </c>
      <c r="H17" s="99" t="s">
        <v>78</v>
      </c>
    </row>
    <row r="18" spans="1:8" ht="18" x14ac:dyDescent="0.3">
      <c r="A18" s="119">
        <v>45986</v>
      </c>
      <c r="B18" s="120" t="s">
        <v>75</v>
      </c>
      <c r="C18" s="121" t="s">
        <v>79</v>
      </c>
      <c r="D18" s="120" t="s">
        <v>1</v>
      </c>
      <c r="E18" s="122">
        <v>1.9409722222222221</v>
      </c>
      <c r="F18" s="120" t="s">
        <v>60</v>
      </c>
      <c r="G18" s="123">
        <v>1</v>
      </c>
      <c r="H18" s="120" t="s">
        <v>78</v>
      </c>
    </row>
    <row r="19" spans="1:8" ht="18" x14ac:dyDescent="0.3">
      <c r="A19" s="119">
        <v>45986</v>
      </c>
      <c r="B19" s="120" t="s">
        <v>75</v>
      </c>
      <c r="C19" s="121" t="s">
        <v>81</v>
      </c>
      <c r="D19" s="120" t="s">
        <v>1</v>
      </c>
      <c r="E19" s="122">
        <v>1.697916666666667</v>
      </c>
      <c r="F19" s="120" t="s">
        <v>60</v>
      </c>
      <c r="G19" s="123">
        <v>3</v>
      </c>
      <c r="H19" s="120" t="s">
        <v>78</v>
      </c>
    </row>
    <row r="20" spans="1:8" ht="18" x14ac:dyDescent="0.3">
      <c r="A20" s="119">
        <v>45986</v>
      </c>
      <c r="B20" s="120" t="s">
        <v>75</v>
      </c>
      <c r="C20" s="121" t="s">
        <v>82</v>
      </c>
      <c r="D20" s="120" t="s">
        <v>1</v>
      </c>
      <c r="E20" s="122">
        <v>1.0659722222222221</v>
      </c>
      <c r="F20" s="120" t="s">
        <v>60</v>
      </c>
      <c r="G20" s="123">
        <v>7</v>
      </c>
      <c r="H20" s="120" t="s">
        <v>84</v>
      </c>
    </row>
    <row r="21" spans="1:8" ht="18" x14ac:dyDescent="0.3">
      <c r="A21" s="124">
        <v>45986</v>
      </c>
      <c r="B21" s="125" t="s">
        <v>75</v>
      </c>
      <c r="C21" s="126" t="s">
        <v>85</v>
      </c>
      <c r="D21" s="125" t="s">
        <v>1</v>
      </c>
      <c r="E21" s="127">
        <v>1.288194444444444</v>
      </c>
      <c r="F21" s="125" t="s">
        <v>60</v>
      </c>
      <c r="G21" s="128">
        <v>9</v>
      </c>
      <c r="H21" s="125" t="s">
        <v>84</v>
      </c>
    </row>
    <row r="22" spans="1:8" ht="18" x14ac:dyDescent="0.3">
      <c r="A22" s="98">
        <v>45987</v>
      </c>
      <c r="B22" s="99" t="s">
        <v>58</v>
      </c>
      <c r="C22" s="100" t="s">
        <v>69</v>
      </c>
      <c r="D22" s="99" t="s">
        <v>1</v>
      </c>
      <c r="E22" s="101">
        <v>1.1840277777777779</v>
      </c>
      <c r="F22" s="99" t="s">
        <v>87</v>
      </c>
      <c r="G22" s="102">
        <v>1</v>
      </c>
      <c r="H22" s="103" t="s">
        <v>88</v>
      </c>
    </row>
    <row r="23" spans="1:8" ht="18" x14ac:dyDescent="0.3">
      <c r="A23" s="104">
        <v>45987</v>
      </c>
      <c r="B23" s="105" t="s">
        <v>58</v>
      </c>
      <c r="C23" s="106" t="s">
        <v>69</v>
      </c>
      <c r="D23" s="105" t="s">
        <v>1</v>
      </c>
      <c r="E23" s="107">
        <v>1.1840277777777779</v>
      </c>
      <c r="F23" s="105" t="s">
        <v>89</v>
      </c>
      <c r="G23" s="108">
        <v>1</v>
      </c>
      <c r="H23" s="105" t="s">
        <v>88</v>
      </c>
    </row>
    <row r="24" spans="1:8" ht="18" x14ac:dyDescent="0.3">
      <c r="A24" s="104">
        <v>45987</v>
      </c>
      <c r="B24" s="105" t="s">
        <v>58</v>
      </c>
      <c r="C24" s="106" t="s">
        <v>69</v>
      </c>
      <c r="D24" s="105" t="s">
        <v>1</v>
      </c>
      <c r="E24" s="107">
        <v>1.1840277777777779</v>
      </c>
      <c r="F24" s="105" t="s">
        <v>63</v>
      </c>
      <c r="G24" s="108">
        <v>1</v>
      </c>
      <c r="H24" s="105" t="s">
        <v>90</v>
      </c>
    </row>
    <row r="25" spans="1:8" ht="18" x14ac:dyDescent="0.3">
      <c r="A25" s="119">
        <v>45987</v>
      </c>
      <c r="B25" s="120" t="s">
        <v>58</v>
      </c>
      <c r="C25" s="121" t="s">
        <v>59</v>
      </c>
      <c r="D25" s="120" t="s">
        <v>1</v>
      </c>
      <c r="E25" s="122">
        <v>1.350694444444444</v>
      </c>
      <c r="F25" s="120" t="s">
        <v>63</v>
      </c>
      <c r="G25" s="123">
        <v>1</v>
      </c>
      <c r="H25" s="120" t="s">
        <v>62</v>
      </c>
    </row>
    <row r="26" spans="1:8" ht="18" x14ac:dyDescent="0.3">
      <c r="A26" s="119">
        <v>45987</v>
      </c>
      <c r="B26" s="120" t="s">
        <v>58</v>
      </c>
      <c r="C26" s="121" t="s">
        <v>65</v>
      </c>
      <c r="D26" s="120" t="s">
        <v>1</v>
      </c>
      <c r="E26" s="122">
        <v>1.895833333333333</v>
      </c>
      <c r="F26" s="120" t="s">
        <v>60</v>
      </c>
      <c r="G26" s="123">
        <v>5</v>
      </c>
      <c r="H26" s="120" t="s">
        <v>62</v>
      </c>
    </row>
    <row r="27" spans="1:8" ht="18" x14ac:dyDescent="0.3">
      <c r="A27" s="119">
        <v>45987</v>
      </c>
      <c r="B27" s="120" t="s">
        <v>58</v>
      </c>
      <c r="C27" s="121" t="s">
        <v>71</v>
      </c>
      <c r="D27" s="120" t="s">
        <v>1</v>
      </c>
      <c r="E27" s="122">
        <v>1.229166666666667</v>
      </c>
      <c r="F27" s="120" t="s">
        <v>63</v>
      </c>
      <c r="G27" s="123">
        <v>4</v>
      </c>
      <c r="H27" s="120" t="s">
        <v>73</v>
      </c>
    </row>
    <row r="28" spans="1:8" ht="18" x14ac:dyDescent="0.3">
      <c r="A28" s="118">
        <v>45987</v>
      </c>
      <c r="B28" s="99" t="s">
        <v>25</v>
      </c>
      <c r="C28" s="100" t="s">
        <v>26</v>
      </c>
      <c r="D28" s="99" t="s">
        <v>1</v>
      </c>
      <c r="E28" s="101">
        <v>1.229166666666667</v>
      </c>
      <c r="F28" s="99" t="s">
        <v>27</v>
      </c>
      <c r="G28" s="102">
        <v>8</v>
      </c>
      <c r="H28" s="99" t="s">
        <v>92</v>
      </c>
    </row>
    <row r="29" spans="1:8" ht="18" x14ac:dyDescent="0.3">
      <c r="A29" s="104">
        <v>45987</v>
      </c>
      <c r="B29" s="105" t="s">
        <v>25</v>
      </c>
      <c r="C29" s="106" t="s">
        <v>26</v>
      </c>
      <c r="D29" s="105" t="s">
        <v>1</v>
      </c>
      <c r="E29" s="107">
        <v>1.229166666666667</v>
      </c>
      <c r="F29" s="105" t="s">
        <v>33</v>
      </c>
      <c r="G29" s="108">
        <v>8</v>
      </c>
      <c r="H29" s="105" t="s">
        <v>93</v>
      </c>
    </row>
    <row r="30" spans="1:8" ht="18" x14ac:dyDescent="0.3">
      <c r="A30" s="104">
        <v>45987</v>
      </c>
      <c r="B30" s="105" t="s">
        <v>25</v>
      </c>
      <c r="C30" s="106" t="s">
        <v>26</v>
      </c>
      <c r="D30" s="105" t="s">
        <v>1</v>
      </c>
      <c r="E30" s="107">
        <v>1.229166666666667</v>
      </c>
      <c r="F30" s="105" t="s">
        <v>30</v>
      </c>
      <c r="G30" s="108">
        <v>8</v>
      </c>
      <c r="H30" s="105" t="s">
        <v>94</v>
      </c>
    </row>
    <row r="31" spans="1:8" ht="18" x14ac:dyDescent="0.3">
      <c r="A31" s="118">
        <v>45987</v>
      </c>
      <c r="B31" s="99" t="s">
        <v>75</v>
      </c>
      <c r="C31" s="100" t="s">
        <v>85</v>
      </c>
      <c r="D31" s="99" t="s">
        <v>1</v>
      </c>
      <c r="E31" s="101">
        <v>1.288194444444444</v>
      </c>
      <c r="F31" s="99" t="s">
        <v>60</v>
      </c>
      <c r="G31" s="102">
        <v>9</v>
      </c>
      <c r="H31" s="99" t="s">
        <v>78</v>
      </c>
    </row>
    <row r="32" spans="1:8" ht="18" x14ac:dyDescent="0.3">
      <c r="A32" s="119">
        <v>45987</v>
      </c>
      <c r="B32" s="120" t="s">
        <v>75</v>
      </c>
      <c r="C32" s="121" t="s">
        <v>82</v>
      </c>
      <c r="D32" s="120" t="s">
        <v>1</v>
      </c>
      <c r="E32" s="122">
        <v>1.0659722222222221</v>
      </c>
      <c r="F32" s="120" t="s">
        <v>60</v>
      </c>
      <c r="G32" s="123">
        <v>7</v>
      </c>
      <c r="H32" s="120" t="s">
        <v>95</v>
      </c>
    </row>
    <row r="33" spans="1:8" ht="18" x14ac:dyDescent="0.3">
      <c r="A33" s="119">
        <v>45987</v>
      </c>
      <c r="B33" s="120" t="s">
        <v>75</v>
      </c>
      <c r="C33" s="121" t="s">
        <v>79</v>
      </c>
      <c r="D33" s="120" t="s">
        <v>1</v>
      </c>
      <c r="E33" s="122">
        <v>1.9513888888888891</v>
      </c>
      <c r="F33" s="120" t="s">
        <v>60</v>
      </c>
      <c r="G33" s="123">
        <v>2</v>
      </c>
      <c r="H33" s="120" t="s">
        <v>96</v>
      </c>
    </row>
    <row r="34" spans="1:8" ht="18" x14ac:dyDescent="0.3">
      <c r="A34" s="119">
        <v>45987</v>
      </c>
      <c r="B34" s="120" t="s">
        <v>75</v>
      </c>
      <c r="C34" s="121" t="s">
        <v>81</v>
      </c>
      <c r="D34" s="120" t="s">
        <v>1</v>
      </c>
      <c r="E34" s="122">
        <v>1.6909722222222221</v>
      </c>
      <c r="F34" s="120" t="s">
        <v>60</v>
      </c>
      <c r="G34" s="123">
        <v>1</v>
      </c>
      <c r="H34" s="120" t="s">
        <v>96</v>
      </c>
    </row>
    <row r="35" spans="1:8" ht="18" x14ac:dyDescent="0.3">
      <c r="A35" s="118">
        <v>45987</v>
      </c>
      <c r="B35" s="99" t="s">
        <v>48</v>
      </c>
      <c r="C35" s="100" t="s">
        <v>49</v>
      </c>
      <c r="D35" s="99" t="s">
        <v>1</v>
      </c>
      <c r="E35" s="101">
        <v>1.6076388888888891</v>
      </c>
      <c r="F35" s="99" t="s">
        <v>50</v>
      </c>
      <c r="G35" s="102">
        <v>5</v>
      </c>
      <c r="H35" s="99" t="s">
        <v>98</v>
      </c>
    </row>
    <row r="36" spans="1:8" ht="18" x14ac:dyDescent="0.3">
      <c r="A36" s="104">
        <v>45987</v>
      </c>
      <c r="B36" s="105" t="s">
        <v>48</v>
      </c>
      <c r="C36" s="106" t="s">
        <v>49</v>
      </c>
      <c r="D36" s="105" t="s">
        <v>1</v>
      </c>
      <c r="E36" s="107">
        <v>1.6076388888888891</v>
      </c>
      <c r="F36" s="105" t="s">
        <v>53</v>
      </c>
      <c r="G36" s="108">
        <v>5</v>
      </c>
      <c r="H36" s="105" t="s">
        <v>100</v>
      </c>
    </row>
    <row r="37" spans="1:8" ht="18" x14ac:dyDescent="0.3">
      <c r="A37" s="129">
        <v>45987</v>
      </c>
      <c r="B37" s="130" t="s">
        <v>48</v>
      </c>
      <c r="C37" s="131" t="s">
        <v>49</v>
      </c>
      <c r="D37" s="130" t="s">
        <v>1</v>
      </c>
      <c r="E37" s="132">
        <v>1.6076388888888891</v>
      </c>
      <c r="F37" s="130" t="s">
        <v>56</v>
      </c>
      <c r="G37" s="133">
        <v>5</v>
      </c>
      <c r="H37" s="130" t="s">
        <v>101</v>
      </c>
    </row>
    <row r="38" spans="1:8" ht="18" x14ac:dyDescent="0.3">
      <c r="A38" s="98">
        <v>45988</v>
      </c>
      <c r="B38" s="99" t="s">
        <v>48</v>
      </c>
      <c r="C38" s="100" t="s">
        <v>49</v>
      </c>
      <c r="D38" s="99" t="s">
        <v>1</v>
      </c>
      <c r="E38" s="101">
        <v>1.6076388888888891</v>
      </c>
      <c r="F38" s="99" t="s">
        <v>102</v>
      </c>
      <c r="G38" s="102">
        <v>2</v>
      </c>
      <c r="H38" s="103" t="s">
        <v>34</v>
      </c>
    </row>
    <row r="39" spans="1:8" ht="18" x14ac:dyDescent="0.3">
      <c r="A39" s="119">
        <v>45988</v>
      </c>
      <c r="B39" s="120" t="s">
        <v>48</v>
      </c>
      <c r="C39" s="121" t="s">
        <v>104</v>
      </c>
      <c r="D39" s="120" t="s">
        <v>1</v>
      </c>
      <c r="E39" s="122">
        <v>1.4340277777777779</v>
      </c>
      <c r="F39" s="120" t="s">
        <v>102</v>
      </c>
      <c r="G39" s="123">
        <v>3</v>
      </c>
      <c r="H39" s="120" t="s">
        <v>52</v>
      </c>
    </row>
    <row r="40" spans="1:8" ht="18" x14ac:dyDescent="0.3">
      <c r="A40" s="118">
        <v>45988</v>
      </c>
      <c r="B40" s="99" t="s">
        <v>25</v>
      </c>
      <c r="C40" s="100" t="s">
        <v>26</v>
      </c>
      <c r="D40" s="99" t="s">
        <v>1</v>
      </c>
      <c r="E40" s="101">
        <v>1.229166666666667</v>
      </c>
      <c r="F40" s="99" t="s">
        <v>27</v>
      </c>
      <c r="G40" s="102">
        <v>5</v>
      </c>
      <c r="H40" s="99" t="s">
        <v>105</v>
      </c>
    </row>
    <row r="41" spans="1:8" ht="18" x14ac:dyDescent="0.3">
      <c r="A41" s="104">
        <v>45988</v>
      </c>
      <c r="B41" s="105" t="s">
        <v>25</v>
      </c>
      <c r="C41" s="106" t="s">
        <v>26</v>
      </c>
      <c r="D41" s="105" t="s">
        <v>1</v>
      </c>
      <c r="E41" s="107">
        <v>1.229166666666667</v>
      </c>
      <c r="F41" s="105" t="s">
        <v>33</v>
      </c>
      <c r="G41" s="108">
        <v>5</v>
      </c>
      <c r="H41" s="105" t="s">
        <v>106</v>
      </c>
    </row>
    <row r="42" spans="1:8" ht="18" x14ac:dyDescent="0.3">
      <c r="A42" s="104">
        <v>45988</v>
      </c>
      <c r="B42" s="105" t="s">
        <v>25</v>
      </c>
      <c r="C42" s="106" t="s">
        <v>26</v>
      </c>
      <c r="D42" s="105" t="s">
        <v>1</v>
      </c>
      <c r="E42" s="107">
        <v>1.229166666666667</v>
      </c>
      <c r="F42" s="105" t="s">
        <v>30</v>
      </c>
      <c r="G42" s="108">
        <v>5</v>
      </c>
      <c r="H42" s="105" t="s">
        <v>94</v>
      </c>
    </row>
    <row r="43" spans="1:8" ht="18" x14ac:dyDescent="0.3">
      <c r="A43" s="118">
        <v>45988</v>
      </c>
      <c r="B43" s="99" t="s">
        <v>58</v>
      </c>
      <c r="C43" s="100" t="s">
        <v>65</v>
      </c>
      <c r="D43" s="99" t="s">
        <v>1</v>
      </c>
      <c r="E43" s="101">
        <v>1.895833333333333</v>
      </c>
      <c r="F43" s="99" t="s">
        <v>60</v>
      </c>
      <c r="G43" s="102">
        <v>2</v>
      </c>
      <c r="H43" s="99" t="s">
        <v>107</v>
      </c>
    </row>
    <row r="44" spans="1:8" ht="18" x14ac:dyDescent="0.3">
      <c r="A44" s="119">
        <v>45988</v>
      </c>
      <c r="B44" s="120" t="s">
        <v>58</v>
      </c>
      <c r="C44" s="121" t="s">
        <v>71</v>
      </c>
      <c r="D44" s="120" t="s">
        <v>1</v>
      </c>
      <c r="E44" s="122">
        <v>1.229166666666667</v>
      </c>
      <c r="F44" s="120" t="s">
        <v>60</v>
      </c>
      <c r="G44" s="123">
        <v>4</v>
      </c>
      <c r="H44" s="120" t="s">
        <v>108</v>
      </c>
    </row>
    <row r="45" spans="1:8" ht="18" x14ac:dyDescent="0.3">
      <c r="A45" s="118">
        <v>45988</v>
      </c>
      <c r="B45" s="99" t="s">
        <v>75</v>
      </c>
      <c r="C45" s="100" t="s">
        <v>79</v>
      </c>
      <c r="D45" s="99" t="s">
        <v>1</v>
      </c>
      <c r="E45" s="101">
        <v>1.9513888888888891</v>
      </c>
      <c r="F45" s="99" t="s">
        <v>60</v>
      </c>
      <c r="G45" s="102">
        <v>2</v>
      </c>
      <c r="H45" s="99" t="s">
        <v>96</v>
      </c>
    </row>
    <row r="46" spans="1:8" ht="18" x14ac:dyDescent="0.3">
      <c r="A46" s="134">
        <v>45988</v>
      </c>
      <c r="B46" s="135" t="s">
        <v>35</v>
      </c>
      <c r="C46" s="136" t="s">
        <v>43</v>
      </c>
      <c r="D46" s="135" t="s">
        <v>1</v>
      </c>
      <c r="E46" s="137">
        <v>1.381944444444444</v>
      </c>
      <c r="F46" s="135" t="s">
        <v>44</v>
      </c>
      <c r="G46" s="135"/>
      <c r="H46" s="135" t="s">
        <v>45</v>
      </c>
    </row>
    <row r="47" spans="1:8" ht="18" x14ac:dyDescent="0.3">
      <c r="A47" s="98">
        <v>45989</v>
      </c>
      <c r="B47" s="99" t="s">
        <v>25</v>
      </c>
      <c r="C47" s="100" t="s">
        <v>26</v>
      </c>
      <c r="D47" s="99" t="s">
        <v>1</v>
      </c>
      <c r="E47" s="101">
        <v>1.229166666666667</v>
      </c>
      <c r="F47" s="99" t="s">
        <v>27</v>
      </c>
      <c r="G47" s="102">
        <v>8</v>
      </c>
      <c r="H47" s="103" t="s">
        <v>92</v>
      </c>
    </row>
    <row r="48" spans="1:8" ht="18" x14ac:dyDescent="0.3">
      <c r="A48" s="104">
        <v>45989</v>
      </c>
      <c r="B48" s="105" t="s">
        <v>25</v>
      </c>
      <c r="C48" s="106" t="s">
        <v>26</v>
      </c>
      <c r="D48" s="105" t="s">
        <v>1</v>
      </c>
      <c r="E48" s="107">
        <v>1.229166666666667</v>
      </c>
      <c r="F48" s="105" t="s">
        <v>33</v>
      </c>
      <c r="G48" s="108">
        <v>8</v>
      </c>
      <c r="H48" s="105" t="s">
        <v>93</v>
      </c>
    </row>
    <row r="49" spans="1:8" ht="18" x14ac:dyDescent="0.3">
      <c r="A49" s="104">
        <v>45989</v>
      </c>
      <c r="B49" s="105" t="s">
        <v>25</v>
      </c>
      <c r="C49" s="106" t="s">
        <v>26</v>
      </c>
      <c r="D49" s="105" t="s">
        <v>1</v>
      </c>
      <c r="E49" s="107">
        <v>1.229166666666667</v>
      </c>
      <c r="F49" s="105" t="s">
        <v>30</v>
      </c>
      <c r="G49" s="108">
        <v>8</v>
      </c>
      <c r="H49" s="105" t="s">
        <v>94</v>
      </c>
    </row>
    <row r="50" spans="1:8" ht="18" x14ac:dyDescent="0.3">
      <c r="A50" s="118">
        <v>45989</v>
      </c>
      <c r="B50" s="99" t="s">
        <v>48</v>
      </c>
      <c r="C50" s="100" t="s">
        <v>49</v>
      </c>
      <c r="D50" s="99" t="s">
        <v>1</v>
      </c>
      <c r="E50" s="101">
        <v>1.6076388888888891</v>
      </c>
      <c r="F50" s="99" t="s">
        <v>50</v>
      </c>
      <c r="G50" s="102">
        <v>4</v>
      </c>
      <c r="H50" s="99" t="s">
        <v>110</v>
      </c>
    </row>
    <row r="51" spans="1:8" ht="18" x14ac:dyDescent="0.3">
      <c r="A51" s="104">
        <v>45989</v>
      </c>
      <c r="B51" s="105" t="s">
        <v>48</v>
      </c>
      <c r="C51" s="106" t="s">
        <v>49</v>
      </c>
      <c r="D51" s="105" t="s">
        <v>1</v>
      </c>
      <c r="E51" s="107">
        <v>1.6076388888888891</v>
      </c>
      <c r="F51" s="105" t="s">
        <v>53</v>
      </c>
      <c r="G51" s="108">
        <v>4</v>
      </c>
      <c r="H51" s="105" t="s">
        <v>111</v>
      </c>
    </row>
    <row r="52" spans="1:8" ht="18" x14ac:dyDescent="0.3">
      <c r="A52" s="104">
        <v>45989</v>
      </c>
      <c r="B52" s="105" t="s">
        <v>48</v>
      </c>
      <c r="C52" s="106" t="s">
        <v>49</v>
      </c>
      <c r="D52" s="105" t="s">
        <v>1</v>
      </c>
      <c r="E52" s="107">
        <v>1.6076388888888891</v>
      </c>
      <c r="F52" s="105" t="s">
        <v>56</v>
      </c>
      <c r="G52" s="108">
        <v>4</v>
      </c>
      <c r="H52" s="105" t="s">
        <v>112</v>
      </c>
    </row>
    <row r="53" spans="1:8" ht="18" x14ac:dyDescent="0.3">
      <c r="A53" s="118">
        <v>45989</v>
      </c>
      <c r="B53" s="99" t="s">
        <v>75</v>
      </c>
      <c r="C53" s="100" t="s">
        <v>79</v>
      </c>
      <c r="D53" s="99" t="s">
        <v>1</v>
      </c>
      <c r="E53" s="101">
        <v>1.9409722222222221</v>
      </c>
      <c r="F53" s="99" t="s">
        <v>60</v>
      </c>
      <c r="G53" s="102">
        <v>9</v>
      </c>
      <c r="H53" s="99" t="s">
        <v>113</v>
      </c>
    </row>
    <row r="54" spans="1:8" ht="18" x14ac:dyDescent="0.3">
      <c r="A54" s="119">
        <v>45989</v>
      </c>
      <c r="B54" s="120" t="s">
        <v>75</v>
      </c>
      <c r="C54" s="121" t="s">
        <v>81</v>
      </c>
      <c r="D54" s="120" t="s">
        <v>1</v>
      </c>
      <c r="E54" s="122">
        <v>1.697916666666667</v>
      </c>
      <c r="F54" s="120" t="s">
        <v>60</v>
      </c>
      <c r="G54" s="123">
        <v>9</v>
      </c>
      <c r="H54" s="120" t="s">
        <v>114</v>
      </c>
    </row>
    <row r="55" spans="1:8" ht="18" x14ac:dyDescent="0.3">
      <c r="A55" s="119">
        <v>45989</v>
      </c>
      <c r="B55" s="120" t="s">
        <v>75</v>
      </c>
      <c r="C55" s="121" t="s">
        <v>82</v>
      </c>
      <c r="D55" s="120" t="s">
        <v>1</v>
      </c>
      <c r="E55" s="122">
        <v>1.0659722222222221</v>
      </c>
      <c r="F55" s="120" t="s">
        <v>60</v>
      </c>
      <c r="G55" s="123">
        <v>9</v>
      </c>
      <c r="H55" s="120" t="s">
        <v>78</v>
      </c>
    </row>
    <row r="56" spans="1:8" ht="18" x14ac:dyDescent="0.3">
      <c r="A56" s="118">
        <v>45989</v>
      </c>
      <c r="B56" s="99" t="s">
        <v>58</v>
      </c>
      <c r="C56" s="100" t="s">
        <v>59</v>
      </c>
      <c r="D56" s="99" t="s">
        <v>1</v>
      </c>
      <c r="E56" s="101">
        <v>1.350694444444444</v>
      </c>
      <c r="F56" s="99" t="s">
        <v>63</v>
      </c>
      <c r="G56" s="102">
        <v>9</v>
      </c>
      <c r="H56" s="99" t="s">
        <v>115</v>
      </c>
    </row>
    <row r="57" spans="1:8" ht="18" x14ac:dyDescent="0.3">
      <c r="A57" s="119">
        <v>45989</v>
      </c>
      <c r="B57" s="120" t="s">
        <v>58</v>
      </c>
      <c r="C57" s="121" t="s">
        <v>65</v>
      </c>
      <c r="D57" s="120" t="s">
        <v>1</v>
      </c>
      <c r="E57" s="122">
        <v>1.895833333333333</v>
      </c>
      <c r="F57" s="120" t="s">
        <v>63</v>
      </c>
      <c r="G57" s="123">
        <v>9</v>
      </c>
      <c r="H57" s="120" t="s">
        <v>115</v>
      </c>
    </row>
    <row r="58" spans="1:8" ht="18" x14ac:dyDescent="0.3">
      <c r="A58" s="119">
        <v>45989</v>
      </c>
      <c r="B58" s="120" t="s">
        <v>58</v>
      </c>
      <c r="C58" s="121" t="s">
        <v>69</v>
      </c>
      <c r="D58" s="120" t="s">
        <v>1</v>
      </c>
      <c r="E58" s="122">
        <v>1.1840277777777779</v>
      </c>
      <c r="F58" s="120" t="s">
        <v>63</v>
      </c>
      <c r="G58" s="123">
        <v>9</v>
      </c>
      <c r="H58" s="120" t="s">
        <v>115</v>
      </c>
    </row>
    <row r="59" spans="1:8" ht="18" x14ac:dyDescent="0.3">
      <c r="A59" s="124">
        <v>45989</v>
      </c>
      <c r="B59" s="125" t="s">
        <v>58</v>
      </c>
      <c r="C59" s="126" t="s">
        <v>71</v>
      </c>
      <c r="D59" s="125" t="s">
        <v>1</v>
      </c>
      <c r="E59" s="127">
        <v>1.229166666666667</v>
      </c>
      <c r="F59" s="125" t="s">
        <v>63</v>
      </c>
      <c r="G59" s="128">
        <v>4</v>
      </c>
      <c r="H59" s="125" t="s">
        <v>73</v>
      </c>
    </row>
    <row r="60" spans="1:8" ht="18" x14ac:dyDescent="0.3">
      <c r="A60" s="98">
        <v>45990</v>
      </c>
      <c r="B60" s="99" t="s">
        <v>25</v>
      </c>
      <c r="C60" s="100" t="s">
        <v>26</v>
      </c>
      <c r="D60" s="99" t="s">
        <v>1</v>
      </c>
      <c r="E60" s="101">
        <v>1.229166666666667</v>
      </c>
      <c r="F60" s="99" t="s">
        <v>27</v>
      </c>
      <c r="G60" s="102">
        <v>1</v>
      </c>
      <c r="H60" s="103" t="s">
        <v>29</v>
      </c>
    </row>
    <row r="61" spans="1:8" ht="18" x14ac:dyDescent="0.3">
      <c r="A61" s="104">
        <v>45990</v>
      </c>
      <c r="B61" s="105" t="s">
        <v>25</v>
      </c>
      <c r="C61" s="106" t="s">
        <v>26</v>
      </c>
      <c r="D61" s="105" t="s">
        <v>1</v>
      </c>
      <c r="E61" s="107">
        <v>1.229166666666667</v>
      </c>
      <c r="F61" s="105" t="s">
        <v>33</v>
      </c>
      <c r="G61" s="108">
        <v>1</v>
      </c>
      <c r="H61" s="105" t="s">
        <v>34</v>
      </c>
    </row>
    <row r="62" spans="1:8" ht="18" x14ac:dyDescent="0.3">
      <c r="A62" s="104">
        <v>45990</v>
      </c>
      <c r="B62" s="105" t="s">
        <v>25</v>
      </c>
      <c r="C62" s="106" t="s">
        <v>26</v>
      </c>
      <c r="D62" s="105" t="s">
        <v>1</v>
      </c>
      <c r="E62" s="107">
        <v>1.229166666666667</v>
      </c>
      <c r="F62" s="105" t="s">
        <v>30</v>
      </c>
      <c r="G62" s="108">
        <v>1</v>
      </c>
      <c r="H62" s="105" t="s">
        <v>94</v>
      </c>
    </row>
    <row r="63" spans="1:8" ht="18" x14ac:dyDescent="0.3">
      <c r="A63" s="118">
        <v>45990</v>
      </c>
      <c r="B63" s="99" t="s">
        <v>48</v>
      </c>
      <c r="C63" s="100" t="s">
        <v>104</v>
      </c>
      <c r="D63" s="99" t="s">
        <v>1</v>
      </c>
      <c r="E63" s="101">
        <v>1.4340277777777779</v>
      </c>
      <c r="F63" s="99" t="s">
        <v>50</v>
      </c>
      <c r="G63" s="102">
        <v>1</v>
      </c>
      <c r="H63" s="99" t="s">
        <v>116</v>
      </c>
    </row>
    <row r="64" spans="1:8" ht="18" x14ac:dyDescent="0.3">
      <c r="A64" s="104">
        <v>45990</v>
      </c>
      <c r="B64" s="105" t="s">
        <v>48</v>
      </c>
      <c r="C64" s="106" t="s">
        <v>104</v>
      </c>
      <c r="D64" s="105" t="s">
        <v>1</v>
      </c>
      <c r="E64" s="107">
        <v>1.4340277777777779</v>
      </c>
      <c r="F64" s="105" t="s">
        <v>53</v>
      </c>
      <c r="G64" s="108">
        <v>1</v>
      </c>
      <c r="H64" s="105" t="s">
        <v>117</v>
      </c>
    </row>
    <row r="65" spans="1:8" ht="18" x14ac:dyDescent="0.3">
      <c r="A65" s="104">
        <v>45990</v>
      </c>
      <c r="B65" s="105" t="s">
        <v>48</v>
      </c>
      <c r="C65" s="106" t="s">
        <v>104</v>
      </c>
      <c r="D65" s="105" t="s">
        <v>1</v>
      </c>
      <c r="E65" s="107">
        <v>1.4340277777777779</v>
      </c>
      <c r="F65" s="105" t="s">
        <v>56</v>
      </c>
      <c r="G65" s="108">
        <v>1</v>
      </c>
      <c r="H65" s="105" t="s">
        <v>111</v>
      </c>
    </row>
    <row r="66" spans="1:8" ht="18" x14ac:dyDescent="0.3">
      <c r="A66" s="119">
        <v>45990</v>
      </c>
      <c r="B66" s="120" t="s">
        <v>48</v>
      </c>
      <c r="C66" s="121" t="s">
        <v>49</v>
      </c>
      <c r="D66" s="120" t="s">
        <v>1</v>
      </c>
      <c r="E66" s="122">
        <v>1.6076388888888891</v>
      </c>
      <c r="F66" s="120" t="s">
        <v>50</v>
      </c>
      <c r="G66" s="123">
        <v>9</v>
      </c>
      <c r="H66" s="120" t="s">
        <v>110</v>
      </c>
    </row>
    <row r="67" spans="1:8" ht="18" x14ac:dyDescent="0.3">
      <c r="A67" s="104">
        <v>45990</v>
      </c>
      <c r="B67" s="105" t="s">
        <v>48</v>
      </c>
      <c r="C67" s="106" t="s">
        <v>49</v>
      </c>
      <c r="D67" s="105" t="s">
        <v>1</v>
      </c>
      <c r="E67" s="107">
        <v>1.6076388888888891</v>
      </c>
      <c r="F67" s="105" t="s">
        <v>53</v>
      </c>
      <c r="G67" s="108">
        <v>9</v>
      </c>
      <c r="H67" s="105" t="s">
        <v>111</v>
      </c>
    </row>
    <row r="68" spans="1:8" ht="18" x14ac:dyDescent="0.3">
      <c r="A68" s="104">
        <v>45990</v>
      </c>
      <c r="B68" s="105" t="s">
        <v>48</v>
      </c>
      <c r="C68" s="106" t="s">
        <v>49</v>
      </c>
      <c r="D68" s="105" t="s">
        <v>1</v>
      </c>
      <c r="E68" s="107">
        <v>1.6076388888888891</v>
      </c>
      <c r="F68" s="105" t="s">
        <v>56</v>
      </c>
      <c r="G68" s="108">
        <v>9</v>
      </c>
      <c r="H68" s="105" t="s">
        <v>112</v>
      </c>
    </row>
    <row r="69" spans="1:8" ht="18" x14ac:dyDescent="0.3">
      <c r="A69" s="118">
        <v>45990</v>
      </c>
      <c r="B69" s="99" t="s">
        <v>75</v>
      </c>
      <c r="C69" s="100" t="s">
        <v>82</v>
      </c>
      <c r="D69" s="99" t="s">
        <v>1</v>
      </c>
      <c r="E69" s="101">
        <v>1.0659722222222221</v>
      </c>
      <c r="F69" s="99" t="s">
        <v>60</v>
      </c>
      <c r="G69" s="102">
        <v>9</v>
      </c>
      <c r="H69" s="99" t="s">
        <v>113</v>
      </c>
    </row>
    <row r="70" spans="1:8" ht="18" x14ac:dyDescent="0.3">
      <c r="A70" s="119">
        <v>45990</v>
      </c>
      <c r="B70" s="120" t="s">
        <v>75</v>
      </c>
      <c r="C70" s="121" t="s">
        <v>79</v>
      </c>
      <c r="D70" s="120" t="s">
        <v>1</v>
      </c>
      <c r="E70" s="122">
        <v>1.9409722222222221</v>
      </c>
      <c r="F70" s="120" t="s">
        <v>60</v>
      </c>
      <c r="G70" s="123">
        <v>9</v>
      </c>
      <c r="H70" s="120" t="s">
        <v>114</v>
      </c>
    </row>
    <row r="71" spans="1:8" ht="18" x14ac:dyDescent="0.3">
      <c r="A71" s="119">
        <v>45990</v>
      </c>
      <c r="B71" s="120" t="s">
        <v>75</v>
      </c>
      <c r="C71" s="121" t="s">
        <v>81</v>
      </c>
      <c r="D71" s="120" t="s">
        <v>1</v>
      </c>
      <c r="E71" s="122">
        <v>1.697916666666667</v>
      </c>
      <c r="F71" s="120" t="s">
        <v>60</v>
      </c>
      <c r="G71" s="123">
        <v>9</v>
      </c>
      <c r="H71" s="120" t="s">
        <v>120</v>
      </c>
    </row>
    <row r="72" spans="1:8" ht="18" x14ac:dyDescent="0.3">
      <c r="A72" s="119">
        <v>45990</v>
      </c>
      <c r="B72" s="120" t="s">
        <v>75</v>
      </c>
      <c r="C72" s="121" t="s">
        <v>76</v>
      </c>
      <c r="D72" s="120" t="s">
        <v>1</v>
      </c>
      <c r="E72" s="122">
        <v>1.336805555555556</v>
      </c>
      <c r="F72" s="120" t="s">
        <v>60</v>
      </c>
      <c r="G72" s="123">
        <v>9</v>
      </c>
      <c r="H72" s="120" t="s">
        <v>84</v>
      </c>
    </row>
    <row r="73" spans="1:8" ht="18" x14ac:dyDescent="0.3">
      <c r="A73" s="119">
        <v>45990</v>
      </c>
      <c r="B73" s="120" t="s">
        <v>75</v>
      </c>
      <c r="C73" s="121" t="s">
        <v>85</v>
      </c>
      <c r="D73" s="120" t="s">
        <v>1</v>
      </c>
      <c r="E73" s="122">
        <v>1.2986111111111109</v>
      </c>
      <c r="F73" s="120" t="s">
        <v>60</v>
      </c>
      <c r="G73" s="123">
        <v>6</v>
      </c>
      <c r="H73" s="120" t="s">
        <v>84</v>
      </c>
    </row>
    <row r="74" spans="1:8" ht="18" x14ac:dyDescent="0.3">
      <c r="A74" s="118">
        <v>45990</v>
      </c>
      <c r="B74" s="99" t="s">
        <v>58</v>
      </c>
      <c r="C74" s="100" t="s">
        <v>59</v>
      </c>
      <c r="D74" s="99" t="s">
        <v>1</v>
      </c>
      <c r="E74" s="101">
        <v>1.354166666666667</v>
      </c>
      <c r="F74" s="99" t="s">
        <v>63</v>
      </c>
      <c r="G74" s="102">
        <v>9</v>
      </c>
      <c r="H74" s="99" t="s">
        <v>115</v>
      </c>
    </row>
    <row r="75" spans="1:8" ht="18" x14ac:dyDescent="0.3">
      <c r="A75" s="119">
        <v>45990</v>
      </c>
      <c r="B75" s="120" t="s">
        <v>58</v>
      </c>
      <c r="C75" s="121" t="s">
        <v>65</v>
      </c>
      <c r="D75" s="120" t="s">
        <v>1</v>
      </c>
      <c r="E75" s="122">
        <v>1.895833333333333</v>
      </c>
      <c r="F75" s="120" t="s">
        <v>63</v>
      </c>
      <c r="G75" s="123">
        <v>9</v>
      </c>
      <c r="H75" s="120" t="s">
        <v>115</v>
      </c>
    </row>
    <row r="76" spans="1:8" ht="18" x14ac:dyDescent="0.3">
      <c r="A76" s="119">
        <v>45990</v>
      </c>
      <c r="B76" s="120" t="s">
        <v>58</v>
      </c>
      <c r="C76" s="121" t="s">
        <v>69</v>
      </c>
      <c r="D76" s="120" t="s">
        <v>1</v>
      </c>
      <c r="E76" s="122">
        <v>1.1840277777777779</v>
      </c>
      <c r="F76" s="120" t="s">
        <v>63</v>
      </c>
      <c r="G76" s="123">
        <v>9</v>
      </c>
      <c r="H76" s="120" t="s">
        <v>115</v>
      </c>
    </row>
    <row r="77" spans="1:8" ht="18" x14ac:dyDescent="0.3">
      <c r="A77" s="119">
        <v>45990</v>
      </c>
      <c r="B77" s="120" t="s">
        <v>58</v>
      </c>
      <c r="C77" s="121" t="s">
        <v>71</v>
      </c>
      <c r="D77" s="120" t="s">
        <v>1</v>
      </c>
      <c r="E77" s="122">
        <v>1.229166666666667</v>
      </c>
      <c r="F77" s="120" t="s">
        <v>63</v>
      </c>
      <c r="G77" s="123">
        <v>4</v>
      </c>
      <c r="H77" s="120" t="s">
        <v>73</v>
      </c>
    </row>
    <row r="78" spans="1:8" ht="18" x14ac:dyDescent="0.3">
      <c r="A78" s="134">
        <v>45990</v>
      </c>
      <c r="B78" s="135" t="s">
        <v>35</v>
      </c>
      <c r="C78" s="136" t="s">
        <v>43</v>
      </c>
      <c r="D78" s="135" t="s">
        <v>1</v>
      </c>
      <c r="E78" s="137">
        <v>1.2361111111111109</v>
      </c>
      <c r="F78" s="135" t="s">
        <v>44</v>
      </c>
      <c r="G78" s="135"/>
      <c r="H78" s="135" t="s">
        <v>45</v>
      </c>
    </row>
    <row r="79" spans="1:8" ht="18" x14ac:dyDescent="0.3">
      <c r="A79" s="98">
        <v>45991</v>
      </c>
      <c r="B79" s="99" t="s">
        <v>25</v>
      </c>
      <c r="C79" s="100" t="s">
        <v>26</v>
      </c>
      <c r="D79" s="99" t="s">
        <v>1</v>
      </c>
      <c r="E79" s="101">
        <v>1.229166666666667</v>
      </c>
      <c r="F79" s="99" t="s">
        <v>27</v>
      </c>
      <c r="G79" s="102">
        <v>2</v>
      </c>
      <c r="H79" s="103" t="s">
        <v>123</v>
      </c>
    </row>
    <row r="80" spans="1:8" ht="18" x14ac:dyDescent="0.3">
      <c r="A80" s="104">
        <v>45991</v>
      </c>
      <c r="B80" s="105" t="s">
        <v>25</v>
      </c>
      <c r="C80" s="106" t="s">
        <v>26</v>
      </c>
      <c r="D80" s="105" t="s">
        <v>1</v>
      </c>
      <c r="E80" s="107">
        <v>1.229166666666667</v>
      </c>
      <c r="F80" s="105" t="s">
        <v>33</v>
      </c>
      <c r="G80" s="108">
        <v>2</v>
      </c>
      <c r="H80" s="105" t="s">
        <v>32</v>
      </c>
    </row>
    <row r="81" spans="1:8" ht="18" x14ac:dyDescent="0.3">
      <c r="A81" s="104">
        <v>45991</v>
      </c>
      <c r="B81" s="105" t="s">
        <v>25</v>
      </c>
      <c r="C81" s="106" t="s">
        <v>26</v>
      </c>
      <c r="D81" s="105" t="s">
        <v>1</v>
      </c>
      <c r="E81" s="107">
        <v>1.229166666666667</v>
      </c>
      <c r="F81" s="105" t="s">
        <v>30</v>
      </c>
      <c r="G81" s="108">
        <v>2</v>
      </c>
      <c r="H81" s="105" t="s">
        <v>94</v>
      </c>
    </row>
    <row r="82" spans="1:8" ht="18" x14ac:dyDescent="0.3">
      <c r="A82" s="118">
        <v>45991</v>
      </c>
      <c r="B82" s="99" t="s">
        <v>48</v>
      </c>
      <c r="C82" s="100" t="s">
        <v>49</v>
      </c>
      <c r="D82" s="99" t="s">
        <v>1</v>
      </c>
      <c r="E82" s="101">
        <v>1.6076388888888891</v>
      </c>
      <c r="F82" s="99" t="s">
        <v>50</v>
      </c>
      <c r="G82" s="102">
        <v>8</v>
      </c>
      <c r="H82" s="99" t="s">
        <v>110</v>
      </c>
    </row>
    <row r="83" spans="1:8" ht="18" x14ac:dyDescent="0.3">
      <c r="A83" s="104">
        <v>45991</v>
      </c>
      <c r="B83" s="105" t="s">
        <v>48</v>
      </c>
      <c r="C83" s="106" t="s">
        <v>49</v>
      </c>
      <c r="D83" s="105" t="s">
        <v>1</v>
      </c>
      <c r="E83" s="107">
        <v>1.6076388888888891</v>
      </c>
      <c r="F83" s="105" t="s">
        <v>53</v>
      </c>
      <c r="G83" s="108">
        <v>8</v>
      </c>
      <c r="H83" s="105" t="s">
        <v>111</v>
      </c>
    </row>
    <row r="84" spans="1:8" ht="18" x14ac:dyDescent="0.3">
      <c r="A84" s="104">
        <v>45991</v>
      </c>
      <c r="B84" s="105" t="s">
        <v>48</v>
      </c>
      <c r="C84" s="106" t="s">
        <v>49</v>
      </c>
      <c r="D84" s="105" t="s">
        <v>1</v>
      </c>
      <c r="E84" s="107">
        <v>1.6076388888888891</v>
      </c>
      <c r="F84" s="105" t="s">
        <v>56</v>
      </c>
      <c r="G84" s="108">
        <v>8</v>
      </c>
      <c r="H84" s="105" t="s">
        <v>112</v>
      </c>
    </row>
    <row r="85" spans="1:8" ht="18" x14ac:dyDescent="0.3">
      <c r="A85" s="109">
        <v>45991</v>
      </c>
      <c r="B85" s="110" t="s">
        <v>35</v>
      </c>
      <c r="C85" s="111" t="s">
        <v>124</v>
      </c>
      <c r="D85" s="110" t="s">
        <v>1</v>
      </c>
      <c r="E85" s="112">
        <v>1.743055555555556</v>
      </c>
      <c r="F85" s="110" t="s">
        <v>37</v>
      </c>
      <c r="G85" s="113">
        <v>1</v>
      </c>
      <c r="H85" s="110" t="s">
        <v>125</v>
      </c>
    </row>
    <row r="86" spans="1:8" ht="18" x14ac:dyDescent="0.3">
      <c r="A86" s="118">
        <v>45991</v>
      </c>
      <c r="B86" s="99" t="s">
        <v>75</v>
      </c>
      <c r="C86" s="100" t="s">
        <v>79</v>
      </c>
      <c r="D86" s="99" t="s">
        <v>1</v>
      </c>
      <c r="E86" s="101">
        <v>1.9409722222222221</v>
      </c>
      <c r="F86" s="99" t="s">
        <v>60</v>
      </c>
      <c r="G86" s="102">
        <v>9</v>
      </c>
      <c r="H86" s="99" t="s">
        <v>113</v>
      </c>
    </row>
    <row r="87" spans="1:8" ht="18" x14ac:dyDescent="0.3">
      <c r="A87" s="119">
        <v>45991</v>
      </c>
      <c r="B87" s="120" t="s">
        <v>75</v>
      </c>
      <c r="C87" s="121" t="s">
        <v>82</v>
      </c>
      <c r="D87" s="120" t="s">
        <v>1</v>
      </c>
      <c r="E87" s="122">
        <v>1.0659722222222221</v>
      </c>
      <c r="F87" s="120" t="s">
        <v>60</v>
      </c>
      <c r="G87" s="123">
        <v>9</v>
      </c>
      <c r="H87" s="120" t="s">
        <v>113</v>
      </c>
    </row>
    <row r="88" spans="1:8" ht="18" x14ac:dyDescent="0.3">
      <c r="A88" s="118">
        <v>45991</v>
      </c>
      <c r="B88" s="99" t="s">
        <v>58</v>
      </c>
      <c r="C88" s="100" t="s">
        <v>69</v>
      </c>
      <c r="D88" s="99" t="s">
        <v>1</v>
      </c>
      <c r="E88" s="101">
        <v>1.1840277777777779</v>
      </c>
      <c r="F88" s="99" t="s">
        <v>63</v>
      </c>
      <c r="G88" s="102">
        <v>9</v>
      </c>
      <c r="H88" s="99" t="s">
        <v>62</v>
      </c>
    </row>
    <row r="89" spans="1:8" ht="18" x14ac:dyDescent="0.3">
      <c r="A89" s="119">
        <v>45991</v>
      </c>
      <c r="B89" s="120" t="s">
        <v>58</v>
      </c>
      <c r="C89" s="121" t="s">
        <v>71</v>
      </c>
      <c r="D89" s="120" t="s">
        <v>1</v>
      </c>
      <c r="E89" s="122">
        <v>1.229166666666667</v>
      </c>
      <c r="F89" s="120" t="s">
        <v>63</v>
      </c>
      <c r="G89" s="123">
        <v>4</v>
      </c>
      <c r="H89" s="120" t="s">
        <v>128</v>
      </c>
    </row>
    <row r="90" spans="1:8" ht="18" x14ac:dyDescent="0.3">
      <c r="A90" s="124">
        <v>45991</v>
      </c>
      <c r="B90" s="125" t="s">
        <v>58</v>
      </c>
      <c r="C90" s="126" t="s">
        <v>65</v>
      </c>
      <c r="D90" s="125" t="s">
        <v>1</v>
      </c>
      <c r="E90" s="127">
        <v>1.895833333333333</v>
      </c>
      <c r="F90" s="125" t="s">
        <v>63</v>
      </c>
      <c r="G90" s="128">
        <v>1</v>
      </c>
      <c r="H90" s="125" t="s">
        <v>67</v>
      </c>
    </row>
  </sheetData>
  <dataValidations count="5">
    <dataValidation type="custom" allowBlank="1" showInputMessage="1" promptTitle="LOAD FACTOR ANALYSIS" prompt="SM-487_x000d__x000a_LF 97.2%_x000d__x000a_SOLD 175_x000d__x000a_LST-SOLD 23NOV_x000d__x000a_WEEKLY 11_x000d__x000a_TO-DAY NIL_x000d__x000a_Y-DAY 10_x000d__x000a_LOWEST AVAIL G4_x000d__x000a_CAPACITY 180_x000d__x000a_CLASSES G6 &amp; W4 &amp; T10 &amp; +5 more" sqref="A5 B5 C5 D5 E5 F5 G5 H5" xr:uid="{00000000-0002-0000-0200-000000000000}">
      <formula1>TRUE</formula1>
    </dataValidation>
    <dataValidation type="custom" allowBlank="1" showInputMessage="1" promptTitle="LOAD FACTOR ANALYSIS" prompt="SM493_x000d__x000a_LF 99.4%_x000d__x000a_SOLD 179_x000d__x000a_LST-SOLD 23NOV_x000d__x000a_WEEKLY 5_x000d__x000a_TO-DAY NIL_x000d__x000a_Y-DAY 1_x000d__x000a_LOWEST AVAIL CLOSED_x000d__x000a_CAPACITY 180_x000d__x000a_CLASSES V1 &amp; G1 &amp; U3 &amp; +5 more" sqref="A6 B6 C6 D6 E6 F6 G6 H6" xr:uid="{00000000-0002-0000-0200-000001000000}">
      <formula1>TRUE</formula1>
    </dataValidation>
    <dataValidation type="custom" allowBlank="1" showInputMessage="1" promptTitle="LOAD FACTOR ANALYSIS" prompt="SM493_x000d__x000a_LF 1.0%_x000d__x000a_SOLD 182_x000d__x000a_LST-SOLD 23NOV_x000d__x000a_WEEKLY 1_x000d__x000a_TO-DAY NIL_x000d__x000a_Y-DAY 1_x000d__x000a_LOWEST AVAIL CLOSED_x000d__x000a_CAPACITY 180_x000d__x000a_CLASSES L1 &amp; O3 &amp; I8 &amp; +2 more" sqref="A46 B46 C46 D46 E46 F46 G46 H46" xr:uid="{00000000-0002-0000-0200-000002000000}">
      <formula1>TRUE</formula1>
    </dataValidation>
    <dataValidation type="custom" allowBlank="1" showInputMessage="1" promptTitle="LOAD FACTOR ANALYSIS" prompt="SM493_x000d__x000a_LF 99.4%_x000d__x000a_SOLD 179_x000d__x000a_LST-SOLD 16NOV_x000d__x000a_WEEKLY NIL_x000d__x000a_TO-DAY NIL_x000d__x000a_Y-DAY NIL_x000d__x000a_LOWEST AVAIL CLOSED_x000d__x000a_CAPACITY 180_x000d__x000a_CLASSES G2 &amp; X7 &amp; U11 &amp; +4 more" sqref="A78 B78 C78 D78 E78 F78 G78 H78" xr:uid="{00000000-0002-0000-0200-000003000000}">
      <formula1>TRUE</formula1>
    </dataValidation>
    <dataValidation type="custom" allowBlank="1" showInputMessage="1" promptTitle="LOAD FACTOR ANALYSIS" prompt="SM-493_x000d__x000a_LF 99.4%_x000d__x000a_SOLD 179_x000d__x000a_LST-SOLD 16NOV_x000d__x000a_WEEKLY NIL_x000d__x000a_TO-DAY NIL_x000d__x000a_Y-DAY NIL_x000d__x000a_LOWEST AVAIL L1_x000d__x000a_CAPACITY 180_x000d__x000a_CLASSES L4 &amp; X8 &amp; U11 &amp; +3 more" sqref="A85 B85 C85 D85 E85 F85 G85 H85" xr:uid="{00000000-0002-0000-0200-000004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7"/>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38" t="s">
        <v>129</v>
      </c>
      <c r="B1" s="138" t="s">
        <v>130</v>
      </c>
      <c r="C1" s="138" t="s">
        <v>131</v>
      </c>
      <c r="D1" s="138" t="s">
        <v>22</v>
      </c>
      <c r="E1" s="138" t="s">
        <v>132</v>
      </c>
      <c r="F1" s="138" t="s">
        <v>133</v>
      </c>
      <c r="G1" s="138" t="s">
        <v>15</v>
      </c>
      <c r="H1" s="138" t="s">
        <v>135</v>
      </c>
      <c r="I1" s="138" t="s">
        <v>136</v>
      </c>
      <c r="J1" s="138" t="s">
        <v>137</v>
      </c>
      <c r="K1" s="138" t="s">
        <v>17</v>
      </c>
      <c r="L1" s="138" t="s">
        <v>19</v>
      </c>
      <c r="M1" s="138" t="s">
        <v>20</v>
      </c>
      <c r="N1" s="138" t="s">
        <v>18</v>
      </c>
      <c r="O1" s="138" t="s">
        <v>21</v>
      </c>
      <c r="P1" s="138" t="s">
        <v>138</v>
      </c>
      <c r="Q1" s="138" t="s">
        <v>139</v>
      </c>
      <c r="R1" s="138" t="s">
        <v>140</v>
      </c>
      <c r="S1" s="138" t="s">
        <v>141</v>
      </c>
      <c r="T1" s="138" t="s">
        <v>142</v>
      </c>
      <c r="U1" s="138" t="s">
        <v>143</v>
      </c>
      <c r="V1" s="138" t="s">
        <v>144</v>
      </c>
      <c r="W1" s="138" t="s">
        <v>145</v>
      </c>
      <c r="X1" s="138" t="s">
        <v>146</v>
      </c>
      <c r="Y1" s="138" t="s">
        <v>147</v>
      </c>
      <c r="Z1" s="138" t="s">
        <v>148</v>
      </c>
      <c r="AA1" s="138" t="s">
        <v>149</v>
      </c>
      <c r="AB1" s="138" t="s">
        <v>150</v>
      </c>
      <c r="AC1" s="138" t="s">
        <v>151</v>
      </c>
      <c r="AD1" s="138" t="s">
        <v>152</v>
      </c>
      <c r="AE1" s="138" t="s">
        <v>153</v>
      </c>
      <c r="AF1" s="138" t="s">
        <v>154</v>
      </c>
      <c r="AG1" s="138" t="s">
        <v>155</v>
      </c>
      <c r="AH1" s="138" t="s">
        <v>156</v>
      </c>
      <c r="AI1" s="138" t="s">
        <v>157</v>
      </c>
    </row>
    <row r="2" spans="1:35" ht="18" x14ac:dyDescent="0.3">
      <c r="A2" s="139" t="s">
        <v>192</v>
      </c>
      <c r="B2" s="140">
        <v>45986</v>
      </c>
      <c r="C2" s="121" t="s">
        <v>40</v>
      </c>
      <c r="D2" s="141">
        <v>0.11805555555555559</v>
      </c>
      <c r="E2" s="121" t="s">
        <v>1</v>
      </c>
      <c r="F2" s="121" t="s">
        <v>159</v>
      </c>
      <c r="G2" s="142">
        <v>0.97219999999999995</v>
      </c>
      <c r="H2" s="123">
        <v>180</v>
      </c>
      <c r="I2" s="123">
        <v>175</v>
      </c>
      <c r="J2" s="123">
        <v>115</v>
      </c>
      <c r="K2" s="140">
        <v>45984</v>
      </c>
      <c r="L2" s="123">
        <v>0</v>
      </c>
      <c r="M2" s="123">
        <v>10</v>
      </c>
      <c r="N2" s="123">
        <v>11</v>
      </c>
      <c r="O2" s="121" t="s">
        <v>41</v>
      </c>
      <c r="P2" s="120"/>
      <c r="Q2" s="120"/>
      <c r="R2" s="120"/>
      <c r="S2" s="120"/>
      <c r="T2" s="120"/>
      <c r="U2" s="120"/>
      <c r="V2" s="120"/>
      <c r="W2" s="120"/>
      <c r="X2" s="123">
        <v>6</v>
      </c>
      <c r="Y2" s="120"/>
      <c r="Z2" s="123">
        <v>4</v>
      </c>
      <c r="AA2" s="123">
        <v>10</v>
      </c>
      <c r="AB2" s="123">
        <v>10</v>
      </c>
      <c r="AC2" s="123">
        <v>10</v>
      </c>
      <c r="AD2" s="123">
        <v>10</v>
      </c>
      <c r="AE2" s="123">
        <v>10</v>
      </c>
      <c r="AF2" s="120"/>
      <c r="AG2" s="120"/>
      <c r="AH2" s="123">
        <v>115</v>
      </c>
      <c r="AI2" s="120"/>
    </row>
    <row r="3" spans="1:35" ht="18" x14ac:dyDescent="0.3">
      <c r="A3" s="139" t="s">
        <v>192</v>
      </c>
      <c r="B3" s="140">
        <v>45986</v>
      </c>
      <c r="C3" s="121" t="s">
        <v>43</v>
      </c>
      <c r="D3" s="141">
        <v>0.81944444444444453</v>
      </c>
      <c r="E3" s="121" t="s">
        <v>1</v>
      </c>
      <c r="F3" s="121" t="s">
        <v>159</v>
      </c>
      <c r="G3" s="142">
        <v>0.99439999999999995</v>
      </c>
      <c r="H3" s="123">
        <v>180</v>
      </c>
      <c r="I3" s="123">
        <v>179</v>
      </c>
      <c r="J3" s="123">
        <v>152</v>
      </c>
      <c r="K3" s="140">
        <v>45984</v>
      </c>
      <c r="L3" s="123">
        <v>0</v>
      </c>
      <c r="M3" s="123">
        <v>1</v>
      </c>
      <c r="N3" s="123">
        <v>5</v>
      </c>
      <c r="O3" s="121" t="s">
        <v>46</v>
      </c>
      <c r="P3" s="120"/>
      <c r="Q3" s="120"/>
      <c r="R3" s="120"/>
      <c r="S3" s="120"/>
      <c r="T3" s="120"/>
      <c r="U3" s="120"/>
      <c r="V3" s="123">
        <v>1</v>
      </c>
      <c r="W3" s="120"/>
      <c r="X3" s="123">
        <v>1</v>
      </c>
      <c r="Y3" s="120"/>
      <c r="Z3" s="120"/>
      <c r="AA3" s="120"/>
      <c r="AB3" s="120"/>
      <c r="AC3" s="123">
        <v>3</v>
      </c>
      <c r="AD3" s="123">
        <v>12</v>
      </c>
      <c r="AE3" s="123">
        <v>8</v>
      </c>
      <c r="AF3" s="123">
        <v>65</v>
      </c>
      <c r="AG3" s="120"/>
      <c r="AH3" s="123">
        <v>87</v>
      </c>
      <c r="AI3" s="123">
        <v>2</v>
      </c>
    </row>
    <row r="4" spans="1:35" ht="18" x14ac:dyDescent="0.3">
      <c r="A4" s="139" t="s">
        <v>193</v>
      </c>
      <c r="B4" s="140">
        <v>45988</v>
      </c>
      <c r="C4" s="121" t="s">
        <v>43</v>
      </c>
      <c r="D4" s="141">
        <v>0.38194444444444442</v>
      </c>
      <c r="E4" s="121" t="s">
        <v>1</v>
      </c>
      <c r="F4" s="121" t="s">
        <v>159</v>
      </c>
      <c r="G4" s="142">
        <v>1.0111000000000001</v>
      </c>
      <c r="H4" s="123">
        <v>180</v>
      </c>
      <c r="I4" s="123">
        <v>182</v>
      </c>
      <c r="J4" s="123">
        <v>170</v>
      </c>
      <c r="K4" s="140">
        <v>45984</v>
      </c>
      <c r="L4" s="123">
        <v>0</v>
      </c>
      <c r="M4" s="123">
        <v>1</v>
      </c>
      <c r="N4" s="123">
        <v>1</v>
      </c>
      <c r="O4" s="121" t="s">
        <v>46</v>
      </c>
      <c r="P4" s="120"/>
      <c r="Q4" s="120"/>
      <c r="R4" s="120"/>
      <c r="S4" s="120"/>
      <c r="T4" s="120"/>
      <c r="U4" s="120"/>
      <c r="V4" s="120"/>
      <c r="W4" s="123">
        <v>1</v>
      </c>
      <c r="X4" s="120"/>
      <c r="Y4" s="120"/>
      <c r="Z4" s="120"/>
      <c r="AA4" s="120"/>
      <c r="AB4" s="120"/>
      <c r="AC4" s="120"/>
      <c r="AD4" s="123">
        <v>3</v>
      </c>
      <c r="AE4" s="123">
        <v>8</v>
      </c>
      <c r="AF4" s="120"/>
      <c r="AG4" s="120"/>
      <c r="AH4" s="123">
        <v>168</v>
      </c>
      <c r="AI4" s="123">
        <v>2</v>
      </c>
    </row>
    <row r="5" spans="1:35" ht="18" x14ac:dyDescent="0.3">
      <c r="A5" s="139" t="s">
        <v>194</v>
      </c>
      <c r="B5" s="140">
        <v>45990</v>
      </c>
      <c r="C5" s="121" t="s">
        <v>43</v>
      </c>
      <c r="D5" s="141">
        <v>0.2361111111111111</v>
      </c>
      <c r="E5" s="121" t="s">
        <v>1</v>
      </c>
      <c r="F5" s="121" t="s">
        <v>159</v>
      </c>
      <c r="G5" s="142">
        <v>0.99439999999999995</v>
      </c>
      <c r="H5" s="123">
        <v>180</v>
      </c>
      <c r="I5" s="123">
        <v>179</v>
      </c>
      <c r="J5" s="123">
        <v>138</v>
      </c>
      <c r="K5" s="140">
        <v>45977</v>
      </c>
      <c r="L5" s="123">
        <v>0</v>
      </c>
      <c r="M5" s="123">
        <v>0</v>
      </c>
      <c r="N5" s="123">
        <v>0</v>
      </c>
      <c r="O5" s="121" t="s">
        <v>46</v>
      </c>
      <c r="P5" s="120"/>
      <c r="Q5" s="120"/>
      <c r="R5" s="120"/>
      <c r="S5" s="120"/>
      <c r="T5" s="120"/>
      <c r="U5" s="120"/>
      <c r="V5" s="120"/>
      <c r="W5" s="120"/>
      <c r="X5" s="123">
        <v>2</v>
      </c>
      <c r="Y5" s="120"/>
      <c r="Z5" s="120"/>
      <c r="AA5" s="120"/>
      <c r="AB5" s="123">
        <v>7</v>
      </c>
      <c r="AC5" s="123">
        <v>11</v>
      </c>
      <c r="AD5" s="123">
        <v>11</v>
      </c>
      <c r="AE5" s="123">
        <v>10</v>
      </c>
      <c r="AF5" s="120"/>
      <c r="AG5" s="120"/>
      <c r="AH5" s="123">
        <v>135</v>
      </c>
      <c r="AI5" s="123">
        <v>3</v>
      </c>
    </row>
    <row r="6" spans="1:35" ht="18" x14ac:dyDescent="0.3">
      <c r="A6" s="139" t="s">
        <v>195</v>
      </c>
      <c r="B6" s="140">
        <v>45991</v>
      </c>
      <c r="C6" s="121" t="s">
        <v>43</v>
      </c>
      <c r="D6" s="141">
        <v>0.74305555555555547</v>
      </c>
      <c r="E6" s="121" t="s">
        <v>1</v>
      </c>
      <c r="F6" s="121" t="s">
        <v>159</v>
      </c>
      <c r="G6" s="142">
        <v>0.99439999999999995</v>
      </c>
      <c r="H6" s="123">
        <v>180</v>
      </c>
      <c r="I6" s="123">
        <v>179</v>
      </c>
      <c r="J6" s="123">
        <v>135</v>
      </c>
      <c r="K6" s="140">
        <v>45977</v>
      </c>
      <c r="L6" s="123">
        <v>0</v>
      </c>
      <c r="M6" s="123">
        <v>0</v>
      </c>
      <c r="N6" s="123">
        <v>0</v>
      </c>
      <c r="O6" s="121" t="s">
        <v>126</v>
      </c>
      <c r="P6" s="120"/>
      <c r="Q6" s="120"/>
      <c r="R6" s="120"/>
      <c r="S6" s="120"/>
      <c r="T6" s="120"/>
      <c r="U6" s="120"/>
      <c r="V6" s="120"/>
      <c r="W6" s="123">
        <v>4</v>
      </c>
      <c r="X6" s="120"/>
      <c r="Y6" s="120"/>
      <c r="Z6" s="120"/>
      <c r="AA6" s="120"/>
      <c r="AB6" s="123">
        <v>8</v>
      </c>
      <c r="AC6" s="123">
        <v>11</v>
      </c>
      <c r="AD6" s="123">
        <v>11</v>
      </c>
      <c r="AE6" s="123">
        <v>10</v>
      </c>
      <c r="AF6" s="120"/>
      <c r="AG6" s="120"/>
      <c r="AH6" s="123">
        <v>135</v>
      </c>
      <c r="AI6" s="120"/>
    </row>
    <row r="7" spans="1:35" x14ac:dyDescent="0.3">
      <c r="A7" s="143" t="s">
        <v>189</v>
      </c>
      <c r="B7" s="144"/>
      <c r="C7" s="145">
        <f>COUNTA(C2:C6)</f>
        <v>5</v>
      </c>
      <c r="D7" s="144"/>
      <c r="E7" s="144"/>
      <c r="F7" s="144"/>
      <c r="G7" s="146">
        <f>AVERAGE(G2:G6)</f>
        <v>0.99329999999999996</v>
      </c>
      <c r="H7" s="147">
        <f>SUM(H2:H6)</f>
        <v>900</v>
      </c>
      <c r="I7" s="147">
        <f>SUM(I2:I6)</f>
        <v>894</v>
      </c>
      <c r="J7" s="147">
        <f>SUM(J2:J6)</f>
        <v>710</v>
      </c>
      <c r="K7" s="144"/>
      <c r="L7" s="147">
        <f>SUM(L2:L6)</f>
        <v>0</v>
      </c>
      <c r="M7" s="147">
        <f>SUM(M2:M6)</f>
        <v>12</v>
      </c>
      <c r="N7" s="147">
        <f>SUM(N2:N6)</f>
        <v>17</v>
      </c>
      <c r="O7" s="144"/>
      <c r="P7" s="147">
        <f t="shared" ref="P7:AI7" si="0">SUM(P2:P6)</f>
        <v>0</v>
      </c>
      <c r="Q7" s="147">
        <f t="shared" si="0"/>
        <v>0</v>
      </c>
      <c r="R7" s="147">
        <f t="shared" si="0"/>
        <v>0</v>
      </c>
      <c r="S7" s="147">
        <f t="shared" si="0"/>
        <v>0</v>
      </c>
      <c r="T7" s="147">
        <f t="shared" si="0"/>
        <v>0</v>
      </c>
      <c r="U7" s="147">
        <f t="shared" si="0"/>
        <v>0</v>
      </c>
      <c r="V7" s="147">
        <f t="shared" si="0"/>
        <v>1</v>
      </c>
      <c r="W7" s="147">
        <f t="shared" si="0"/>
        <v>5</v>
      </c>
      <c r="X7" s="147">
        <f t="shared" si="0"/>
        <v>9</v>
      </c>
      <c r="Y7" s="147">
        <f t="shared" si="0"/>
        <v>0</v>
      </c>
      <c r="Z7" s="147">
        <f t="shared" si="0"/>
        <v>4</v>
      </c>
      <c r="AA7" s="147">
        <f t="shared" si="0"/>
        <v>10</v>
      </c>
      <c r="AB7" s="147">
        <f t="shared" si="0"/>
        <v>25</v>
      </c>
      <c r="AC7" s="147">
        <f t="shared" si="0"/>
        <v>35</v>
      </c>
      <c r="AD7" s="147">
        <f t="shared" si="0"/>
        <v>47</v>
      </c>
      <c r="AE7" s="147">
        <f t="shared" si="0"/>
        <v>46</v>
      </c>
      <c r="AF7" s="147">
        <f t="shared" si="0"/>
        <v>65</v>
      </c>
      <c r="AG7" s="147">
        <f t="shared" si="0"/>
        <v>0</v>
      </c>
      <c r="AH7" s="147">
        <f t="shared" si="0"/>
        <v>640</v>
      </c>
      <c r="AI7" s="147">
        <f t="shared" si="0"/>
        <v>7</v>
      </c>
    </row>
  </sheetData>
  <autoFilter ref="A1:AI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77"/>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33203125" bestFit="1" customWidth="1"/>
  </cols>
  <sheetData>
    <row r="1" spans="1:92" ht="28.8" customHeight="1" x14ac:dyDescent="0.3">
      <c r="A1" s="284" t="s">
        <v>0</v>
      </c>
      <c r="B1" s="265"/>
      <c r="C1" s="265"/>
      <c r="D1" s="284" t="s">
        <v>196</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45985.362112317292</v>
      </c>
      <c r="H2" s="272"/>
      <c r="I2" s="272"/>
      <c r="J2" s="272"/>
      <c r="K2" s="282">
        <v>45985.362112317744</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48" t="s">
        <v>35</v>
      </c>
      <c r="B6" s="148" t="s">
        <v>197</v>
      </c>
      <c r="C6" s="149">
        <v>0.15972222222222221</v>
      </c>
      <c r="D6" s="148" t="s">
        <v>44</v>
      </c>
      <c r="E6" s="150"/>
      <c r="F6" s="148" t="s">
        <v>45</v>
      </c>
      <c r="G6" s="261"/>
      <c r="H6" s="151" t="s">
        <v>197</v>
      </c>
      <c r="I6" s="152">
        <v>1</v>
      </c>
      <c r="J6" s="153">
        <v>180</v>
      </c>
      <c r="K6" s="154">
        <v>45983</v>
      </c>
      <c r="L6" s="153">
        <v>48</v>
      </c>
      <c r="M6" s="153">
        <v>0</v>
      </c>
      <c r="N6" s="153">
        <v>0</v>
      </c>
      <c r="O6" s="155" t="s">
        <v>46</v>
      </c>
      <c r="P6" s="156">
        <v>0.15972222222222221</v>
      </c>
      <c r="Q6" s="153">
        <v>180</v>
      </c>
      <c r="R6" s="157" t="s">
        <v>198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199</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38" t="s">
        <v>25</v>
      </c>
      <c r="B8" s="38" t="s">
        <v>26</v>
      </c>
      <c r="C8" s="39" t="s">
        <v>200</v>
      </c>
      <c r="D8" s="38" t="s">
        <v>27</v>
      </c>
      <c r="E8" s="38" t="s">
        <v>201</v>
      </c>
      <c r="F8" s="38" t="s">
        <v>29</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8" t="s">
        <v>35</v>
      </c>
      <c r="B9" s="38" t="s">
        <v>36</v>
      </c>
      <c r="C9" s="39" t="s">
        <v>202</v>
      </c>
      <c r="D9" s="38" t="s">
        <v>37</v>
      </c>
      <c r="E9" s="38" t="s">
        <v>203</v>
      </c>
      <c r="F9" s="38" t="s">
        <v>39</v>
      </c>
      <c r="G9" s="262"/>
      <c r="H9" s="158"/>
      <c r="I9" s="158"/>
      <c r="J9" s="158"/>
      <c r="K9" s="158"/>
      <c r="L9" s="158"/>
      <c r="M9" s="158"/>
      <c r="N9" s="158"/>
      <c r="O9" s="159"/>
      <c r="P9" s="158"/>
      <c r="Q9" s="160"/>
      <c r="R9" s="16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8" t="s">
        <v>25</v>
      </c>
      <c r="B10" s="38" t="s">
        <v>26</v>
      </c>
      <c r="C10" s="39" t="s">
        <v>200</v>
      </c>
      <c r="D10" s="38" t="s">
        <v>30</v>
      </c>
      <c r="E10" s="38" t="s">
        <v>201</v>
      </c>
      <c r="F10" s="38" t="s">
        <v>32</v>
      </c>
      <c r="G10" s="262"/>
      <c r="H10" s="158"/>
      <c r="I10" s="158"/>
      <c r="J10" s="158"/>
      <c r="K10" s="158"/>
      <c r="L10" s="158"/>
      <c r="M10" s="158"/>
      <c r="N10" s="158"/>
      <c r="O10" s="159"/>
      <c r="P10" s="158"/>
      <c r="Q10" s="160"/>
      <c r="R10" s="16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25</v>
      </c>
      <c r="B11" s="38" t="s">
        <v>26</v>
      </c>
      <c r="C11" s="39" t="s">
        <v>200</v>
      </c>
      <c r="D11" s="38" t="s">
        <v>33</v>
      </c>
      <c r="E11" s="38" t="s">
        <v>201</v>
      </c>
      <c r="F11" s="38" t="s">
        <v>34</v>
      </c>
      <c r="G11" s="262"/>
      <c r="H11" s="158"/>
      <c r="I11" s="158"/>
      <c r="J11" s="158"/>
      <c r="K11" s="158"/>
      <c r="L11" s="158"/>
      <c r="M11" s="158"/>
      <c r="N11" s="158"/>
      <c r="O11" s="159"/>
      <c r="P11" s="158"/>
      <c r="Q11" s="160"/>
      <c r="R11" s="16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48</v>
      </c>
      <c r="B12" s="38" t="s">
        <v>49</v>
      </c>
      <c r="C12" s="39" t="s">
        <v>204</v>
      </c>
      <c r="D12" s="38" t="s">
        <v>50</v>
      </c>
      <c r="E12" s="38" t="s">
        <v>205</v>
      </c>
      <c r="F12" s="38" t="s">
        <v>52</v>
      </c>
      <c r="G12" s="262"/>
      <c r="H12" s="158"/>
      <c r="I12" s="158"/>
      <c r="J12" s="158"/>
      <c r="K12" s="158"/>
      <c r="L12" s="158"/>
      <c r="M12" s="158"/>
      <c r="N12" s="158"/>
      <c r="O12" s="159"/>
      <c r="P12" s="158"/>
      <c r="Q12" s="160"/>
      <c r="R12" s="16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58</v>
      </c>
      <c r="B13" s="38" t="s">
        <v>59</v>
      </c>
      <c r="C13" s="39" t="s">
        <v>206</v>
      </c>
      <c r="D13" s="38" t="s">
        <v>60</v>
      </c>
      <c r="E13" s="38" t="s">
        <v>207</v>
      </c>
      <c r="F13" s="38" t="s">
        <v>62</v>
      </c>
      <c r="G13" s="262"/>
      <c r="H13" s="158"/>
      <c r="I13" s="158"/>
      <c r="J13" s="158"/>
      <c r="K13" s="158"/>
      <c r="L13" s="158"/>
      <c r="M13" s="158"/>
      <c r="N13" s="158"/>
      <c r="O13" s="159"/>
      <c r="P13" s="158"/>
      <c r="Q13" s="160"/>
      <c r="R13" s="16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58</v>
      </c>
      <c r="B14" s="38" t="s">
        <v>59</v>
      </c>
      <c r="C14" s="39" t="s">
        <v>206</v>
      </c>
      <c r="D14" s="38" t="s">
        <v>63</v>
      </c>
      <c r="E14" s="38" t="s">
        <v>207</v>
      </c>
      <c r="F14" s="38" t="s">
        <v>62</v>
      </c>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48</v>
      </c>
      <c r="B15" s="38" t="s">
        <v>49</v>
      </c>
      <c r="C15" s="39" t="s">
        <v>204</v>
      </c>
      <c r="D15" s="38" t="s">
        <v>53</v>
      </c>
      <c r="E15" s="38" t="s">
        <v>205</v>
      </c>
      <c r="F15" s="38" t="s">
        <v>55</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48</v>
      </c>
      <c r="B16" s="38" t="s">
        <v>49</v>
      </c>
      <c r="C16" s="39" t="s">
        <v>204</v>
      </c>
      <c r="D16" s="38" t="s">
        <v>56</v>
      </c>
      <c r="E16" s="38" t="s">
        <v>205</v>
      </c>
      <c r="F16" s="38" t="s">
        <v>57</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0" t="s">
        <v>75</v>
      </c>
      <c r="B17" s="40" t="s">
        <v>76</v>
      </c>
      <c r="C17" s="41" t="s">
        <v>208</v>
      </c>
      <c r="D17" s="40" t="s">
        <v>60</v>
      </c>
      <c r="E17" s="40" t="s">
        <v>209</v>
      </c>
      <c r="F17" s="40" t="s">
        <v>78</v>
      </c>
      <c r="G17" s="263"/>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66" t="s">
        <v>5</v>
      </c>
      <c r="B19" s="267"/>
      <c r="C19" s="267"/>
      <c r="D19" s="267"/>
      <c r="E19" s="267"/>
      <c r="F19" s="267"/>
      <c r="G19" s="5">
        <v>45987</v>
      </c>
      <c r="H19" s="270" t="s">
        <v>6</v>
      </c>
      <c r="I19" s="269"/>
      <c r="J19" s="269"/>
      <c r="K19" s="269"/>
      <c r="L19" s="269"/>
      <c r="M19" s="269"/>
      <c r="N19" s="269"/>
      <c r="O19" s="269"/>
      <c r="P19" s="269"/>
      <c r="Q19" s="269"/>
      <c r="R19" s="26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47" t="s">
        <v>7</v>
      </c>
      <c r="B20" s="47" t="s">
        <v>8</v>
      </c>
      <c r="C20" s="48" t="s">
        <v>9</v>
      </c>
      <c r="D20" s="47" t="s">
        <v>10</v>
      </c>
      <c r="E20" s="47" t="s">
        <v>11</v>
      </c>
      <c r="F20" s="47" t="s">
        <v>12</v>
      </c>
      <c r="G20" s="49" t="s">
        <v>13</v>
      </c>
      <c r="H20" s="47" t="s">
        <v>14</v>
      </c>
      <c r="I20" s="50" t="s">
        <v>15</v>
      </c>
      <c r="J20" s="51" t="s">
        <v>16</v>
      </c>
      <c r="K20" s="52" t="s">
        <v>17</v>
      </c>
      <c r="L20" s="51" t="s">
        <v>18</v>
      </c>
      <c r="M20" s="51" t="s">
        <v>19</v>
      </c>
      <c r="N20" s="51" t="s">
        <v>20</v>
      </c>
      <c r="O20" s="47" t="s">
        <v>21</v>
      </c>
      <c r="P20" s="48" t="s">
        <v>22</v>
      </c>
      <c r="Q20" s="51" t="s">
        <v>23</v>
      </c>
      <c r="R20" s="4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5" t="s">
        <v>35</v>
      </c>
      <c r="B21" s="75" t="s">
        <v>197</v>
      </c>
      <c r="C21" s="76">
        <v>0.77777777777777779</v>
      </c>
      <c r="D21" s="75" t="s">
        <v>44</v>
      </c>
      <c r="E21" s="164"/>
      <c r="F21" s="75" t="s">
        <v>45</v>
      </c>
      <c r="G21" s="261"/>
      <c r="H21" s="29" t="s">
        <v>197</v>
      </c>
      <c r="I21" s="30">
        <v>0.99439999999999995</v>
      </c>
      <c r="J21" s="31">
        <v>179</v>
      </c>
      <c r="K21" s="32">
        <v>45976</v>
      </c>
      <c r="L21" s="31">
        <v>0</v>
      </c>
      <c r="M21" s="31">
        <v>0</v>
      </c>
      <c r="N21" s="31">
        <v>0</v>
      </c>
      <c r="O21" s="33" t="s">
        <v>46</v>
      </c>
      <c r="P21" s="34">
        <v>0.77777777777777779</v>
      </c>
      <c r="Q21" s="31">
        <v>180</v>
      </c>
      <c r="R21" s="35" t="s">
        <v>210</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89" t="s">
        <v>199</v>
      </c>
      <c r="B22" s="290"/>
      <c r="C22" s="290"/>
      <c r="D22" s="290"/>
      <c r="E22" s="290"/>
      <c r="F22" s="290"/>
      <c r="G22" s="262"/>
      <c r="H22" s="158"/>
      <c r="I22" s="158"/>
      <c r="J22" s="158"/>
      <c r="K22" s="158"/>
      <c r="L22" s="158"/>
      <c r="M22" s="158"/>
      <c r="N22" s="158"/>
      <c r="O22" s="159"/>
      <c r="P22" s="158"/>
      <c r="Q22" s="160"/>
      <c r="R22" s="16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8" t="s">
        <v>58</v>
      </c>
      <c r="B23" s="38" t="s">
        <v>69</v>
      </c>
      <c r="C23" s="39" t="s">
        <v>211</v>
      </c>
      <c r="D23" s="38" t="s">
        <v>87</v>
      </c>
      <c r="E23" s="38" t="s">
        <v>207</v>
      </c>
      <c r="F23" s="38" t="s">
        <v>88</v>
      </c>
      <c r="G23" s="262"/>
      <c r="H23" s="158"/>
      <c r="I23" s="158"/>
      <c r="J23" s="158"/>
      <c r="K23" s="158"/>
      <c r="L23" s="158"/>
      <c r="M23" s="158"/>
      <c r="N23" s="158"/>
      <c r="O23" s="159"/>
      <c r="P23" s="158"/>
      <c r="Q23" s="160"/>
      <c r="R23" s="16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38" t="s">
        <v>58</v>
      </c>
      <c r="B24" s="38" t="s">
        <v>69</v>
      </c>
      <c r="C24" s="39" t="s">
        <v>211</v>
      </c>
      <c r="D24" s="38" t="s">
        <v>89</v>
      </c>
      <c r="E24" s="38" t="s">
        <v>207</v>
      </c>
      <c r="F24" s="38" t="s">
        <v>88</v>
      </c>
      <c r="G24" s="262"/>
      <c r="H24" s="158"/>
      <c r="I24" s="158"/>
      <c r="J24" s="158"/>
      <c r="K24" s="158"/>
      <c r="L24" s="158"/>
      <c r="M24" s="158"/>
      <c r="N24" s="158"/>
      <c r="O24" s="159"/>
      <c r="P24" s="158"/>
      <c r="Q24" s="160"/>
      <c r="R24" s="16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38" t="s">
        <v>58</v>
      </c>
      <c r="B25" s="38" t="s">
        <v>69</v>
      </c>
      <c r="C25" s="39" t="s">
        <v>211</v>
      </c>
      <c r="D25" s="38" t="s">
        <v>63</v>
      </c>
      <c r="E25" s="38" t="s">
        <v>207</v>
      </c>
      <c r="F25" s="38" t="s">
        <v>90</v>
      </c>
      <c r="G25" s="262"/>
      <c r="H25" s="158"/>
      <c r="I25" s="158"/>
      <c r="J25" s="158"/>
      <c r="K25" s="158"/>
      <c r="L25" s="158"/>
      <c r="M25" s="158"/>
      <c r="N25" s="158"/>
      <c r="O25" s="159"/>
      <c r="P25" s="158"/>
      <c r="Q25" s="160"/>
      <c r="R25" s="16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38" t="s">
        <v>25</v>
      </c>
      <c r="B26" s="38" t="s">
        <v>26</v>
      </c>
      <c r="C26" s="39" t="s">
        <v>200</v>
      </c>
      <c r="D26" s="38" t="s">
        <v>27</v>
      </c>
      <c r="E26" s="38" t="s">
        <v>201</v>
      </c>
      <c r="F26" s="38" t="s">
        <v>92</v>
      </c>
      <c r="G26" s="262"/>
      <c r="H26" s="158"/>
      <c r="I26" s="158"/>
      <c r="J26" s="158"/>
      <c r="K26" s="158"/>
      <c r="L26" s="158"/>
      <c r="M26" s="158"/>
      <c r="N26" s="158"/>
      <c r="O26" s="159"/>
      <c r="P26" s="158"/>
      <c r="Q26" s="160"/>
      <c r="R26" s="16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8" t="s">
        <v>25</v>
      </c>
      <c r="B27" s="38" t="s">
        <v>26</v>
      </c>
      <c r="C27" s="39" t="s">
        <v>200</v>
      </c>
      <c r="D27" s="38" t="s">
        <v>33</v>
      </c>
      <c r="E27" s="38" t="s">
        <v>201</v>
      </c>
      <c r="F27" s="38" t="s">
        <v>93</v>
      </c>
      <c r="G27" s="262"/>
      <c r="H27" s="158"/>
      <c r="I27" s="158"/>
      <c r="J27" s="158"/>
      <c r="K27" s="158"/>
      <c r="L27" s="158"/>
      <c r="M27" s="158"/>
      <c r="N27" s="158"/>
      <c r="O27" s="159"/>
      <c r="P27" s="158"/>
      <c r="Q27" s="160"/>
      <c r="R27" s="16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8" t="s">
        <v>58</v>
      </c>
      <c r="B28" s="38" t="s">
        <v>59</v>
      </c>
      <c r="C28" s="39" t="s">
        <v>206</v>
      </c>
      <c r="D28" s="38" t="s">
        <v>63</v>
      </c>
      <c r="E28" s="38" t="s">
        <v>207</v>
      </c>
      <c r="F28" s="38" t="s">
        <v>62</v>
      </c>
      <c r="G28" s="262"/>
      <c r="H28" s="158"/>
      <c r="I28" s="158"/>
      <c r="J28" s="158"/>
      <c r="K28" s="158"/>
      <c r="L28" s="158"/>
      <c r="M28" s="158"/>
      <c r="N28" s="158"/>
      <c r="O28" s="159"/>
      <c r="P28" s="158"/>
      <c r="Q28" s="160"/>
      <c r="R28" s="16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38" t="s">
        <v>58</v>
      </c>
      <c r="B29" s="38" t="s">
        <v>65</v>
      </c>
      <c r="C29" s="39" t="s">
        <v>212</v>
      </c>
      <c r="D29" s="38" t="s">
        <v>60</v>
      </c>
      <c r="E29" s="38" t="s">
        <v>213</v>
      </c>
      <c r="F29" s="38" t="s">
        <v>62</v>
      </c>
      <c r="G29" s="262"/>
      <c r="H29" s="158"/>
      <c r="I29" s="158"/>
      <c r="J29" s="158"/>
      <c r="K29" s="158"/>
      <c r="L29" s="158"/>
      <c r="M29" s="158"/>
      <c r="N29" s="158"/>
      <c r="O29" s="159"/>
      <c r="P29" s="158"/>
      <c r="Q29" s="160"/>
      <c r="R29" s="16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38" t="s">
        <v>25</v>
      </c>
      <c r="B30" s="38" t="s">
        <v>26</v>
      </c>
      <c r="C30" s="39" t="s">
        <v>200</v>
      </c>
      <c r="D30" s="38" t="s">
        <v>30</v>
      </c>
      <c r="E30" s="38" t="s">
        <v>201</v>
      </c>
      <c r="F30" s="38" t="s">
        <v>94</v>
      </c>
      <c r="G30" s="262"/>
      <c r="H30" s="158"/>
      <c r="I30" s="158"/>
      <c r="J30" s="158"/>
      <c r="K30" s="158"/>
      <c r="L30" s="158"/>
      <c r="M30" s="158"/>
      <c r="N30" s="158"/>
      <c r="O30" s="159"/>
      <c r="P30" s="158"/>
      <c r="Q30" s="160"/>
      <c r="R30" s="16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38" t="s">
        <v>75</v>
      </c>
      <c r="B31" s="38" t="s">
        <v>85</v>
      </c>
      <c r="C31" s="39" t="s">
        <v>214</v>
      </c>
      <c r="D31" s="38" t="s">
        <v>60</v>
      </c>
      <c r="E31" s="38" t="s">
        <v>209</v>
      </c>
      <c r="F31" s="38" t="s">
        <v>78</v>
      </c>
      <c r="G31" s="262"/>
      <c r="H31" s="158"/>
      <c r="I31" s="158"/>
      <c r="J31" s="158"/>
      <c r="K31" s="158"/>
      <c r="L31" s="158"/>
      <c r="M31" s="158"/>
      <c r="N31" s="158"/>
      <c r="O31" s="159"/>
      <c r="P31" s="158"/>
      <c r="Q31" s="160"/>
      <c r="R31" s="16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0" t="s">
        <v>48</v>
      </c>
      <c r="B32" s="40" t="s">
        <v>49</v>
      </c>
      <c r="C32" s="41" t="s">
        <v>204</v>
      </c>
      <c r="D32" s="40" t="s">
        <v>50</v>
      </c>
      <c r="E32" s="40" t="s">
        <v>213</v>
      </c>
      <c r="F32" s="40" t="s">
        <v>98</v>
      </c>
      <c r="G32" s="263"/>
      <c r="H32" s="161"/>
      <c r="I32" s="161"/>
      <c r="J32" s="161"/>
      <c r="K32" s="161"/>
      <c r="L32" s="161"/>
      <c r="M32" s="161"/>
      <c r="N32" s="161"/>
      <c r="O32" s="162"/>
      <c r="P32" s="161"/>
      <c r="Q32" s="163"/>
      <c r="R32" s="16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5"/>
      <c r="B33" s="276"/>
      <c r="C33" s="276"/>
      <c r="D33" s="276"/>
      <c r="E33" s="276"/>
      <c r="F33" s="276"/>
      <c r="G33" s="276"/>
      <c r="H33" s="276"/>
      <c r="I33" s="276"/>
      <c r="J33" s="276"/>
      <c r="K33" s="276"/>
      <c r="L33" s="276"/>
      <c r="M33" s="276"/>
      <c r="N33" s="276"/>
      <c r="O33" s="276"/>
      <c r="P33" s="276"/>
      <c r="Q33" s="276"/>
      <c r="R33" s="27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66" t="s">
        <v>5</v>
      </c>
      <c r="B34" s="267"/>
      <c r="C34" s="267"/>
      <c r="D34" s="267"/>
      <c r="E34" s="267"/>
      <c r="F34" s="267"/>
      <c r="G34" s="5">
        <v>45988</v>
      </c>
      <c r="H34" s="270" t="s">
        <v>6</v>
      </c>
      <c r="I34" s="269"/>
      <c r="J34" s="269"/>
      <c r="K34" s="269"/>
      <c r="L34" s="269"/>
      <c r="M34" s="269"/>
      <c r="N34" s="269"/>
      <c r="O34" s="269"/>
      <c r="P34" s="269"/>
      <c r="Q34" s="269"/>
      <c r="R34" s="26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47" t="s">
        <v>7</v>
      </c>
      <c r="B35" s="47" t="s">
        <v>8</v>
      </c>
      <c r="C35" s="48" t="s">
        <v>9</v>
      </c>
      <c r="D35" s="47" t="s">
        <v>10</v>
      </c>
      <c r="E35" s="47" t="s">
        <v>11</v>
      </c>
      <c r="F35" s="47" t="s">
        <v>12</v>
      </c>
      <c r="G35" s="49" t="s">
        <v>13</v>
      </c>
      <c r="H35" s="47" t="s">
        <v>14</v>
      </c>
      <c r="I35" s="50" t="s">
        <v>15</v>
      </c>
      <c r="J35" s="51" t="s">
        <v>16</v>
      </c>
      <c r="K35" s="52" t="s">
        <v>17</v>
      </c>
      <c r="L35" s="51" t="s">
        <v>18</v>
      </c>
      <c r="M35" s="51" t="s">
        <v>19</v>
      </c>
      <c r="N35" s="51" t="s">
        <v>20</v>
      </c>
      <c r="O35" s="47" t="s">
        <v>21</v>
      </c>
      <c r="P35" s="48" t="s">
        <v>22</v>
      </c>
      <c r="Q35" s="51" t="s">
        <v>23</v>
      </c>
      <c r="R35" s="4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8" t="s">
        <v>75</v>
      </c>
      <c r="B36" s="8" t="s">
        <v>215</v>
      </c>
      <c r="C36" s="9">
        <v>0.3576388888888889</v>
      </c>
      <c r="D36" s="8" t="s">
        <v>60</v>
      </c>
      <c r="E36" s="8" t="s">
        <v>77</v>
      </c>
      <c r="F36" s="8" t="s">
        <v>216</v>
      </c>
      <c r="G36" s="261"/>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75" t="s">
        <v>35</v>
      </c>
      <c r="B37" s="75" t="s">
        <v>197</v>
      </c>
      <c r="C37" s="76">
        <v>0.47916666666666669</v>
      </c>
      <c r="D37" s="75" t="s">
        <v>44</v>
      </c>
      <c r="E37" s="164"/>
      <c r="F37" s="75" t="s">
        <v>45</v>
      </c>
      <c r="G37" s="262"/>
      <c r="H37" s="29" t="s">
        <v>197</v>
      </c>
      <c r="I37" s="30">
        <v>1</v>
      </c>
      <c r="J37" s="31">
        <v>180</v>
      </c>
      <c r="K37" s="32">
        <v>45980</v>
      </c>
      <c r="L37" s="31">
        <v>2</v>
      </c>
      <c r="M37" s="31">
        <v>0</v>
      </c>
      <c r="N37" s="31">
        <v>0</v>
      </c>
      <c r="O37" s="33" t="s">
        <v>46</v>
      </c>
      <c r="P37" s="34">
        <v>0.47916666666666669</v>
      </c>
      <c r="Q37" s="31">
        <v>180</v>
      </c>
      <c r="R37" s="35" t="s">
        <v>217</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x14ac:dyDescent="0.3">
      <c r="A38" s="289" t="s">
        <v>199</v>
      </c>
      <c r="B38" s="290"/>
      <c r="C38" s="290"/>
      <c r="D38" s="290"/>
      <c r="E38" s="290"/>
      <c r="F38" s="290"/>
      <c r="G38" s="262"/>
      <c r="H38" s="158"/>
      <c r="I38" s="158"/>
      <c r="J38" s="158"/>
      <c r="K38" s="158"/>
      <c r="L38" s="158"/>
      <c r="M38" s="158"/>
      <c r="N38" s="158"/>
      <c r="O38" s="159"/>
      <c r="P38" s="158"/>
      <c r="Q38" s="160"/>
      <c r="R38" s="16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38" t="s">
        <v>48</v>
      </c>
      <c r="B39" s="38" t="s">
        <v>49</v>
      </c>
      <c r="C39" s="39" t="s">
        <v>204</v>
      </c>
      <c r="D39" s="38" t="s">
        <v>102</v>
      </c>
      <c r="E39" s="38" t="s">
        <v>218</v>
      </c>
      <c r="F39" s="38" t="s">
        <v>34</v>
      </c>
      <c r="G39" s="262"/>
      <c r="H39" s="158"/>
      <c r="I39" s="158"/>
      <c r="J39" s="158"/>
      <c r="K39" s="158"/>
      <c r="L39" s="158"/>
      <c r="M39" s="158"/>
      <c r="N39" s="158"/>
      <c r="O39" s="159"/>
      <c r="P39" s="158"/>
      <c r="Q39" s="160"/>
      <c r="R39" s="16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38" t="s">
        <v>25</v>
      </c>
      <c r="B40" s="38" t="s">
        <v>26</v>
      </c>
      <c r="C40" s="39" t="s">
        <v>200</v>
      </c>
      <c r="D40" s="38" t="s">
        <v>27</v>
      </c>
      <c r="E40" s="38" t="s">
        <v>213</v>
      </c>
      <c r="F40" s="38" t="s">
        <v>105</v>
      </c>
      <c r="G40" s="262"/>
      <c r="H40" s="158"/>
      <c r="I40" s="158"/>
      <c r="J40" s="158"/>
      <c r="K40" s="158"/>
      <c r="L40" s="158"/>
      <c r="M40" s="158"/>
      <c r="N40" s="158"/>
      <c r="O40" s="159"/>
      <c r="P40" s="158"/>
      <c r="Q40" s="160"/>
      <c r="R40" s="16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38" t="s">
        <v>25</v>
      </c>
      <c r="B41" s="38" t="s">
        <v>26</v>
      </c>
      <c r="C41" s="39" t="s">
        <v>200</v>
      </c>
      <c r="D41" s="38" t="s">
        <v>33</v>
      </c>
      <c r="E41" s="38" t="s">
        <v>213</v>
      </c>
      <c r="F41" s="38" t="s">
        <v>106</v>
      </c>
      <c r="G41" s="262"/>
      <c r="H41" s="158"/>
      <c r="I41" s="158"/>
      <c r="J41" s="158"/>
      <c r="K41" s="158"/>
      <c r="L41" s="158"/>
      <c r="M41" s="158"/>
      <c r="N41" s="158"/>
      <c r="O41" s="159"/>
      <c r="P41" s="158"/>
      <c r="Q41" s="160"/>
      <c r="R41" s="16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38" t="s">
        <v>48</v>
      </c>
      <c r="B42" s="38" t="s">
        <v>104</v>
      </c>
      <c r="C42" s="39" t="s">
        <v>219</v>
      </c>
      <c r="D42" s="38" t="s">
        <v>102</v>
      </c>
      <c r="E42" s="38" t="s">
        <v>205</v>
      </c>
      <c r="F42" s="38" t="s">
        <v>52</v>
      </c>
      <c r="G42" s="262"/>
      <c r="H42" s="158"/>
      <c r="I42" s="158"/>
      <c r="J42" s="158"/>
      <c r="K42" s="158"/>
      <c r="L42" s="158"/>
      <c r="M42" s="158"/>
      <c r="N42" s="158"/>
      <c r="O42" s="159"/>
      <c r="P42" s="158"/>
      <c r="Q42" s="160"/>
      <c r="R42" s="16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38" t="s">
        <v>25</v>
      </c>
      <c r="B43" s="38" t="s">
        <v>26</v>
      </c>
      <c r="C43" s="39" t="s">
        <v>200</v>
      </c>
      <c r="D43" s="38" t="s">
        <v>30</v>
      </c>
      <c r="E43" s="38" t="s">
        <v>213</v>
      </c>
      <c r="F43" s="38" t="s">
        <v>94</v>
      </c>
      <c r="G43" s="262"/>
      <c r="H43" s="158"/>
      <c r="I43" s="158"/>
      <c r="J43" s="158"/>
      <c r="K43" s="158"/>
      <c r="L43" s="158"/>
      <c r="M43" s="158"/>
      <c r="N43" s="158"/>
      <c r="O43" s="159"/>
      <c r="P43" s="158"/>
      <c r="Q43" s="160"/>
      <c r="R43" s="16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38" t="s">
        <v>58</v>
      </c>
      <c r="B44" s="38" t="s">
        <v>65</v>
      </c>
      <c r="C44" s="39" t="s">
        <v>212</v>
      </c>
      <c r="D44" s="38" t="s">
        <v>60</v>
      </c>
      <c r="E44" s="38" t="s">
        <v>218</v>
      </c>
      <c r="F44" s="38" t="s">
        <v>107</v>
      </c>
      <c r="G44" s="262"/>
      <c r="H44" s="158"/>
      <c r="I44" s="158"/>
      <c r="J44" s="158"/>
      <c r="K44" s="158"/>
      <c r="L44" s="158"/>
      <c r="M44" s="158"/>
      <c r="N44" s="158"/>
      <c r="O44" s="159"/>
      <c r="P44" s="158"/>
      <c r="Q44" s="160"/>
      <c r="R44" s="16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38" t="s">
        <v>75</v>
      </c>
      <c r="B45" s="38" t="s">
        <v>79</v>
      </c>
      <c r="C45" s="39" t="s">
        <v>220</v>
      </c>
      <c r="D45" s="38" t="s">
        <v>60</v>
      </c>
      <c r="E45" s="38" t="s">
        <v>218</v>
      </c>
      <c r="F45" s="38" t="s">
        <v>96</v>
      </c>
      <c r="G45" s="262"/>
      <c r="H45" s="158"/>
      <c r="I45" s="158"/>
      <c r="J45" s="158"/>
      <c r="K45" s="158"/>
      <c r="L45" s="158"/>
      <c r="M45" s="158"/>
      <c r="N45" s="158"/>
      <c r="O45" s="159"/>
      <c r="P45" s="158"/>
      <c r="Q45" s="160"/>
      <c r="R45" s="16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0" t="s">
        <v>58</v>
      </c>
      <c r="B46" s="40" t="s">
        <v>71</v>
      </c>
      <c r="C46" s="41" t="s">
        <v>200</v>
      </c>
      <c r="D46" s="40" t="s">
        <v>60</v>
      </c>
      <c r="E46" s="40" t="s">
        <v>203</v>
      </c>
      <c r="F46" s="40" t="s">
        <v>108</v>
      </c>
      <c r="G46" s="263"/>
      <c r="H46" s="161"/>
      <c r="I46" s="161"/>
      <c r="J46" s="161"/>
      <c r="K46" s="161"/>
      <c r="L46" s="161"/>
      <c r="M46" s="161"/>
      <c r="N46" s="161"/>
      <c r="O46" s="162"/>
      <c r="P46" s="161"/>
      <c r="Q46" s="163"/>
      <c r="R46" s="1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75"/>
      <c r="B47" s="276"/>
      <c r="C47" s="276"/>
      <c r="D47" s="276"/>
      <c r="E47" s="276"/>
      <c r="F47" s="276"/>
      <c r="G47" s="276"/>
      <c r="H47" s="276"/>
      <c r="I47" s="276"/>
      <c r="J47" s="276"/>
      <c r="K47" s="276"/>
      <c r="L47" s="276"/>
      <c r="M47" s="276"/>
      <c r="N47" s="276"/>
      <c r="O47" s="276"/>
      <c r="P47" s="276"/>
      <c r="Q47" s="276"/>
      <c r="R47" s="27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66" t="s">
        <v>5</v>
      </c>
      <c r="B48" s="267"/>
      <c r="C48" s="267"/>
      <c r="D48" s="267"/>
      <c r="E48" s="267"/>
      <c r="F48" s="267"/>
      <c r="G48" s="5">
        <v>45989</v>
      </c>
      <c r="H48" s="270" t="s">
        <v>6</v>
      </c>
      <c r="I48" s="269"/>
      <c r="J48" s="269"/>
      <c r="K48" s="269"/>
      <c r="L48" s="269"/>
      <c r="M48" s="269"/>
      <c r="N48" s="269"/>
      <c r="O48" s="269"/>
      <c r="P48" s="269"/>
      <c r="Q48" s="269"/>
      <c r="R48" s="26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47" t="s">
        <v>7</v>
      </c>
      <c r="B49" s="47" t="s">
        <v>8</v>
      </c>
      <c r="C49" s="48" t="s">
        <v>9</v>
      </c>
      <c r="D49" s="47" t="s">
        <v>10</v>
      </c>
      <c r="E49" s="47" t="s">
        <v>11</v>
      </c>
      <c r="F49" s="47" t="s">
        <v>12</v>
      </c>
      <c r="G49" s="49" t="s">
        <v>13</v>
      </c>
      <c r="H49" s="47" t="s">
        <v>14</v>
      </c>
      <c r="I49" s="50" t="s">
        <v>15</v>
      </c>
      <c r="J49" s="51" t="s">
        <v>16</v>
      </c>
      <c r="K49" s="52" t="s">
        <v>17</v>
      </c>
      <c r="L49" s="51" t="s">
        <v>18</v>
      </c>
      <c r="M49" s="51" t="s">
        <v>19</v>
      </c>
      <c r="N49" s="51" t="s">
        <v>20</v>
      </c>
      <c r="O49" s="47" t="s">
        <v>21</v>
      </c>
      <c r="P49" s="48" t="s">
        <v>22</v>
      </c>
      <c r="Q49" s="51" t="s">
        <v>23</v>
      </c>
      <c r="R49" s="47"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8" t="s">
        <v>75</v>
      </c>
      <c r="B50" s="8" t="s">
        <v>215</v>
      </c>
      <c r="C50" s="9">
        <v>0.3576388888888889</v>
      </c>
      <c r="D50" s="8" t="s">
        <v>60</v>
      </c>
      <c r="E50" s="8" t="s">
        <v>77</v>
      </c>
      <c r="F50" s="8" t="s">
        <v>221</v>
      </c>
      <c r="G50" s="261"/>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8" x14ac:dyDescent="0.3">
      <c r="A51" s="289" t="s">
        <v>199</v>
      </c>
      <c r="B51" s="290"/>
      <c r="C51" s="290"/>
      <c r="D51" s="290"/>
      <c r="E51" s="290"/>
      <c r="F51" s="290"/>
      <c r="G51" s="262"/>
      <c r="H51" s="158"/>
      <c r="I51" s="158"/>
      <c r="J51" s="158"/>
      <c r="K51" s="158"/>
      <c r="L51" s="158"/>
      <c r="M51" s="158"/>
      <c r="N51" s="158"/>
      <c r="O51" s="159"/>
      <c r="P51" s="158"/>
      <c r="Q51" s="160"/>
      <c r="R51" s="16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38" t="s">
        <v>25</v>
      </c>
      <c r="B52" s="38" t="s">
        <v>26</v>
      </c>
      <c r="C52" s="39" t="s">
        <v>200</v>
      </c>
      <c r="D52" s="38" t="s">
        <v>27</v>
      </c>
      <c r="E52" s="38" t="s">
        <v>201</v>
      </c>
      <c r="F52" s="38" t="s">
        <v>92</v>
      </c>
      <c r="G52" s="262"/>
      <c r="H52" s="158"/>
      <c r="I52" s="158"/>
      <c r="J52" s="158"/>
      <c r="K52" s="158"/>
      <c r="L52" s="158"/>
      <c r="M52" s="158"/>
      <c r="N52" s="158"/>
      <c r="O52" s="159"/>
      <c r="P52" s="158"/>
      <c r="Q52" s="160"/>
      <c r="R52" s="16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8" t="s">
        <v>48</v>
      </c>
      <c r="B53" s="38" t="s">
        <v>49</v>
      </c>
      <c r="C53" s="39" t="s">
        <v>204</v>
      </c>
      <c r="D53" s="38" t="s">
        <v>50</v>
      </c>
      <c r="E53" s="38" t="s">
        <v>203</v>
      </c>
      <c r="F53" s="38" t="s">
        <v>110</v>
      </c>
      <c r="G53" s="262"/>
      <c r="H53" s="158"/>
      <c r="I53" s="158"/>
      <c r="J53" s="158"/>
      <c r="K53" s="158"/>
      <c r="L53" s="158"/>
      <c r="M53" s="158"/>
      <c r="N53" s="158"/>
      <c r="O53" s="159"/>
      <c r="P53" s="158"/>
      <c r="Q53" s="160"/>
      <c r="R53" s="16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75</v>
      </c>
      <c r="B54" s="38" t="s">
        <v>79</v>
      </c>
      <c r="C54" s="39" t="s">
        <v>222</v>
      </c>
      <c r="D54" s="38" t="s">
        <v>60</v>
      </c>
      <c r="E54" s="38" t="s">
        <v>209</v>
      </c>
      <c r="F54" s="38" t="s">
        <v>113</v>
      </c>
      <c r="G54" s="262"/>
      <c r="H54" s="158"/>
      <c r="I54" s="158"/>
      <c r="J54" s="158"/>
      <c r="K54" s="158"/>
      <c r="L54" s="158"/>
      <c r="M54" s="158"/>
      <c r="N54" s="158"/>
      <c r="O54" s="159"/>
      <c r="P54" s="158"/>
      <c r="Q54" s="160"/>
      <c r="R54" s="16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8" t="s">
        <v>48</v>
      </c>
      <c r="B55" s="38" t="s">
        <v>49</v>
      </c>
      <c r="C55" s="39" t="s">
        <v>204</v>
      </c>
      <c r="D55" s="38" t="s">
        <v>53</v>
      </c>
      <c r="E55" s="38" t="s">
        <v>203</v>
      </c>
      <c r="F55" s="38" t="s">
        <v>111</v>
      </c>
      <c r="G55" s="262"/>
      <c r="H55" s="158"/>
      <c r="I55" s="158"/>
      <c r="J55" s="158"/>
      <c r="K55" s="158"/>
      <c r="L55" s="158"/>
      <c r="M55" s="158"/>
      <c r="N55" s="158"/>
      <c r="O55" s="159"/>
      <c r="P55" s="158"/>
      <c r="Q55" s="160"/>
      <c r="R55" s="16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38" t="s">
        <v>25</v>
      </c>
      <c r="B56" s="38" t="s">
        <v>26</v>
      </c>
      <c r="C56" s="39" t="s">
        <v>200</v>
      </c>
      <c r="D56" s="38" t="s">
        <v>33</v>
      </c>
      <c r="E56" s="38" t="s">
        <v>201</v>
      </c>
      <c r="F56" s="38" t="s">
        <v>93</v>
      </c>
      <c r="G56" s="262"/>
      <c r="H56" s="158"/>
      <c r="I56" s="158"/>
      <c r="J56" s="158"/>
      <c r="K56" s="158"/>
      <c r="L56" s="158"/>
      <c r="M56" s="158"/>
      <c r="N56" s="158"/>
      <c r="O56" s="159"/>
      <c r="P56" s="158"/>
      <c r="Q56" s="160"/>
      <c r="R56" s="16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38" t="s">
        <v>75</v>
      </c>
      <c r="B57" s="38" t="s">
        <v>81</v>
      </c>
      <c r="C57" s="39" t="s">
        <v>223</v>
      </c>
      <c r="D57" s="38" t="s">
        <v>60</v>
      </c>
      <c r="E57" s="38" t="s">
        <v>209</v>
      </c>
      <c r="F57" s="38" t="s">
        <v>114</v>
      </c>
      <c r="G57" s="262"/>
      <c r="H57" s="158"/>
      <c r="I57" s="158"/>
      <c r="J57" s="158"/>
      <c r="K57" s="158"/>
      <c r="L57" s="158"/>
      <c r="M57" s="158"/>
      <c r="N57" s="158"/>
      <c r="O57" s="159"/>
      <c r="P57" s="158"/>
      <c r="Q57" s="160"/>
      <c r="R57" s="16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38" t="s">
        <v>48</v>
      </c>
      <c r="B58" s="38" t="s">
        <v>49</v>
      </c>
      <c r="C58" s="39" t="s">
        <v>204</v>
      </c>
      <c r="D58" s="38" t="s">
        <v>56</v>
      </c>
      <c r="E58" s="38" t="s">
        <v>203</v>
      </c>
      <c r="F58" s="38" t="s">
        <v>112</v>
      </c>
      <c r="G58" s="262"/>
      <c r="H58" s="158"/>
      <c r="I58" s="158"/>
      <c r="J58" s="158"/>
      <c r="K58" s="158"/>
      <c r="L58" s="158"/>
      <c r="M58" s="158"/>
      <c r="N58" s="158"/>
      <c r="O58" s="159"/>
      <c r="P58" s="158"/>
      <c r="Q58" s="160"/>
      <c r="R58" s="16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38" t="s">
        <v>25</v>
      </c>
      <c r="B59" s="38" t="s">
        <v>26</v>
      </c>
      <c r="C59" s="39" t="s">
        <v>200</v>
      </c>
      <c r="D59" s="38" t="s">
        <v>30</v>
      </c>
      <c r="E59" s="38" t="s">
        <v>201</v>
      </c>
      <c r="F59" s="38" t="s">
        <v>94</v>
      </c>
      <c r="G59" s="262"/>
      <c r="H59" s="158"/>
      <c r="I59" s="158"/>
      <c r="J59" s="158"/>
      <c r="K59" s="158"/>
      <c r="L59" s="158"/>
      <c r="M59" s="158"/>
      <c r="N59" s="158"/>
      <c r="O59" s="159"/>
      <c r="P59" s="158"/>
      <c r="Q59" s="160"/>
      <c r="R59" s="16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38" t="s">
        <v>75</v>
      </c>
      <c r="B60" s="38" t="s">
        <v>82</v>
      </c>
      <c r="C60" s="39" t="s">
        <v>224</v>
      </c>
      <c r="D60" s="38" t="s">
        <v>60</v>
      </c>
      <c r="E60" s="38" t="s">
        <v>209</v>
      </c>
      <c r="F60" s="38" t="s">
        <v>78</v>
      </c>
      <c r="G60" s="262"/>
      <c r="H60" s="158"/>
      <c r="I60" s="158"/>
      <c r="J60" s="158"/>
      <c r="K60" s="158"/>
      <c r="L60" s="158"/>
      <c r="M60" s="158"/>
      <c r="N60" s="158"/>
      <c r="O60" s="159"/>
      <c r="P60" s="158"/>
      <c r="Q60" s="160"/>
      <c r="R60" s="16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0" t="s">
        <v>58</v>
      </c>
      <c r="B61" s="40" t="s">
        <v>59</v>
      </c>
      <c r="C61" s="41" t="s">
        <v>206</v>
      </c>
      <c r="D61" s="40" t="s">
        <v>63</v>
      </c>
      <c r="E61" s="40" t="s">
        <v>209</v>
      </c>
      <c r="F61" s="40" t="s">
        <v>115</v>
      </c>
      <c r="G61" s="263"/>
      <c r="H61" s="161"/>
      <c r="I61" s="161"/>
      <c r="J61" s="161"/>
      <c r="K61" s="161"/>
      <c r="L61" s="161"/>
      <c r="M61" s="161"/>
      <c r="N61" s="161"/>
      <c r="O61" s="162"/>
      <c r="P61" s="161"/>
      <c r="Q61" s="163"/>
      <c r="R61" s="16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 customHeight="1" x14ac:dyDescent="0.3">
      <c r="A62" s="275"/>
      <c r="B62" s="276"/>
      <c r="C62" s="276"/>
      <c r="D62" s="276"/>
      <c r="E62" s="276"/>
      <c r="F62" s="276"/>
      <c r="G62" s="276"/>
      <c r="H62" s="276"/>
      <c r="I62" s="276"/>
      <c r="J62" s="276"/>
      <c r="K62" s="276"/>
      <c r="L62" s="276"/>
      <c r="M62" s="276"/>
      <c r="N62" s="276"/>
      <c r="O62" s="276"/>
      <c r="P62" s="276"/>
      <c r="Q62" s="276"/>
      <c r="R62" s="27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2.05" customHeight="1" x14ac:dyDescent="0.3">
      <c r="A63" s="266" t="s">
        <v>5</v>
      </c>
      <c r="B63" s="267"/>
      <c r="C63" s="267"/>
      <c r="D63" s="267"/>
      <c r="E63" s="267"/>
      <c r="F63" s="267"/>
      <c r="G63" s="5">
        <v>45991</v>
      </c>
      <c r="H63" s="270" t="s">
        <v>6</v>
      </c>
      <c r="I63" s="269"/>
      <c r="J63" s="269"/>
      <c r="K63" s="269"/>
      <c r="L63" s="269"/>
      <c r="M63" s="269"/>
      <c r="N63" s="269"/>
      <c r="O63" s="269"/>
      <c r="P63" s="269"/>
      <c r="Q63" s="269"/>
      <c r="R63" s="26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4" customHeight="1" x14ac:dyDescent="0.3">
      <c r="A64" s="47" t="s">
        <v>7</v>
      </c>
      <c r="B64" s="47" t="s">
        <v>8</v>
      </c>
      <c r="C64" s="48" t="s">
        <v>9</v>
      </c>
      <c r="D64" s="47" t="s">
        <v>10</v>
      </c>
      <c r="E64" s="47" t="s">
        <v>11</v>
      </c>
      <c r="F64" s="47" t="s">
        <v>12</v>
      </c>
      <c r="G64" s="49" t="s">
        <v>13</v>
      </c>
      <c r="H64" s="47" t="s">
        <v>14</v>
      </c>
      <c r="I64" s="50" t="s">
        <v>15</v>
      </c>
      <c r="J64" s="51" t="s">
        <v>16</v>
      </c>
      <c r="K64" s="52" t="s">
        <v>17</v>
      </c>
      <c r="L64" s="51" t="s">
        <v>18</v>
      </c>
      <c r="M64" s="51" t="s">
        <v>19</v>
      </c>
      <c r="N64" s="51" t="s">
        <v>20</v>
      </c>
      <c r="O64" s="47" t="s">
        <v>21</v>
      </c>
      <c r="P64" s="48" t="s">
        <v>22</v>
      </c>
      <c r="Q64" s="51" t="s">
        <v>23</v>
      </c>
      <c r="R64" s="47" t="s">
        <v>24</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48" t="s">
        <v>35</v>
      </c>
      <c r="B65" s="148" t="s">
        <v>197</v>
      </c>
      <c r="C65" s="149">
        <v>0.2361111111111111</v>
      </c>
      <c r="D65" s="148" t="s">
        <v>44</v>
      </c>
      <c r="E65" s="150"/>
      <c r="F65" s="148" t="s">
        <v>45</v>
      </c>
      <c r="G65" s="261"/>
      <c r="H65" s="151" t="s">
        <v>197</v>
      </c>
      <c r="I65" s="152">
        <v>1</v>
      </c>
      <c r="J65" s="153">
        <v>180</v>
      </c>
      <c r="K65" s="154">
        <v>45977</v>
      </c>
      <c r="L65" s="153">
        <v>0</v>
      </c>
      <c r="M65" s="153">
        <v>0</v>
      </c>
      <c r="N65" s="153">
        <v>0</v>
      </c>
      <c r="O65" s="155" t="s">
        <v>46</v>
      </c>
      <c r="P65" s="156">
        <v>0.2361111111111111</v>
      </c>
      <c r="Q65" s="153">
        <v>180</v>
      </c>
      <c r="R65" s="157" t="s">
        <v>225</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8" x14ac:dyDescent="0.3">
      <c r="A66" s="289" t="s">
        <v>199</v>
      </c>
      <c r="B66" s="290"/>
      <c r="C66" s="290"/>
      <c r="D66" s="290"/>
      <c r="E66" s="290"/>
      <c r="F66" s="290"/>
      <c r="G66" s="262"/>
      <c r="H66" s="158"/>
      <c r="I66" s="158"/>
      <c r="J66" s="158"/>
      <c r="K66" s="158"/>
      <c r="L66" s="158"/>
      <c r="M66" s="158"/>
      <c r="N66" s="158"/>
      <c r="O66" s="159"/>
      <c r="P66" s="158"/>
      <c r="Q66" s="160"/>
      <c r="R66" s="16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8" t="s">
        <v>25</v>
      </c>
      <c r="B67" s="38" t="s">
        <v>26</v>
      </c>
      <c r="C67" s="39" t="s">
        <v>200</v>
      </c>
      <c r="D67" s="38" t="s">
        <v>27</v>
      </c>
      <c r="E67" s="38" t="s">
        <v>218</v>
      </c>
      <c r="F67" s="38" t="s">
        <v>123</v>
      </c>
      <c r="G67" s="262"/>
      <c r="H67" s="158"/>
      <c r="I67" s="158"/>
      <c r="J67" s="158"/>
      <c r="K67" s="158"/>
      <c r="L67" s="158"/>
      <c r="M67" s="158"/>
      <c r="N67" s="158"/>
      <c r="O67" s="159"/>
      <c r="P67" s="158"/>
      <c r="Q67" s="160"/>
      <c r="R67" s="16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8" t="s">
        <v>25</v>
      </c>
      <c r="B68" s="38" t="s">
        <v>26</v>
      </c>
      <c r="C68" s="39" t="s">
        <v>200</v>
      </c>
      <c r="D68" s="38" t="s">
        <v>33</v>
      </c>
      <c r="E68" s="38" t="s">
        <v>218</v>
      </c>
      <c r="F68" s="38" t="s">
        <v>32</v>
      </c>
      <c r="G68" s="262"/>
      <c r="H68" s="158"/>
      <c r="I68" s="158"/>
      <c r="J68" s="158"/>
      <c r="K68" s="158"/>
      <c r="L68" s="158"/>
      <c r="M68" s="158"/>
      <c r="N68" s="158"/>
      <c r="O68" s="159"/>
      <c r="P68" s="158"/>
      <c r="Q68" s="160"/>
      <c r="R68" s="16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8" t="s">
        <v>48</v>
      </c>
      <c r="B69" s="38" t="s">
        <v>49</v>
      </c>
      <c r="C69" s="39" t="s">
        <v>204</v>
      </c>
      <c r="D69" s="38" t="s">
        <v>50</v>
      </c>
      <c r="E69" s="38" t="s">
        <v>201</v>
      </c>
      <c r="F69" s="38" t="s">
        <v>110</v>
      </c>
      <c r="G69" s="262"/>
      <c r="H69" s="158"/>
      <c r="I69" s="158"/>
      <c r="J69" s="158"/>
      <c r="K69" s="158"/>
      <c r="L69" s="158"/>
      <c r="M69" s="158"/>
      <c r="N69" s="158"/>
      <c r="O69" s="159"/>
      <c r="P69" s="158"/>
      <c r="Q69" s="160"/>
      <c r="R69" s="16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8" t="s">
        <v>35</v>
      </c>
      <c r="B70" s="38" t="s">
        <v>124</v>
      </c>
      <c r="C70" s="39" t="s">
        <v>226</v>
      </c>
      <c r="D70" s="38" t="s">
        <v>37</v>
      </c>
      <c r="E70" s="38" t="s">
        <v>207</v>
      </c>
      <c r="F70" s="38" t="s">
        <v>125</v>
      </c>
      <c r="G70" s="262"/>
      <c r="H70" s="158"/>
      <c r="I70" s="158"/>
      <c r="J70" s="158"/>
      <c r="K70" s="158"/>
      <c r="L70" s="158"/>
      <c r="M70" s="158"/>
      <c r="N70" s="158"/>
      <c r="O70" s="159"/>
      <c r="P70" s="158"/>
      <c r="Q70" s="160"/>
      <c r="R70" s="16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8" t="s">
        <v>75</v>
      </c>
      <c r="B71" s="38" t="s">
        <v>79</v>
      </c>
      <c r="C71" s="39" t="s">
        <v>222</v>
      </c>
      <c r="D71" s="38" t="s">
        <v>60</v>
      </c>
      <c r="E71" s="38" t="s">
        <v>209</v>
      </c>
      <c r="F71" s="38" t="s">
        <v>113</v>
      </c>
      <c r="G71" s="262"/>
      <c r="H71" s="158"/>
      <c r="I71" s="158"/>
      <c r="J71" s="158"/>
      <c r="K71" s="158"/>
      <c r="L71" s="158"/>
      <c r="M71" s="158"/>
      <c r="N71" s="158"/>
      <c r="O71" s="159"/>
      <c r="P71" s="158"/>
      <c r="Q71" s="160"/>
      <c r="R71" s="16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38" t="s">
        <v>75</v>
      </c>
      <c r="B72" s="38" t="s">
        <v>82</v>
      </c>
      <c r="C72" s="39" t="s">
        <v>224</v>
      </c>
      <c r="D72" s="38" t="s">
        <v>60</v>
      </c>
      <c r="E72" s="38" t="s">
        <v>209</v>
      </c>
      <c r="F72" s="38" t="s">
        <v>113</v>
      </c>
      <c r="G72" s="262"/>
      <c r="H72" s="158"/>
      <c r="I72" s="158"/>
      <c r="J72" s="158"/>
      <c r="K72" s="158"/>
      <c r="L72" s="158"/>
      <c r="M72" s="158"/>
      <c r="N72" s="158"/>
      <c r="O72" s="159"/>
      <c r="P72" s="158"/>
      <c r="Q72" s="160"/>
      <c r="R72" s="16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38" t="s">
        <v>48</v>
      </c>
      <c r="B73" s="38" t="s">
        <v>49</v>
      </c>
      <c r="C73" s="39" t="s">
        <v>204</v>
      </c>
      <c r="D73" s="38" t="s">
        <v>53</v>
      </c>
      <c r="E73" s="38" t="s">
        <v>201</v>
      </c>
      <c r="F73" s="38" t="s">
        <v>111</v>
      </c>
      <c r="G73" s="262"/>
      <c r="H73" s="158"/>
      <c r="I73" s="158"/>
      <c r="J73" s="158"/>
      <c r="K73" s="158"/>
      <c r="L73" s="158"/>
      <c r="M73" s="158"/>
      <c r="N73" s="158"/>
      <c r="O73" s="159"/>
      <c r="P73" s="158"/>
      <c r="Q73" s="160"/>
      <c r="R73" s="16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38" t="s">
        <v>48</v>
      </c>
      <c r="B74" s="38" t="s">
        <v>49</v>
      </c>
      <c r="C74" s="39" t="s">
        <v>204</v>
      </c>
      <c r="D74" s="38" t="s">
        <v>56</v>
      </c>
      <c r="E74" s="38" t="s">
        <v>201</v>
      </c>
      <c r="F74" s="38" t="s">
        <v>112</v>
      </c>
      <c r="G74" s="262"/>
      <c r="H74" s="158"/>
      <c r="I74" s="158"/>
      <c r="J74" s="158"/>
      <c r="K74" s="158"/>
      <c r="L74" s="158"/>
      <c r="M74" s="158"/>
      <c r="N74" s="158"/>
      <c r="O74" s="159"/>
      <c r="P74" s="158"/>
      <c r="Q74" s="160"/>
      <c r="R74" s="16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38" t="s">
        <v>58</v>
      </c>
      <c r="B75" s="38" t="s">
        <v>69</v>
      </c>
      <c r="C75" s="39" t="s">
        <v>211</v>
      </c>
      <c r="D75" s="38" t="s">
        <v>63</v>
      </c>
      <c r="E75" s="38" t="s">
        <v>209</v>
      </c>
      <c r="F75" s="38" t="s">
        <v>62</v>
      </c>
      <c r="G75" s="262"/>
      <c r="H75" s="158"/>
      <c r="I75" s="158"/>
      <c r="J75" s="158"/>
      <c r="K75" s="158"/>
      <c r="L75" s="158"/>
      <c r="M75" s="158"/>
      <c r="N75" s="158"/>
      <c r="O75" s="159"/>
      <c r="P75" s="158"/>
      <c r="Q75" s="160"/>
      <c r="R75" s="16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40" t="s">
        <v>25</v>
      </c>
      <c r="B76" s="40" t="s">
        <v>26</v>
      </c>
      <c r="C76" s="41" t="s">
        <v>200</v>
      </c>
      <c r="D76" s="40" t="s">
        <v>30</v>
      </c>
      <c r="E76" s="40" t="s">
        <v>218</v>
      </c>
      <c r="F76" s="40" t="s">
        <v>94</v>
      </c>
      <c r="G76" s="263"/>
      <c r="H76" s="161"/>
      <c r="I76" s="161"/>
      <c r="J76" s="161"/>
      <c r="K76" s="161"/>
      <c r="L76" s="161"/>
      <c r="M76" s="161"/>
      <c r="N76" s="161"/>
      <c r="O76" s="162"/>
      <c r="P76" s="161"/>
      <c r="Q76" s="163"/>
      <c r="R76" s="16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275"/>
      <c r="B77" s="276"/>
      <c r="C77" s="276"/>
      <c r="D77" s="276"/>
      <c r="E77" s="276"/>
      <c r="F77" s="276"/>
      <c r="G77" s="276"/>
      <c r="H77" s="276"/>
      <c r="I77" s="276"/>
      <c r="J77" s="276"/>
      <c r="K77" s="276"/>
      <c r="L77" s="276"/>
      <c r="M77" s="276"/>
      <c r="N77" s="276"/>
      <c r="O77" s="276"/>
      <c r="P77" s="276"/>
      <c r="Q77" s="276"/>
      <c r="R77" s="27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sheetData>
  <mergeCells count="34">
    <mergeCell ref="D1:F1"/>
    <mergeCell ref="G6:G17"/>
    <mergeCell ref="A51:F51"/>
    <mergeCell ref="A77:R77"/>
    <mergeCell ref="A1:C1"/>
    <mergeCell ref="G65:G76"/>
    <mergeCell ref="G1:H1"/>
    <mergeCell ref="H48:R48"/>
    <mergeCell ref="G36:G46"/>
    <mergeCell ref="A7:F7"/>
    <mergeCell ref="A38:F38"/>
    <mergeCell ref="A62:R62"/>
    <mergeCell ref="A63:F63"/>
    <mergeCell ref="A19:F19"/>
    <mergeCell ref="K2:R2"/>
    <mergeCell ref="A34:F34"/>
    <mergeCell ref="A48:F48"/>
    <mergeCell ref="H19:R19"/>
    <mergeCell ref="O1:Q1"/>
    <mergeCell ref="A66:F66"/>
    <mergeCell ref="H63:R63"/>
    <mergeCell ref="G50:G61"/>
    <mergeCell ref="H4:R4"/>
    <mergeCell ref="A18:R18"/>
    <mergeCell ref="A2:F2"/>
    <mergeCell ref="A3:R3"/>
    <mergeCell ref="H34:R34"/>
    <mergeCell ref="A33:R33"/>
    <mergeCell ref="A47:R47"/>
    <mergeCell ref="G21:G32"/>
    <mergeCell ref="A22:F22"/>
    <mergeCell ref="G2:J2"/>
    <mergeCell ref="A4:F4"/>
    <mergeCell ref="J1:M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197</v>
      </c>
      <c r="D2" s="81">
        <v>0.15972222222222221</v>
      </c>
      <c r="E2" s="80" t="s">
        <v>196</v>
      </c>
      <c r="F2" s="80" t="s">
        <v>159</v>
      </c>
      <c r="G2" s="82">
        <v>1</v>
      </c>
      <c r="H2" s="83">
        <v>180</v>
      </c>
      <c r="I2" s="83">
        <v>180</v>
      </c>
      <c r="J2" s="83">
        <v>166</v>
      </c>
      <c r="K2" s="79">
        <v>45983</v>
      </c>
      <c r="L2" s="83">
        <v>0</v>
      </c>
      <c r="M2" s="83">
        <v>0</v>
      </c>
      <c r="N2" s="83">
        <v>48</v>
      </c>
      <c r="O2" s="80" t="s">
        <v>46</v>
      </c>
      <c r="P2" s="84"/>
      <c r="Q2" s="84"/>
      <c r="R2" s="84"/>
      <c r="S2" s="84"/>
      <c r="T2" s="84"/>
      <c r="U2" s="84"/>
      <c r="V2" s="83" t="s">
        <v>227</v>
      </c>
      <c r="W2" s="84"/>
      <c r="X2" s="84"/>
      <c r="Y2" s="84"/>
      <c r="Z2" s="84"/>
      <c r="AA2" s="83" t="s">
        <v>228</v>
      </c>
      <c r="AB2" s="83" t="s">
        <v>229</v>
      </c>
      <c r="AC2" s="84"/>
      <c r="AD2" s="84"/>
      <c r="AE2" s="84"/>
      <c r="AF2" s="83" t="s">
        <v>230</v>
      </c>
      <c r="AG2" s="84"/>
      <c r="AH2" s="83" t="s">
        <v>231</v>
      </c>
      <c r="AI2" s="84"/>
    </row>
    <row r="3" spans="1:35" ht="18" x14ac:dyDescent="0.3">
      <c r="A3" s="85" t="s">
        <v>232</v>
      </c>
      <c r="B3" s="86">
        <v>45987</v>
      </c>
      <c r="C3" s="87" t="s">
        <v>197</v>
      </c>
      <c r="D3" s="88">
        <v>0.77777777777777779</v>
      </c>
      <c r="E3" s="87" t="s">
        <v>196</v>
      </c>
      <c r="F3" s="87" t="s">
        <v>159</v>
      </c>
      <c r="G3" s="89">
        <v>0.99439999999999995</v>
      </c>
      <c r="H3" s="90">
        <v>180</v>
      </c>
      <c r="I3" s="90">
        <v>179</v>
      </c>
      <c r="J3" s="90">
        <v>175</v>
      </c>
      <c r="K3" s="86">
        <v>45976</v>
      </c>
      <c r="L3" s="90">
        <v>0</v>
      </c>
      <c r="M3" s="90">
        <v>0</v>
      </c>
      <c r="N3" s="90">
        <v>0</v>
      </c>
      <c r="O3" s="87" t="s">
        <v>46</v>
      </c>
      <c r="P3" s="91"/>
      <c r="Q3" s="91"/>
      <c r="R3" s="91"/>
      <c r="S3" s="91"/>
      <c r="T3" s="91"/>
      <c r="U3" s="91"/>
      <c r="V3" s="91"/>
      <c r="W3" s="91"/>
      <c r="X3" s="90" t="s">
        <v>169</v>
      </c>
      <c r="Y3" s="91"/>
      <c r="Z3" s="91"/>
      <c r="AA3" s="91"/>
      <c r="AB3" s="91"/>
      <c r="AC3" s="91"/>
      <c r="AD3" s="91"/>
      <c r="AE3" s="90" t="s">
        <v>233</v>
      </c>
      <c r="AF3" s="91"/>
      <c r="AG3" s="91"/>
      <c r="AH3" s="90" t="s">
        <v>234</v>
      </c>
      <c r="AI3" s="91"/>
    </row>
    <row r="4" spans="1:35" ht="18" x14ac:dyDescent="0.3">
      <c r="A4" s="78" t="s">
        <v>176</v>
      </c>
      <c r="B4" s="79">
        <v>45988</v>
      </c>
      <c r="C4" s="80" t="s">
        <v>197</v>
      </c>
      <c r="D4" s="81">
        <v>0.47916666666666669</v>
      </c>
      <c r="E4" s="80" t="s">
        <v>196</v>
      </c>
      <c r="F4" s="80" t="s">
        <v>159</v>
      </c>
      <c r="G4" s="82">
        <v>1</v>
      </c>
      <c r="H4" s="83">
        <v>180</v>
      </c>
      <c r="I4" s="83">
        <v>180</v>
      </c>
      <c r="J4" s="83">
        <v>166</v>
      </c>
      <c r="K4" s="79">
        <v>45980</v>
      </c>
      <c r="L4" s="83">
        <v>0</v>
      </c>
      <c r="M4" s="83">
        <v>0</v>
      </c>
      <c r="N4" s="83">
        <v>2</v>
      </c>
      <c r="O4" s="80" t="s">
        <v>46</v>
      </c>
      <c r="P4" s="84"/>
      <c r="Q4" s="84"/>
      <c r="R4" s="84"/>
      <c r="S4" s="84"/>
      <c r="T4" s="84"/>
      <c r="U4" s="84"/>
      <c r="V4" s="84"/>
      <c r="W4" s="84"/>
      <c r="X4" s="83" t="s">
        <v>235</v>
      </c>
      <c r="Y4" s="84"/>
      <c r="Z4" s="84"/>
      <c r="AA4" s="84"/>
      <c r="AB4" s="83" t="s">
        <v>236</v>
      </c>
      <c r="AC4" s="84"/>
      <c r="AD4" s="84"/>
      <c r="AE4" s="83" t="s">
        <v>172</v>
      </c>
      <c r="AF4" s="84"/>
      <c r="AG4" s="84"/>
      <c r="AH4" s="83" t="s">
        <v>237</v>
      </c>
      <c r="AI4" s="84"/>
    </row>
    <row r="5" spans="1:35" ht="18" x14ac:dyDescent="0.3">
      <c r="A5" s="85" t="s">
        <v>186</v>
      </c>
      <c r="B5" s="86">
        <v>45991</v>
      </c>
      <c r="C5" s="87" t="s">
        <v>197</v>
      </c>
      <c r="D5" s="88">
        <v>0.2361111111111111</v>
      </c>
      <c r="E5" s="87" t="s">
        <v>196</v>
      </c>
      <c r="F5" s="87" t="s">
        <v>159</v>
      </c>
      <c r="G5" s="89">
        <v>1</v>
      </c>
      <c r="H5" s="90">
        <v>180</v>
      </c>
      <c r="I5" s="90">
        <v>180</v>
      </c>
      <c r="J5" s="90">
        <v>135</v>
      </c>
      <c r="K5" s="86">
        <v>45977</v>
      </c>
      <c r="L5" s="90">
        <v>0</v>
      </c>
      <c r="M5" s="90">
        <v>0</v>
      </c>
      <c r="N5" s="90">
        <v>0</v>
      </c>
      <c r="O5" s="87" t="s">
        <v>46</v>
      </c>
      <c r="P5" s="91"/>
      <c r="Q5" s="91"/>
      <c r="R5" s="91"/>
      <c r="S5" s="91"/>
      <c r="T5" s="91"/>
      <c r="U5" s="91"/>
      <c r="V5" s="91"/>
      <c r="W5" s="90" t="s">
        <v>238</v>
      </c>
      <c r="X5" s="91"/>
      <c r="Y5" s="91"/>
      <c r="Z5" s="91"/>
      <c r="AA5" s="91"/>
      <c r="AB5" s="90" t="s">
        <v>163</v>
      </c>
      <c r="AC5" s="90" t="s">
        <v>182</v>
      </c>
      <c r="AD5" s="90" t="s">
        <v>183</v>
      </c>
      <c r="AE5" s="90" t="s">
        <v>166</v>
      </c>
      <c r="AF5" s="91"/>
      <c r="AG5" s="91"/>
      <c r="AH5" s="90" t="s">
        <v>184</v>
      </c>
      <c r="AI5" s="91"/>
    </row>
    <row r="6" spans="1:35" ht="18" x14ac:dyDescent="0.3">
      <c r="A6" s="92" t="s">
        <v>189</v>
      </c>
      <c r="B6" s="93"/>
      <c r="C6" s="94">
        <f>COUNTA(C2:C5)</f>
        <v>4</v>
      </c>
      <c r="D6" s="93"/>
      <c r="E6" s="93"/>
      <c r="F6" s="93"/>
      <c r="G6" s="95">
        <f>AVERAGE(G2:G5)</f>
        <v>0.99859999999999993</v>
      </c>
      <c r="H6" s="96">
        <f>SUM(H2:H5)</f>
        <v>720</v>
      </c>
      <c r="I6" s="96">
        <f>SUM(I2:I5)</f>
        <v>719</v>
      </c>
      <c r="J6" s="96">
        <f>SUM(J2:J5)</f>
        <v>642</v>
      </c>
      <c r="K6" s="93"/>
      <c r="L6" s="96">
        <f>SUM(L2:L5)</f>
        <v>0</v>
      </c>
      <c r="M6" s="96">
        <f>SUM(M2:M5)</f>
        <v>0</v>
      </c>
      <c r="N6" s="96">
        <f>SUM(N2:N5)</f>
        <v>50</v>
      </c>
      <c r="O6" s="93"/>
      <c r="P6" s="96">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96">
        <f t="shared" si="0"/>
        <v>0</v>
      </c>
      <c r="R6" s="96">
        <f t="shared" si="0"/>
        <v>0</v>
      </c>
      <c r="S6" s="96">
        <f t="shared" si="0"/>
        <v>0</v>
      </c>
      <c r="T6" s="96">
        <f t="shared" si="0"/>
        <v>0</v>
      </c>
      <c r="U6" s="96">
        <f t="shared" si="0"/>
        <v>0</v>
      </c>
      <c r="V6" s="96">
        <f t="shared" si="0"/>
        <v>0</v>
      </c>
      <c r="W6" s="96">
        <f t="shared" si="0"/>
        <v>0</v>
      </c>
      <c r="X6" s="96">
        <f t="shared" si="0"/>
        <v>0</v>
      </c>
      <c r="Y6" s="96">
        <f t="shared" si="0"/>
        <v>0</v>
      </c>
      <c r="Z6" s="96">
        <f t="shared" si="0"/>
        <v>0</v>
      </c>
      <c r="AA6" s="96">
        <f t="shared" si="0"/>
        <v>0</v>
      </c>
      <c r="AB6" s="96">
        <f t="shared" si="0"/>
        <v>0</v>
      </c>
      <c r="AC6" s="96">
        <f t="shared" si="0"/>
        <v>0</v>
      </c>
      <c r="AD6" s="96">
        <f t="shared" si="0"/>
        <v>0</v>
      </c>
      <c r="AE6" s="96">
        <f t="shared" si="0"/>
        <v>0</v>
      </c>
      <c r="AF6" s="96">
        <f t="shared" si="0"/>
        <v>0</v>
      </c>
      <c r="AG6" s="96">
        <f t="shared" si="0"/>
        <v>0</v>
      </c>
      <c r="AH6" s="96">
        <f t="shared" si="0"/>
        <v>0</v>
      </c>
      <c r="AI6" s="96">
        <f t="shared" si="0"/>
        <v>0</v>
      </c>
    </row>
  </sheetData>
  <autoFilter ref="A1:AI5"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1"/>
  <sheetViews>
    <sheetView workbookViewId="0"/>
  </sheetViews>
  <sheetFormatPr defaultRowHeight="14.4" x14ac:dyDescent="0.3"/>
  <cols>
    <col min="1" max="1" width="13"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197</v>
      </c>
      <c r="D2" s="110" t="s">
        <v>196</v>
      </c>
      <c r="E2" s="112">
        <v>1.1597222222222221</v>
      </c>
      <c r="F2" s="110" t="s">
        <v>44</v>
      </c>
      <c r="G2" s="110"/>
      <c r="H2" s="166" t="s">
        <v>45</v>
      </c>
    </row>
    <row r="3" spans="1:8" ht="15.6" x14ac:dyDescent="0.3">
      <c r="A3" s="167"/>
      <c r="B3" s="167"/>
      <c r="C3" s="167"/>
      <c r="D3" s="167"/>
      <c r="E3" s="168" t="s">
        <v>239</v>
      </c>
      <c r="F3" s="167"/>
      <c r="G3" s="167"/>
      <c r="H3" s="3"/>
    </row>
    <row r="4" spans="1:8" ht="18" x14ac:dyDescent="0.3">
      <c r="A4" s="118">
        <v>45986</v>
      </c>
      <c r="B4" s="99" t="s">
        <v>25</v>
      </c>
      <c r="C4" s="100" t="s">
        <v>26</v>
      </c>
      <c r="D4" s="99" t="s">
        <v>1</v>
      </c>
      <c r="E4" s="101">
        <v>1.229166666666667</v>
      </c>
      <c r="F4" s="99" t="s">
        <v>27</v>
      </c>
      <c r="G4" s="102">
        <v>8</v>
      </c>
      <c r="H4" s="99" t="s">
        <v>29</v>
      </c>
    </row>
    <row r="5" spans="1:8" ht="18" x14ac:dyDescent="0.3">
      <c r="A5" s="104">
        <v>45986</v>
      </c>
      <c r="B5" s="105" t="s">
        <v>25</v>
      </c>
      <c r="C5" s="106" t="s">
        <v>26</v>
      </c>
      <c r="D5" s="105" t="s">
        <v>1</v>
      </c>
      <c r="E5" s="107">
        <v>1.229166666666667</v>
      </c>
      <c r="F5" s="105" t="s">
        <v>30</v>
      </c>
      <c r="G5" s="108">
        <v>8</v>
      </c>
      <c r="H5" s="105" t="s">
        <v>32</v>
      </c>
    </row>
    <row r="6" spans="1:8" ht="18" x14ac:dyDescent="0.3">
      <c r="A6" s="104">
        <v>45986</v>
      </c>
      <c r="B6" s="105" t="s">
        <v>25</v>
      </c>
      <c r="C6" s="106" t="s">
        <v>26</v>
      </c>
      <c r="D6" s="105" t="s">
        <v>1</v>
      </c>
      <c r="E6" s="107">
        <v>1.229166666666667</v>
      </c>
      <c r="F6" s="105" t="s">
        <v>33</v>
      </c>
      <c r="G6" s="108">
        <v>8</v>
      </c>
      <c r="H6" s="105" t="s">
        <v>34</v>
      </c>
    </row>
    <row r="7" spans="1:8" ht="18" x14ac:dyDescent="0.3">
      <c r="A7" s="109">
        <v>45986</v>
      </c>
      <c r="B7" s="110" t="s">
        <v>35</v>
      </c>
      <c r="C7" s="111" t="s">
        <v>36</v>
      </c>
      <c r="D7" s="110" t="s">
        <v>1</v>
      </c>
      <c r="E7" s="112">
        <v>1.118055555555556</v>
      </c>
      <c r="F7" s="110" t="s">
        <v>37</v>
      </c>
      <c r="G7" s="113">
        <v>4</v>
      </c>
      <c r="H7" s="110" t="s">
        <v>39</v>
      </c>
    </row>
    <row r="8" spans="1:8" ht="18" x14ac:dyDescent="0.3">
      <c r="A8" s="118">
        <v>45986</v>
      </c>
      <c r="B8" s="99" t="s">
        <v>48</v>
      </c>
      <c r="C8" s="100" t="s">
        <v>49</v>
      </c>
      <c r="D8" s="99" t="s">
        <v>1</v>
      </c>
      <c r="E8" s="101">
        <v>1.6076388888888891</v>
      </c>
      <c r="F8" s="99" t="s">
        <v>50</v>
      </c>
      <c r="G8" s="102">
        <v>3</v>
      </c>
      <c r="H8" s="99" t="s">
        <v>52</v>
      </c>
    </row>
    <row r="9" spans="1:8" ht="18" x14ac:dyDescent="0.3">
      <c r="A9" s="104">
        <v>45986</v>
      </c>
      <c r="B9" s="105" t="s">
        <v>48</v>
      </c>
      <c r="C9" s="106" t="s">
        <v>49</v>
      </c>
      <c r="D9" s="105" t="s">
        <v>1</v>
      </c>
      <c r="E9" s="107">
        <v>1.6076388888888891</v>
      </c>
      <c r="F9" s="105" t="s">
        <v>53</v>
      </c>
      <c r="G9" s="108">
        <v>3</v>
      </c>
      <c r="H9" s="105" t="s">
        <v>55</v>
      </c>
    </row>
    <row r="10" spans="1:8" ht="18" x14ac:dyDescent="0.3">
      <c r="A10" s="104">
        <v>45986</v>
      </c>
      <c r="B10" s="105" t="s">
        <v>48</v>
      </c>
      <c r="C10" s="106" t="s">
        <v>49</v>
      </c>
      <c r="D10" s="105" t="s">
        <v>1</v>
      </c>
      <c r="E10" s="107">
        <v>1.6076388888888891</v>
      </c>
      <c r="F10" s="105" t="s">
        <v>56</v>
      </c>
      <c r="G10" s="108">
        <v>3</v>
      </c>
      <c r="H10" s="105" t="s">
        <v>57</v>
      </c>
    </row>
    <row r="11" spans="1:8" ht="18" x14ac:dyDescent="0.3">
      <c r="A11" s="118">
        <v>45986</v>
      </c>
      <c r="B11" s="99" t="s">
        <v>58</v>
      </c>
      <c r="C11" s="100" t="s">
        <v>59</v>
      </c>
      <c r="D11" s="99" t="s">
        <v>1</v>
      </c>
      <c r="E11" s="101">
        <v>1.350694444444444</v>
      </c>
      <c r="F11" s="99" t="s">
        <v>60</v>
      </c>
      <c r="G11" s="102">
        <v>1</v>
      </c>
      <c r="H11" s="99" t="s">
        <v>62</v>
      </c>
    </row>
    <row r="12" spans="1:8" ht="18" x14ac:dyDescent="0.3">
      <c r="A12" s="104">
        <v>45986</v>
      </c>
      <c r="B12" s="105" t="s">
        <v>58</v>
      </c>
      <c r="C12" s="106" t="s">
        <v>59</v>
      </c>
      <c r="D12" s="105" t="s">
        <v>1</v>
      </c>
      <c r="E12" s="107">
        <v>1.350694444444444</v>
      </c>
      <c r="F12" s="105" t="s">
        <v>63</v>
      </c>
      <c r="G12" s="108">
        <v>1</v>
      </c>
      <c r="H12" s="105" t="s">
        <v>62</v>
      </c>
    </row>
    <row r="13" spans="1:8" ht="18" x14ac:dyDescent="0.3">
      <c r="A13" s="169">
        <v>45986</v>
      </c>
      <c r="B13" s="170" t="s">
        <v>75</v>
      </c>
      <c r="C13" s="171" t="s">
        <v>76</v>
      </c>
      <c r="D13" s="170" t="s">
        <v>1</v>
      </c>
      <c r="E13" s="172">
        <v>1.336805555555556</v>
      </c>
      <c r="F13" s="170" t="s">
        <v>60</v>
      </c>
      <c r="G13" s="173">
        <v>9</v>
      </c>
      <c r="H13" s="170" t="s">
        <v>78</v>
      </c>
    </row>
    <row r="14" spans="1:8" ht="18" x14ac:dyDescent="0.3">
      <c r="A14" s="165">
        <v>45987</v>
      </c>
      <c r="B14" s="110" t="s">
        <v>35</v>
      </c>
      <c r="C14" s="111" t="s">
        <v>197</v>
      </c>
      <c r="D14" s="110" t="s">
        <v>196</v>
      </c>
      <c r="E14" s="112">
        <v>1.7777777777777779</v>
      </c>
      <c r="F14" s="110" t="s">
        <v>44</v>
      </c>
      <c r="G14" s="110"/>
      <c r="H14" s="166" t="s">
        <v>45</v>
      </c>
    </row>
    <row r="15" spans="1:8" ht="15.6" x14ac:dyDescent="0.3">
      <c r="A15" s="167"/>
      <c r="B15" s="167"/>
      <c r="C15" s="167"/>
      <c r="D15" s="167"/>
      <c r="E15" s="168" t="s">
        <v>239</v>
      </c>
      <c r="F15" s="167"/>
      <c r="G15" s="167"/>
      <c r="H15" s="3"/>
    </row>
    <row r="16" spans="1:8" ht="18" x14ac:dyDescent="0.3">
      <c r="A16" s="118">
        <v>45987</v>
      </c>
      <c r="B16" s="99" t="s">
        <v>58</v>
      </c>
      <c r="C16" s="100" t="s">
        <v>69</v>
      </c>
      <c r="D16" s="99" t="s">
        <v>1</v>
      </c>
      <c r="E16" s="101">
        <v>1.1840277777777779</v>
      </c>
      <c r="F16" s="99" t="s">
        <v>87</v>
      </c>
      <c r="G16" s="102">
        <v>1</v>
      </c>
      <c r="H16" s="99" t="s">
        <v>88</v>
      </c>
    </row>
    <row r="17" spans="1:8" ht="18" x14ac:dyDescent="0.3">
      <c r="A17" s="104">
        <v>45987</v>
      </c>
      <c r="B17" s="105" t="s">
        <v>58</v>
      </c>
      <c r="C17" s="106" t="s">
        <v>69</v>
      </c>
      <c r="D17" s="105" t="s">
        <v>1</v>
      </c>
      <c r="E17" s="107">
        <v>1.1840277777777779</v>
      </c>
      <c r="F17" s="105" t="s">
        <v>89</v>
      </c>
      <c r="G17" s="108">
        <v>1</v>
      </c>
      <c r="H17" s="105" t="s">
        <v>88</v>
      </c>
    </row>
    <row r="18" spans="1:8" ht="18" x14ac:dyDescent="0.3">
      <c r="A18" s="104">
        <v>45987</v>
      </c>
      <c r="B18" s="105" t="s">
        <v>58</v>
      </c>
      <c r="C18" s="106" t="s">
        <v>69</v>
      </c>
      <c r="D18" s="105" t="s">
        <v>1</v>
      </c>
      <c r="E18" s="107">
        <v>1.1840277777777779</v>
      </c>
      <c r="F18" s="105" t="s">
        <v>63</v>
      </c>
      <c r="G18" s="108">
        <v>1</v>
      </c>
      <c r="H18" s="105" t="s">
        <v>90</v>
      </c>
    </row>
    <row r="19" spans="1:8" ht="18" x14ac:dyDescent="0.3">
      <c r="A19" s="119">
        <v>45987</v>
      </c>
      <c r="B19" s="120" t="s">
        <v>58</v>
      </c>
      <c r="C19" s="121" t="s">
        <v>59</v>
      </c>
      <c r="D19" s="120" t="s">
        <v>1</v>
      </c>
      <c r="E19" s="122">
        <v>1.350694444444444</v>
      </c>
      <c r="F19" s="120" t="s">
        <v>63</v>
      </c>
      <c r="G19" s="123">
        <v>1</v>
      </c>
      <c r="H19" s="120" t="s">
        <v>62</v>
      </c>
    </row>
    <row r="20" spans="1:8" ht="18" x14ac:dyDescent="0.3">
      <c r="A20" s="119">
        <v>45987</v>
      </c>
      <c r="B20" s="120" t="s">
        <v>58</v>
      </c>
      <c r="C20" s="121" t="s">
        <v>65</v>
      </c>
      <c r="D20" s="120" t="s">
        <v>1</v>
      </c>
      <c r="E20" s="122">
        <v>1.895833333333333</v>
      </c>
      <c r="F20" s="120" t="s">
        <v>60</v>
      </c>
      <c r="G20" s="123">
        <v>5</v>
      </c>
      <c r="H20" s="120" t="s">
        <v>62</v>
      </c>
    </row>
    <row r="21" spans="1:8" ht="18" x14ac:dyDescent="0.3">
      <c r="A21" s="118">
        <v>45987</v>
      </c>
      <c r="B21" s="99" t="s">
        <v>25</v>
      </c>
      <c r="C21" s="100" t="s">
        <v>26</v>
      </c>
      <c r="D21" s="99" t="s">
        <v>1</v>
      </c>
      <c r="E21" s="101">
        <v>1.229166666666667</v>
      </c>
      <c r="F21" s="99" t="s">
        <v>27</v>
      </c>
      <c r="G21" s="102">
        <v>8</v>
      </c>
      <c r="H21" s="99" t="s">
        <v>92</v>
      </c>
    </row>
    <row r="22" spans="1:8" ht="18" x14ac:dyDescent="0.3">
      <c r="A22" s="104">
        <v>45987</v>
      </c>
      <c r="B22" s="105" t="s">
        <v>25</v>
      </c>
      <c r="C22" s="106" t="s">
        <v>26</v>
      </c>
      <c r="D22" s="105" t="s">
        <v>1</v>
      </c>
      <c r="E22" s="107">
        <v>1.229166666666667</v>
      </c>
      <c r="F22" s="105" t="s">
        <v>33</v>
      </c>
      <c r="G22" s="108">
        <v>8</v>
      </c>
      <c r="H22" s="105" t="s">
        <v>93</v>
      </c>
    </row>
    <row r="23" spans="1:8" ht="18" x14ac:dyDescent="0.3">
      <c r="A23" s="104">
        <v>45987</v>
      </c>
      <c r="B23" s="105" t="s">
        <v>25</v>
      </c>
      <c r="C23" s="106" t="s">
        <v>26</v>
      </c>
      <c r="D23" s="105" t="s">
        <v>1</v>
      </c>
      <c r="E23" s="107">
        <v>1.229166666666667</v>
      </c>
      <c r="F23" s="105" t="s">
        <v>30</v>
      </c>
      <c r="G23" s="108">
        <v>8</v>
      </c>
      <c r="H23" s="105" t="s">
        <v>94</v>
      </c>
    </row>
    <row r="24" spans="1:8" ht="18" x14ac:dyDescent="0.3">
      <c r="A24" s="118">
        <v>45987</v>
      </c>
      <c r="B24" s="99" t="s">
        <v>75</v>
      </c>
      <c r="C24" s="100" t="s">
        <v>85</v>
      </c>
      <c r="D24" s="99" t="s">
        <v>1</v>
      </c>
      <c r="E24" s="101">
        <v>1.288194444444444</v>
      </c>
      <c r="F24" s="99" t="s">
        <v>60</v>
      </c>
      <c r="G24" s="102">
        <v>9</v>
      </c>
      <c r="H24" s="99" t="s">
        <v>78</v>
      </c>
    </row>
    <row r="25" spans="1:8" ht="18" x14ac:dyDescent="0.3">
      <c r="A25" s="169">
        <v>45987</v>
      </c>
      <c r="B25" s="170" t="s">
        <v>48</v>
      </c>
      <c r="C25" s="171" t="s">
        <v>49</v>
      </c>
      <c r="D25" s="170" t="s">
        <v>1</v>
      </c>
      <c r="E25" s="172">
        <v>1.6076388888888891</v>
      </c>
      <c r="F25" s="170" t="s">
        <v>50</v>
      </c>
      <c r="G25" s="173">
        <v>5</v>
      </c>
      <c r="H25" s="170" t="s">
        <v>98</v>
      </c>
    </row>
    <row r="26" spans="1:8" ht="18" x14ac:dyDescent="0.3">
      <c r="A26" s="98">
        <v>45988</v>
      </c>
      <c r="B26" s="99" t="s">
        <v>75</v>
      </c>
      <c r="C26" s="100" t="s">
        <v>215</v>
      </c>
      <c r="D26" s="99" t="s">
        <v>196</v>
      </c>
      <c r="E26" s="101">
        <v>1.3576388888888891</v>
      </c>
      <c r="F26" s="99" t="s">
        <v>60</v>
      </c>
      <c r="G26" s="102">
        <v>9</v>
      </c>
      <c r="H26" s="103" t="s">
        <v>216</v>
      </c>
    </row>
    <row r="27" spans="1:8" ht="18" x14ac:dyDescent="0.3">
      <c r="A27" s="109">
        <v>45988</v>
      </c>
      <c r="B27" s="110" t="s">
        <v>35</v>
      </c>
      <c r="C27" s="111" t="s">
        <v>197</v>
      </c>
      <c r="D27" s="110" t="s">
        <v>196</v>
      </c>
      <c r="E27" s="112">
        <v>1.479166666666667</v>
      </c>
      <c r="F27" s="110" t="s">
        <v>44</v>
      </c>
      <c r="G27" s="110"/>
      <c r="H27" s="110" t="s">
        <v>45</v>
      </c>
    </row>
    <row r="28" spans="1:8" ht="15.6" x14ac:dyDescent="0.3">
      <c r="A28" s="167"/>
      <c r="B28" s="167"/>
      <c r="C28" s="167"/>
      <c r="D28" s="167"/>
      <c r="E28" s="168" t="s">
        <v>239</v>
      </c>
      <c r="F28" s="167"/>
      <c r="G28" s="167"/>
      <c r="H28" s="3"/>
    </row>
    <row r="29" spans="1:8" ht="18" x14ac:dyDescent="0.3">
      <c r="A29" s="118">
        <v>45988</v>
      </c>
      <c r="B29" s="99" t="s">
        <v>48</v>
      </c>
      <c r="C29" s="100" t="s">
        <v>49</v>
      </c>
      <c r="D29" s="99" t="s">
        <v>1</v>
      </c>
      <c r="E29" s="101">
        <v>1.6076388888888891</v>
      </c>
      <c r="F29" s="99" t="s">
        <v>102</v>
      </c>
      <c r="G29" s="102">
        <v>2</v>
      </c>
      <c r="H29" s="99" t="s">
        <v>34</v>
      </c>
    </row>
    <row r="30" spans="1:8" ht="18" x14ac:dyDescent="0.3">
      <c r="A30" s="119">
        <v>45988</v>
      </c>
      <c r="B30" s="120" t="s">
        <v>48</v>
      </c>
      <c r="C30" s="121" t="s">
        <v>104</v>
      </c>
      <c r="D30" s="120" t="s">
        <v>1</v>
      </c>
      <c r="E30" s="122">
        <v>1.4340277777777779</v>
      </c>
      <c r="F30" s="120" t="s">
        <v>102</v>
      </c>
      <c r="G30" s="123">
        <v>3</v>
      </c>
      <c r="H30" s="120" t="s">
        <v>52</v>
      </c>
    </row>
    <row r="31" spans="1:8" ht="18" x14ac:dyDescent="0.3">
      <c r="A31" s="118">
        <v>45988</v>
      </c>
      <c r="B31" s="99" t="s">
        <v>25</v>
      </c>
      <c r="C31" s="100" t="s">
        <v>26</v>
      </c>
      <c r="D31" s="99" t="s">
        <v>1</v>
      </c>
      <c r="E31" s="101">
        <v>1.229166666666667</v>
      </c>
      <c r="F31" s="99" t="s">
        <v>27</v>
      </c>
      <c r="G31" s="102">
        <v>5</v>
      </c>
      <c r="H31" s="99" t="s">
        <v>105</v>
      </c>
    </row>
    <row r="32" spans="1:8" ht="18" x14ac:dyDescent="0.3">
      <c r="A32" s="104">
        <v>45988</v>
      </c>
      <c r="B32" s="105" t="s">
        <v>25</v>
      </c>
      <c r="C32" s="106" t="s">
        <v>26</v>
      </c>
      <c r="D32" s="105" t="s">
        <v>1</v>
      </c>
      <c r="E32" s="107">
        <v>1.229166666666667</v>
      </c>
      <c r="F32" s="105" t="s">
        <v>33</v>
      </c>
      <c r="G32" s="108">
        <v>5</v>
      </c>
      <c r="H32" s="105" t="s">
        <v>106</v>
      </c>
    </row>
    <row r="33" spans="1:8" ht="18" x14ac:dyDescent="0.3">
      <c r="A33" s="104">
        <v>45988</v>
      </c>
      <c r="B33" s="105" t="s">
        <v>25</v>
      </c>
      <c r="C33" s="106" t="s">
        <v>26</v>
      </c>
      <c r="D33" s="105" t="s">
        <v>1</v>
      </c>
      <c r="E33" s="107">
        <v>1.229166666666667</v>
      </c>
      <c r="F33" s="105" t="s">
        <v>30</v>
      </c>
      <c r="G33" s="108">
        <v>5</v>
      </c>
      <c r="H33" s="105" t="s">
        <v>94</v>
      </c>
    </row>
    <row r="34" spans="1:8" ht="18" x14ac:dyDescent="0.3">
      <c r="A34" s="118">
        <v>45988</v>
      </c>
      <c r="B34" s="99" t="s">
        <v>58</v>
      </c>
      <c r="C34" s="100" t="s">
        <v>65</v>
      </c>
      <c r="D34" s="99" t="s">
        <v>1</v>
      </c>
      <c r="E34" s="101">
        <v>1.895833333333333</v>
      </c>
      <c r="F34" s="99" t="s">
        <v>60</v>
      </c>
      <c r="G34" s="102">
        <v>2</v>
      </c>
      <c r="H34" s="99" t="s">
        <v>107</v>
      </c>
    </row>
    <row r="35" spans="1:8" ht="18" x14ac:dyDescent="0.3">
      <c r="A35" s="119">
        <v>45988</v>
      </c>
      <c r="B35" s="120" t="s">
        <v>58</v>
      </c>
      <c r="C35" s="121" t="s">
        <v>71</v>
      </c>
      <c r="D35" s="120" t="s">
        <v>1</v>
      </c>
      <c r="E35" s="122">
        <v>1.229166666666667</v>
      </c>
      <c r="F35" s="120" t="s">
        <v>60</v>
      </c>
      <c r="G35" s="123">
        <v>4</v>
      </c>
      <c r="H35" s="120" t="s">
        <v>108</v>
      </c>
    </row>
    <row r="36" spans="1:8" ht="18" x14ac:dyDescent="0.3">
      <c r="A36" s="169">
        <v>45988</v>
      </c>
      <c r="B36" s="170" t="s">
        <v>75</v>
      </c>
      <c r="C36" s="171" t="s">
        <v>79</v>
      </c>
      <c r="D36" s="170" t="s">
        <v>1</v>
      </c>
      <c r="E36" s="172">
        <v>1.9513888888888891</v>
      </c>
      <c r="F36" s="170" t="s">
        <v>60</v>
      </c>
      <c r="G36" s="173">
        <v>2</v>
      </c>
      <c r="H36" s="170" t="s">
        <v>96</v>
      </c>
    </row>
    <row r="37" spans="1:8" ht="18" x14ac:dyDescent="0.3">
      <c r="A37" s="98">
        <v>45989</v>
      </c>
      <c r="B37" s="99" t="s">
        <v>75</v>
      </c>
      <c r="C37" s="100" t="s">
        <v>215</v>
      </c>
      <c r="D37" s="99" t="s">
        <v>196</v>
      </c>
      <c r="E37" s="101">
        <v>1.3576388888888891</v>
      </c>
      <c r="F37" s="99" t="s">
        <v>60</v>
      </c>
      <c r="G37" s="102">
        <v>9</v>
      </c>
      <c r="H37" s="103" t="s">
        <v>221</v>
      </c>
    </row>
    <row r="38" spans="1:8" ht="15.6" x14ac:dyDescent="0.3">
      <c r="A38" s="167"/>
      <c r="B38" s="167"/>
      <c r="C38" s="167"/>
      <c r="D38" s="167"/>
      <c r="E38" s="168" t="s">
        <v>239</v>
      </c>
      <c r="F38" s="167"/>
      <c r="G38" s="167"/>
      <c r="H38" s="3"/>
    </row>
    <row r="39" spans="1:8" ht="18" x14ac:dyDescent="0.3">
      <c r="A39" s="118">
        <v>45989</v>
      </c>
      <c r="B39" s="99" t="s">
        <v>25</v>
      </c>
      <c r="C39" s="100" t="s">
        <v>26</v>
      </c>
      <c r="D39" s="99" t="s">
        <v>1</v>
      </c>
      <c r="E39" s="101">
        <v>1.229166666666667</v>
      </c>
      <c r="F39" s="99" t="s">
        <v>27</v>
      </c>
      <c r="G39" s="102">
        <v>8</v>
      </c>
      <c r="H39" s="99" t="s">
        <v>92</v>
      </c>
    </row>
    <row r="40" spans="1:8" ht="18" x14ac:dyDescent="0.3">
      <c r="A40" s="104">
        <v>45989</v>
      </c>
      <c r="B40" s="105" t="s">
        <v>25</v>
      </c>
      <c r="C40" s="106" t="s">
        <v>26</v>
      </c>
      <c r="D40" s="105" t="s">
        <v>1</v>
      </c>
      <c r="E40" s="107">
        <v>1.229166666666667</v>
      </c>
      <c r="F40" s="105" t="s">
        <v>33</v>
      </c>
      <c r="G40" s="108">
        <v>8</v>
      </c>
      <c r="H40" s="105" t="s">
        <v>93</v>
      </c>
    </row>
    <row r="41" spans="1:8" ht="18" x14ac:dyDescent="0.3">
      <c r="A41" s="104">
        <v>45989</v>
      </c>
      <c r="B41" s="105" t="s">
        <v>25</v>
      </c>
      <c r="C41" s="106" t="s">
        <v>26</v>
      </c>
      <c r="D41" s="105" t="s">
        <v>1</v>
      </c>
      <c r="E41" s="107">
        <v>1.229166666666667</v>
      </c>
      <c r="F41" s="105" t="s">
        <v>30</v>
      </c>
      <c r="G41" s="108">
        <v>8</v>
      </c>
      <c r="H41" s="105" t="s">
        <v>94</v>
      </c>
    </row>
    <row r="42" spans="1:8" ht="18" x14ac:dyDescent="0.3">
      <c r="A42" s="118">
        <v>45989</v>
      </c>
      <c r="B42" s="99" t="s">
        <v>48</v>
      </c>
      <c r="C42" s="100" t="s">
        <v>49</v>
      </c>
      <c r="D42" s="99" t="s">
        <v>1</v>
      </c>
      <c r="E42" s="101">
        <v>1.6076388888888891</v>
      </c>
      <c r="F42" s="99" t="s">
        <v>50</v>
      </c>
      <c r="G42" s="102">
        <v>4</v>
      </c>
      <c r="H42" s="99" t="s">
        <v>110</v>
      </c>
    </row>
    <row r="43" spans="1:8" ht="18" x14ac:dyDescent="0.3">
      <c r="A43" s="104">
        <v>45989</v>
      </c>
      <c r="B43" s="105" t="s">
        <v>48</v>
      </c>
      <c r="C43" s="106" t="s">
        <v>49</v>
      </c>
      <c r="D43" s="105" t="s">
        <v>1</v>
      </c>
      <c r="E43" s="107">
        <v>1.6076388888888891</v>
      </c>
      <c r="F43" s="105" t="s">
        <v>53</v>
      </c>
      <c r="G43" s="108">
        <v>4</v>
      </c>
      <c r="H43" s="105" t="s">
        <v>111</v>
      </c>
    </row>
    <row r="44" spans="1:8" ht="18" x14ac:dyDescent="0.3">
      <c r="A44" s="104">
        <v>45989</v>
      </c>
      <c r="B44" s="105" t="s">
        <v>48</v>
      </c>
      <c r="C44" s="106" t="s">
        <v>49</v>
      </c>
      <c r="D44" s="105" t="s">
        <v>1</v>
      </c>
      <c r="E44" s="107">
        <v>1.6076388888888891</v>
      </c>
      <c r="F44" s="105" t="s">
        <v>56</v>
      </c>
      <c r="G44" s="108">
        <v>4</v>
      </c>
      <c r="H44" s="105" t="s">
        <v>112</v>
      </c>
    </row>
    <row r="45" spans="1:8" ht="18" x14ac:dyDescent="0.3">
      <c r="A45" s="118">
        <v>45989</v>
      </c>
      <c r="B45" s="99" t="s">
        <v>75</v>
      </c>
      <c r="C45" s="100" t="s">
        <v>79</v>
      </c>
      <c r="D45" s="99" t="s">
        <v>1</v>
      </c>
      <c r="E45" s="101">
        <v>1.9409722222222221</v>
      </c>
      <c r="F45" s="99" t="s">
        <v>60</v>
      </c>
      <c r="G45" s="102">
        <v>9</v>
      </c>
      <c r="H45" s="99" t="s">
        <v>113</v>
      </c>
    </row>
    <row r="46" spans="1:8" ht="18" x14ac:dyDescent="0.3">
      <c r="A46" s="119">
        <v>45989</v>
      </c>
      <c r="B46" s="120" t="s">
        <v>75</v>
      </c>
      <c r="C46" s="121" t="s">
        <v>81</v>
      </c>
      <c r="D46" s="120" t="s">
        <v>1</v>
      </c>
      <c r="E46" s="122">
        <v>1.697916666666667</v>
      </c>
      <c r="F46" s="120" t="s">
        <v>60</v>
      </c>
      <c r="G46" s="123">
        <v>9</v>
      </c>
      <c r="H46" s="120" t="s">
        <v>114</v>
      </c>
    </row>
    <row r="47" spans="1:8" ht="18" x14ac:dyDescent="0.3">
      <c r="A47" s="119">
        <v>45989</v>
      </c>
      <c r="B47" s="120" t="s">
        <v>75</v>
      </c>
      <c r="C47" s="121" t="s">
        <v>82</v>
      </c>
      <c r="D47" s="120" t="s">
        <v>1</v>
      </c>
      <c r="E47" s="122">
        <v>1.0659722222222221</v>
      </c>
      <c r="F47" s="120" t="s">
        <v>60</v>
      </c>
      <c r="G47" s="123">
        <v>9</v>
      </c>
      <c r="H47" s="120" t="s">
        <v>78</v>
      </c>
    </row>
    <row r="48" spans="1:8" ht="18" x14ac:dyDescent="0.3">
      <c r="A48" s="169">
        <v>45989</v>
      </c>
      <c r="B48" s="170" t="s">
        <v>58</v>
      </c>
      <c r="C48" s="171" t="s">
        <v>59</v>
      </c>
      <c r="D48" s="170" t="s">
        <v>1</v>
      </c>
      <c r="E48" s="172">
        <v>1.350694444444444</v>
      </c>
      <c r="F48" s="170" t="s">
        <v>63</v>
      </c>
      <c r="G48" s="173">
        <v>9</v>
      </c>
      <c r="H48" s="170" t="s">
        <v>115</v>
      </c>
    </row>
    <row r="49" spans="1:8" ht="15.6" x14ac:dyDescent="0.3">
      <c r="A49" s="167"/>
      <c r="B49" s="167"/>
      <c r="C49" s="167"/>
      <c r="D49" s="167"/>
      <c r="E49" s="168" t="s">
        <v>239</v>
      </c>
      <c r="F49" s="167"/>
      <c r="G49" s="167"/>
      <c r="H49" s="3"/>
    </row>
    <row r="50" spans="1:8" ht="18" x14ac:dyDescent="0.3">
      <c r="A50" s="98">
        <v>45990</v>
      </c>
      <c r="B50" s="99" t="s">
        <v>25</v>
      </c>
      <c r="C50" s="100" t="s">
        <v>26</v>
      </c>
      <c r="D50" s="99" t="s">
        <v>1</v>
      </c>
      <c r="E50" s="101">
        <v>1.229166666666667</v>
      </c>
      <c r="F50" s="99" t="s">
        <v>27</v>
      </c>
      <c r="G50" s="102">
        <v>1</v>
      </c>
      <c r="H50" s="103" t="s">
        <v>29</v>
      </c>
    </row>
    <row r="51" spans="1:8" ht="18" x14ac:dyDescent="0.3">
      <c r="A51" s="104">
        <v>45990</v>
      </c>
      <c r="B51" s="105" t="s">
        <v>25</v>
      </c>
      <c r="C51" s="106" t="s">
        <v>26</v>
      </c>
      <c r="D51" s="105" t="s">
        <v>1</v>
      </c>
      <c r="E51" s="107">
        <v>1.229166666666667</v>
      </c>
      <c r="F51" s="105" t="s">
        <v>33</v>
      </c>
      <c r="G51" s="108">
        <v>1</v>
      </c>
      <c r="H51" s="105" t="s">
        <v>34</v>
      </c>
    </row>
    <row r="52" spans="1:8" ht="18" x14ac:dyDescent="0.3">
      <c r="A52" s="118">
        <v>45990</v>
      </c>
      <c r="B52" s="99" t="s">
        <v>48</v>
      </c>
      <c r="C52" s="100" t="s">
        <v>104</v>
      </c>
      <c r="D52" s="99" t="s">
        <v>1</v>
      </c>
      <c r="E52" s="101">
        <v>1.4340277777777779</v>
      </c>
      <c r="F52" s="99" t="s">
        <v>50</v>
      </c>
      <c r="G52" s="102">
        <v>1</v>
      </c>
      <c r="H52" s="99" t="s">
        <v>116</v>
      </c>
    </row>
    <row r="53" spans="1:8" ht="18" x14ac:dyDescent="0.3">
      <c r="A53" s="104">
        <v>45990</v>
      </c>
      <c r="B53" s="105" t="s">
        <v>48</v>
      </c>
      <c r="C53" s="106" t="s">
        <v>104</v>
      </c>
      <c r="D53" s="105" t="s">
        <v>1</v>
      </c>
      <c r="E53" s="107">
        <v>1.4340277777777779</v>
      </c>
      <c r="F53" s="105" t="s">
        <v>53</v>
      </c>
      <c r="G53" s="108">
        <v>1</v>
      </c>
      <c r="H53" s="105" t="s">
        <v>117</v>
      </c>
    </row>
    <row r="54" spans="1:8" ht="18" x14ac:dyDescent="0.3">
      <c r="A54" s="104">
        <v>45990</v>
      </c>
      <c r="B54" s="105" t="s">
        <v>48</v>
      </c>
      <c r="C54" s="106" t="s">
        <v>104</v>
      </c>
      <c r="D54" s="105" t="s">
        <v>1</v>
      </c>
      <c r="E54" s="107">
        <v>1.4340277777777779</v>
      </c>
      <c r="F54" s="105" t="s">
        <v>56</v>
      </c>
      <c r="G54" s="108">
        <v>1</v>
      </c>
      <c r="H54" s="105" t="s">
        <v>111</v>
      </c>
    </row>
    <row r="55" spans="1:8" ht="18" x14ac:dyDescent="0.3">
      <c r="A55" s="119">
        <v>45990</v>
      </c>
      <c r="B55" s="120" t="s">
        <v>48</v>
      </c>
      <c r="C55" s="121" t="s">
        <v>49</v>
      </c>
      <c r="D55" s="120" t="s">
        <v>1</v>
      </c>
      <c r="E55" s="122">
        <v>1.6076388888888891</v>
      </c>
      <c r="F55" s="120" t="s">
        <v>50</v>
      </c>
      <c r="G55" s="123">
        <v>9</v>
      </c>
      <c r="H55" s="120" t="s">
        <v>110</v>
      </c>
    </row>
    <row r="56" spans="1:8" ht="18" x14ac:dyDescent="0.3">
      <c r="A56" s="104">
        <v>45990</v>
      </c>
      <c r="B56" s="105" t="s">
        <v>48</v>
      </c>
      <c r="C56" s="106" t="s">
        <v>49</v>
      </c>
      <c r="D56" s="105" t="s">
        <v>1</v>
      </c>
      <c r="E56" s="107">
        <v>1.6076388888888891</v>
      </c>
      <c r="F56" s="105" t="s">
        <v>53</v>
      </c>
      <c r="G56" s="108">
        <v>9</v>
      </c>
      <c r="H56" s="105" t="s">
        <v>111</v>
      </c>
    </row>
    <row r="57" spans="1:8" ht="18" x14ac:dyDescent="0.3">
      <c r="A57" s="104">
        <v>45990</v>
      </c>
      <c r="B57" s="105" t="s">
        <v>48</v>
      </c>
      <c r="C57" s="106" t="s">
        <v>49</v>
      </c>
      <c r="D57" s="105" t="s">
        <v>1</v>
      </c>
      <c r="E57" s="107">
        <v>1.6076388888888891</v>
      </c>
      <c r="F57" s="105" t="s">
        <v>56</v>
      </c>
      <c r="G57" s="108">
        <v>9</v>
      </c>
      <c r="H57" s="105" t="s">
        <v>112</v>
      </c>
    </row>
    <row r="58" spans="1:8" ht="18" x14ac:dyDescent="0.3">
      <c r="A58" s="118">
        <v>45990</v>
      </c>
      <c r="B58" s="99" t="s">
        <v>75</v>
      </c>
      <c r="C58" s="100" t="s">
        <v>82</v>
      </c>
      <c r="D58" s="99" t="s">
        <v>1</v>
      </c>
      <c r="E58" s="101">
        <v>1.0659722222222221</v>
      </c>
      <c r="F58" s="99" t="s">
        <v>60</v>
      </c>
      <c r="G58" s="102">
        <v>9</v>
      </c>
      <c r="H58" s="99" t="s">
        <v>113</v>
      </c>
    </row>
    <row r="59" spans="1:8" ht="18" x14ac:dyDescent="0.3">
      <c r="A59" s="124">
        <v>45990</v>
      </c>
      <c r="B59" s="125" t="s">
        <v>75</v>
      </c>
      <c r="C59" s="126" t="s">
        <v>79</v>
      </c>
      <c r="D59" s="125" t="s">
        <v>1</v>
      </c>
      <c r="E59" s="127">
        <v>1.9409722222222221</v>
      </c>
      <c r="F59" s="125" t="s">
        <v>60</v>
      </c>
      <c r="G59" s="128">
        <v>9</v>
      </c>
      <c r="H59" s="125" t="s">
        <v>114</v>
      </c>
    </row>
    <row r="60" spans="1:8" ht="18" x14ac:dyDescent="0.3">
      <c r="A60" s="165">
        <v>45991</v>
      </c>
      <c r="B60" s="110" t="s">
        <v>35</v>
      </c>
      <c r="C60" s="111" t="s">
        <v>197</v>
      </c>
      <c r="D60" s="110" t="s">
        <v>196</v>
      </c>
      <c r="E60" s="112">
        <v>1.2361111111111109</v>
      </c>
      <c r="F60" s="110" t="s">
        <v>44</v>
      </c>
      <c r="G60" s="110"/>
      <c r="H60" s="166" t="s">
        <v>45</v>
      </c>
    </row>
    <row r="61" spans="1:8" ht="15.6" x14ac:dyDescent="0.3">
      <c r="A61" s="167"/>
      <c r="B61" s="167"/>
      <c r="C61" s="167"/>
      <c r="D61" s="167"/>
      <c r="E61" s="168" t="s">
        <v>239</v>
      </c>
      <c r="F61" s="167"/>
      <c r="G61" s="167"/>
      <c r="H61" s="3"/>
    </row>
    <row r="62" spans="1:8" ht="18" x14ac:dyDescent="0.3">
      <c r="A62" s="118">
        <v>45991</v>
      </c>
      <c r="B62" s="99" t="s">
        <v>25</v>
      </c>
      <c r="C62" s="100" t="s">
        <v>26</v>
      </c>
      <c r="D62" s="99" t="s">
        <v>1</v>
      </c>
      <c r="E62" s="101">
        <v>1.229166666666667</v>
      </c>
      <c r="F62" s="99" t="s">
        <v>27</v>
      </c>
      <c r="G62" s="102">
        <v>2</v>
      </c>
      <c r="H62" s="99" t="s">
        <v>123</v>
      </c>
    </row>
    <row r="63" spans="1:8" ht="18" x14ac:dyDescent="0.3">
      <c r="A63" s="104">
        <v>45991</v>
      </c>
      <c r="B63" s="105" t="s">
        <v>25</v>
      </c>
      <c r="C63" s="106" t="s">
        <v>26</v>
      </c>
      <c r="D63" s="105" t="s">
        <v>1</v>
      </c>
      <c r="E63" s="107">
        <v>1.229166666666667</v>
      </c>
      <c r="F63" s="105" t="s">
        <v>33</v>
      </c>
      <c r="G63" s="108">
        <v>2</v>
      </c>
      <c r="H63" s="105" t="s">
        <v>32</v>
      </c>
    </row>
    <row r="64" spans="1:8" ht="18" x14ac:dyDescent="0.3">
      <c r="A64" s="104">
        <v>45991</v>
      </c>
      <c r="B64" s="105" t="s">
        <v>25</v>
      </c>
      <c r="C64" s="106" t="s">
        <v>26</v>
      </c>
      <c r="D64" s="105" t="s">
        <v>1</v>
      </c>
      <c r="E64" s="107">
        <v>1.229166666666667</v>
      </c>
      <c r="F64" s="105" t="s">
        <v>30</v>
      </c>
      <c r="G64" s="108">
        <v>2</v>
      </c>
      <c r="H64" s="105" t="s">
        <v>94</v>
      </c>
    </row>
    <row r="65" spans="1:8" ht="18" x14ac:dyDescent="0.3">
      <c r="A65" s="118">
        <v>45991</v>
      </c>
      <c r="B65" s="99" t="s">
        <v>48</v>
      </c>
      <c r="C65" s="100" t="s">
        <v>49</v>
      </c>
      <c r="D65" s="99" t="s">
        <v>1</v>
      </c>
      <c r="E65" s="101">
        <v>1.6076388888888891</v>
      </c>
      <c r="F65" s="99" t="s">
        <v>50</v>
      </c>
      <c r="G65" s="102">
        <v>8</v>
      </c>
      <c r="H65" s="99" t="s">
        <v>110</v>
      </c>
    </row>
    <row r="66" spans="1:8" ht="18" x14ac:dyDescent="0.3">
      <c r="A66" s="104">
        <v>45991</v>
      </c>
      <c r="B66" s="105" t="s">
        <v>48</v>
      </c>
      <c r="C66" s="106" t="s">
        <v>49</v>
      </c>
      <c r="D66" s="105" t="s">
        <v>1</v>
      </c>
      <c r="E66" s="107">
        <v>1.6076388888888891</v>
      </c>
      <c r="F66" s="105" t="s">
        <v>53</v>
      </c>
      <c r="G66" s="108">
        <v>8</v>
      </c>
      <c r="H66" s="105" t="s">
        <v>111</v>
      </c>
    </row>
    <row r="67" spans="1:8" ht="18" x14ac:dyDescent="0.3">
      <c r="A67" s="104">
        <v>45991</v>
      </c>
      <c r="B67" s="105" t="s">
        <v>48</v>
      </c>
      <c r="C67" s="106" t="s">
        <v>49</v>
      </c>
      <c r="D67" s="105" t="s">
        <v>1</v>
      </c>
      <c r="E67" s="107">
        <v>1.6076388888888891</v>
      </c>
      <c r="F67" s="105" t="s">
        <v>56</v>
      </c>
      <c r="G67" s="108">
        <v>8</v>
      </c>
      <c r="H67" s="105" t="s">
        <v>112</v>
      </c>
    </row>
    <row r="68" spans="1:8" ht="18" x14ac:dyDescent="0.3">
      <c r="A68" s="109">
        <v>45991</v>
      </c>
      <c r="B68" s="110" t="s">
        <v>35</v>
      </c>
      <c r="C68" s="111" t="s">
        <v>124</v>
      </c>
      <c r="D68" s="110" t="s">
        <v>1</v>
      </c>
      <c r="E68" s="112">
        <v>1.743055555555556</v>
      </c>
      <c r="F68" s="110" t="s">
        <v>37</v>
      </c>
      <c r="G68" s="113">
        <v>1</v>
      </c>
      <c r="H68" s="110" t="s">
        <v>125</v>
      </c>
    </row>
    <row r="69" spans="1:8" ht="18" x14ac:dyDescent="0.3">
      <c r="A69" s="118">
        <v>45991</v>
      </c>
      <c r="B69" s="99" t="s">
        <v>75</v>
      </c>
      <c r="C69" s="100" t="s">
        <v>79</v>
      </c>
      <c r="D69" s="99" t="s">
        <v>1</v>
      </c>
      <c r="E69" s="101">
        <v>1.9409722222222221</v>
      </c>
      <c r="F69" s="99" t="s">
        <v>60</v>
      </c>
      <c r="G69" s="102">
        <v>9</v>
      </c>
      <c r="H69" s="99" t="s">
        <v>113</v>
      </c>
    </row>
    <row r="70" spans="1:8" ht="18" x14ac:dyDescent="0.3">
      <c r="A70" s="119">
        <v>45991</v>
      </c>
      <c r="B70" s="120" t="s">
        <v>75</v>
      </c>
      <c r="C70" s="121" t="s">
        <v>82</v>
      </c>
      <c r="D70" s="120" t="s">
        <v>1</v>
      </c>
      <c r="E70" s="122">
        <v>1.0659722222222221</v>
      </c>
      <c r="F70" s="120" t="s">
        <v>60</v>
      </c>
      <c r="G70" s="123">
        <v>9</v>
      </c>
      <c r="H70" s="120" t="s">
        <v>113</v>
      </c>
    </row>
    <row r="71" spans="1:8" ht="18" x14ac:dyDescent="0.3">
      <c r="A71" s="169">
        <v>45991</v>
      </c>
      <c r="B71" s="170" t="s">
        <v>58</v>
      </c>
      <c r="C71" s="171" t="s">
        <v>69</v>
      </c>
      <c r="D71" s="170" t="s">
        <v>1</v>
      </c>
      <c r="E71" s="172">
        <v>1.1840277777777779</v>
      </c>
      <c r="F71" s="170" t="s">
        <v>63</v>
      </c>
      <c r="G71" s="173">
        <v>9</v>
      </c>
      <c r="H71" s="170" t="s">
        <v>62</v>
      </c>
    </row>
  </sheetData>
  <dataValidations count="6">
    <dataValidation type="custom" allowBlank="1" showInputMessage="1" promptTitle="LOAD FACTOR ANALYSIS" prompt="SM485_x000d__x000a_LF 1.0%_x000d__x000a_SOLD 180_x000d__x000a_LST-SOLD 22NOV_x000d__x000a_WEEKLY 48_x000d__x000a_TO-DAY NIL_x000d__x000a_Y-DAY NIL_x000d__x000a_LOWEST AVAIL CLOSED_x000d__x000a_CAPACITY 180_x000d__x000a_CLASSES V5 &amp; T5 &amp; X4 &amp; +2 more" sqref="A2 B2 C2 D2 E2 F2 G2 H2" xr:uid="{00000000-0002-0000-0600-000000000000}">
      <formula1>TRUE</formula1>
    </dataValidation>
    <dataValidation type="custom" allowBlank="1" showInputMessage="1" promptTitle="LOAD FACTOR ANALYSIS" prompt="SM-487_x000d__x000a_LF -_x000d__x000a_SOLD -_x000d__x000a_LST-SOLD -_x000d__x000a_WEEKLY -_x000d__x000a_TO-DAY -_x000d__x000a_Y-DAY -_x000d__x000a_LOWEST AVAIL -_x000d__x000a_CAPACITY -_x000d__x000a_CLASSES -" sqref="A7 B7 C7 D7 E7 F7 G7 H7" xr:uid="{00000000-0002-0000-0600-000001000000}">
      <formula1>TRUE</formula1>
    </dataValidation>
    <dataValidation type="custom" allowBlank="1" showInputMessage="1" promptTitle="LOAD FACTOR ANALYSIS" prompt="SM485_x000d__x000a_LF 99.4%_x000d__x000a_SOLD 179_x000d__x000a_LST-SOLD 15NOV_x000d__x000a_WEEKLY NIL_x000d__x000a_TO-DAY NIL_x000d__x000a_Y-DAY NIL_x000d__x000a_LOWEST AVAIL CLOSED_x000d__x000a_CAPACITY 180_x000d__x000a_CLASSES G1 &amp; I3 &amp; P175" sqref="A14 B14 C14 D14 E14 F14 G14 H14" xr:uid="{00000000-0002-0000-0600-000002000000}">
      <formula1>TRUE</formula1>
    </dataValidation>
    <dataValidation type="custom" allowBlank="1" showInputMessage="1" promptTitle="LOAD FACTOR ANALYSIS" prompt="SM485_x000d__x000a_LF 1.0%_x000d__x000a_SOLD 180_x000d__x000a_LST-SOLD 19NOV_x000d__x000a_WEEKLY 2_x000d__x000a_TO-DAY NIL_x000d__x000a_Y-DAY NIL_x000d__x000a_LOWEST AVAIL CLOSED_x000d__x000a_CAPACITY 180_x000d__x000a_CLASSES G3 &amp; X3 &amp; I8 &amp; +1 more" sqref="A27 B27 C27 D27 E27 F27 G27 H27" xr:uid="{00000000-0002-0000-0600-000003000000}">
      <formula1>TRUE</formula1>
    </dataValidation>
    <dataValidation type="custom" allowBlank="1" showInputMessage="1" promptTitle="LOAD FACTOR ANALYSIS" prompt="SM485_x000d__x000a_LF 1.0%_x000d__x000a_SOLD 180_x000d__x000a_LST-SOLD 16NOV_x000d__x000a_WEEKLY NIL_x000d__x000a_TO-DAY NIL_x000d__x000a_Y-DAY NIL_x000d__x000a_LOWEST AVAIL CLOSED_x000d__x000a_CAPACITY 180_x000d__x000a_CLASSES L3 &amp; X10 &amp; U11 &amp; +3 more" sqref="A60 B60 C60 D60 E60 F60 G60 H60" xr:uid="{00000000-0002-0000-0600-000004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68 B68 C68 D68 E68 F68 G68 H68" xr:uid="{00000000-0002-0000-0600-000005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3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3.109375" bestFit="1" customWidth="1"/>
  </cols>
  <sheetData>
    <row r="1" spans="1:92" ht="28.8" customHeight="1" x14ac:dyDescent="0.3">
      <c r="A1" s="284" t="s">
        <v>0</v>
      </c>
      <c r="B1" s="265"/>
      <c r="C1" s="265"/>
      <c r="D1" s="284" t="s">
        <v>240</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45985.362115450793</v>
      </c>
      <c r="H2" s="272"/>
      <c r="I2" s="272"/>
      <c r="J2" s="272"/>
      <c r="K2" s="282">
        <v>45985.362115451288</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45987</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74" t="s">
        <v>35</v>
      </c>
      <c r="B6" s="174" t="s">
        <v>241</v>
      </c>
      <c r="C6" s="175">
        <v>0.46180555555555558</v>
      </c>
      <c r="D6" s="174" t="s">
        <v>37</v>
      </c>
      <c r="E6" s="174" t="s">
        <v>61</v>
      </c>
      <c r="F6" s="174" t="s">
        <v>242</v>
      </c>
      <c r="G6" s="261"/>
      <c r="H6" s="176" t="s">
        <v>243</v>
      </c>
      <c r="I6" s="177">
        <v>0.84440000000000004</v>
      </c>
      <c r="J6" s="178">
        <v>152</v>
      </c>
      <c r="K6" s="179">
        <v>45984</v>
      </c>
      <c r="L6" s="178">
        <v>41</v>
      </c>
      <c r="M6" s="178">
        <v>0</v>
      </c>
      <c r="N6" s="178">
        <v>3</v>
      </c>
      <c r="O6" s="180" t="s">
        <v>244</v>
      </c>
      <c r="P6" s="181">
        <v>0.46180555555555558</v>
      </c>
      <c r="Q6" s="178">
        <v>180</v>
      </c>
      <c r="R6" s="182" t="s">
        <v>245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199</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38" t="s">
        <v>58</v>
      </c>
      <c r="B8" s="38" t="s">
        <v>69</v>
      </c>
      <c r="C8" s="39" t="s">
        <v>211</v>
      </c>
      <c r="D8" s="38" t="s">
        <v>87</v>
      </c>
      <c r="E8" s="38" t="s">
        <v>207</v>
      </c>
      <c r="F8" s="38" t="s">
        <v>88</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8" t="s">
        <v>58</v>
      </c>
      <c r="B9" s="38" t="s">
        <v>69</v>
      </c>
      <c r="C9" s="39" t="s">
        <v>211</v>
      </c>
      <c r="D9" s="38" t="s">
        <v>89</v>
      </c>
      <c r="E9" s="38" t="s">
        <v>207</v>
      </c>
      <c r="F9" s="38" t="s">
        <v>88</v>
      </c>
      <c r="G9" s="262"/>
      <c r="H9" s="158"/>
      <c r="I9" s="158"/>
      <c r="J9" s="158"/>
      <c r="K9" s="158"/>
      <c r="L9" s="158"/>
      <c r="M9" s="158"/>
      <c r="N9" s="158"/>
      <c r="O9" s="159"/>
      <c r="P9" s="158"/>
      <c r="Q9" s="160"/>
      <c r="R9" s="16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8" t="s">
        <v>58</v>
      </c>
      <c r="B10" s="38" t="s">
        <v>69</v>
      </c>
      <c r="C10" s="39" t="s">
        <v>211</v>
      </c>
      <c r="D10" s="38" t="s">
        <v>63</v>
      </c>
      <c r="E10" s="38" t="s">
        <v>207</v>
      </c>
      <c r="F10" s="38" t="s">
        <v>90</v>
      </c>
      <c r="G10" s="262"/>
      <c r="H10" s="158"/>
      <c r="I10" s="158"/>
      <c r="J10" s="158"/>
      <c r="K10" s="158"/>
      <c r="L10" s="158"/>
      <c r="M10" s="158"/>
      <c r="N10" s="158"/>
      <c r="O10" s="159"/>
      <c r="P10" s="158"/>
      <c r="Q10" s="160"/>
      <c r="R10" s="16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25</v>
      </c>
      <c r="B11" s="38" t="s">
        <v>26</v>
      </c>
      <c r="C11" s="39" t="s">
        <v>200</v>
      </c>
      <c r="D11" s="38" t="s">
        <v>27</v>
      </c>
      <c r="E11" s="38" t="s">
        <v>201</v>
      </c>
      <c r="F11" s="38" t="s">
        <v>92</v>
      </c>
      <c r="G11" s="262"/>
      <c r="H11" s="158"/>
      <c r="I11" s="158"/>
      <c r="J11" s="158"/>
      <c r="K11" s="158"/>
      <c r="L11" s="158"/>
      <c r="M11" s="158"/>
      <c r="N11" s="158"/>
      <c r="O11" s="159"/>
      <c r="P11" s="158"/>
      <c r="Q11" s="160"/>
      <c r="R11" s="16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25</v>
      </c>
      <c r="B12" s="38" t="s">
        <v>26</v>
      </c>
      <c r="C12" s="39" t="s">
        <v>200</v>
      </c>
      <c r="D12" s="38" t="s">
        <v>33</v>
      </c>
      <c r="E12" s="38" t="s">
        <v>201</v>
      </c>
      <c r="F12" s="38" t="s">
        <v>93</v>
      </c>
      <c r="G12" s="262"/>
      <c r="H12" s="158"/>
      <c r="I12" s="158"/>
      <c r="J12" s="158"/>
      <c r="K12" s="158"/>
      <c r="L12" s="158"/>
      <c r="M12" s="158"/>
      <c r="N12" s="158"/>
      <c r="O12" s="159"/>
      <c r="P12" s="158"/>
      <c r="Q12" s="160"/>
      <c r="R12" s="16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58</v>
      </c>
      <c r="B13" s="38" t="s">
        <v>59</v>
      </c>
      <c r="C13" s="39" t="s">
        <v>206</v>
      </c>
      <c r="D13" s="38" t="s">
        <v>63</v>
      </c>
      <c r="E13" s="38" t="s">
        <v>207</v>
      </c>
      <c r="F13" s="38" t="s">
        <v>62</v>
      </c>
      <c r="G13" s="262"/>
      <c r="H13" s="158"/>
      <c r="I13" s="158"/>
      <c r="J13" s="158"/>
      <c r="K13" s="158"/>
      <c r="L13" s="158"/>
      <c r="M13" s="158"/>
      <c r="N13" s="158"/>
      <c r="O13" s="159"/>
      <c r="P13" s="158"/>
      <c r="Q13" s="160"/>
      <c r="R13" s="16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58</v>
      </c>
      <c r="B14" s="38" t="s">
        <v>65</v>
      </c>
      <c r="C14" s="39" t="s">
        <v>212</v>
      </c>
      <c r="D14" s="38" t="s">
        <v>60</v>
      </c>
      <c r="E14" s="38" t="s">
        <v>213</v>
      </c>
      <c r="F14" s="38" t="s">
        <v>62</v>
      </c>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25</v>
      </c>
      <c r="B15" s="38" t="s">
        <v>26</v>
      </c>
      <c r="C15" s="39" t="s">
        <v>200</v>
      </c>
      <c r="D15" s="38" t="s">
        <v>30</v>
      </c>
      <c r="E15" s="38" t="s">
        <v>201</v>
      </c>
      <c r="F15" s="38" t="s">
        <v>94</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75</v>
      </c>
      <c r="B16" s="38" t="s">
        <v>85</v>
      </c>
      <c r="C16" s="39" t="s">
        <v>214</v>
      </c>
      <c r="D16" s="38" t="s">
        <v>60</v>
      </c>
      <c r="E16" s="38" t="s">
        <v>209</v>
      </c>
      <c r="F16" s="38" t="s">
        <v>78</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0" t="s">
        <v>48</v>
      </c>
      <c r="B17" s="40" t="s">
        <v>49</v>
      </c>
      <c r="C17" s="41" t="s">
        <v>204</v>
      </c>
      <c r="D17" s="40" t="s">
        <v>50</v>
      </c>
      <c r="E17" s="40" t="s">
        <v>213</v>
      </c>
      <c r="F17" s="40" t="s">
        <v>98</v>
      </c>
      <c r="G17" s="263"/>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66" t="s">
        <v>5</v>
      </c>
      <c r="B19" s="267"/>
      <c r="C19" s="267"/>
      <c r="D19" s="267"/>
      <c r="E19" s="267"/>
      <c r="F19" s="267"/>
      <c r="G19" s="5">
        <v>45990</v>
      </c>
      <c r="H19" s="270" t="s">
        <v>6</v>
      </c>
      <c r="I19" s="269"/>
      <c r="J19" s="269"/>
      <c r="K19" s="269"/>
      <c r="L19" s="269"/>
      <c r="M19" s="269"/>
      <c r="N19" s="269"/>
      <c r="O19" s="269"/>
      <c r="P19" s="269"/>
      <c r="Q19" s="269"/>
      <c r="R19" s="26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47" t="s">
        <v>7</v>
      </c>
      <c r="B20" s="47" t="s">
        <v>8</v>
      </c>
      <c r="C20" s="48" t="s">
        <v>9</v>
      </c>
      <c r="D20" s="47" t="s">
        <v>10</v>
      </c>
      <c r="E20" s="47" t="s">
        <v>11</v>
      </c>
      <c r="F20" s="47" t="s">
        <v>12</v>
      </c>
      <c r="G20" s="49" t="s">
        <v>13</v>
      </c>
      <c r="H20" s="47" t="s">
        <v>14</v>
      </c>
      <c r="I20" s="50" t="s">
        <v>15</v>
      </c>
      <c r="J20" s="51" t="s">
        <v>16</v>
      </c>
      <c r="K20" s="52" t="s">
        <v>17</v>
      </c>
      <c r="L20" s="51" t="s">
        <v>18</v>
      </c>
      <c r="M20" s="51" t="s">
        <v>19</v>
      </c>
      <c r="N20" s="51" t="s">
        <v>20</v>
      </c>
      <c r="O20" s="47" t="s">
        <v>21</v>
      </c>
      <c r="P20" s="48" t="s">
        <v>22</v>
      </c>
      <c r="Q20" s="51" t="s">
        <v>23</v>
      </c>
      <c r="R20" s="4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5" t="s">
        <v>35</v>
      </c>
      <c r="B21" s="75" t="s">
        <v>36</v>
      </c>
      <c r="C21" s="76">
        <v>0.80208333333333337</v>
      </c>
      <c r="D21" s="75" t="s">
        <v>37</v>
      </c>
      <c r="E21" s="75" t="s">
        <v>246</v>
      </c>
      <c r="F21" s="75" t="s">
        <v>242</v>
      </c>
      <c r="G21" s="261"/>
      <c r="H21" s="29" t="s">
        <v>40</v>
      </c>
      <c r="I21" s="30">
        <v>0.86109999999999998</v>
      </c>
      <c r="J21" s="31">
        <v>155</v>
      </c>
      <c r="K21" s="32">
        <v>45984</v>
      </c>
      <c r="L21" s="31">
        <v>17</v>
      </c>
      <c r="M21" s="31">
        <v>0</v>
      </c>
      <c r="N21" s="31">
        <v>1</v>
      </c>
      <c r="O21" s="33" t="s">
        <v>247</v>
      </c>
      <c r="P21" s="34">
        <v>0.80208333333333337</v>
      </c>
      <c r="Q21" s="31">
        <v>180</v>
      </c>
      <c r="R21" s="35" t="s">
        <v>248</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89" t="s">
        <v>199</v>
      </c>
      <c r="B22" s="290"/>
      <c r="C22" s="290"/>
      <c r="D22" s="290"/>
      <c r="E22" s="290"/>
      <c r="F22" s="290"/>
      <c r="G22" s="262"/>
      <c r="H22" s="158"/>
      <c r="I22" s="158"/>
      <c r="J22" s="158"/>
      <c r="K22" s="158"/>
      <c r="L22" s="158"/>
      <c r="M22" s="158"/>
      <c r="N22" s="158"/>
      <c r="O22" s="159"/>
      <c r="P22" s="158"/>
      <c r="Q22" s="160"/>
      <c r="R22" s="16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8" t="s">
        <v>25</v>
      </c>
      <c r="B23" s="38" t="s">
        <v>26</v>
      </c>
      <c r="C23" s="39" t="s">
        <v>200</v>
      </c>
      <c r="D23" s="38" t="s">
        <v>27</v>
      </c>
      <c r="E23" s="38" t="s">
        <v>207</v>
      </c>
      <c r="F23" s="38" t="s">
        <v>29</v>
      </c>
      <c r="G23" s="262"/>
      <c r="H23" s="158"/>
      <c r="I23" s="158"/>
      <c r="J23" s="158"/>
      <c r="K23" s="158"/>
      <c r="L23" s="158"/>
      <c r="M23" s="158"/>
      <c r="N23" s="158"/>
      <c r="O23" s="159"/>
      <c r="P23" s="158"/>
      <c r="Q23" s="160"/>
      <c r="R23" s="16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38" t="s">
        <v>48</v>
      </c>
      <c r="B24" s="38" t="s">
        <v>104</v>
      </c>
      <c r="C24" s="39" t="s">
        <v>219</v>
      </c>
      <c r="D24" s="38" t="s">
        <v>50</v>
      </c>
      <c r="E24" s="38" t="s">
        <v>207</v>
      </c>
      <c r="F24" s="38" t="s">
        <v>116</v>
      </c>
      <c r="G24" s="262"/>
      <c r="H24" s="158"/>
      <c r="I24" s="158"/>
      <c r="J24" s="158"/>
      <c r="K24" s="158"/>
      <c r="L24" s="158"/>
      <c r="M24" s="158"/>
      <c r="N24" s="158"/>
      <c r="O24" s="159"/>
      <c r="P24" s="158"/>
      <c r="Q24" s="160"/>
      <c r="R24" s="16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38" t="s">
        <v>48</v>
      </c>
      <c r="B25" s="38" t="s">
        <v>49</v>
      </c>
      <c r="C25" s="39" t="s">
        <v>204</v>
      </c>
      <c r="D25" s="38" t="s">
        <v>50</v>
      </c>
      <c r="E25" s="38" t="s">
        <v>249</v>
      </c>
      <c r="F25" s="38" t="s">
        <v>110</v>
      </c>
      <c r="G25" s="262"/>
      <c r="H25" s="158"/>
      <c r="I25" s="158"/>
      <c r="J25" s="158"/>
      <c r="K25" s="158"/>
      <c r="L25" s="158"/>
      <c r="M25" s="158"/>
      <c r="N25" s="158"/>
      <c r="O25" s="159"/>
      <c r="P25" s="158"/>
      <c r="Q25" s="160"/>
      <c r="R25" s="16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38" t="s">
        <v>48</v>
      </c>
      <c r="B26" s="38" t="s">
        <v>104</v>
      </c>
      <c r="C26" s="39" t="s">
        <v>219</v>
      </c>
      <c r="D26" s="38" t="s">
        <v>53</v>
      </c>
      <c r="E26" s="38" t="s">
        <v>207</v>
      </c>
      <c r="F26" s="38" t="s">
        <v>117</v>
      </c>
      <c r="G26" s="262"/>
      <c r="H26" s="158"/>
      <c r="I26" s="158"/>
      <c r="J26" s="158"/>
      <c r="K26" s="158"/>
      <c r="L26" s="158"/>
      <c r="M26" s="158"/>
      <c r="N26" s="158"/>
      <c r="O26" s="159"/>
      <c r="P26" s="158"/>
      <c r="Q26" s="160"/>
      <c r="R26" s="16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8" t="s">
        <v>25</v>
      </c>
      <c r="B27" s="38" t="s">
        <v>26</v>
      </c>
      <c r="C27" s="39" t="s">
        <v>200</v>
      </c>
      <c r="D27" s="38" t="s">
        <v>33</v>
      </c>
      <c r="E27" s="38" t="s">
        <v>207</v>
      </c>
      <c r="F27" s="38" t="s">
        <v>34</v>
      </c>
      <c r="G27" s="262"/>
      <c r="H27" s="158"/>
      <c r="I27" s="158"/>
      <c r="J27" s="158"/>
      <c r="K27" s="158"/>
      <c r="L27" s="158"/>
      <c r="M27" s="158"/>
      <c r="N27" s="158"/>
      <c r="O27" s="159"/>
      <c r="P27" s="158"/>
      <c r="Q27" s="160"/>
      <c r="R27" s="16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8" t="s">
        <v>75</v>
      </c>
      <c r="B28" s="38" t="s">
        <v>82</v>
      </c>
      <c r="C28" s="39" t="s">
        <v>224</v>
      </c>
      <c r="D28" s="38" t="s">
        <v>60</v>
      </c>
      <c r="E28" s="38" t="s">
        <v>209</v>
      </c>
      <c r="F28" s="38" t="s">
        <v>113</v>
      </c>
      <c r="G28" s="262"/>
      <c r="H28" s="158"/>
      <c r="I28" s="158"/>
      <c r="J28" s="158"/>
      <c r="K28" s="158"/>
      <c r="L28" s="158"/>
      <c r="M28" s="158"/>
      <c r="N28" s="158"/>
      <c r="O28" s="159"/>
      <c r="P28" s="158"/>
      <c r="Q28" s="160"/>
      <c r="R28" s="16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38" t="s">
        <v>48</v>
      </c>
      <c r="B29" s="38" t="s">
        <v>49</v>
      </c>
      <c r="C29" s="39" t="s">
        <v>204</v>
      </c>
      <c r="D29" s="38" t="s">
        <v>53</v>
      </c>
      <c r="E29" s="38" t="s">
        <v>249</v>
      </c>
      <c r="F29" s="38" t="s">
        <v>111</v>
      </c>
      <c r="G29" s="262"/>
      <c r="H29" s="158"/>
      <c r="I29" s="158"/>
      <c r="J29" s="158"/>
      <c r="K29" s="158"/>
      <c r="L29" s="158"/>
      <c r="M29" s="158"/>
      <c r="N29" s="158"/>
      <c r="O29" s="159"/>
      <c r="P29" s="158"/>
      <c r="Q29" s="160"/>
      <c r="R29" s="16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38" t="s">
        <v>48</v>
      </c>
      <c r="B30" s="38" t="s">
        <v>104</v>
      </c>
      <c r="C30" s="39" t="s">
        <v>219</v>
      </c>
      <c r="D30" s="38" t="s">
        <v>56</v>
      </c>
      <c r="E30" s="38" t="s">
        <v>207</v>
      </c>
      <c r="F30" s="38" t="s">
        <v>111</v>
      </c>
      <c r="G30" s="262"/>
      <c r="H30" s="158"/>
      <c r="I30" s="158"/>
      <c r="J30" s="158"/>
      <c r="K30" s="158"/>
      <c r="L30" s="158"/>
      <c r="M30" s="158"/>
      <c r="N30" s="158"/>
      <c r="O30" s="159"/>
      <c r="P30" s="158"/>
      <c r="Q30" s="160"/>
      <c r="R30" s="16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38" t="s">
        <v>75</v>
      </c>
      <c r="B31" s="38" t="s">
        <v>79</v>
      </c>
      <c r="C31" s="39" t="s">
        <v>222</v>
      </c>
      <c r="D31" s="38" t="s">
        <v>60</v>
      </c>
      <c r="E31" s="38" t="s">
        <v>209</v>
      </c>
      <c r="F31" s="38" t="s">
        <v>114</v>
      </c>
      <c r="G31" s="262"/>
      <c r="H31" s="158"/>
      <c r="I31" s="158"/>
      <c r="J31" s="158"/>
      <c r="K31" s="158"/>
      <c r="L31" s="158"/>
      <c r="M31" s="158"/>
      <c r="N31" s="158"/>
      <c r="O31" s="159"/>
      <c r="P31" s="158"/>
      <c r="Q31" s="160"/>
      <c r="R31" s="16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0" t="s">
        <v>48</v>
      </c>
      <c r="B32" s="40" t="s">
        <v>49</v>
      </c>
      <c r="C32" s="41" t="s">
        <v>204</v>
      </c>
      <c r="D32" s="40" t="s">
        <v>56</v>
      </c>
      <c r="E32" s="40" t="s">
        <v>249</v>
      </c>
      <c r="F32" s="40" t="s">
        <v>112</v>
      </c>
      <c r="G32" s="263"/>
      <c r="H32" s="161"/>
      <c r="I32" s="161"/>
      <c r="J32" s="161"/>
      <c r="K32" s="161"/>
      <c r="L32" s="161"/>
      <c r="M32" s="161"/>
      <c r="N32" s="161"/>
      <c r="O32" s="162"/>
      <c r="P32" s="161"/>
      <c r="Q32" s="163"/>
      <c r="R32" s="16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5"/>
      <c r="B33" s="276"/>
      <c r="C33" s="276"/>
      <c r="D33" s="276"/>
      <c r="E33" s="276"/>
      <c r="F33" s="276"/>
      <c r="G33" s="276"/>
      <c r="H33" s="276"/>
      <c r="I33" s="276"/>
      <c r="J33" s="276"/>
      <c r="K33" s="276"/>
      <c r="L33" s="276"/>
      <c r="M33" s="276"/>
      <c r="N33" s="276"/>
      <c r="O33" s="276"/>
      <c r="P33" s="276"/>
      <c r="Q33" s="276"/>
      <c r="R33" s="27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sheetData>
  <mergeCells count="19">
    <mergeCell ref="A33:R33"/>
    <mergeCell ref="G21:G32"/>
    <mergeCell ref="A22:F22"/>
    <mergeCell ref="G2:J2"/>
    <mergeCell ref="A4:F4"/>
    <mergeCell ref="A19:F19"/>
    <mergeCell ref="K2:R2"/>
    <mergeCell ref="H19:R19"/>
    <mergeCell ref="G6:G17"/>
    <mergeCell ref="A7:F7"/>
    <mergeCell ref="O1:Q1"/>
    <mergeCell ref="H4:R4"/>
    <mergeCell ref="A18:R18"/>
    <mergeCell ref="A2:F2"/>
    <mergeCell ref="A3:R3"/>
    <mergeCell ref="J1:M1"/>
    <mergeCell ref="D1:F1"/>
    <mergeCell ref="A1:C1"/>
    <mergeCell ref="G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232</v>
      </c>
      <c r="B2" s="79">
        <v>45987</v>
      </c>
      <c r="C2" s="80" t="s">
        <v>243</v>
      </c>
      <c r="D2" s="81">
        <v>0.46180555555555558</v>
      </c>
      <c r="E2" s="80" t="s">
        <v>240</v>
      </c>
      <c r="F2" s="80" t="s">
        <v>159</v>
      </c>
      <c r="G2" s="82">
        <v>0.84440000000000004</v>
      </c>
      <c r="H2" s="83">
        <v>180</v>
      </c>
      <c r="I2" s="83">
        <v>152</v>
      </c>
      <c r="J2" s="83">
        <v>50</v>
      </c>
      <c r="K2" s="79">
        <v>45984</v>
      </c>
      <c r="L2" s="83">
        <v>0</v>
      </c>
      <c r="M2" s="83">
        <v>3</v>
      </c>
      <c r="N2" s="83">
        <v>41</v>
      </c>
      <c r="O2" s="80" t="s">
        <v>244</v>
      </c>
      <c r="P2" s="84"/>
      <c r="Q2" s="84"/>
      <c r="R2" s="84"/>
      <c r="S2" s="84"/>
      <c r="T2" s="84"/>
      <c r="U2" s="84"/>
      <c r="V2" s="84"/>
      <c r="W2" s="84"/>
      <c r="X2" s="84"/>
      <c r="Y2" s="83" t="s">
        <v>250</v>
      </c>
      <c r="Z2" s="83" t="s">
        <v>251</v>
      </c>
      <c r="AA2" s="83" t="s">
        <v>252</v>
      </c>
      <c r="AB2" s="83" t="s">
        <v>253</v>
      </c>
      <c r="AC2" s="83" t="s">
        <v>254</v>
      </c>
      <c r="AD2" s="83" t="s">
        <v>255</v>
      </c>
      <c r="AE2" s="83" t="s">
        <v>256</v>
      </c>
      <c r="AF2" s="84"/>
      <c r="AG2" s="84"/>
      <c r="AH2" s="83" t="s">
        <v>257</v>
      </c>
      <c r="AI2" s="84"/>
    </row>
    <row r="3" spans="1:35" ht="18" x14ac:dyDescent="0.3">
      <c r="A3" s="85" t="s">
        <v>179</v>
      </c>
      <c r="B3" s="86">
        <v>45990</v>
      </c>
      <c r="C3" s="87" t="s">
        <v>40</v>
      </c>
      <c r="D3" s="88">
        <v>0.80208333333333337</v>
      </c>
      <c r="E3" s="87" t="s">
        <v>240</v>
      </c>
      <c r="F3" s="87" t="s">
        <v>159</v>
      </c>
      <c r="G3" s="89">
        <v>0.86109999999999998</v>
      </c>
      <c r="H3" s="90">
        <v>180</v>
      </c>
      <c r="I3" s="90">
        <v>155</v>
      </c>
      <c r="J3" s="90">
        <v>97</v>
      </c>
      <c r="K3" s="86">
        <v>45984</v>
      </c>
      <c r="L3" s="90">
        <v>0</v>
      </c>
      <c r="M3" s="90">
        <v>1</v>
      </c>
      <c r="N3" s="90">
        <v>17</v>
      </c>
      <c r="O3" s="87" t="s">
        <v>247</v>
      </c>
      <c r="P3" s="90" t="s">
        <v>258</v>
      </c>
      <c r="Q3" s="91"/>
      <c r="R3" s="91"/>
      <c r="S3" s="91"/>
      <c r="T3" s="91"/>
      <c r="U3" s="91"/>
      <c r="V3" s="91"/>
      <c r="W3" s="91"/>
      <c r="X3" s="91"/>
      <c r="Y3" s="90" t="s">
        <v>259</v>
      </c>
      <c r="Z3" s="90" t="s">
        <v>260</v>
      </c>
      <c r="AA3" s="90" t="s">
        <v>261</v>
      </c>
      <c r="AB3" s="90" t="s">
        <v>262</v>
      </c>
      <c r="AC3" s="90" t="s">
        <v>263</v>
      </c>
      <c r="AD3" s="90" t="s">
        <v>264</v>
      </c>
      <c r="AE3" s="90" t="s">
        <v>265</v>
      </c>
      <c r="AF3" s="91"/>
      <c r="AG3" s="91"/>
      <c r="AH3" s="90" t="s">
        <v>266</v>
      </c>
      <c r="AI3" s="91"/>
    </row>
    <row r="4" spans="1:35" ht="18" x14ac:dyDescent="0.3">
      <c r="A4" s="92" t="s">
        <v>189</v>
      </c>
      <c r="B4" s="93"/>
      <c r="C4" s="94">
        <f>COUNTA(C2:C3)</f>
        <v>2</v>
      </c>
      <c r="D4" s="93"/>
      <c r="E4" s="93"/>
      <c r="F4" s="93"/>
      <c r="G4" s="95">
        <f>AVERAGE(G2:G3)</f>
        <v>0.85275000000000001</v>
      </c>
      <c r="H4" s="96">
        <f>SUM(H2:H3)</f>
        <v>360</v>
      </c>
      <c r="I4" s="96">
        <f>SUM(I2:I3)</f>
        <v>307</v>
      </c>
      <c r="J4" s="96">
        <f>SUM(J2:J3)</f>
        <v>147</v>
      </c>
      <c r="K4" s="93"/>
      <c r="L4" s="96">
        <f>SUM(L2:L3)</f>
        <v>0</v>
      </c>
      <c r="M4" s="96">
        <f>SUM(M2:M3)</f>
        <v>4</v>
      </c>
      <c r="N4" s="96">
        <f>SUM(N2:N3)</f>
        <v>58</v>
      </c>
      <c r="O4" s="93"/>
      <c r="P4" s="96">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96">
        <f t="shared" si="0"/>
        <v>0</v>
      </c>
      <c r="R4" s="96">
        <f t="shared" si="0"/>
        <v>0</v>
      </c>
      <c r="S4" s="96">
        <f t="shared" si="0"/>
        <v>0</v>
      </c>
      <c r="T4" s="96">
        <f t="shared" si="0"/>
        <v>0</v>
      </c>
      <c r="U4" s="96">
        <f t="shared" si="0"/>
        <v>0</v>
      </c>
      <c r="V4" s="96">
        <f t="shared" si="0"/>
        <v>0</v>
      </c>
      <c r="W4" s="96">
        <f t="shared" si="0"/>
        <v>0</v>
      </c>
      <c r="X4" s="96">
        <f t="shared" si="0"/>
        <v>0</v>
      </c>
      <c r="Y4" s="96">
        <f t="shared" si="0"/>
        <v>0</v>
      </c>
      <c r="Z4" s="96">
        <f t="shared" si="0"/>
        <v>0</v>
      </c>
      <c r="AA4" s="96">
        <f t="shared" si="0"/>
        <v>0</v>
      </c>
      <c r="AB4" s="96">
        <f t="shared" si="0"/>
        <v>0</v>
      </c>
      <c r="AC4" s="96">
        <f t="shared" si="0"/>
        <v>0</v>
      </c>
      <c r="AD4" s="96">
        <f t="shared" si="0"/>
        <v>0</v>
      </c>
      <c r="AE4" s="96">
        <f t="shared" si="0"/>
        <v>0</v>
      </c>
      <c r="AF4" s="96">
        <f t="shared" si="0"/>
        <v>0</v>
      </c>
      <c r="AG4" s="96">
        <f t="shared" si="0"/>
        <v>0</v>
      </c>
      <c r="AH4" s="96">
        <f t="shared" si="0"/>
        <v>0</v>
      </c>
      <c r="AI4" s="96">
        <f t="shared" si="0"/>
        <v>0</v>
      </c>
    </row>
  </sheetData>
  <autoFilter ref="A1:AI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7"/>
  <sheetViews>
    <sheetView workbookViewId="0"/>
  </sheetViews>
  <sheetFormatPr defaultRowHeight="14.4" x14ac:dyDescent="0.3"/>
  <cols>
    <col min="1" max="1" width="13"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5.6" x14ac:dyDescent="0.3">
      <c r="A2" s="167"/>
      <c r="B2" s="167"/>
      <c r="C2" s="167"/>
      <c r="D2" s="167"/>
      <c r="E2" s="168" t="s">
        <v>239</v>
      </c>
      <c r="F2" s="167"/>
      <c r="G2" s="167"/>
      <c r="H2" s="3"/>
    </row>
    <row r="3" spans="1:8" ht="18" x14ac:dyDescent="0.3">
      <c r="A3" s="98">
        <v>45986</v>
      </c>
      <c r="B3" s="99" t="s">
        <v>25</v>
      </c>
      <c r="C3" s="100" t="s">
        <v>26</v>
      </c>
      <c r="D3" s="99" t="s">
        <v>1</v>
      </c>
      <c r="E3" s="101">
        <v>1.229166666666667</v>
      </c>
      <c r="F3" s="99" t="s">
        <v>27</v>
      </c>
      <c r="G3" s="102">
        <v>8</v>
      </c>
      <c r="H3" s="103" t="s">
        <v>29</v>
      </c>
    </row>
    <row r="4" spans="1:8" ht="18" x14ac:dyDescent="0.3">
      <c r="A4" s="104">
        <v>45986</v>
      </c>
      <c r="B4" s="105" t="s">
        <v>25</v>
      </c>
      <c r="C4" s="106" t="s">
        <v>26</v>
      </c>
      <c r="D4" s="105" t="s">
        <v>1</v>
      </c>
      <c r="E4" s="107">
        <v>1.229166666666667</v>
      </c>
      <c r="F4" s="105" t="s">
        <v>30</v>
      </c>
      <c r="G4" s="108">
        <v>8</v>
      </c>
      <c r="H4" s="105" t="s">
        <v>32</v>
      </c>
    </row>
    <row r="5" spans="1:8" ht="18" x14ac:dyDescent="0.3">
      <c r="A5" s="104">
        <v>45986</v>
      </c>
      <c r="B5" s="105" t="s">
        <v>25</v>
      </c>
      <c r="C5" s="106" t="s">
        <v>26</v>
      </c>
      <c r="D5" s="105" t="s">
        <v>1</v>
      </c>
      <c r="E5" s="107">
        <v>1.229166666666667</v>
      </c>
      <c r="F5" s="105" t="s">
        <v>33</v>
      </c>
      <c r="G5" s="108">
        <v>8</v>
      </c>
      <c r="H5" s="105" t="s">
        <v>34</v>
      </c>
    </row>
    <row r="6" spans="1:8" ht="18" x14ac:dyDescent="0.3">
      <c r="A6" s="109">
        <v>45986</v>
      </c>
      <c r="B6" s="110" t="s">
        <v>35</v>
      </c>
      <c r="C6" s="111" t="s">
        <v>36</v>
      </c>
      <c r="D6" s="110" t="s">
        <v>1</v>
      </c>
      <c r="E6" s="112">
        <v>1.118055555555556</v>
      </c>
      <c r="F6" s="110" t="s">
        <v>37</v>
      </c>
      <c r="G6" s="113">
        <v>4</v>
      </c>
      <c r="H6" s="110" t="s">
        <v>39</v>
      </c>
    </row>
    <row r="7" spans="1:8" ht="18" x14ac:dyDescent="0.3">
      <c r="A7" s="118">
        <v>45986</v>
      </c>
      <c r="B7" s="99" t="s">
        <v>48</v>
      </c>
      <c r="C7" s="100" t="s">
        <v>49</v>
      </c>
      <c r="D7" s="99" t="s">
        <v>1</v>
      </c>
      <c r="E7" s="101">
        <v>1.6076388888888891</v>
      </c>
      <c r="F7" s="99" t="s">
        <v>50</v>
      </c>
      <c r="G7" s="102">
        <v>3</v>
      </c>
      <c r="H7" s="99" t="s">
        <v>52</v>
      </c>
    </row>
    <row r="8" spans="1:8" ht="18" x14ac:dyDescent="0.3">
      <c r="A8" s="104">
        <v>45986</v>
      </c>
      <c r="B8" s="105" t="s">
        <v>48</v>
      </c>
      <c r="C8" s="106" t="s">
        <v>49</v>
      </c>
      <c r="D8" s="105" t="s">
        <v>1</v>
      </c>
      <c r="E8" s="107">
        <v>1.6076388888888891</v>
      </c>
      <c r="F8" s="105" t="s">
        <v>53</v>
      </c>
      <c r="G8" s="108">
        <v>3</v>
      </c>
      <c r="H8" s="105" t="s">
        <v>55</v>
      </c>
    </row>
    <row r="9" spans="1:8" ht="18" x14ac:dyDescent="0.3">
      <c r="A9" s="104">
        <v>45986</v>
      </c>
      <c r="B9" s="105" t="s">
        <v>48</v>
      </c>
      <c r="C9" s="106" t="s">
        <v>49</v>
      </c>
      <c r="D9" s="105" t="s">
        <v>1</v>
      </c>
      <c r="E9" s="107">
        <v>1.6076388888888891</v>
      </c>
      <c r="F9" s="105" t="s">
        <v>56</v>
      </c>
      <c r="G9" s="108">
        <v>3</v>
      </c>
      <c r="H9" s="105" t="s">
        <v>57</v>
      </c>
    </row>
    <row r="10" spans="1:8" ht="18" x14ac:dyDescent="0.3">
      <c r="A10" s="118">
        <v>45986</v>
      </c>
      <c r="B10" s="99" t="s">
        <v>58</v>
      </c>
      <c r="C10" s="100" t="s">
        <v>59</v>
      </c>
      <c r="D10" s="99" t="s">
        <v>1</v>
      </c>
      <c r="E10" s="101">
        <v>1.350694444444444</v>
      </c>
      <c r="F10" s="99" t="s">
        <v>60</v>
      </c>
      <c r="G10" s="102">
        <v>1</v>
      </c>
      <c r="H10" s="99" t="s">
        <v>62</v>
      </c>
    </row>
    <row r="11" spans="1:8" ht="18" x14ac:dyDescent="0.3">
      <c r="A11" s="104">
        <v>45986</v>
      </c>
      <c r="B11" s="105" t="s">
        <v>58</v>
      </c>
      <c r="C11" s="106" t="s">
        <v>59</v>
      </c>
      <c r="D11" s="105" t="s">
        <v>1</v>
      </c>
      <c r="E11" s="107">
        <v>1.350694444444444</v>
      </c>
      <c r="F11" s="105" t="s">
        <v>63</v>
      </c>
      <c r="G11" s="108">
        <v>1</v>
      </c>
      <c r="H11" s="105" t="s">
        <v>62</v>
      </c>
    </row>
    <row r="12" spans="1:8" ht="18" x14ac:dyDescent="0.3">
      <c r="A12" s="169">
        <v>45986</v>
      </c>
      <c r="B12" s="170" t="s">
        <v>75</v>
      </c>
      <c r="C12" s="171" t="s">
        <v>76</v>
      </c>
      <c r="D12" s="170" t="s">
        <v>1</v>
      </c>
      <c r="E12" s="172">
        <v>1.336805555555556</v>
      </c>
      <c r="F12" s="170" t="s">
        <v>60</v>
      </c>
      <c r="G12" s="173">
        <v>9</v>
      </c>
      <c r="H12" s="170" t="s">
        <v>78</v>
      </c>
    </row>
    <row r="13" spans="1:8" ht="18" x14ac:dyDescent="0.3">
      <c r="A13" s="165">
        <v>45987</v>
      </c>
      <c r="B13" s="110" t="s">
        <v>35</v>
      </c>
      <c r="C13" s="111" t="s">
        <v>241</v>
      </c>
      <c r="D13" s="110" t="s">
        <v>240</v>
      </c>
      <c r="E13" s="112">
        <v>1.461805555555556</v>
      </c>
      <c r="F13" s="110" t="s">
        <v>37</v>
      </c>
      <c r="G13" s="113">
        <v>1</v>
      </c>
      <c r="H13" s="166" t="s">
        <v>242</v>
      </c>
    </row>
    <row r="14" spans="1:8" ht="15.6" x14ac:dyDescent="0.3">
      <c r="A14" s="167"/>
      <c r="B14" s="167"/>
      <c r="C14" s="167"/>
      <c r="D14" s="167"/>
      <c r="E14" s="168" t="s">
        <v>239</v>
      </c>
      <c r="F14" s="167"/>
      <c r="G14" s="167"/>
      <c r="H14" s="3"/>
    </row>
    <row r="15" spans="1:8" ht="18" x14ac:dyDescent="0.3">
      <c r="A15" s="118">
        <v>45987</v>
      </c>
      <c r="B15" s="99" t="s">
        <v>58</v>
      </c>
      <c r="C15" s="100" t="s">
        <v>69</v>
      </c>
      <c r="D15" s="99" t="s">
        <v>1</v>
      </c>
      <c r="E15" s="101">
        <v>1.1840277777777779</v>
      </c>
      <c r="F15" s="99" t="s">
        <v>87</v>
      </c>
      <c r="G15" s="102">
        <v>1</v>
      </c>
      <c r="H15" s="99" t="s">
        <v>88</v>
      </c>
    </row>
    <row r="16" spans="1:8" ht="18" x14ac:dyDescent="0.3">
      <c r="A16" s="104">
        <v>45987</v>
      </c>
      <c r="B16" s="105" t="s">
        <v>58</v>
      </c>
      <c r="C16" s="106" t="s">
        <v>69</v>
      </c>
      <c r="D16" s="105" t="s">
        <v>1</v>
      </c>
      <c r="E16" s="107">
        <v>1.1840277777777779</v>
      </c>
      <c r="F16" s="105" t="s">
        <v>89</v>
      </c>
      <c r="G16" s="108">
        <v>1</v>
      </c>
      <c r="H16" s="105" t="s">
        <v>88</v>
      </c>
    </row>
    <row r="17" spans="1:8" ht="18" x14ac:dyDescent="0.3">
      <c r="A17" s="104">
        <v>45987</v>
      </c>
      <c r="B17" s="105" t="s">
        <v>58</v>
      </c>
      <c r="C17" s="106" t="s">
        <v>69</v>
      </c>
      <c r="D17" s="105" t="s">
        <v>1</v>
      </c>
      <c r="E17" s="107">
        <v>1.1840277777777779</v>
      </c>
      <c r="F17" s="105" t="s">
        <v>63</v>
      </c>
      <c r="G17" s="108">
        <v>1</v>
      </c>
      <c r="H17" s="105" t="s">
        <v>90</v>
      </c>
    </row>
    <row r="18" spans="1:8" ht="18" x14ac:dyDescent="0.3">
      <c r="A18" s="119">
        <v>45987</v>
      </c>
      <c r="B18" s="120" t="s">
        <v>58</v>
      </c>
      <c r="C18" s="121" t="s">
        <v>59</v>
      </c>
      <c r="D18" s="120" t="s">
        <v>1</v>
      </c>
      <c r="E18" s="122">
        <v>1.350694444444444</v>
      </c>
      <c r="F18" s="120" t="s">
        <v>63</v>
      </c>
      <c r="G18" s="123">
        <v>1</v>
      </c>
      <c r="H18" s="120" t="s">
        <v>62</v>
      </c>
    </row>
    <row r="19" spans="1:8" ht="18" x14ac:dyDescent="0.3">
      <c r="A19" s="119">
        <v>45987</v>
      </c>
      <c r="B19" s="120" t="s">
        <v>58</v>
      </c>
      <c r="C19" s="121" t="s">
        <v>65</v>
      </c>
      <c r="D19" s="120" t="s">
        <v>1</v>
      </c>
      <c r="E19" s="122">
        <v>1.895833333333333</v>
      </c>
      <c r="F19" s="120" t="s">
        <v>60</v>
      </c>
      <c r="G19" s="123">
        <v>5</v>
      </c>
      <c r="H19" s="120" t="s">
        <v>62</v>
      </c>
    </row>
    <row r="20" spans="1:8" ht="18" x14ac:dyDescent="0.3">
      <c r="A20" s="118">
        <v>45987</v>
      </c>
      <c r="B20" s="99" t="s">
        <v>25</v>
      </c>
      <c r="C20" s="100" t="s">
        <v>26</v>
      </c>
      <c r="D20" s="99" t="s">
        <v>1</v>
      </c>
      <c r="E20" s="101">
        <v>1.229166666666667</v>
      </c>
      <c r="F20" s="99" t="s">
        <v>27</v>
      </c>
      <c r="G20" s="102">
        <v>8</v>
      </c>
      <c r="H20" s="99" t="s">
        <v>92</v>
      </c>
    </row>
    <row r="21" spans="1:8" ht="18" x14ac:dyDescent="0.3">
      <c r="A21" s="104">
        <v>45987</v>
      </c>
      <c r="B21" s="105" t="s">
        <v>25</v>
      </c>
      <c r="C21" s="106" t="s">
        <v>26</v>
      </c>
      <c r="D21" s="105" t="s">
        <v>1</v>
      </c>
      <c r="E21" s="107">
        <v>1.229166666666667</v>
      </c>
      <c r="F21" s="105" t="s">
        <v>33</v>
      </c>
      <c r="G21" s="108">
        <v>8</v>
      </c>
      <c r="H21" s="105" t="s">
        <v>93</v>
      </c>
    </row>
    <row r="22" spans="1:8" ht="18" x14ac:dyDescent="0.3">
      <c r="A22" s="104">
        <v>45987</v>
      </c>
      <c r="B22" s="105" t="s">
        <v>25</v>
      </c>
      <c r="C22" s="106" t="s">
        <v>26</v>
      </c>
      <c r="D22" s="105" t="s">
        <v>1</v>
      </c>
      <c r="E22" s="107">
        <v>1.229166666666667</v>
      </c>
      <c r="F22" s="105" t="s">
        <v>30</v>
      </c>
      <c r="G22" s="108">
        <v>8</v>
      </c>
      <c r="H22" s="105" t="s">
        <v>94</v>
      </c>
    </row>
    <row r="23" spans="1:8" ht="18" x14ac:dyDescent="0.3">
      <c r="A23" s="118">
        <v>45987</v>
      </c>
      <c r="B23" s="99" t="s">
        <v>75</v>
      </c>
      <c r="C23" s="100" t="s">
        <v>85</v>
      </c>
      <c r="D23" s="99" t="s">
        <v>1</v>
      </c>
      <c r="E23" s="101">
        <v>1.288194444444444</v>
      </c>
      <c r="F23" s="99" t="s">
        <v>60</v>
      </c>
      <c r="G23" s="102">
        <v>9</v>
      </c>
      <c r="H23" s="99" t="s">
        <v>78</v>
      </c>
    </row>
    <row r="24" spans="1:8" ht="18" x14ac:dyDescent="0.3">
      <c r="A24" s="169">
        <v>45987</v>
      </c>
      <c r="B24" s="170" t="s">
        <v>48</v>
      </c>
      <c r="C24" s="171" t="s">
        <v>49</v>
      </c>
      <c r="D24" s="170" t="s">
        <v>1</v>
      </c>
      <c r="E24" s="172">
        <v>1.6076388888888891</v>
      </c>
      <c r="F24" s="170" t="s">
        <v>50</v>
      </c>
      <c r="G24" s="173">
        <v>5</v>
      </c>
      <c r="H24" s="170" t="s">
        <v>98</v>
      </c>
    </row>
    <row r="25" spans="1:8" ht="15.6" x14ac:dyDescent="0.3">
      <c r="A25" s="167"/>
      <c r="B25" s="167"/>
      <c r="C25" s="167"/>
      <c r="D25" s="167"/>
      <c r="E25" s="168" t="s">
        <v>239</v>
      </c>
      <c r="F25" s="167"/>
      <c r="G25" s="167"/>
      <c r="H25" s="3"/>
    </row>
    <row r="26" spans="1:8" ht="18" x14ac:dyDescent="0.3">
      <c r="A26" s="98">
        <v>45988</v>
      </c>
      <c r="B26" s="99" t="s">
        <v>48</v>
      </c>
      <c r="C26" s="100" t="s">
        <v>49</v>
      </c>
      <c r="D26" s="99" t="s">
        <v>1</v>
      </c>
      <c r="E26" s="101">
        <v>1.6076388888888891</v>
      </c>
      <c r="F26" s="99" t="s">
        <v>102</v>
      </c>
      <c r="G26" s="102">
        <v>2</v>
      </c>
      <c r="H26" s="103" t="s">
        <v>34</v>
      </c>
    </row>
    <row r="27" spans="1:8" ht="18" x14ac:dyDescent="0.3">
      <c r="A27" s="119">
        <v>45988</v>
      </c>
      <c r="B27" s="120" t="s">
        <v>48</v>
      </c>
      <c r="C27" s="121" t="s">
        <v>104</v>
      </c>
      <c r="D27" s="120" t="s">
        <v>1</v>
      </c>
      <c r="E27" s="122">
        <v>1.4340277777777779</v>
      </c>
      <c r="F27" s="120" t="s">
        <v>102</v>
      </c>
      <c r="G27" s="123">
        <v>3</v>
      </c>
      <c r="H27" s="120" t="s">
        <v>52</v>
      </c>
    </row>
    <row r="28" spans="1:8" ht="18" x14ac:dyDescent="0.3">
      <c r="A28" s="118">
        <v>45988</v>
      </c>
      <c r="B28" s="99" t="s">
        <v>25</v>
      </c>
      <c r="C28" s="100" t="s">
        <v>26</v>
      </c>
      <c r="D28" s="99" t="s">
        <v>1</v>
      </c>
      <c r="E28" s="101">
        <v>1.229166666666667</v>
      </c>
      <c r="F28" s="99" t="s">
        <v>27</v>
      </c>
      <c r="G28" s="102">
        <v>5</v>
      </c>
      <c r="H28" s="99" t="s">
        <v>105</v>
      </c>
    </row>
    <row r="29" spans="1:8" ht="18" x14ac:dyDescent="0.3">
      <c r="A29" s="104">
        <v>45988</v>
      </c>
      <c r="B29" s="105" t="s">
        <v>25</v>
      </c>
      <c r="C29" s="106" t="s">
        <v>26</v>
      </c>
      <c r="D29" s="105" t="s">
        <v>1</v>
      </c>
      <c r="E29" s="107">
        <v>1.229166666666667</v>
      </c>
      <c r="F29" s="105" t="s">
        <v>33</v>
      </c>
      <c r="G29" s="108">
        <v>5</v>
      </c>
      <c r="H29" s="105" t="s">
        <v>106</v>
      </c>
    </row>
    <row r="30" spans="1:8" ht="18" x14ac:dyDescent="0.3">
      <c r="A30" s="104">
        <v>45988</v>
      </c>
      <c r="B30" s="105" t="s">
        <v>25</v>
      </c>
      <c r="C30" s="106" t="s">
        <v>26</v>
      </c>
      <c r="D30" s="105" t="s">
        <v>1</v>
      </c>
      <c r="E30" s="107">
        <v>1.229166666666667</v>
      </c>
      <c r="F30" s="105" t="s">
        <v>30</v>
      </c>
      <c r="G30" s="108">
        <v>5</v>
      </c>
      <c r="H30" s="105" t="s">
        <v>94</v>
      </c>
    </row>
    <row r="31" spans="1:8" ht="18" x14ac:dyDescent="0.3">
      <c r="A31" s="118">
        <v>45988</v>
      </c>
      <c r="B31" s="99" t="s">
        <v>58</v>
      </c>
      <c r="C31" s="100" t="s">
        <v>65</v>
      </c>
      <c r="D31" s="99" t="s">
        <v>1</v>
      </c>
      <c r="E31" s="101">
        <v>1.895833333333333</v>
      </c>
      <c r="F31" s="99" t="s">
        <v>60</v>
      </c>
      <c r="G31" s="102">
        <v>2</v>
      </c>
      <c r="H31" s="99" t="s">
        <v>107</v>
      </c>
    </row>
    <row r="32" spans="1:8" ht="18" x14ac:dyDescent="0.3">
      <c r="A32" s="119">
        <v>45988</v>
      </c>
      <c r="B32" s="120" t="s">
        <v>58</v>
      </c>
      <c r="C32" s="121" t="s">
        <v>71</v>
      </c>
      <c r="D32" s="120" t="s">
        <v>1</v>
      </c>
      <c r="E32" s="122">
        <v>1.229166666666667</v>
      </c>
      <c r="F32" s="120" t="s">
        <v>60</v>
      </c>
      <c r="G32" s="123">
        <v>4</v>
      </c>
      <c r="H32" s="120" t="s">
        <v>108</v>
      </c>
    </row>
    <row r="33" spans="1:8" ht="18" x14ac:dyDescent="0.3">
      <c r="A33" s="169">
        <v>45988</v>
      </c>
      <c r="B33" s="170" t="s">
        <v>75</v>
      </c>
      <c r="C33" s="171" t="s">
        <v>79</v>
      </c>
      <c r="D33" s="170" t="s">
        <v>1</v>
      </c>
      <c r="E33" s="172">
        <v>1.9513888888888891</v>
      </c>
      <c r="F33" s="170" t="s">
        <v>60</v>
      </c>
      <c r="G33" s="173">
        <v>2</v>
      </c>
      <c r="H33" s="170" t="s">
        <v>96</v>
      </c>
    </row>
    <row r="34" spans="1:8" ht="15.6" x14ac:dyDescent="0.3">
      <c r="A34" s="167"/>
      <c r="B34" s="167"/>
      <c r="C34" s="167"/>
      <c r="D34" s="167"/>
      <c r="E34" s="168" t="s">
        <v>239</v>
      </c>
      <c r="F34" s="167"/>
      <c r="G34" s="167"/>
      <c r="H34" s="3"/>
    </row>
    <row r="35" spans="1:8" ht="18" x14ac:dyDescent="0.3">
      <c r="A35" s="98">
        <v>45989</v>
      </c>
      <c r="B35" s="99" t="s">
        <v>25</v>
      </c>
      <c r="C35" s="100" t="s">
        <v>26</v>
      </c>
      <c r="D35" s="99" t="s">
        <v>1</v>
      </c>
      <c r="E35" s="101">
        <v>1.229166666666667</v>
      </c>
      <c r="F35" s="99" t="s">
        <v>27</v>
      </c>
      <c r="G35" s="102">
        <v>8</v>
      </c>
      <c r="H35" s="103" t="s">
        <v>92</v>
      </c>
    </row>
    <row r="36" spans="1:8" ht="18" x14ac:dyDescent="0.3">
      <c r="A36" s="104">
        <v>45989</v>
      </c>
      <c r="B36" s="105" t="s">
        <v>25</v>
      </c>
      <c r="C36" s="106" t="s">
        <v>26</v>
      </c>
      <c r="D36" s="105" t="s">
        <v>1</v>
      </c>
      <c r="E36" s="107">
        <v>1.229166666666667</v>
      </c>
      <c r="F36" s="105" t="s">
        <v>33</v>
      </c>
      <c r="G36" s="108">
        <v>8</v>
      </c>
      <c r="H36" s="105" t="s">
        <v>93</v>
      </c>
    </row>
    <row r="37" spans="1:8" ht="18" x14ac:dyDescent="0.3">
      <c r="A37" s="104">
        <v>45989</v>
      </c>
      <c r="B37" s="105" t="s">
        <v>25</v>
      </c>
      <c r="C37" s="106" t="s">
        <v>26</v>
      </c>
      <c r="D37" s="105" t="s">
        <v>1</v>
      </c>
      <c r="E37" s="107">
        <v>1.229166666666667</v>
      </c>
      <c r="F37" s="105" t="s">
        <v>30</v>
      </c>
      <c r="G37" s="108">
        <v>8</v>
      </c>
      <c r="H37" s="105" t="s">
        <v>94</v>
      </c>
    </row>
    <row r="38" spans="1:8" ht="18" x14ac:dyDescent="0.3">
      <c r="A38" s="118">
        <v>45989</v>
      </c>
      <c r="B38" s="99" t="s">
        <v>48</v>
      </c>
      <c r="C38" s="100" t="s">
        <v>49</v>
      </c>
      <c r="D38" s="99" t="s">
        <v>1</v>
      </c>
      <c r="E38" s="101">
        <v>1.6076388888888891</v>
      </c>
      <c r="F38" s="99" t="s">
        <v>50</v>
      </c>
      <c r="G38" s="102">
        <v>4</v>
      </c>
      <c r="H38" s="99" t="s">
        <v>110</v>
      </c>
    </row>
    <row r="39" spans="1:8" ht="18" x14ac:dyDescent="0.3">
      <c r="A39" s="104">
        <v>45989</v>
      </c>
      <c r="B39" s="105" t="s">
        <v>48</v>
      </c>
      <c r="C39" s="106" t="s">
        <v>49</v>
      </c>
      <c r="D39" s="105" t="s">
        <v>1</v>
      </c>
      <c r="E39" s="107">
        <v>1.6076388888888891</v>
      </c>
      <c r="F39" s="105" t="s">
        <v>53</v>
      </c>
      <c r="G39" s="108">
        <v>4</v>
      </c>
      <c r="H39" s="105" t="s">
        <v>111</v>
      </c>
    </row>
    <row r="40" spans="1:8" ht="18" x14ac:dyDescent="0.3">
      <c r="A40" s="104">
        <v>45989</v>
      </c>
      <c r="B40" s="105" t="s">
        <v>48</v>
      </c>
      <c r="C40" s="106" t="s">
        <v>49</v>
      </c>
      <c r="D40" s="105" t="s">
        <v>1</v>
      </c>
      <c r="E40" s="107">
        <v>1.6076388888888891</v>
      </c>
      <c r="F40" s="105" t="s">
        <v>56</v>
      </c>
      <c r="G40" s="108">
        <v>4</v>
      </c>
      <c r="H40" s="105" t="s">
        <v>112</v>
      </c>
    </row>
    <row r="41" spans="1:8" ht="18" x14ac:dyDescent="0.3">
      <c r="A41" s="118">
        <v>45989</v>
      </c>
      <c r="B41" s="99" t="s">
        <v>75</v>
      </c>
      <c r="C41" s="100" t="s">
        <v>79</v>
      </c>
      <c r="D41" s="99" t="s">
        <v>1</v>
      </c>
      <c r="E41" s="101">
        <v>1.9409722222222221</v>
      </c>
      <c r="F41" s="99" t="s">
        <v>60</v>
      </c>
      <c r="G41" s="102">
        <v>9</v>
      </c>
      <c r="H41" s="99" t="s">
        <v>113</v>
      </c>
    </row>
    <row r="42" spans="1:8" ht="18" x14ac:dyDescent="0.3">
      <c r="A42" s="119">
        <v>45989</v>
      </c>
      <c r="B42" s="120" t="s">
        <v>75</v>
      </c>
      <c r="C42" s="121" t="s">
        <v>81</v>
      </c>
      <c r="D42" s="120" t="s">
        <v>1</v>
      </c>
      <c r="E42" s="122">
        <v>1.697916666666667</v>
      </c>
      <c r="F42" s="120" t="s">
        <v>60</v>
      </c>
      <c r="G42" s="123">
        <v>9</v>
      </c>
      <c r="H42" s="120" t="s">
        <v>114</v>
      </c>
    </row>
    <row r="43" spans="1:8" ht="18" x14ac:dyDescent="0.3">
      <c r="A43" s="119">
        <v>45989</v>
      </c>
      <c r="B43" s="120" t="s">
        <v>75</v>
      </c>
      <c r="C43" s="121" t="s">
        <v>82</v>
      </c>
      <c r="D43" s="120" t="s">
        <v>1</v>
      </c>
      <c r="E43" s="122">
        <v>1.0659722222222221</v>
      </c>
      <c r="F43" s="120" t="s">
        <v>60</v>
      </c>
      <c r="G43" s="123">
        <v>9</v>
      </c>
      <c r="H43" s="120" t="s">
        <v>78</v>
      </c>
    </row>
    <row r="44" spans="1:8" ht="18" x14ac:dyDescent="0.3">
      <c r="A44" s="169">
        <v>45989</v>
      </c>
      <c r="B44" s="170" t="s">
        <v>58</v>
      </c>
      <c r="C44" s="171" t="s">
        <v>59</v>
      </c>
      <c r="D44" s="170" t="s">
        <v>1</v>
      </c>
      <c r="E44" s="172">
        <v>1.350694444444444</v>
      </c>
      <c r="F44" s="170" t="s">
        <v>63</v>
      </c>
      <c r="G44" s="173">
        <v>9</v>
      </c>
      <c r="H44" s="170" t="s">
        <v>115</v>
      </c>
    </row>
    <row r="45" spans="1:8" ht="18" x14ac:dyDescent="0.3">
      <c r="A45" s="165">
        <v>45990</v>
      </c>
      <c r="B45" s="110" t="s">
        <v>35</v>
      </c>
      <c r="C45" s="111" t="s">
        <v>36</v>
      </c>
      <c r="D45" s="110" t="s">
        <v>240</v>
      </c>
      <c r="E45" s="112">
        <v>1.802083333333333</v>
      </c>
      <c r="F45" s="110" t="s">
        <v>37</v>
      </c>
      <c r="G45" s="113">
        <v>6</v>
      </c>
      <c r="H45" s="166" t="s">
        <v>242</v>
      </c>
    </row>
    <row r="46" spans="1:8" ht="15.6" x14ac:dyDescent="0.3">
      <c r="A46" s="167"/>
      <c r="B46" s="167"/>
      <c r="C46" s="167"/>
      <c r="D46" s="167"/>
      <c r="E46" s="168" t="s">
        <v>239</v>
      </c>
      <c r="F46" s="167"/>
      <c r="G46" s="167"/>
      <c r="H46" s="3"/>
    </row>
    <row r="47" spans="1:8" ht="18" x14ac:dyDescent="0.3">
      <c r="A47" s="118">
        <v>45990</v>
      </c>
      <c r="B47" s="99" t="s">
        <v>25</v>
      </c>
      <c r="C47" s="100" t="s">
        <v>26</v>
      </c>
      <c r="D47" s="99" t="s">
        <v>1</v>
      </c>
      <c r="E47" s="101">
        <v>1.229166666666667</v>
      </c>
      <c r="F47" s="99" t="s">
        <v>27</v>
      </c>
      <c r="G47" s="102">
        <v>1</v>
      </c>
      <c r="H47" s="99" t="s">
        <v>29</v>
      </c>
    </row>
    <row r="48" spans="1:8" ht="18" x14ac:dyDescent="0.3">
      <c r="A48" s="104">
        <v>45990</v>
      </c>
      <c r="B48" s="105" t="s">
        <v>25</v>
      </c>
      <c r="C48" s="106" t="s">
        <v>26</v>
      </c>
      <c r="D48" s="105" t="s">
        <v>1</v>
      </c>
      <c r="E48" s="107">
        <v>1.229166666666667</v>
      </c>
      <c r="F48" s="105" t="s">
        <v>33</v>
      </c>
      <c r="G48" s="108">
        <v>1</v>
      </c>
      <c r="H48" s="105" t="s">
        <v>34</v>
      </c>
    </row>
    <row r="49" spans="1:8" ht="18" x14ac:dyDescent="0.3">
      <c r="A49" s="118">
        <v>45990</v>
      </c>
      <c r="B49" s="99" t="s">
        <v>48</v>
      </c>
      <c r="C49" s="100" t="s">
        <v>104</v>
      </c>
      <c r="D49" s="99" t="s">
        <v>1</v>
      </c>
      <c r="E49" s="101">
        <v>1.4340277777777779</v>
      </c>
      <c r="F49" s="99" t="s">
        <v>50</v>
      </c>
      <c r="G49" s="102">
        <v>1</v>
      </c>
      <c r="H49" s="99" t="s">
        <v>116</v>
      </c>
    </row>
    <row r="50" spans="1:8" ht="18" x14ac:dyDescent="0.3">
      <c r="A50" s="104">
        <v>45990</v>
      </c>
      <c r="B50" s="105" t="s">
        <v>48</v>
      </c>
      <c r="C50" s="106" t="s">
        <v>104</v>
      </c>
      <c r="D50" s="105" t="s">
        <v>1</v>
      </c>
      <c r="E50" s="107">
        <v>1.4340277777777779</v>
      </c>
      <c r="F50" s="105" t="s">
        <v>53</v>
      </c>
      <c r="G50" s="108">
        <v>1</v>
      </c>
      <c r="H50" s="105" t="s">
        <v>117</v>
      </c>
    </row>
    <row r="51" spans="1:8" ht="18" x14ac:dyDescent="0.3">
      <c r="A51" s="104">
        <v>45990</v>
      </c>
      <c r="B51" s="105" t="s">
        <v>48</v>
      </c>
      <c r="C51" s="106" t="s">
        <v>104</v>
      </c>
      <c r="D51" s="105" t="s">
        <v>1</v>
      </c>
      <c r="E51" s="107">
        <v>1.4340277777777779</v>
      </c>
      <c r="F51" s="105" t="s">
        <v>56</v>
      </c>
      <c r="G51" s="108">
        <v>1</v>
      </c>
      <c r="H51" s="105" t="s">
        <v>111</v>
      </c>
    </row>
    <row r="52" spans="1:8" ht="18" x14ac:dyDescent="0.3">
      <c r="A52" s="119">
        <v>45990</v>
      </c>
      <c r="B52" s="120" t="s">
        <v>48</v>
      </c>
      <c r="C52" s="121" t="s">
        <v>49</v>
      </c>
      <c r="D52" s="120" t="s">
        <v>1</v>
      </c>
      <c r="E52" s="122">
        <v>1.6076388888888891</v>
      </c>
      <c r="F52" s="120" t="s">
        <v>50</v>
      </c>
      <c r="G52" s="123">
        <v>9</v>
      </c>
      <c r="H52" s="120" t="s">
        <v>110</v>
      </c>
    </row>
    <row r="53" spans="1:8" ht="18" x14ac:dyDescent="0.3">
      <c r="A53" s="104">
        <v>45990</v>
      </c>
      <c r="B53" s="105" t="s">
        <v>48</v>
      </c>
      <c r="C53" s="106" t="s">
        <v>49</v>
      </c>
      <c r="D53" s="105" t="s">
        <v>1</v>
      </c>
      <c r="E53" s="107">
        <v>1.6076388888888891</v>
      </c>
      <c r="F53" s="105" t="s">
        <v>53</v>
      </c>
      <c r="G53" s="108">
        <v>9</v>
      </c>
      <c r="H53" s="105" t="s">
        <v>111</v>
      </c>
    </row>
    <row r="54" spans="1:8" ht="18" x14ac:dyDescent="0.3">
      <c r="A54" s="104">
        <v>45990</v>
      </c>
      <c r="B54" s="105" t="s">
        <v>48</v>
      </c>
      <c r="C54" s="106" t="s">
        <v>49</v>
      </c>
      <c r="D54" s="105" t="s">
        <v>1</v>
      </c>
      <c r="E54" s="107">
        <v>1.6076388888888891</v>
      </c>
      <c r="F54" s="105" t="s">
        <v>56</v>
      </c>
      <c r="G54" s="108">
        <v>9</v>
      </c>
      <c r="H54" s="105" t="s">
        <v>112</v>
      </c>
    </row>
    <row r="55" spans="1:8" ht="18" x14ac:dyDescent="0.3">
      <c r="A55" s="118">
        <v>45990</v>
      </c>
      <c r="B55" s="99" t="s">
        <v>75</v>
      </c>
      <c r="C55" s="100" t="s">
        <v>82</v>
      </c>
      <c r="D55" s="99" t="s">
        <v>1</v>
      </c>
      <c r="E55" s="101">
        <v>1.0659722222222221</v>
      </c>
      <c r="F55" s="99" t="s">
        <v>60</v>
      </c>
      <c r="G55" s="102">
        <v>9</v>
      </c>
      <c r="H55" s="99" t="s">
        <v>113</v>
      </c>
    </row>
    <row r="56" spans="1:8" ht="18" x14ac:dyDescent="0.3">
      <c r="A56" s="124">
        <v>45990</v>
      </c>
      <c r="B56" s="125" t="s">
        <v>75</v>
      </c>
      <c r="C56" s="126" t="s">
        <v>79</v>
      </c>
      <c r="D56" s="125" t="s">
        <v>1</v>
      </c>
      <c r="E56" s="127">
        <v>1.9409722222222221</v>
      </c>
      <c r="F56" s="125" t="s">
        <v>60</v>
      </c>
      <c r="G56" s="128">
        <v>9</v>
      </c>
      <c r="H56" s="125" t="s">
        <v>114</v>
      </c>
    </row>
    <row r="57" spans="1:8" ht="15.6" x14ac:dyDescent="0.3">
      <c r="A57" s="167"/>
      <c r="B57" s="167"/>
      <c r="C57" s="167"/>
      <c r="D57" s="167"/>
      <c r="E57" s="168" t="s">
        <v>239</v>
      </c>
      <c r="F57" s="167"/>
      <c r="G57" s="167"/>
      <c r="H57" s="3"/>
    </row>
    <row r="58" spans="1:8" ht="18" x14ac:dyDescent="0.3">
      <c r="A58" s="98">
        <v>45991</v>
      </c>
      <c r="B58" s="99" t="s">
        <v>25</v>
      </c>
      <c r="C58" s="100" t="s">
        <v>26</v>
      </c>
      <c r="D58" s="99" t="s">
        <v>1</v>
      </c>
      <c r="E58" s="101">
        <v>1.229166666666667</v>
      </c>
      <c r="F58" s="99" t="s">
        <v>27</v>
      </c>
      <c r="G58" s="102">
        <v>2</v>
      </c>
      <c r="H58" s="103" t="s">
        <v>123</v>
      </c>
    </row>
    <row r="59" spans="1:8" ht="18" x14ac:dyDescent="0.3">
      <c r="A59" s="104">
        <v>45991</v>
      </c>
      <c r="B59" s="105" t="s">
        <v>25</v>
      </c>
      <c r="C59" s="106" t="s">
        <v>26</v>
      </c>
      <c r="D59" s="105" t="s">
        <v>1</v>
      </c>
      <c r="E59" s="107">
        <v>1.229166666666667</v>
      </c>
      <c r="F59" s="105" t="s">
        <v>33</v>
      </c>
      <c r="G59" s="108">
        <v>2</v>
      </c>
      <c r="H59" s="105" t="s">
        <v>32</v>
      </c>
    </row>
    <row r="60" spans="1:8" ht="18" x14ac:dyDescent="0.3">
      <c r="A60" s="104">
        <v>45991</v>
      </c>
      <c r="B60" s="105" t="s">
        <v>25</v>
      </c>
      <c r="C60" s="106" t="s">
        <v>26</v>
      </c>
      <c r="D60" s="105" t="s">
        <v>1</v>
      </c>
      <c r="E60" s="107">
        <v>1.229166666666667</v>
      </c>
      <c r="F60" s="105" t="s">
        <v>30</v>
      </c>
      <c r="G60" s="108">
        <v>2</v>
      </c>
      <c r="H60" s="105" t="s">
        <v>94</v>
      </c>
    </row>
    <row r="61" spans="1:8" ht="18" x14ac:dyDescent="0.3">
      <c r="A61" s="118">
        <v>45991</v>
      </c>
      <c r="B61" s="99" t="s">
        <v>48</v>
      </c>
      <c r="C61" s="100" t="s">
        <v>49</v>
      </c>
      <c r="D61" s="99" t="s">
        <v>1</v>
      </c>
      <c r="E61" s="101">
        <v>1.6076388888888891</v>
      </c>
      <c r="F61" s="99" t="s">
        <v>50</v>
      </c>
      <c r="G61" s="102">
        <v>8</v>
      </c>
      <c r="H61" s="99" t="s">
        <v>110</v>
      </c>
    </row>
    <row r="62" spans="1:8" ht="18" x14ac:dyDescent="0.3">
      <c r="A62" s="104">
        <v>45991</v>
      </c>
      <c r="B62" s="105" t="s">
        <v>48</v>
      </c>
      <c r="C62" s="106" t="s">
        <v>49</v>
      </c>
      <c r="D62" s="105" t="s">
        <v>1</v>
      </c>
      <c r="E62" s="107">
        <v>1.6076388888888891</v>
      </c>
      <c r="F62" s="105" t="s">
        <v>53</v>
      </c>
      <c r="G62" s="108">
        <v>8</v>
      </c>
      <c r="H62" s="105" t="s">
        <v>111</v>
      </c>
    </row>
    <row r="63" spans="1:8" ht="18" x14ac:dyDescent="0.3">
      <c r="A63" s="104">
        <v>45991</v>
      </c>
      <c r="B63" s="105" t="s">
        <v>48</v>
      </c>
      <c r="C63" s="106" t="s">
        <v>49</v>
      </c>
      <c r="D63" s="105" t="s">
        <v>1</v>
      </c>
      <c r="E63" s="107">
        <v>1.6076388888888891</v>
      </c>
      <c r="F63" s="105" t="s">
        <v>56</v>
      </c>
      <c r="G63" s="108">
        <v>8</v>
      </c>
      <c r="H63" s="105" t="s">
        <v>112</v>
      </c>
    </row>
    <row r="64" spans="1:8" ht="18" x14ac:dyDescent="0.3">
      <c r="A64" s="109">
        <v>45991</v>
      </c>
      <c r="B64" s="110" t="s">
        <v>35</v>
      </c>
      <c r="C64" s="111" t="s">
        <v>124</v>
      </c>
      <c r="D64" s="110" t="s">
        <v>1</v>
      </c>
      <c r="E64" s="112">
        <v>1.743055555555556</v>
      </c>
      <c r="F64" s="110" t="s">
        <v>37</v>
      </c>
      <c r="G64" s="113">
        <v>1</v>
      </c>
      <c r="H64" s="110" t="s">
        <v>125</v>
      </c>
    </row>
    <row r="65" spans="1:8" ht="18" x14ac:dyDescent="0.3">
      <c r="A65" s="118">
        <v>45991</v>
      </c>
      <c r="B65" s="99" t="s">
        <v>75</v>
      </c>
      <c r="C65" s="100" t="s">
        <v>79</v>
      </c>
      <c r="D65" s="99" t="s">
        <v>1</v>
      </c>
      <c r="E65" s="101">
        <v>1.9409722222222221</v>
      </c>
      <c r="F65" s="99" t="s">
        <v>60</v>
      </c>
      <c r="G65" s="102">
        <v>9</v>
      </c>
      <c r="H65" s="99" t="s">
        <v>113</v>
      </c>
    </row>
    <row r="66" spans="1:8" ht="18" x14ac:dyDescent="0.3">
      <c r="A66" s="119">
        <v>45991</v>
      </c>
      <c r="B66" s="120" t="s">
        <v>75</v>
      </c>
      <c r="C66" s="121" t="s">
        <v>82</v>
      </c>
      <c r="D66" s="120" t="s">
        <v>1</v>
      </c>
      <c r="E66" s="122">
        <v>1.0659722222222221</v>
      </c>
      <c r="F66" s="120" t="s">
        <v>60</v>
      </c>
      <c r="G66" s="123">
        <v>9</v>
      </c>
      <c r="H66" s="120" t="s">
        <v>113</v>
      </c>
    </row>
    <row r="67" spans="1:8" ht="18" x14ac:dyDescent="0.3">
      <c r="A67" s="169">
        <v>45991</v>
      </c>
      <c r="B67" s="170" t="s">
        <v>58</v>
      </c>
      <c r="C67" s="171" t="s">
        <v>69</v>
      </c>
      <c r="D67" s="170" t="s">
        <v>1</v>
      </c>
      <c r="E67" s="172">
        <v>1.1840277777777779</v>
      </c>
      <c r="F67" s="170" t="s">
        <v>63</v>
      </c>
      <c r="G67" s="173">
        <v>9</v>
      </c>
      <c r="H67" s="170" t="s">
        <v>62</v>
      </c>
    </row>
  </sheetData>
  <dataValidations count="4">
    <dataValidation type="custom" allowBlank="1" showInputMessage="1" promptTitle="LOAD FACTOR ANALYSIS" prompt="SM-487_x000d__x000a_LF -_x000d__x000a_SOLD -_x000d__x000a_LST-SOLD -_x000d__x000a_WEEKLY -_x000d__x000a_TO-DAY -_x000d__x000a_Y-DAY -_x000d__x000a_LOWEST AVAIL -_x000d__x000a_CAPACITY -_x000d__x000a_CLASSES -" sqref="A6 B6 C6 D6 E6 F6 G6 H6" xr:uid="{00000000-0002-0000-0900-000000000000}">
      <formula1>TRUE</formula1>
    </dataValidation>
    <dataValidation type="custom" allowBlank="1" showInputMessage="1" promptTitle="LOAD FACTOR ANALYSIS" prompt="SM-489_x000d__x000a_LF 84.4%_x000d__x000a_SOLD 152_x000d__x000a_LST-SOLD 23NOV_x000d__x000a_WEEKLY 41_x000d__x000a_TO-DAY NIL_x000d__x000a_Y-DAY 3_x000d__x000a_LOWEST AVAIL T1_x000d__x000a_CAPACITY 180_x000d__x000a_CLASSES S1 &amp; W2 &amp; T19 &amp; +5 more" sqref="A13 B13 C13 D13 E13 F13 G13 H13" xr:uid="{00000000-0002-0000-0900-000001000000}">
      <formula1>TRUE</formula1>
    </dataValidation>
    <dataValidation type="custom" allowBlank="1" showInputMessage="1" promptTitle="LOAD FACTOR ANALYSIS" prompt="SM-487_x000d__x000a_LF 86.1%_x000d__x000a_SOLD 155_x000d__x000a_LST-SOLD 23NOV_x000d__x000a_WEEKLY 17_x000d__x000a_TO-DAY NIL_x000d__x000a_Y-DAY 1_x000d__x000a_LOWEST AVAIL T6_x000d__x000a_CAPACITY 180_x000d__x000a_CLASSES Y1 &amp; S2 &amp; W1 &amp; +6 more" sqref="A45 B45 C45 D45 E45 F45 G45 H45" xr:uid="{00000000-0002-0000-0900-000002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64 B64 C64 D64 E64 F64 G64 H64" xr:uid="{00000000-0002-0000-0900-000003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37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93.33203125" bestFit="1" customWidth="1"/>
  </cols>
  <sheetData>
    <row r="1" spans="1:92" ht="28.8" customHeight="1" x14ac:dyDescent="0.3">
      <c r="A1" s="284" t="s">
        <v>0</v>
      </c>
      <c r="B1" s="265"/>
      <c r="C1" s="265"/>
      <c r="D1" s="284" t="s">
        <v>267</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45985.362117447017</v>
      </c>
      <c r="H2" s="272"/>
      <c r="I2" s="272"/>
      <c r="J2" s="272"/>
      <c r="K2" s="282">
        <v>45985.362117447577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268</v>
      </c>
      <c r="C6" s="9">
        <v>0.39930555555555558</v>
      </c>
      <c r="D6" s="8" t="s">
        <v>27</v>
      </c>
      <c r="E6" s="8" t="s">
        <v>38</v>
      </c>
      <c r="F6" s="8" t="s">
        <v>269</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268</v>
      </c>
      <c r="C7" s="16">
        <v>0.39930555555555558</v>
      </c>
      <c r="D7" s="15" t="s">
        <v>33</v>
      </c>
      <c r="E7" s="15" t="s">
        <v>74</v>
      </c>
      <c r="F7" s="15" t="s">
        <v>270</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268</v>
      </c>
      <c r="C8" s="16">
        <v>0.39930555555555558</v>
      </c>
      <c r="D8" s="15" t="s">
        <v>30</v>
      </c>
      <c r="E8" s="15" t="s">
        <v>74</v>
      </c>
      <c r="F8" s="15" t="s">
        <v>94</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8" t="s">
        <v>25</v>
      </c>
      <c r="B9" s="38" t="s">
        <v>271</v>
      </c>
      <c r="C9" s="39">
        <v>0.48958333333333331</v>
      </c>
      <c r="D9" s="38" t="s">
        <v>27</v>
      </c>
      <c r="E9" s="38" t="s">
        <v>272</v>
      </c>
      <c r="F9" s="38" t="s">
        <v>273</v>
      </c>
      <c r="G9" s="262"/>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25</v>
      </c>
      <c r="B10" s="15" t="s">
        <v>271</v>
      </c>
      <c r="C10" s="16">
        <v>0.48958333333333331</v>
      </c>
      <c r="D10" s="15" t="s">
        <v>33</v>
      </c>
      <c r="E10" s="15" t="s">
        <v>274</v>
      </c>
      <c r="F10" s="15" t="s">
        <v>275</v>
      </c>
      <c r="G10" s="26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271</v>
      </c>
      <c r="C11" s="16">
        <v>0.48958333333333331</v>
      </c>
      <c r="D11" s="15" t="s">
        <v>30</v>
      </c>
      <c r="E11" s="15" t="s">
        <v>274</v>
      </c>
      <c r="F11" s="15" t="s">
        <v>94</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25</v>
      </c>
      <c r="B12" s="38" t="s">
        <v>276</v>
      </c>
      <c r="C12" s="39">
        <v>0.88888888888888884</v>
      </c>
      <c r="D12" s="38" t="s">
        <v>27</v>
      </c>
      <c r="E12" s="38" t="s">
        <v>72</v>
      </c>
      <c r="F12" s="38" t="s">
        <v>273</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25</v>
      </c>
      <c r="B13" s="15" t="s">
        <v>276</v>
      </c>
      <c r="C13" s="16">
        <v>0.88888888888888884</v>
      </c>
      <c r="D13" s="15" t="s">
        <v>33</v>
      </c>
      <c r="E13" s="15" t="s">
        <v>74</v>
      </c>
      <c r="F13" s="15" t="s">
        <v>275</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276</v>
      </c>
      <c r="C14" s="16">
        <v>0.88888888888888884</v>
      </c>
      <c r="D14" s="15" t="s">
        <v>30</v>
      </c>
      <c r="E14" s="15" t="s">
        <v>74</v>
      </c>
      <c r="F14" s="15" t="s">
        <v>94</v>
      </c>
      <c r="G14" s="262"/>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25</v>
      </c>
      <c r="B15" s="38" t="s">
        <v>277</v>
      </c>
      <c r="C15" s="39">
        <v>0.98958333333333337</v>
      </c>
      <c r="D15" s="38" t="s">
        <v>27</v>
      </c>
      <c r="E15" s="38" t="s">
        <v>118</v>
      </c>
      <c r="F15" s="38" t="s">
        <v>273</v>
      </c>
      <c r="G15" s="262"/>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25</v>
      </c>
      <c r="B16" s="15" t="s">
        <v>277</v>
      </c>
      <c r="C16" s="16">
        <v>0.98958333333333337</v>
      </c>
      <c r="D16" s="15" t="s">
        <v>33</v>
      </c>
      <c r="E16" s="15" t="s">
        <v>119</v>
      </c>
      <c r="F16" s="15" t="s">
        <v>275</v>
      </c>
      <c r="G16" s="262"/>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25</v>
      </c>
      <c r="B17" s="15" t="s">
        <v>277</v>
      </c>
      <c r="C17" s="16">
        <v>0.98958333333333337</v>
      </c>
      <c r="D17" s="15" t="s">
        <v>30</v>
      </c>
      <c r="E17" s="15" t="s">
        <v>119</v>
      </c>
      <c r="F17" s="15" t="s">
        <v>94</v>
      </c>
      <c r="G17" s="262"/>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6" t="s">
        <v>48</v>
      </c>
      <c r="B18" s="36" t="s">
        <v>278</v>
      </c>
      <c r="C18" s="37">
        <v>0.99305555555555547</v>
      </c>
      <c r="D18" s="36" t="s">
        <v>50</v>
      </c>
      <c r="E18" s="36" t="s">
        <v>61</v>
      </c>
      <c r="F18" s="36" t="s">
        <v>273</v>
      </c>
      <c r="G18" s="262"/>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48</v>
      </c>
      <c r="B19" s="15" t="s">
        <v>278</v>
      </c>
      <c r="C19" s="16">
        <v>0.99305555555555547</v>
      </c>
      <c r="D19" s="15" t="s">
        <v>53</v>
      </c>
      <c r="E19" s="15" t="s">
        <v>64</v>
      </c>
      <c r="F19" s="15" t="s">
        <v>270</v>
      </c>
      <c r="G19" s="26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48</v>
      </c>
      <c r="B20" s="15" t="s">
        <v>278</v>
      </c>
      <c r="C20" s="16">
        <v>0.99305555555555547</v>
      </c>
      <c r="D20" s="15" t="s">
        <v>56</v>
      </c>
      <c r="E20" s="15" t="s">
        <v>64</v>
      </c>
      <c r="F20" s="15" t="s">
        <v>93</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8" t="s">
        <v>48</v>
      </c>
      <c r="B21" s="38" t="s">
        <v>279</v>
      </c>
      <c r="C21" s="39">
        <v>0.34722222222222232</v>
      </c>
      <c r="D21" s="38" t="s">
        <v>50</v>
      </c>
      <c r="E21" s="38" t="s">
        <v>91</v>
      </c>
      <c r="F21" s="38" t="s">
        <v>270</v>
      </c>
      <c r="G21" s="262"/>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48</v>
      </c>
      <c r="B22" s="15" t="s">
        <v>279</v>
      </c>
      <c r="C22" s="16">
        <v>0.34722222222222232</v>
      </c>
      <c r="D22" s="15" t="s">
        <v>53</v>
      </c>
      <c r="E22" s="15" t="s">
        <v>99</v>
      </c>
      <c r="F22" s="15" t="s">
        <v>280</v>
      </c>
      <c r="G22" s="262"/>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48</v>
      </c>
      <c r="B23" s="15" t="s">
        <v>279</v>
      </c>
      <c r="C23" s="16">
        <v>0.34722222222222232</v>
      </c>
      <c r="D23" s="15" t="s">
        <v>56</v>
      </c>
      <c r="E23" s="15" t="s">
        <v>99</v>
      </c>
      <c r="F23" s="15" t="s">
        <v>281</v>
      </c>
      <c r="G23" s="262"/>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38" t="s">
        <v>48</v>
      </c>
      <c r="B24" s="38" t="s">
        <v>282</v>
      </c>
      <c r="C24" s="39">
        <v>0.73611111111111116</v>
      </c>
      <c r="D24" s="38" t="s">
        <v>50</v>
      </c>
      <c r="E24" s="38" t="s">
        <v>80</v>
      </c>
      <c r="F24" s="38" t="s">
        <v>270</v>
      </c>
      <c r="G24" s="262"/>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48</v>
      </c>
      <c r="B25" s="15" t="s">
        <v>282</v>
      </c>
      <c r="C25" s="16">
        <v>0.73611111111111116</v>
      </c>
      <c r="D25" s="15" t="s">
        <v>53</v>
      </c>
      <c r="E25" s="15" t="s">
        <v>64</v>
      </c>
      <c r="F25" s="15" t="s">
        <v>280</v>
      </c>
      <c r="G25" s="262"/>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48</v>
      </c>
      <c r="B26" s="15" t="s">
        <v>282</v>
      </c>
      <c r="C26" s="16">
        <v>0.73611111111111116</v>
      </c>
      <c r="D26" s="15" t="s">
        <v>56</v>
      </c>
      <c r="E26" s="15" t="s">
        <v>64</v>
      </c>
      <c r="F26" s="15" t="s">
        <v>281</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8" t="s">
        <v>48</v>
      </c>
      <c r="B27" s="38" t="s">
        <v>283</v>
      </c>
      <c r="C27" s="39">
        <v>0.83680555555555547</v>
      </c>
      <c r="D27" s="38" t="s">
        <v>50</v>
      </c>
      <c r="E27" s="38" t="s">
        <v>121</v>
      </c>
      <c r="F27" s="38" t="s">
        <v>270</v>
      </c>
      <c r="G27" s="26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48</v>
      </c>
      <c r="B28" s="15" t="s">
        <v>283</v>
      </c>
      <c r="C28" s="16">
        <v>0.83680555555555547</v>
      </c>
      <c r="D28" s="15" t="s">
        <v>53</v>
      </c>
      <c r="E28" s="15" t="s">
        <v>284</v>
      </c>
      <c r="F28" s="15" t="s">
        <v>280</v>
      </c>
      <c r="G28" s="262"/>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48</v>
      </c>
      <c r="B29" s="15" t="s">
        <v>283</v>
      </c>
      <c r="C29" s="16">
        <v>0.83680555555555547</v>
      </c>
      <c r="D29" s="15" t="s">
        <v>56</v>
      </c>
      <c r="E29" s="15" t="s">
        <v>284</v>
      </c>
      <c r="F29" s="15" t="s">
        <v>281</v>
      </c>
      <c r="G29" s="262"/>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38" t="s">
        <v>48</v>
      </c>
      <c r="B30" s="38" t="s">
        <v>285</v>
      </c>
      <c r="C30" s="39">
        <v>0.94444444444444453</v>
      </c>
      <c r="D30" s="38" t="s">
        <v>50</v>
      </c>
      <c r="E30" s="38" t="s">
        <v>118</v>
      </c>
      <c r="F30" s="38" t="s">
        <v>270</v>
      </c>
      <c r="G30" s="262"/>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48</v>
      </c>
      <c r="B31" s="15" t="s">
        <v>285</v>
      </c>
      <c r="C31" s="16">
        <v>0.94444444444444453</v>
      </c>
      <c r="D31" s="15" t="s">
        <v>53</v>
      </c>
      <c r="E31" s="15" t="s">
        <v>119</v>
      </c>
      <c r="F31" s="15" t="s">
        <v>280</v>
      </c>
      <c r="G31" s="262"/>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48</v>
      </c>
      <c r="B32" s="15" t="s">
        <v>285</v>
      </c>
      <c r="C32" s="16">
        <v>0.94444444444444453</v>
      </c>
      <c r="D32" s="15" t="s">
        <v>56</v>
      </c>
      <c r="E32" s="15" t="s">
        <v>119</v>
      </c>
      <c r="F32" s="15" t="s">
        <v>281</v>
      </c>
      <c r="G32" s="26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48</v>
      </c>
      <c r="B33" s="38" t="s">
        <v>286</v>
      </c>
      <c r="C33" s="39">
        <v>0.4861111111111111</v>
      </c>
      <c r="D33" s="38" t="s">
        <v>50</v>
      </c>
      <c r="E33" s="38" t="s">
        <v>287</v>
      </c>
      <c r="F33" s="38" t="s">
        <v>270</v>
      </c>
      <c r="G33" s="262"/>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48</v>
      </c>
      <c r="B34" s="15" t="s">
        <v>286</v>
      </c>
      <c r="C34" s="16">
        <v>0.4861111111111111</v>
      </c>
      <c r="D34" s="15" t="s">
        <v>53</v>
      </c>
      <c r="E34" s="15" t="s">
        <v>31</v>
      </c>
      <c r="F34" s="15" t="s">
        <v>280</v>
      </c>
      <c r="G34" s="262"/>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48</v>
      </c>
      <c r="B35" s="15" t="s">
        <v>286</v>
      </c>
      <c r="C35" s="16">
        <v>0.4861111111111111</v>
      </c>
      <c r="D35" s="15" t="s">
        <v>56</v>
      </c>
      <c r="E35" s="15" t="s">
        <v>31</v>
      </c>
      <c r="F35" s="15" t="s">
        <v>281</v>
      </c>
      <c r="G35" s="262"/>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8" t="s">
        <v>48</v>
      </c>
      <c r="B36" s="38" t="s">
        <v>288</v>
      </c>
      <c r="C36" s="39">
        <v>0.3923611111111111</v>
      </c>
      <c r="D36" s="38" t="s">
        <v>50</v>
      </c>
      <c r="E36" s="38" t="s">
        <v>118</v>
      </c>
      <c r="F36" s="38" t="s">
        <v>270</v>
      </c>
      <c r="G36" s="262"/>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48</v>
      </c>
      <c r="B37" s="15" t="s">
        <v>288</v>
      </c>
      <c r="C37" s="16">
        <v>0.3923611111111111</v>
      </c>
      <c r="D37" s="15" t="s">
        <v>53</v>
      </c>
      <c r="E37" s="15" t="s">
        <v>119</v>
      </c>
      <c r="F37" s="15" t="s">
        <v>280</v>
      </c>
      <c r="G37" s="262"/>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48</v>
      </c>
      <c r="B38" s="15" t="s">
        <v>288</v>
      </c>
      <c r="C38" s="16">
        <v>0.3923611111111111</v>
      </c>
      <c r="D38" s="15" t="s">
        <v>56</v>
      </c>
      <c r="E38" s="15" t="s">
        <v>119</v>
      </c>
      <c r="F38" s="15" t="s">
        <v>281</v>
      </c>
      <c r="G38" s="262"/>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38" t="s">
        <v>48</v>
      </c>
      <c r="B39" s="38" t="s">
        <v>289</v>
      </c>
      <c r="C39" s="39">
        <v>0.88888888888888884</v>
      </c>
      <c r="D39" s="38" t="s">
        <v>50</v>
      </c>
      <c r="E39" s="38" t="s">
        <v>118</v>
      </c>
      <c r="F39" s="38" t="s">
        <v>270</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48</v>
      </c>
      <c r="B40" s="15" t="s">
        <v>289</v>
      </c>
      <c r="C40" s="16">
        <v>0.88888888888888884</v>
      </c>
      <c r="D40" s="15" t="s">
        <v>53</v>
      </c>
      <c r="E40" s="15" t="s">
        <v>119</v>
      </c>
      <c r="F40" s="15" t="s">
        <v>280</v>
      </c>
      <c r="G40" s="262"/>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48</v>
      </c>
      <c r="B41" s="15" t="s">
        <v>289</v>
      </c>
      <c r="C41" s="16">
        <v>0.88888888888888884</v>
      </c>
      <c r="D41" s="15" t="s">
        <v>56</v>
      </c>
      <c r="E41" s="15" t="s">
        <v>119</v>
      </c>
      <c r="F41" s="15" t="s">
        <v>281</v>
      </c>
      <c r="G41" s="262"/>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36" t="s">
        <v>290</v>
      </c>
      <c r="B42" s="36" t="s">
        <v>291</v>
      </c>
      <c r="C42" s="37">
        <v>5.5555555555555552E-2</v>
      </c>
      <c r="D42" s="36" t="s">
        <v>292</v>
      </c>
      <c r="E42" s="36" t="s">
        <v>61</v>
      </c>
      <c r="F42" s="36" t="s">
        <v>293</v>
      </c>
      <c r="G42" s="262"/>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290</v>
      </c>
      <c r="B43" s="15" t="s">
        <v>291</v>
      </c>
      <c r="C43" s="16">
        <v>5.5555555555555552E-2</v>
      </c>
      <c r="D43" s="15" t="s">
        <v>30</v>
      </c>
      <c r="E43" s="15" t="s">
        <v>64</v>
      </c>
      <c r="F43" s="15" t="s">
        <v>294</v>
      </c>
      <c r="G43" s="26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36" t="s">
        <v>295</v>
      </c>
      <c r="B44" s="36" t="s">
        <v>296</v>
      </c>
      <c r="C44" s="37">
        <v>0.49305555555555558</v>
      </c>
      <c r="D44" s="36" t="s">
        <v>37</v>
      </c>
      <c r="E44" s="36" t="s">
        <v>97</v>
      </c>
      <c r="F44" s="36" t="s">
        <v>297</v>
      </c>
      <c r="G44" s="262"/>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38" t="s">
        <v>295</v>
      </c>
      <c r="B45" s="38" t="s">
        <v>298</v>
      </c>
      <c r="C45" s="39">
        <v>0.1875</v>
      </c>
      <c r="D45" s="38" t="s">
        <v>37</v>
      </c>
      <c r="E45" s="38" t="s">
        <v>70</v>
      </c>
      <c r="F45" s="38" t="s">
        <v>299</v>
      </c>
      <c r="G45" s="262"/>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36" t="s">
        <v>300</v>
      </c>
      <c r="B46" s="36" t="s">
        <v>301</v>
      </c>
      <c r="C46" s="37">
        <v>0.27083333333333331</v>
      </c>
      <c r="D46" s="36" t="s">
        <v>37</v>
      </c>
      <c r="E46" s="36" t="s">
        <v>51</v>
      </c>
      <c r="F46" s="36" t="s">
        <v>302</v>
      </c>
      <c r="G46" s="262"/>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6" t="s">
        <v>58</v>
      </c>
      <c r="B47" s="36" t="s">
        <v>303</v>
      </c>
      <c r="C47" s="37">
        <v>0.98958333333333337</v>
      </c>
      <c r="D47" s="36" t="s">
        <v>63</v>
      </c>
      <c r="E47" s="36" t="s">
        <v>38</v>
      </c>
      <c r="F47" s="36" t="s">
        <v>304</v>
      </c>
      <c r="G47" s="262"/>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8" t="s">
        <v>58</v>
      </c>
      <c r="B48" s="38" t="s">
        <v>305</v>
      </c>
      <c r="C48" s="39">
        <v>0.39930555555555558</v>
      </c>
      <c r="D48" s="38" t="s">
        <v>63</v>
      </c>
      <c r="E48" s="38" t="s">
        <v>72</v>
      </c>
      <c r="F48" s="38" t="s">
        <v>304</v>
      </c>
      <c r="G48" s="262"/>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8" t="s">
        <v>58</v>
      </c>
      <c r="B49" s="38" t="s">
        <v>306</v>
      </c>
      <c r="C49" s="39">
        <v>0.48958333333333331</v>
      </c>
      <c r="D49" s="38" t="s">
        <v>63</v>
      </c>
      <c r="E49" s="38" t="s">
        <v>72</v>
      </c>
      <c r="F49" s="38" t="s">
        <v>304</v>
      </c>
      <c r="G49" s="26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8" t="s">
        <v>58</v>
      </c>
      <c r="B50" s="38" t="s">
        <v>307</v>
      </c>
      <c r="C50" s="39">
        <v>0.88888888888888884</v>
      </c>
      <c r="D50" s="38" t="s">
        <v>63</v>
      </c>
      <c r="E50" s="38" t="s">
        <v>72</v>
      </c>
      <c r="F50" s="38" t="s">
        <v>304</v>
      </c>
      <c r="G50" s="262"/>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58</v>
      </c>
      <c r="B51" s="38" t="s">
        <v>308</v>
      </c>
      <c r="C51" s="39">
        <v>0.48958333333333331</v>
      </c>
      <c r="D51" s="38" t="s">
        <v>63</v>
      </c>
      <c r="E51" s="38" t="s">
        <v>70</v>
      </c>
      <c r="F51" s="38" t="s">
        <v>309</v>
      </c>
      <c r="G51" s="262"/>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38" t="s">
        <v>58</v>
      </c>
      <c r="B52" s="38" t="s">
        <v>310</v>
      </c>
      <c r="C52" s="39">
        <v>0.25347222222222221</v>
      </c>
      <c r="D52" s="38" t="s">
        <v>63</v>
      </c>
      <c r="E52" s="38" t="s">
        <v>80</v>
      </c>
      <c r="F52" s="38" t="s">
        <v>309</v>
      </c>
      <c r="G52" s="262"/>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8" t="s">
        <v>58</v>
      </c>
      <c r="B53" s="38" t="s">
        <v>311</v>
      </c>
      <c r="C53" s="39">
        <v>4.1666666666666657E-2</v>
      </c>
      <c r="D53" s="38" t="s">
        <v>63</v>
      </c>
      <c r="E53" s="38" t="s">
        <v>70</v>
      </c>
      <c r="F53" s="38" t="s">
        <v>309</v>
      </c>
      <c r="G53" s="262"/>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58</v>
      </c>
      <c r="B54" s="38" t="s">
        <v>312</v>
      </c>
      <c r="C54" s="39">
        <v>0.94097222222222221</v>
      </c>
      <c r="D54" s="38" t="s">
        <v>63</v>
      </c>
      <c r="E54" s="38" t="s">
        <v>72</v>
      </c>
      <c r="F54" s="38" t="s">
        <v>309</v>
      </c>
      <c r="G54" s="262"/>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8" t="s">
        <v>58</v>
      </c>
      <c r="B55" s="38" t="s">
        <v>313</v>
      </c>
      <c r="C55" s="39">
        <v>0.72222222222222221</v>
      </c>
      <c r="D55" s="38" t="s">
        <v>63</v>
      </c>
      <c r="E55" s="38" t="s">
        <v>80</v>
      </c>
      <c r="F55" s="38" t="s">
        <v>314</v>
      </c>
      <c r="G55" s="262"/>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38" t="s">
        <v>58</v>
      </c>
      <c r="B56" s="38" t="s">
        <v>315</v>
      </c>
      <c r="C56" s="39">
        <v>0.70138888888888884</v>
      </c>
      <c r="D56" s="38" t="s">
        <v>63</v>
      </c>
      <c r="E56" s="38" t="s">
        <v>66</v>
      </c>
      <c r="F56" s="38" t="s">
        <v>314</v>
      </c>
      <c r="G56" s="262"/>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36" t="s">
        <v>75</v>
      </c>
      <c r="B57" s="36" t="s">
        <v>316</v>
      </c>
      <c r="C57" s="37">
        <v>0.83680555555555547</v>
      </c>
      <c r="D57" s="36" t="s">
        <v>60</v>
      </c>
      <c r="E57" s="36" t="s">
        <v>51</v>
      </c>
      <c r="F57" s="36" t="s">
        <v>317</v>
      </c>
      <c r="G57" s="262"/>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38" t="s">
        <v>75</v>
      </c>
      <c r="B58" s="38" t="s">
        <v>318</v>
      </c>
      <c r="C58" s="39">
        <v>0.3125</v>
      </c>
      <c r="D58" s="38" t="s">
        <v>60</v>
      </c>
      <c r="E58" s="38" t="s">
        <v>83</v>
      </c>
      <c r="F58" s="38" t="s">
        <v>317</v>
      </c>
      <c r="G58" s="262"/>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38" t="s">
        <v>75</v>
      </c>
      <c r="B59" s="38" t="s">
        <v>319</v>
      </c>
      <c r="C59" s="39">
        <v>0.97222222222222221</v>
      </c>
      <c r="D59" s="38" t="s">
        <v>60</v>
      </c>
      <c r="E59" s="38" t="s">
        <v>83</v>
      </c>
      <c r="F59" s="38" t="s">
        <v>317</v>
      </c>
      <c r="G59" s="262"/>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38" t="s">
        <v>75</v>
      </c>
      <c r="B60" s="38" t="s">
        <v>320</v>
      </c>
      <c r="C60" s="39">
        <v>0.1041666666666667</v>
      </c>
      <c r="D60" s="38" t="s">
        <v>60</v>
      </c>
      <c r="E60" s="38" t="s">
        <v>70</v>
      </c>
      <c r="F60" s="38" t="s">
        <v>317</v>
      </c>
      <c r="G60" s="262"/>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38" t="s">
        <v>75</v>
      </c>
      <c r="B61" s="38" t="s">
        <v>321</v>
      </c>
      <c r="C61" s="39">
        <v>0.78472222222222221</v>
      </c>
      <c r="D61" s="38" t="s">
        <v>60</v>
      </c>
      <c r="E61" s="38" t="s">
        <v>72</v>
      </c>
      <c r="F61" s="38" t="s">
        <v>317</v>
      </c>
      <c r="G61" s="262"/>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8" t="s">
        <v>75</v>
      </c>
      <c r="B62" s="38" t="s">
        <v>322</v>
      </c>
      <c r="C62" s="39">
        <v>0.60069444444444442</v>
      </c>
      <c r="D62" s="38" t="s">
        <v>60</v>
      </c>
      <c r="E62" s="38" t="s">
        <v>83</v>
      </c>
      <c r="F62" s="38" t="s">
        <v>317</v>
      </c>
      <c r="G62" s="262"/>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83" t="s">
        <v>35</v>
      </c>
      <c r="B63" s="183" t="s">
        <v>323</v>
      </c>
      <c r="C63" s="184">
        <v>5.2083333333333343E-2</v>
      </c>
      <c r="D63" s="183" t="s">
        <v>44</v>
      </c>
      <c r="E63" s="185"/>
      <c r="F63" s="183" t="s">
        <v>45</v>
      </c>
      <c r="G63" s="262"/>
      <c r="H63" s="186" t="s">
        <v>323</v>
      </c>
      <c r="I63" s="187">
        <v>1</v>
      </c>
      <c r="J63" s="188">
        <v>179</v>
      </c>
      <c r="K63" s="189">
        <v>45984</v>
      </c>
      <c r="L63" s="188">
        <v>62</v>
      </c>
      <c r="M63" s="188">
        <v>0</v>
      </c>
      <c r="N63" s="188">
        <v>4</v>
      </c>
      <c r="O63" s="190" t="s">
        <v>46</v>
      </c>
      <c r="P63" s="191">
        <v>5.2083333333333343E-2</v>
      </c>
      <c r="Q63" s="188">
        <v>179</v>
      </c>
      <c r="R63" s="192" t="s">
        <v>324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93" t="s">
        <v>35</v>
      </c>
      <c r="B64" s="193" t="s">
        <v>325</v>
      </c>
      <c r="C64" s="194">
        <v>0.38194444444444442</v>
      </c>
      <c r="D64" s="193" t="s">
        <v>44</v>
      </c>
      <c r="E64" s="195"/>
      <c r="F64" s="193" t="s">
        <v>45</v>
      </c>
      <c r="G64" s="262"/>
      <c r="H64" s="19" t="s">
        <v>325</v>
      </c>
      <c r="I64" s="20">
        <v>1.0056</v>
      </c>
      <c r="J64" s="21">
        <v>181</v>
      </c>
      <c r="K64" s="22">
        <v>45981</v>
      </c>
      <c r="L64" s="21">
        <v>5</v>
      </c>
      <c r="M64" s="21">
        <v>0</v>
      </c>
      <c r="N64" s="21">
        <v>0</v>
      </c>
      <c r="O64" s="23" t="s">
        <v>46</v>
      </c>
      <c r="P64" s="24">
        <v>0.38194444444444442</v>
      </c>
      <c r="Q64" s="21">
        <v>180</v>
      </c>
      <c r="R64" s="25" t="s">
        <v>326</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6" t="s">
        <v>35</v>
      </c>
      <c r="B65" s="196" t="s">
        <v>327</v>
      </c>
      <c r="C65" s="197">
        <v>0.4375</v>
      </c>
      <c r="D65" s="196" t="s">
        <v>44</v>
      </c>
      <c r="E65" s="198"/>
      <c r="F65" s="196" t="s">
        <v>45</v>
      </c>
      <c r="G65" s="262"/>
      <c r="H65" s="151" t="s">
        <v>327</v>
      </c>
      <c r="I65" s="152">
        <v>1</v>
      </c>
      <c r="J65" s="153">
        <v>180</v>
      </c>
      <c r="K65" s="154">
        <v>45984</v>
      </c>
      <c r="L65" s="153">
        <v>19</v>
      </c>
      <c r="M65" s="153">
        <v>0</v>
      </c>
      <c r="N65" s="153">
        <v>2</v>
      </c>
      <c r="O65" s="155" t="s">
        <v>46</v>
      </c>
      <c r="P65" s="156">
        <v>0.4375</v>
      </c>
      <c r="Q65" s="153">
        <v>180</v>
      </c>
      <c r="R65" s="157" t="s">
        <v>328</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9" t="s">
        <v>35</v>
      </c>
      <c r="B66" s="199" t="s">
        <v>329</v>
      </c>
      <c r="C66" s="200">
        <v>0.55208333333333337</v>
      </c>
      <c r="D66" s="199" t="s">
        <v>44</v>
      </c>
      <c r="E66" s="201"/>
      <c r="F66" s="199" t="s">
        <v>45</v>
      </c>
      <c r="G66" s="262"/>
      <c r="H66" s="176" t="s">
        <v>329</v>
      </c>
      <c r="I66" s="202">
        <v>0.98329999999999995</v>
      </c>
      <c r="J66" s="178">
        <v>177</v>
      </c>
      <c r="K66" s="179">
        <v>45985</v>
      </c>
      <c r="L66" s="178">
        <v>49</v>
      </c>
      <c r="M66" s="178">
        <v>1</v>
      </c>
      <c r="N66" s="178">
        <v>3</v>
      </c>
      <c r="O66" s="180" t="s">
        <v>46</v>
      </c>
      <c r="P66" s="181">
        <v>0.55208333333333337</v>
      </c>
      <c r="Q66" s="178">
        <v>180</v>
      </c>
      <c r="R66" s="182" t="s">
        <v>330</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6" t="s">
        <v>35</v>
      </c>
      <c r="B67" s="196" t="s">
        <v>331</v>
      </c>
      <c r="C67" s="197">
        <v>0.75694444444444453</v>
      </c>
      <c r="D67" s="196" t="s">
        <v>44</v>
      </c>
      <c r="E67" s="198"/>
      <c r="F67" s="196" t="s">
        <v>45</v>
      </c>
      <c r="G67" s="262"/>
      <c r="H67" s="151" t="s">
        <v>331</v>
      </c>
      <c r="I67" s="152">
        <v>0.99439999999999995</v>
      </c>
      <c r="J67" s="153">
        <v>179</v>
      </c>
      <c r="K67" s="154">
        <v>45979</v>
      </c>
      <c r="L67" s="153">
        <v>1</v>
      </c>
      <c r="M67" s="153">
        <v>0</v>
      </c>
      <c r="N67" s="153">
        <v>0</v>
      </c>
      <c r="O67" s="155" t="s">
        <v>46</v>
      </c>
      <c r="P67" s="156">
        <v>0.75694444444444453</v>
      </c>
      <c r="Q67" s="153">
        <v>180</v>
      </c>
      <c r="R67" s="157" t="s">
        <v>332</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203" t="s">
        <v>35</v>
      </c>
      <c r="B68" s="203" t="s">
        <v>333</v>
      </c>
      <c r="C68" s="204">
        <v>0.79166666666666663</v>
      </c>
      <c r="D68" s="203" t="s">
        <v>44</v>
      </c>
      <c r="E68" s="205"/>
      <c r="F68" s="203" t="s">
        <v>45</v>
      </c>
      <c r="G68" s="263"/>
      <c r="H68" s="206" t="s">
        <v>333</v>
      </c>
      <c r="I68" s="207">
        <v>0.99439999999999995</v>
      </c>
      <c r="J68" s="208">
        <v>179</v>
      </c>
      <c r="K68" s="209">
        <v>45984</v>
      </c>
      <c r="L68" s="208">
        <v>103</v>
      </c>
      <c r="M68" s="208">
        <v>0</v>
      </c>
      <c r="N68" s="208">
        <v>6</v>
      </c>
      <c r="O68" s="210" t="s">
        <v>46</v>
      </c>
      <c r="P68" s="211">
        <v>0.79166666666666663</v>
      </c>
      <c r="Q68" s="208">
        <v>180</v>
      </c>
      <c r="R68" s="212" t="s">
        <v>334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4.4" customHeight="1" x14ac:dyDescent="0.3">
      <c r="A69" s="275"/>
      <c r="B69" s="276"/>
      <c r="C69" s="276"/>
      <c r="D69" s="276"/>
      <c r="E69" s="276"/>
      <c r="F69" s="276"/>
      <c r="G69" s="276"/>
      <c r="H69" s="276"/>
      <c r="I69" s="276"/>
      <c r="J69" s="276"/>
      <c r="K69" s="276"/>
      <c r="L69" s="276"/>
      <c r="M69" s="276"/>
      <c r="N69" s="276"/>
      <c r="O69" s="276"/>
      <c r="P69" s="276"/>
      <c r="Q69" s="276"/>
      <c r="R69" s="27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2.05" customHeight="1" x14ac:dyDescent="0.3">
      <c r="A70" s="266" t="s">
        <v>5</v>
      </c>
      <c r="B70" s="267"/>
      <c r="C70" s="267"/>
      <c r="D70" s="267"/>
      <c r="E70" s="267"/>
      <c r="F70" s="267"/>
      <c r="G70" s="5">
        <v>45987</v>
      </c>
      <c r="H70" s="270" t="s">
        <v>6</v>
      </c>
      <c r="I70" s="269"/>
      <c r="J70" s="269"/>
      <c r="K70" s="269"/>
      <c r="L70" s="269"/>
      <c r="M70" s="269"/>
      <c r="N70" s="269"/>
      <c r="O70" s="269"/>
      <c r="P70" s="269"/>
      <c r="Q70" s="269"/>
      <c r="R70" s="26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4" customHeight="1" x14ac:dyDescent="0.3">
      <c r="A71" s="47" t="s">
        <v>7</v>
      </c>
      <c r="B71" s="47" t="s">
        <v>8</v>
      </c>
      <c r="C71" s="48" t="s">
        <v>9</v>
      </c>
      <c r="D71" s="47" t="s">
        <v>10</v>
      </c>
      <c r="E71" s="47" t="s">
        <v>11</v>
      </c>
      <c r="F71" s="47" t="s">
        <v>12</v>
      </c>
      <c r="G71" s="49" t="s">
        <v>13</v>
      </c>
      <c r="H71" s="47" t="s">
        <v>14</v>
      </c>
      <c r="I71" s="50" t="s">
        <v>15</v>
      </c>
      <c r="J71" s="51" t="s">
        <v>16</v>
      </c>
      <c r="K71" s="52" t="s">
        <v>17</v>
      </c>
      <c r="L71" s="51" t="s">
        <v>18</v>
      </c>
      <c r="M71" s="51" t="s">
        <v>19</v>
      </c>
      <c r="N71" s="51" t="s">
        <v>20</v>
      </c>
      <c r="O71" s="47" t="s">
        <v>21</v>
      </c>
      <c r="P71" s="48" t="s">
        <v>22</v>
      </c>
      <c r="Q71" s="51" t="s">
        <v>23</v>
      </c>
      <c r="R71" s="47" t="s">
        <v>24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8" t="s">
        <v>25</v>
      </c>
      <c r="B72" s="8" t="s">
        <v>268</v>
      </c>
      <c r="C72" s="9">
        <v>0.39930555555555558</v>
      </c>
      <c r="D72" s="8" t="s">
        <v>27</v>
      </c>
      <c r="E72" s="8" t="s">
        <v>38</v>
      </c>
      <c r="F72" s="8" t="s">
        <v>273</v>
      </c>
      <c r="G72" s="261"/>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268</v>
      </c>
      <c r="C73" s="16">
        <v>0.39930555555555558</v>
      </c>
      <c r="D73" s="15" t="s">
        <v>33</v>
      </c>
      <c r="E73" s="15" t="s">
        <v>74</v>
      </c>
      <c r="F73" s="15" t="s">
        <v>275</v>
      </c>
      <c r="G73" s="262"/>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25</v>
      </c>
      <c r="B74" s="15" t="s">
        <v>268</v>
      </c>
      <c r="C74" s="16">
        <v>0.39930555555555558</v>
      </c>
      <c r="D74" s="15" t="s">
        <v>30</v>
      </c>
      <c r="E74" s="15" t="s">
        <v>74</v>
      </c>
      <c r="F74" s="15" t="s">
        <v>94</v>
      </c>
      <c r="G74" s="262"/>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38" t="s">
        <v>25</v>
      </c>
      <c r="B75" s="38" t="s">
        <v>271</v>
      </c>
      <c r="C75" s="39">
        <v>0.48958333333333331</v>
      </c>
      <c r="D75" s="38" t="s">
        <v>27</v>
      </c>
      <c r="E75" s="38" t="s">
        <v>70</v>
      </c>
      <c r="F75" s="38" t="s">
        <v>273</v>
      </c>
      <c r="G75" s="262"/>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25</v>
      </c>
      <c r="B76" s="15" t="s">
        <v>271</v>
      </c>
      <c r="C76" s="16">
        <v>0.48958333333333331</v>
      </c>
      <c r="D76" s="15" t="s">
        <v>33</v>
      </c>
      <c r="E76" s="15" t="s">
        <v>54</v>
      </c>
      <c r="F76" s="15" t="s">
        <v>275</v>
      </c>
      <c r="G76" s="262"/>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25</v>
      </c>
      <c r="B77" s="15" t="s">
        <v>271</v>
      </c>
      <c r="C77" s="16">
        <v>0.48958333333333331</v>
      </c>
      <c r="D77" s="15" t="s">
        <v>30</v>
      </c>
      <c r="E77" s="15" t="s">
        <v>54</v>
      </c>
      <c r="F77" s="15" t="s">
        <v>94</v>
      </c>
      <c r="G77" s="262"/>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8" t="s">
        <v>25</v>
      </c>
      <c r="B78" s="38" t="s">
        <v>276</v>
      </c>
      <c r="C78" s="39">
        <v>0.88888888888888884</v>
      </c>
      <c r="D78" s="38" t="s">
        <v>335</v>
      </c>
      <c r="E78" s="38" t="s">
        <v>70</v>
      </c>
      <c r="F78" s="38" t="s">
        <v>32</v>
      </c>
      <c r="G78" s="26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276</v>
      </c>
      <c r="C79" s="16">
        <v>0.88888888888888884</v>
      </c>
      <c r="D79" s="15" t="s">
        <v>27</v>
      </c>
      <c r="E79" s="15" t="s">
        <v>54</v>
      </c>
      <c r="F79" s="15" t="s">
        <v>32</v>
      </c>
      <c r="G79" s="26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25</v>
      </c>
      <c r="B80" s="15" t="s">
        <v>276</v>
      </c>
      <c r="C80" s="16">
        <v>0.88888888888888884</v>
      </c>
      <c r="D80" s="15" t="s">
        <v>33</v>
      </c>
      <c r="E80" s="15" t="s">
        <v>54</v>
      </c>
      <c r="F80" s="15" t="s">
        <v>280</v>
      </c>
      <c r="G80" s="262"/>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25</v>
      </c>
      <c r="B81" s="15" t="s">
        <v>276</v>
      </c>
      <c r="C81" s="16">
        <v>0.88888888888888884</v>
      </c>
      <c r="D81" s="15" t="s">
        <v>30</v>
      </c>
      <c r="E81" s="15" t="s">
        <v>54</v>
      </c>
      <c r="F81" s="15" t="s">
        <v>336</v>
      </c>
      <c r="G81" s="262"/>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38" t="s">
        <v>25</v>
      </c>
      <c r="B82" s="38" t="s">
        <v>277</v>
      </c>
      <c r="C82" s="39">
        <v>0.98958333333333337</v>
      </c>
      <c r="D82" s="38" t="s">
        <v>27</v>
      </c>
      <c r="E82" s="38" t="s">
        <v>272</v>
      </c>
      <c r="F82" s="38" t="s">
        <v>32</v>
      </c>
      <c r="G82" s="262"/>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25</v>
      </c>
      <c r="B83" s="15" t="s">
        <v>277</v>
      </c>
      <c r="C83" s="16">
        <v>0.98958333333333337</v>
      </c>
      <c r="D83" s="15" t="s">
        <v>33</v>
      </c>
      <c r="E83" s="15" t="s">
        <v>274</v>
      </c>
      <c r="F83" s="15" t="s">
        <v>280</v>
      </c>
      <c r="G83" s="262"/>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25</v>
      </c>
      <c r="B84" s="15" t="s">
        <v>277</v>
      </c>
      <c r="C84" s="16">
        <v>0.98958333333333337</v>
      </c>
      <c r="D84" s="15" t="s">
        <v>30</v>
      </c>
      <c r="E84" s="15" t="s">
        <v>274</v>
      </c>
      <c r="F84" s="15" t="s">
        <v>94</v>
      </c>
      <c r="G84" s="262"/>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36" t="s">
        <v>48</v>
      </c>
      <c r="B85" s="36" t="s">
        <v>283</v>
      </c>
      <c r="C85" s="37">
        <v>0.83680555555555547</v>
      </c>
      <c r="D85" s="36" t="s">
        <v>102</v>
      </c>
      <c r="E85" s="36" t="s">
        <v>103</v>
      </c>
      <c r="F85" s="36" t="s">
        <v>273</v>
      </c>
      <c r="G85" s="262"/>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48</v>
      </c>
      <c r="B86" s="15" t="s">
        <v>283</v>
      </c>
      <c r="C86" s="16">
        <v>0.83680555555555547</v>
      </c>
      <c r="D86" s="15" t="s">
        <v>50</v>
      </c>
      <c r="E86" s="15" t="s">
        <v>68</v>
      </c>
      <c r="F86" s="15" t="s">
        <v>273</v>
      </c>
      <c r="G86" s="262"/>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48</v>
      </c>
      <c r="B87" s="15" t="s">
        <v>283</v>
      </c>
      <c r="C87" s="16">
        <v>0.83680555555555547</v>
      </c>
      <c r="D87" s="15" t="s">
        <v>53</v>
      </c>
      <c r="E87" s="15" t="s">
        <v>68</v>
      </c>
      <c r="F87" s="15" t="s">
        <v>270</v>
      </c>
      <c r="G87" s="262"/>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48</v>
      </c>
      <c r="B88" s="15" t="s">
        <v>283</v>
      </c>
      <c r="C88" s="16">
        <v>0.83680555555555547</v>
      </c>
      <c r="D88" s="15" t="s">
        <v>56</v>
      </c>
      <c r="E88" s="15" t="s">
        <v>68</v>
      </c>
      <c r="F88" s="15" t="s">
        <v>93</v>
      </c>
      <c r="G88" s="262"/>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38" t="s">
        <v>48</v>
      </c>
      <c r="B89" s="38" t="s">
        <v>279</v>
      </c>
      <c r="C89" s="39">
        <v>0.34722222222222232</v>
      </c>
      <c r="D89" s="38" t="s">
        <v>50</v>
      </c>
      <c r="E89" s="38" t="s">
        <v>118</v>
      </c>
      <c r="F89" s="38" t="s">
        <v>270</v>
      </c>
      <c r="G89" s="262"/>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48</v>
      </c>
      <c r="B90" s="15" t="s">
        <v>279</v>
      </c>
      <c r="C90" s="16">
        <v>0.34722222222222232</v>
      </c>
      <c r="D90" s="15" t="s">
        <v>53</v>
      </c>
      <c r="E90" s="15" t="s">
        <v>119</v>
      </c>
      <c r="F90" s="15" t="s">
        <v>280</v>
      </c>
      <c r="G90" s="262"/>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48</v>
      </c>
      <c r="B91" s="15" t="s">
        <v>279</v>
      </c>
      <c r="C91" s="16">
        <v>0.34722222222222232</v>
      </c>
      <c r="D91" s="15" t="s">
        <v>56</v>
      </c>
      <c r="E91" s="15" t="s">
        <v>119</v>
      </c>
      <c r="F91" s="15" t="s">
        <v>281</v>
      </c>
      <c r="G91" s="262"/>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8" t="s">
        <v>48</v>
      </c>
      <c r="B92" s="38" t="s">
        <v>278</v>
      </c>
      <c r="C92" s="39">
        <v>0.99305555555555547</v>
      </c>
      <c r="D92" s="38" t="s">
        <v>50</v>
      </c>
      <c r="E92" s="38" t="s">
        <v>287</v>
      </c>
      <c r="F92" s="38" t="s">
        <v>270</v>
      </c>
      <c r="G92" s="262"/>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48</v>
      </c>
      <c r="B93" s="15" t="s">
        <v>278</v>
      </c>
      <c r="C93" s="16">
        <v>0.99305555555555547</v>
      </c>
      <c r="D93" s="15" t="s">
        <v>53</v>
      </c>
      <c r="E93" s="15" t="s">
        <v>31</v>
      </c>
      <c r="F93" s="15" t="s">
        <v>280</v>
      </c>
      <c r="G93" s="262"/>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48</v>
      </c>
      <c r="B94" s="15" t="s">
        <v>278</v>
      </c>
      <c r="C94" s="16">
        <v>0.99305555555555547</v>
      </c>
      <c r="D94" s="15" t="s">
        <v>56</v>
      </c>
      <c r="E94" s="15" t="s">
        <v>31</v>
      </c>
      <c r="F94" s="15" t="s">
        <v>281</v>
      </c>
      <c r="G94" s="262"/>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38" t="s">
        <v>48</v>
      </c>
      <c r="B95" s="38" t="s">
        <v>285</v>
      </c>
      <c r="C95" s="39">
        <v>0.94444444444444453</v>
      </c>
      <c r="D95" s="38" t="s">
        <v>50</v>
      </c>
      <c r="E95" s="38" t="s">
        <v>287</v>
      </c>
      <c r="F95" s="38" t="s">
        <v>270</v>
      </c>
      <c r="G95" s="262"/>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48</v>
      </c>
      <c r="B96" s="15" t="s">
        <v>285</v>
      </c>
      <c r="C96" s="16">
        <v>0.94444444444444453</v>
      </c>
      <c r="D96" s="15" t="s">
        <v>53</v>
      </c>
      <c r="E96" s="15" t="s">
        <v>31</v>
      </c>
      <c r="F96" s="15" t="s">
        <v>280</v>
      </c>
      <c r="G96" s="262"/>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48</v>
      </c>
      <c r="B97" s="15" t="s">
        <v>285</v>
      </c>
      <c r="C97" s="16">
        <v>0.94444444444444453</v>
      </c>
      <c r="D97" s="15" t="s">
        <v>56</v>
      </c>
      <c r="E97" s="15" t="s">
        <v>31</v>
      </c>
      <c r="F97" s="15" t="s">
        <v>281</v>
      </c>
      <c r="G97" s="262"/>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38" t="s">
        <v>48</v>
      </c>
      <c r="B98" s="38" t="s">
        <v>286</v>
      </c>
      <c r="C98" s="39">
        <v>0.4861111111111111</v>
      </c>
      <c r="D98" s="38" t="s">
        <v>50</v>
      </c>
      <c r="E98" s="38" t="s">
        <v>287</v>
      </c>
      <c r="F98" s="38" t="s">
        <v>270</v>
      </c>
      <c r="G98" s="262"/>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48</v>
      </c>
      <c r="B99" s="15" t="s">
        <v>286</v>
      </c>
      <c r="C99" s="16">
        <v>0.4861111111111111</v>
      </c>
      <c r="D99" s="15" t="s">
        <v>53</v>
      </c>
      <c r="E99" s="15" t="s">
        <v>31</v>
      </c>
      <c r="F99" s="15" t="s">
        <v>280</v>
      </c>
      <c r="G99" s="262"/>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48</v>
      </c>
      <c r="B100" s="15" t="s">
        <v>286</v>
      </c>
      <c r="C100" s="16">
        <v>0.4861111111111111</v>
      </c>
      <c r="D100" s="15" t="s">
        <v>56</v>
      </c>
      <c r="E100" s="15" t="s">
        <v>31</v>
      </c>
      <c r="F100" s="15" t="s">
        <v>281</v>
      </c>
      <c r="G100" s="26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38" t="s">
        <v>48</v>
      </c>
      <c r="B101" s="38" t="s">
        <v>288</v>
      </c>
      <c r="C101" s="39">
        <v>0.3923611111111111</v>
      </c>
      <c r="D101" s="38" t="s">
        <v>50</v>
      </c>
      <c r="E101" s="38" t="s">
        <v>287</v>
      </c>
      <c r="F101" s="38" t="s">
        <v>270</v>
      </c>
      <c r="G101" s="262"/>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48</v>
      </c>
      <c r="B102" s="15" t="s">
        <v>288</v>
      </c>
      <c r="C102" s="16">
        <v>0.3923611111111111</v>
      </c>
      <c r="D102" s="15" t="s">
        <v>53</v>
      </c>
      <c r="E102" s="15" t="s">
        <v>31</v>
      </c>
      <c r="F102" s="15" t="s">
        <v>280</v>
      </c>
      <c r="G102" s="262"/>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48</v>
      </c>
      <c r="B103" s="15" t="s">
        <v>288</v>
      </c>
      <c r="C103" s="16">
        <v>0.3923611111111111</v>
      </c>
      <c r="D103" s="15" t="s">
        <v>56</v>
      </c>
      <c r="E103" s="15" t="s">
        <v>31</v>
      </c>
      <c r="F103" s="15" t="s">
        <v>281</v>
      </c>
      <c r="G103" s="262"/>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38" t="s">
        <v>48</v>
      </c>
      <c r="B104" s="38" t="s">
        <v>289</v>
      </c>
      <c r="C104" s="39">
        <v>0.88888888888888884</v>
      </c>
      <c r="D104" s="38" t="s">
        <v>50</v>
      </c>
      <c r="E104" s="38" t="s">
        <v>118</v>
      </c>
      <c r="F104" s="38" t="s">
        <v>270</v>
      </c>
      <c r="G104" s="262"/>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48</v>
      </c>
      <c r="B105" s="15" t="s">
        <v>289</v>
      </c>
      <c r="C105" s="16">
        <v>0.88888888888888884</v>
      </c>
      <c r="D105" s="15" t="s">
        <v>53</v>
      </c>
      <c r="E105" s="15" t="s">
        <v>119</v>
      </c>
      <c r="F105" s="15" t="s">
        <v>280</v>
      </c>
      <c r="G105" s="262"/>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48</v>
      </c>
      <c r="B106" s="15" t="s">
        <v>289</v>
      </c>
      <c r="C106" s="16">
        <v>0.88888888888888884</v>
      </c>
      <c r="D106" s="15" t="s">
        <v>56</v>
      </c>
      <c r="E106" s="15" t="s">
        <v>119</v>
      </c>
      <c r="F106" s="15" t="s">
        <v>281</v>
      </c>
      <c r="G106" s="262"/>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8" t="s">
        <v>48</v>
      </c>
      <c r="B107" s="38" t="s">
        <v>282</v>
      </c>
      <c r="C107" s="39">
        <v>0.73611111111111116</v>
      </c>
      <c r="D107" s="38" t="s">
        <v>50</v>
      </c>
      <c r="E107" s="38" t="s">
        <v>91</v>
      </c>
      <c r="F107" s="38" t="s">
        <v>337</v>
      </c>
      <c r="G107" s="262"/>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48</v>
      </c>
      <c r="B108" s="15" t="s">
        <v>282</v>
      </c>
      <c r="C108" s="16">
        <v>0.73611111111111116</v>
      </c>
      <c r="D108" s="15" t="s">
        <v>53</v>
      </c>
      <c r="E108" s="15" t="s">
        <v>99</v>
      </c>
      <c r="F108" s="15" t="s">
        <v>94</v>
      </c>
      <c r="G108" s="262"/>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48</v>
      </c>
      <c r="B109" s="15" t="s">
        <v>282</v>
      </c>
      <c r="C109" s="16">
        <v>0.73611111111111116</v>
      </c>
      <c r="D109" s="15" t="s">
        <v>56</v>
      </c>
      <c r="E109" s="15" t="s">
        <v>99</v>
      </c>
      <c r="F109" s="15" t="s">
        <v>299</v>
      </c>
      <c r="G109" s="262"/>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36" t="s">
        <v>75</v>
      </c>
      <c r="B110" s="36" t="s">
        <v>320</v>
      </c>
      <c r="C110" s="37">
        <v>0.10069444444444441</v>
      </c>
      <c r="D110" s="36" t="s">
        <v>60</v>
      </c>
      <c r="E110" s="36" t="s">
        <v>97</v>
      </c>
      <c r="F110" s="36" t="s">
        <v>338</v>
      </c>
      <c r="G110" s="262"/>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38" t="s">
        <v>75</v>
      </c>
      <c r="B111" s="38" t="s">
        <v>339</v>
      </c>
      <c r="C111" s="39">
        <v>4.8611111111111112E-2</v>
      </c>
      <c r="D111" s="38" t="s">
        <v>60</v>
      </c>
      <c r="E111" s="38" t="s">
        <v>121</v>
      </c>
      <c r="F111" s="38" t="s">
        <v>338</v>
      </c>
      <c r="G111" s="262"/>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38" t="s">
        <v>75</v>
      </c>
      <c r="B112" s="38" t="s">
        <v>340</v>
      </c>
      <c r="C112" s="39">
        <v>0.61111111111111105</v>
      </c>
      <c r="D112" s="38" t="s">
        <v>60</v>
      </c>
      <c r="E112" s="38" t="s">
        <v>70</v>
      </c>
      <c r="F112" s="38" t="s">
        <v>317</v>
      </c>
      <c r="G112" s="262"/>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38" t="s">
        <v>75</v>
      </c>
      <c r="B113" s="38" t="s">
        <v>316</v>
      </c>
      <c r="C113" s="39">
        <v>0.83680555555555547</v>
      </c>
      <c r="D113" s="38" t="s">
        <v>60</v>
      </c>
      <c r="E113" s="38" t="s">
        <v>70</v>
      </c>
      <c r="F113" s="38" t="s">
        <v>317</v>
      </c>
      <c r="G113" s="262"/>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38" t="s">
        <v>75</v>
      </c>
      <c r="B114" s="38" t="s">
        <v>319</v>
      </c>
      <c r="C114" s="39">
        <v>0.97222222222222221</v>
      </c>
      <c r="D114" s="38" t="s">
        <v>60</v>
      </c>
      <c r="E114" s="38" t="s">
        <v>91</v>
      </c>
      <c r="F114" s="38" t="s">
        <v>317</v>
      </c>
      <c r="G114" s="262"/>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38" t="s">
        <v>75</v>
      </c>
      <c r="B115" s="38" t="s">
        <v>321</v>
      </c>
      <c r="C115" s="39">
        <v>0.78472222222222221</v>
      </c>
      <c r="D115" s="38" t="s">
        <v>60</v>
      </c>
      <c r="E115" s="38" t="s">
        <v>70</v>
      </c>
      <c r="F115" s="38" t="s">
        <v>317</v>
      </c>
      <c r="G115" s="262"/>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36" t="s">
        <v>290</v>
      </c>
      <c r="B116" s="36" t="s">
        <v>341</v>
      </c>
      <c r="C116" s="37">
        <v>0.22569444444444439</v>
      </c>
      <c r="D116" s="36" t="s">
        <v>292</v>
      </c>
      <c r="E116" s="36" t="s">
        <v>61</v>
      </c>
      <c r="F116" s="36" t="s">
        <v>342</v>
      </c>
      <c r="G116" s="262"/>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290</v>
      </c>
      <c r="B117" s="15" t="s">
        <v>341</v>
      </c>
      <c r="C117" s="16">
        <v>0.22569444444444439</v>
      </c>
      <c r="D117" s="15" t="s">
        <v>30</v>
      </c>
      <c r="E117" s="15" t="s">
        <v>64</v>
      </c>
      <c r="F117" s="15" t="s">
        <v>343</v>
      </c>
      <c r="G117" s="262"/>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36" t="s">
        <v>295</v>
      </c>
      <c r="B118" s="36" t="s">
        <v>298</v>
      </c>
      <c r="C118" s="37">
        <v>0.19444444444444439</v>
      </c>
      <c r="D118" s="36" t="s">
        <v>37</v>
      </c>
      <c r="E118" s="36" t="s">
        <v>51</v>
      </c>
      <c r="F118" s="36" t="s">
        <v>297</v>
      </c>
      <c r="G118" s="262"/>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38" t="s">
        <v>295</v>
      </c>
      <c r="B119" s="38" t="s">
        <v>296</v>
      </c>
      <c r="C119" s="39">
        <v>0.49305555555555558</v>
      </c>
      <c r="D119" s="38" t="s">
        <v>37</v>
      </c>
      <c r="E119" s="38" t="s">
        <v>91</v>
      </c>
      <c r="F119" s="38" t="s">
        <v>344</v>
      </c>
      <c r="G119" s="262"/>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36" t="s">
        <v>300</v>
      </c>
      <c r="B120" s="36" t="s">
        <v>301</v>
      </c>
      <c r="C120" s="37">
        <v>0.46180555555555558</v>
      </c>
      <c r="D120" s="36" t="s">
        <v>37</v>
      </c>
      <c r="E120" s="36" t="s">
        <v>97</v>
      </c>
      <c r="F120" s="36" t="s">
        <v>302</v>
      </c>
      <c r="G120" s="262"/>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36" t="s">
        <v>58</v>
      </c>
      <c r="B121" s="36" t="s">
        <v>313</v>
      </c>
      <c r="C121" s="37">
        <v>0.72222222222222221</v>
      </c>
      <c r="D121" s="36" t="s">
        <v>63</v>
      </c>
      <c r="E121" s="36" t="s">
        <v>77</v>
      </c>
      <c r="F121" s="36" t="s">
        <v>345</v>
      </c>
      <c r="G121" s="262"/>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38" t="s">
        <v>58</v>
      </c>
      <c r="B122" s="38" t="s">
        <v>315</v>
      </c>
      <c r="C122" s="39">
        <v>0.70138888888888884</v>
      </c>
      <c r="D122" s="38" t="s">
        <v>63</v>
      </c>
      <c r="E122" s="38" t="s">
        <v>86</v>
      </c>
      <c r="F122" s="38" t="s">
        <v>345</v>
      </c>
      <c r="G122" s="262"/>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38" t="s">
        <v>58</v>
      </c>
      <c r="B123" s="38" t="s">
        <v>312</v>
      </c>
      <c r="C123" s="39">
        <v>0.94097222222222221</v>
      </c>
      <c r="D123" s="38" t="s">
        <v>63</v>
      </c>
      <c r="E123" s="38" t="s">
        <v>86</v>
      </c>
      <c r="F123" s="38" t="s">
        <v>345</v>
      </c>
      <c r="G123" s="262"/>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38" t="s">
        <v>58</v>
      </c>
      <c r="B124" s="38" t="s">
        <v>303</v>
      </c>
      <c r="C124" s="39">
        <v>0.98958333333333337</v>
      </c>
      <c r="D124" s="38" t="s">
        <v>60</v>
      </c>
      <c r="E124" s="38" t="s">
        <v>72</v>
      </c>
      <c r="F124" s="38" t="s">
        <v>304</v>
      </c>
      <c r="G124" s="262"/>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58</v>
      </c>
      <c r="B125" s="15" t="s">
        <v>303</v>
      </c>
      <c r="C125" s="16">
        <v>0.98958333333333337</v>
      </c>
      <c r="D125" s="15" t="s">
        <v>63</v>
      </c>
      <c r="E125" s="15" t="s">
        <v>74</v>
      </c>
      <c r="F125" s="15" t="s">
        <v>304</v>
      </c>
      <c r="G125" s="262"/>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38" t="s">
        <v>58</v>
      </c>
      <c r="B126" s="38" t="s">
        <v>305</v>
      </c>
      <c r="C126" s="39">
        <v>0.39930555555555558</v>
      </c>
      <c r="D126" s="38" t="s">
        <v>63</v>
      </c>
      <c r="E126" s="38" t="s">
        <v>72</v>
      </c>
      <c r="F126" s="38" t="s">
        <v>304</v>
      </c>
      <c r="G126" s="262"/>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38" t="s">
        <v>58</v>
      </c>
      <c r="B127" s="38" t="s">
        <v>306</v>
      </c>
      <c r="C127" s="39">
        <v>0.48958333333333331</v>
      </c>
      <c r="D127" s="38" t="s">
        <v>63</v>
      </c>
      <c r="E127" s="38" t="s">
        <v>72</v>
      </c>
      <c r="F127" s="38" t="s">
        <v>304</v>
      </c>
      <c r="G127" s="262"/>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38" t="s">
        <v>58</v>
      </c>
      <c r="B128" s="38" t="s">
        <v>308</v>
      </c>
      <c r="C128" s="39">
        <v>0.48958333333333331</v>
      </c>
      <c r="D128" s="38" t="s">
        <v>63</v>
      </c>
      <c r="E128" s="38" t="s">
        <v>86</v>
      </c>
      <c r="F128" s="38" t="s">
        <v>309</v>
      </c>
      <c r="G128" s="262"/>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38" t="s">
        <v>58</v>
      </c>
      <c r="B129" s="38" t="s">
        <v>346</v>
      </c>
      <c r="C129" s="39">
        <v>0.82986111111111116</v>
      </c>
      <c r="D129" s="38" t="s">
        <v>63</v>
      </c>
      <c r="E129" s="38" t="s">
        <v>86</v>
      </c>
      <c r="F129" s="38" t="s">
        <v>309</v>
      </c>
      <c r="G129" s="262"/>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38" t="s">
        <v>58</v>
      </c>
      <c r="B130" s="38" t="s">
        <v>347</v>
      </c>
      <c r="C130" s="39">
        <v>0.11805555555555559</v>
      </c>
      <c r="D130" s="38" t="s">
        <v>63</v>
      </c>
      <c r="E130" s="38" t="s">
        <v>86</v>
      </c>
      <c r="F130" s="38" t="s">
        <v>309</v>
      </c>
      <c r="G130" s="262"/>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38" t="s">
        <v>58</v>
      </c>
      <c r="B131" s="38" t="s">
        <v>310</v>
      </c>
      <c r="C131" s="39">
        <v>0.25347222222222221</v>
      </c>
      <c r="D131" s="38" t="s">
        <v>60</v>
      </c>
      <c r="E131" s="38" t="s">
        <v>86</v>
      </c>
      <c r="F131" s="38" t="s">
        <v>309</v>
      </c>
      <c r="G131" s="262"/>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58</v>
      </c>
      <c r="B132" s="15" t="s">
        <v>310</v>
      </c>
      <c r="C132" s="16">
        <v>0.25347222222222221</v>
      </c>
      <c r="D132" s="15" t="s">
        <v>63</v>
      </c>
      <c r="E132" s="15" t="s">
        <v>348</v>
      </c>
      <c r="F132" s="15" t="s">
        <v>309</v>
      </c>
      <c r="G132" s="262"/>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38" t="s">
        <v>58</v>
      </c>
      <c r="B133" s="38" t="s">
        <v>311</v>
      </c>
      <c r="C133" s="39">
        <v>4.1666666666666657E-2</v>
      </c>
      <c r="D133" s="38" t="s">
        <v>60</v>
      </c>
      <c r="E133" s="38" t="s">
        <v>86</v>
      </c>
      <c r="F133" s="38" t="s">
        <v>309</v>
      </c>
      <c r="G133" s="262"/>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5" t="s">
        <v>58</v>
      </c>
      <c r="B134" s="15" t="s">
        <v>311</v>
      </c>
      <c r="C134" s="16">
        <v>4.1666666666666657E-2</v>
      </c>
      <c r="D134" s="15" t="s">
        <v>63</v>
      </c>
      <c r="E134" s="15" t="s">
        <v>348</v>
      </c>
      <c r="F134" s="15" t="s">
        <v>309</v>
      </c>
      <c r="G134" s="262"/>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38" t="s">
        <v>58</v>
      </c>
      <c r="B135" s="38" t="s">
        <v>307</v>
      </c>
      <c r="C135" s="39">
        <v>0.88888888888888884</v>
      </c>
      <c r="D135" s="38" t="s">
        <v>60</v>
      </c>
      <c r="E135" s="38" t="s">
        <v>72</v>
      </c>
      <c r="F135" s="38" t="s">
        <v>349</v>
      </c>
      <c r="G135" s="262"/>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58</v>
      </c>
      <c r="B136" s="15" t="s">
        <v>307</v>
      </c>
      <c r="C136" s="16">
        <v>0.88888888888888884</v>
      </c>
      <c r="D136" s="15" t="s">
        <v>63</v>
      </c>
      <c r="E136" s="15" t="s">
        <v>74</v>
      </c>
      <c r="F136" s="15" t="s">
        <v>349</v>
      </c>
      <c r="G136" s="262"/>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35</v>
      </c>
      <c r="B137" s="17" t="s">
        <v>331</v>
      </c>
      <c r="C137" s="18">
        <v>0.2326388888888889</v>
      </c>
      <c r="D137" s="17" t="s">
        <v>44</v>
      </c>
      <c r="E137" s="213"/>
      <c r="F137" s="17" t="s">
        <v>45</v>
      </c>
      <c r="G137" s="262"/>
      <c r="H137" s="19" t="s">
        <v>331</v>
      </c>
      <c r="I137" s="20">
        <v>1</v>
      </c>
      <c r="J137" s="21">
        <v>180</v>
      </c>
      <c r="K137" s="22">
        <v>45980</v>
      </c>
      <c r="L137" s="21">
        <v>6</v>
      </c>
      <c r="M137" s="21">
        <v>0</v>
      </c>
      <c r="N137" s="21">
        <v>0</v>
      </c>
      <c r="O137" s="23" t="s">
        <v>46</v>
      </c>
      <c r="P137" s="24">
        <v>0.2326388888888889</v>
      </c>
      <c r="Q137" s="21">
        <v>180</v>
      </c>
      <c r="R137" s="25" t="s">
        <v>350</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214" t="s">
        <v>35</v>
      </c>
      <c r="B138" s="214" t="s">
        <v>333</v>
      </c>
      <c r="C138" s="215">
        <v>0.34027777777777768</v>
      </c>
      <c r="D138" s="214" t="s">
        <v>44</v>
      </c>
      <c r="E138" s="216"/>
      <c r="F138" s="214" t="s">
        <v>45</v>
      </c>
      <c r="G138" s="262"/>
      <c r="H138" s="186" t="s">
        <v>333</v>
      </c>
      <c r="I138" s="187">
        <v>0.99439999999999995</v>
      </c>
      <c r="J138" s="188">
        <v>179</v>
      </c>
      <c r="K138" s="189">
        <v>45983</v>
      </c>
      <c r="L138" s="188">
        <v>50</v>
      </c>
      <c r="M138" s="188">
        <v>0</v>
      </c>
      <c r="N138" s="188">
        <v>0</v>
      </c>
      <c r="O138" s="190" t="s">
        <v>46</v>
      </c>
      <c r="P138" s="191">
        <v>0.34027777777777768</v>
      </c>
      <c r="Q138" s="188">
        <v>180</v>
      </c>
      <c r="R138" s="192" t="s">
        <v>351</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93" t="s">
        <v>35</v>
      </c>
      <c r="B139" s="193" t="s">
        <v>329</v>
      </c>
      <c r="C139" s="194">
        <v>0.34375</v>
      </c>
      <c r="D139" s="193" t="s">
        <v>44</v>
      </c>
      <c r="E139" s="195"/>
      <c r="F139" s="193" t="s">
        <v>45</v>
      </c>
      <c r="G139" s="262"/>
      <c r="H139" s="19" t="s">
        <v>329</v>
      </c>
      <c r="I139" s="20">
        <v>0.99439999999999995</v>
      </c>
      <c r="J139" s="21">
        <v>179</v>
      </c>
      <c r="K139" s="22">
        <v>45980</v>
      </c>
      <c r="L139" s="21">
        <v>8</v>
      </c>
      <c r="M139" s="21">
        <v>0</v>
      </c>
      <c r="N139" s="21">
        <v>0</v>
      </c>
      <c r="O139" s="23" t="s">
        <v>46</v>
      </c>
      <c r="P139" s="24">
        <v>0.34375</v>
      </c>
      <c r="Q139" s="21">
        <v>180</v>
      </c>
      <c r="R139" s="25" t="s">
        <v>352</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6" t="s">
        <v>35</v>
      </c>
      <c r="B140" s="196" t="s">
        <v>327</v>
      </c>
      <c r="C140" s="197">
        <v>0.4375</v>
      </c>
      <c r="D140" s="196" t="s">
        <v>44</v>
      </c>
      <c r="E140" s="198"/>
      <c r="F140" s="196" t="s">
        <v>45</v>
      </c>
      <c r="G140" s="262"/>
      <c r="H140" s="151" t="s">
        <v>327</v>
      </c>
      <c r="I140" s="152">
        <v>0.99439999999999995</v>
      </c>
      <c r="J140" s="153">
        <v>179</v>
      </c>
      <c r="K140" s="154">
        <v>45983</v>
      </c>
      <c r="L140" s="153">
        <v>49</v>
      </c>
      <c r="M140" s="153">
        <v>0</v>
      </c>
      <c r="N140" s="153">
        <v>0</v>
      </c>
      <c r="O140" s="155" t="s">
        <v>46</v>
      </c>
      <c r="P140" s="156">
        <v>0.4375</v>
      </c>
      <c r="Q140" s="153">
        <v>180</v>
      </c>
      <c r="R140" s="157" t="s">
        <v>353</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217" t="s">
        <v>35</v>
      </c>
      <c r="B141" s="217" t="s">
        <v>323</v>
      </c>
      <c r="C141" s="218">
        <v>0.9375</v>
      </c>
      <c r="D141" s="217" t="s">
        <v>44</v>
      </c>
      <c r="E141" s="219"/>
      <c r="F141" s="217" t="s">
        <v>45</v>
      </c>
      <c r="G141" s="263"/>
      <c r="H141" s="220" t="s">
        <v>323</v>
      </c>
      <c r="I141" s="221">
        <v>0.99439999999999995</v>
      </c>
      <c r="J141" s="222">
        <v>179</v>
      </c>
      <c r="K141" s="223">
        <v>45984</v>
      </c>
      <c r="L141" s="222">
        <v>81</v>
      </c>
      <c r="M141" s="222">
        <v>0</v>
      </c>
      <c r="N141" s="222">
        <v>7</v>
      </c>
      <c r="O141" s="224" t="s">
        <v>46</v>
      </c>
      <c r="P141" s="225">
        <v>0.9375</v>
      </c>
      <c r="Q141" s="222">
        <v>180</v>
      </c>
      <c r="R141" s="226" t="s">
        <v>354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4.4" customHeight="1" x14ac:dyDescent="0.3">
      <c r="A142" s="285"/>
      <c r="B142" s="286"/>
      <c r="C142" s="286"/>
      <c r="D142" s="286"/>
      <c r="E142" s="286"/>
      <c r="F142" s="286"/>
      <c r="G142" s="276"/>
      <c r="H142" s="287"/>
      <c r="I142" s="287"/>
      <c r="J142" s="287"/>
      <c r="K142" s="287"/>
      <c r="L142" s="287"/>
      <c r="M142" s="287"/>
      <c r="N142" s="287"/>
      <c r="O142" s="288"/>
      <c r="P142" s="287"/>
      <c r="Q142" s="276"/>
      <c r="R142" s="27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2.05" customHeight="1" x14ac:dyDescent="0.3">
      <c r="A143" s="266" t="s">
        <v>5</v>
      </c>
      <c r="B143" s="267"/>
      <c r="C143" s="267"/>
      <c r="D143" s="267"/>
      <c r="E143" s="267"/>
      <c r="F143" s="267"/>
      <c r="G143" s="5">
        <v>45988</v>
      </c>
      <c r="H143" s="270" t="s">
        <v>6</v>
      </c>
      <c r="I143" s="269"/>
      <c r="J143" s="269"/>
      <c r="K143" s="269"/>
      <c r="L143" s="269"/>
      <c r="M143" s="269"/>
      <c r="N143" s="269"/>
      <c r="O143" s="269"/>
      <c r="P143" s="269"/>
      <c r="Q143" s="269"/>
      <c r="R143" s="269"/>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4" customHeight="1" x14ac:dyDescent="0.3">
      <c r="A144" s="47" t="s">
        <v>7</v>
      </c>
      <c r="B144" s="47" t="s">
        <v>8</v>
      </c>
      <c r="C144" s="48" t="s">
        <v>9</v>
      </c>
      <c r="D144" s="47" t="s">
        <v>10</v>
      </c>
      <c r="E144" s="47" t="s">
        <v>11</v>
      </c>
      <c r="F144" s="47" t="s">
        <v>12</v>
      </c>
      <c r="G144" s="49" t="s">
        <v>13</v>
      </c>
      <c r="H144" s="47" t="s">
        <v>14</v>
      </c>
      <c r="I144" s="50" t="s">
        <v>15</v>
      </c>
      <c r="J144" s="51" t="s">
        <v>16</v>
      </c>
      <c r="K144" s="52" t="s">
        <v>17</v>
      </c>
      <c r="L144" s="51" t="s">
        <v>18</v>
      </c>
      <c r="M144" s="51" t="s">
        <v>19</v>
      </c>
      <c r="N144" s="51" t="s">
        <v>20</v>
      </c>
      <c r="O144" s="47" t="s">
        <v>21</v>
      </c>
      <c r="P144" s="48" t="s">
        <v>22</v>
      </c>
      <c r="Q144" s="51" t="s">
        <v>23</v>
      </c>
      <c r="R144" s="47" t="s">
        <v>24</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4" t="s">
        <v>35</v>
      </c>
      <c r="B145" s="174" t="s">
        <v>355</v>
      </c>
      <c r="C145" s="175">
        <v>6.5972222222222224E-2</v>
      </c>
      <c r="D145" s="174" t="s">
        <v>37</v>
      </c>
      <c r="E145" s="174" t="s">
        <v>61</v>
      </c>
      <c r="F145" s="174" t="s">
        <v>29</v>
      </c>
      <c r="G145" s="261"/>
      <c r="H145" s="176" t="s">
        <v>356</v>
      </c>
      <c r="I145" s="202">
        <v>0.9778</v>
      </c>
      <c r="J145" s="178">
        <v>176</v>
      </c>
      <c r="K145" s="179">
        <v>45985</v>
      </c>
      <c r="L145" s="178">
        <v>60</v>
      </c>
      <c r="M145" s="178">
        <v>1</v>
      </c>
      <c r="N145" s="178">
        <v>3</v>
      </c>
      <c r="O145" s="180" t="s">
        <v>169</v>
      </c>
      <c r="P145" s="181">
        <v>6.5972222222222224E-2</v>
      </c>
      <c r="Q145" s="178">
        <v>180</v>
      </c>
      <c r="R145" s="182" t="s">
        <v>357</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96" t="s">
        <v>35</v>
      </c>
      <c r="B146" s="196" t="s">
        <v>358</v>
      </c>
      <c r="C146" s="197">
        <v>0.9375</v>
      </c>
      <c r="D146" s="196" t="s">
        <v>37</v>
      </c>
      <c r="E146" s="196" t="s">
        <v>70</v>
      </c>
      <c r="F146" s="196" t="s">
        <v>359</v>
      </c>
      <c r="G146" s="262"/>
      <c r="H146" s="151" t="s">
        <v>331</v>
      </c>
      <c r="I146" s="152">
        <v>0.9778</v>
      </c>
      <c r="J146" s="153">
        <v>176</v>
      </c>
      <c r="K146" s="154">
        <v>45984</v>
      </c>
      <c r="L146" s="153">
        <v>40</v>
      </c>
      <c r="M146" s="153">
        <v>0</v>
      </c>
      <c r="N146" s="153">
        <v>15</v>
      </c>
      <c r="O146" s="155" t="s">
        <v>360</v>
      </c>
      <c r="P146" s="156">
        <v>0.9375</v>
      </c>
      <c r="Q146" s="153">
        <v>180</v>
      </c>
      <c r="R146" s="157" t="s">
        <v>361</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9" t="s">
        <v>35</v>
      </c>
      <c r="B147" s="199" t="s">
        <v>362</v>
      </c>
      <c r="C147" s="200">
        <v>0.1875</v>
      </c>
      <c r="D147" s="199" t="s">
        <v>37</v>
      </c>
      <c r="E147" s="199" t="s">
        <v>80</v>
      </c>
      <c r="F147" s="199" t="s">
        <v>359</v>
      </c>
      <c r="G147" s="262"/>
      <c r="H147" s="176" t="s">
        <v>363</v>
      </c>
      <c r="I147" s="202">
        <v>0.9889</v>
      </c>
      <c r="J147" s="178">
        <v>178</v>
      </c>
      <c r="K147" s="179">
        <v>45985</v>
      </c>
      <c r="L147" s="178">
        <v>56</v>
      </c>
      <c r="M147" s="178">
        <v>1</v>
      </c>
      <c r="N147" s="178">
        <v>2</v>
      </c>
      <c r="O147" s="180" t="s">
        <v>168</v>
      </c>
      <c r="P147" s="181">
        <v>0.1875</v>
      </c>
      <c r="Q147" s="178">
        <v>180</v>
      </c>
      <c r="R147" s="182" t="s">
        <v>364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6" t="s">
        <v>35</v>
      </c>
      <c r="B148" s="196" t="s">
        <v>365</v>
      </c>
      <c r="C148" s="197">
        <v>0.5625</v>
      </c>
      <c r="D148" s="196" t="s">
        <v>37</v>
      </c>
      <c r="E148" s="196" t="s">
        <v>80</v>
      </c>
      <c r="F148" s="196" t="s">
        <v>366</v>
      </c>
      <c r="G148" s="262"/>
      <c r="H148" s="151" t="s">
        <v>325</v>
      </c>
      <c r="I148" s="152">
        <v>0.9889</v>
      </c>
      <c r="J148" s="153">
        <v>178</v>
      </c>
      <c r="K148" s="154">
        <v>45984</v>
      </c>
      <c r="L148" s="153">
        <v>4</v>
      </c>
      <c r="M148" s="153">
        <v>0</v>
      </c>
      <c r="N148" s="153">
        <v>4</v>
      </c>
      <c r="O148" s="155" t="s">
        <v>367</v>
      </c>
      <c r="P148" s="156">
        <v>0.5625</v>
      </c>
      <c r="Q148" s="153">
        <v>180</v>
      </c>
      <c r="R148" s="157" t="s">
        <v>368</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214" t="s">
        <v>35</v>
      </c>
      <c r="B149" s="214" t="s">
        <v>333</v>
      </c>
      <c r="C149" s="215">
        <v>0.15625</v>
      </c>
      <c r="D149" s="214" t="s">
        <v>44</v>
      </c>
      <c r="E149" s="216"/>
      <c r="F149" s="214" t="s">
        <v>45</v>
      </c>
      <c r="G149" s="262"/>
      <c r="H149" s="186" t="s">
        <v>333</v>
      </c>
      <c r="I149" s="187">
        <v>0.99439999999999995</v>
      </c>
      <c r="J149" s="188">
        <v>179</v>
      </c>
      <c r="K149" s="189">
        <v>45984</v>
      </c>
      <c r="L149" s="188">
        <v>23</v>
      </c>
      <c r="M149" s="188">
        <v>0</v>
      </c>
      <c r="N149" s="188">
        <v>1</v>
      </c>
      <c r="O149" s="190" t="s">
        <v>46</v>
      </c>
      <c r="P149" s="191">
        <v>0.15625</v>
      </c>
      <c r="Q149" s="188">
        <v>180</v>
      </c>
      <c r="R149" s="192" t="s">
        <v>369</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93" t="s">
        <v>35</v>
      </c>
      <c r="B150" s="193" t="s">
        <v>327</v>
      </c>
      <c r="C150" s="194">
        <v>0.40625</v>
      </c>
      <c r="D150" s="193" t="s">
        <v>44</v>
      </c>
      <c r="E150" s="195"/>
      <c r="F150" s="193" t="s">
        <v>45</v>
      </c>
      <c r="G150" s="262"/>
      <c r="H150" s="19" t="s">
        <v>327</v>
      </c>
      <c r="I150" s="20">
        <v>1</v>
      </c>
      <c r="J150" s="21">
        <v>180</v>
      </c>
      <c r="K150" s="22">
        <v>45960</v>
      </c>
      <c r="L150" s="21">
        <v>0</v>
      </c>
      <c r="M150" s="21">
        <v>0</v>
      </c>
      <c r="N150" s="21">
        <v>0</v>
      </c>
      <c r="O150" s="23" t="s">
        <v>46</v>
      </c>
      <c r="P150" s="24">
        <v>0.40625</v>
      </c>
      <c r="Q150" s="21">
        <v>180</v>
      </c>
      <c r="R150" s="25" t="s">
        <v>370</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36" t="s">
        <v>25</v>
      </c>
      <c r="B151" s="36" t="s">
        <v>268</v>
      </c>
      <c r="C151" s="37">
        <v>0.39930555555555558</v>
      </c>
      <c r="D151" s="36" t="s">
        <v>27</v>
      </c>
      <c r="E151" s="36" t="s">
        <v>61</v>
      </c>
      <c r="F151" s="36" t="s">
        <v>273</v>
      </c>
      <c r="G151" s="262"/>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5" t="s">
        <v>25</v>
      </c>
      <c r="B152" s="15" t="s">
        <v>268</v>
      </c>
      <c r="C152" s="16">
        <v>0.39930555555555558</v>
      </c>
      <c r="D152" s="15" t="s">
        <v>33</v>
      </c>
      <c r="E152" s="15" t="s">
        <v>64</v>
      </c>
      <c r="F152" s="15" t="s">
        <v>275</v>
      </c>
      <c r="G152" s="262"/>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5" t="s">
        <v>25</v>
      </c>
      <c r="B153" s="15" t="s">
        <v>268</v>
      </c>
      <c r="C153" s="16">
        <v>0.39930555555555558</v>
      </c>
      <c r="D153" s="15" t="s">
        <v>30</v>
      </c>
      <c r="E153" s="15" t="s">
        <v>64</v>
      </c>
      <c r="F153" s="15" t="s">
        <v>94</v>
      </c>
      <c r="G153" s="262"/>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38" t="s">
        <v>25</v>
      </c>
      <c r="B154" s="38" t="s">
        <v>271</v>
      </c>
      <c r="C154" s="39">
        <v>0.48958333333333331</v>
      </c>
      <c r="D154" s="38" t="s">
        <v>27</v>
      </c>
      <c r="E154" s="38" t="s">
        <v>118</v>
      </c>
      <c r="F154" s="38" t="s">
        <v>32</v>
      </c>
      <c r="G154" s="262"/>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25</v>
      </c>
      <c r="B155" s="15" t="s">
        <v>271</v>
      </c>
      <c r="C155" s="16">
        <v>0.48958333333333331</v>
      </c>
      <c r="D155" s="15" t="s">
        <v>33</v>
      </c>
      <c r="E155" s="15" t="s">
        <v>119</v>
      </c>
      <c r="F155" s="15" t="s">
        <v>280</v>
      </c>
      <c r="G155" s="262"/>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25</v>
      </c>
      <c r="B156" s="15" t="s">
        <v>271</v>
      </c>
      <c r="C156" s="16">
        <v>0.48958333333333331</v>
      </c>
      <c r="D156" s="15" t="s">
        <v>30</v>
      </c>
      <c r="E156" s="15" t="s">
        <v>119</v>
      </c>
      <c r="F156" s="15" t="s">
        <v>94</v>
      </c>
      <c r="G156" s="262"/>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38" t="s">
        <v>25</v>
      </c>
      <c r="B157" s="38" t="s">
        <v>277</v>
      </c>
      <c r="C157" s="39">
        <v>0.98958333333333337</v>
      </c>
      <c r="D157" s="38" t="s">
        <v>27</v>
      </c>
      <c r="E157" s="38" t="s">
        <v>371</v>
      </c>
      <c r="F157" s="38" t="s">
        <v>32</v>
      </c>
      <c r="G157" s="262"/>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5" t="s">
        <v>25</v>
      </c>
      <c r="B158" s="15" t="s">
        <v>277</v>
      </c>
      <c r="C158" s="16">
        <v>0.98958333333333337</v>
      </c>
      <c r="D158" s="15" t="s">
        <v>33</v>
      </c>
      <c r="E158" s="15" t="s">
        <v>372</v>
      </c>
      <c r="F158" s="15" t="s">
        <v>280</v>
      </c>
      <c r="G158" s="262"/>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25</v>
      </c>
      <c r="B159" s="15" t="s">
        <v>277</v>
      </c>
      <c r="C159" s="16">
        <v>0.98958333333333337</v>
      </c>
      <c r="D159" s="15" t="s">
        <v>30</v>
      </c>
      <c r="E159" s="15" t="s">
        <v>372</v>
      </c>
      <c r="F159" s="15" t="s">
        <v>94</v>
      </c>
      <c r="G159" s="262"/>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38" t="s">
        <v>25</v>
      </c>
      <c r="B160" s="38" t="s">
        <v>276</v>
      </c>
      <c r="C160" s="39">
        <v>0.88888888888888884</v>
      </c>
      <c r="D160" s="38" t="s">
        <v>27</v>
      </c>
      <c r="E160" s="38" t="s">
        <v>91</v>
      </c>
      <c r="F160" s="38" t="s">
        <v>270</v>
      </c>
      <c r="G160" s="262"/>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276</v>
      </c>
      <c r="C161" s="16">
        <v>0.88888888888888884</v>
      </c>
      <c r="D161" s="15" t="s">
        <v>33</v>
      </c>
      <c r="E161" s="15" t="s">
        <v>99</v>
      </c>
      <c r="F161" s="15" t="s">
        <v>112</v>
      </c>
      <c r="G161" s="262"/>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25</v>
      </c>
      <c r="B162" s="15" t="s">
        <v>276</v>
      </c>
      <c r="C162" s="16">
        <v>0.88888888888888884</v>
      </c>
      <c r="D162" s="15" t="s">
        <v>30</v>
      </c>
      <c r="E162" s="15" t="s">
        <v>99</v>
      </c>
      <c r="F162" s="15" t="s">
        <v>336</v>
      </c>
      <c r="G162" s="262"/>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36" t="s">
        <v>48</v>
      </c>
      <c r="B163" s="36" t="s">
        <v>279</v>
      </c>
      <c r="C163" s="37">
        <v>0.34722222222222232</v>
      </c>
      <c r="D163" s="36" t="s">
        <v>50</v>
      </c>
      <c r="E163" s="36" t="s">
        <v>246</v>
      </c>
      <c r="F163" s="36" t="s">
        <v>270</v>
      </c>
      <c r="G163" s="262"/>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48</v>
      </c>
      <c r="B164" s="15" t="s">
        <v>279</v>
      </c>
      <c r="C164" s="16">
        <v>0.34722222222222232</v>
      </c>
      <c r="D164" s="15" t="s">
        <v>53</v>
      </c>
      <c r="E164" s="15" t="s">
        <v>284</v>
      </c>
      <c r="F164" s="15" t="s">
        <v>280</v>
      </c>
      <c r="G164" s="262"/>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48</v>
      </c>
      <c r="B165" s="15" t="s">
        <v>279</v>
      </c>
      <c r="C165" s="16">
        <v>0.34722222222222232</v>
      </c>
      <c r="D165" s="15" t="s">
        <v>56</v>
      </c>
      <c r="E165" s="15" t="s">
        <v>284</v>
      </c>
      <c r="F165" s="15" t="s">
        <v>281</v>
      </c>
      <c r="G165" s="262"/>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38" t="s">
        <v>48</v>
      </c>
      <c r="B166" s="38" t="s">
        <v>278</v>
      </c>
      <c r="C166" s="39">
        <v>0.99305555555555547</v>
      </c>
      <c r="D166" s="38" t="s">
        <v>50</v>
      </c>
      <c r="E166" s="38" t="s">
        <v>80</v>
      </c>
      <c r="F166" s="38" t="s">
        <v>270</v>
      </c>
      <c r="G166" s="262"/>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48</v>
      </c>
      <c r="B167" s="15" t="s">
        <v>278</v>
      </c>
      <c r="C167" s="16">
        <v>0.99305555555555547</v>
      </c>
      <c r="D167" s="15" t="s">
        <v>53</v>
      </c>
      <c r="E167" s="15" t="s">
        <v>64</v>
      </c>
      <c r="F167" s="15" t="s">
        <v>280</v>
      </c>
      <c r="G167" s="262"/>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48</v>
      </c>
      <c r="B168" s="15" t="s">
        <v>278</v>
      </c>
      <c r="C168" s="16">
        <v>0.99305555555555547</v>
      </c>
      <c r="D168" s="15" t="s">
        <v>56</v>
      </c>
      <c r="E168" s="15" t="s">
        <v>64</v>
      </c>
      <c r="F168" s="15" t="s">
        <v>281</v>
      </c>
      <c r="G168" s="262"/>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38" t="s">
        <v>48</v>
      </c>
      <c r="B169" s="38" t="s">
        <v>288</v>
      </c>
      <c r="C169" s="39">
        <v>0.3923611111111111</v>
      </c>
      <c r="D169" s="38" t="s">
        <v>50</v>
      </c>
      <c r="E169" s="38" t="s">
        <v>118</v>
      </c>
      <c r="F169" s="38" t="s">
        <v>270</v>
      </c>
      <c r="G169" s="262"/>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48</v>
      </c>
      <c r="B170" s="15" t="s">
        <v>288</v>
      </c>
      <c r="C170" s="16">
        <v>0.3923611111111111</v>
      </c>
      <c r="D170" s="15" t="s">
        <v>53</v>
      </c>
      <c r="E170" s="15" t="s">
        <v>119</v>
      </c>
      <c r="F170" s="15" t="s">
        <v>280</v>
      </c>
      <c r="G170" s="262"/>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48</v>
      </c>
      <c r="B171" s="15" t="s">
        <v>288</v>
      </c>
      <c r="C171" s="16">
        <v>0.3923611111111111</v>
      </c>
      <c r="D171" s="15" t="s">
        <v>56</v>
      </c>
      <c r="E171" s="15" t="s">
        <v>119</v>
      </c>
      <c r="F171" s="15" t="s">
        <v>281</v>
      </c>
      <c r="G171" s="262"/>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38" t="s">
        <v>48</v>
      </c>
      <c r="B172" s="38" t="s">
        <v>282</v>
      </c>
      <c r="C172" s="39">
        <v>0.75</v>
      </c>
      <c r="D172" s="38" t="s">
        <v>50</v>
      </c>
      <c r="E172" s="38" t="s">
        <v>83</v>
      </c>
      <c r="F172" s="38" t="s">
        <v>337</v>
      </c>
      <c r="G172" s="262"/>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48</v>
      </c>
      <c r="B173" s="15" t="s">
        <v>282</v>
      </c>
      <c r="C173" s="16">
        <v>0.75</v>
      </c>
      <c r="D173" s="15" t="s">
        <v>53</v>
      </c>
      <c r="E173" s="15" t="s">
        <v>373</v>
      </c>
      <c r="F173" s="15" t="s">
        <v>94</v>
      </c>
      <c r="G173" s="262"/>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48</v>
      </c>
      <c r="B174" s="15" t="s">
        <v>282</v>
      </c>
      <c r="C174" s="16">
        <v>0.75</v>
      </c>
      <c r="D174" s="15" t="s">
        <v>56</v>
      </c>
      <c r="E174" s="15" t="s">
        <v>373</v>
      </c>
      <c r="F174" s="15" t="s">
        <v>299</v>
      </c>
      <c r="G174" s="262"/>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38" t="s">
        <v>48</v>
      </c>
      <c r="B175" s="38" t="s">
        <v>283</v>
      </c>
      <c r="C175" s="39">
        <v>0.83680555555555547</v>
      </c>
      <c r="D175" s="38" t="s">
        <v>50</v>
      </c>
      <c r="E175" s="38" t="s">
        <v>118</v>
      </c>
      <c r="F175" s="38" t="s">
        <v>337</v>
      </c>
      <c r="G175" s="262"/>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48</v>
      </c>
      <c r="B176" s="15" t="s">
        <v>283</v>
      </c>
      <c r="C176" s="16">
        <v>0.83680555555555547</v>
      </c>
      <c r="D176" s="15" t="s">
        <v>53</v>
      </c>
      <c r="E176" s="15" t="s">
        <v>119</v>
      </c>
      <c r="F176" s="15" t="s">
        <v>94</v>
      </c>
      <c r="G176" s="262"/>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48</v>
      </c>
      <c r="B177" s="15" t="s">
        <v>283</v>
      </c>
      <c r="C177" s="16">
        <v>0.83680555555555547</v>
      </c>
      <c r="D177" s="15" t="s">
        <v>56</v>
      </c>
      <c r="E177" s="15" t="s">
        <v>119</v>
      </c>
      <c r="F177" s="15" t="s">
        <v>299</v>
      </c>
      <c r="G177" s="262"/>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38" t="s">
        <v>48</v>
      </c>
      <c r="B178" s="38" t="s">
        <v>285</v>
      </c>
      <c r="C178" s="39">
        <v>0.94444444444444453</v>
      </c>
      <c r="D178" s="38" t="s">
        <v>50</v>
      </c>
      <c r="E178" s="38" t="s">
        <v>118</v>
      </c>
      <c r="F178" s="38" t="s">
        <v>337</v>
      </c>
      <c r="G178" s="262"/>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48</v>
      </c>
      <c r="B179" s="15" t="s">
        <v>285</v>
      </c>
      <c r="C179" s="16">
        <v>0.94444444444444453</v>
      </c>
      <c r="D179" s="15" t="s">
        <v>53</v>
      </c>
      <c r="E179" s="15" t="s">
        <v>119</v>
      </c>
      <c r="F179" s="15" t="s">
        <v>94</v>
      </c>
      <c r="G179" s="262"/>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48</v>
      </c>
      <c r="B180" s="15" t="s">
        <v>285</v>
      </c>
      <c r="C180" s="16">
        <v>0.94444444444444453</v>
      </c>
      <c r="D180" s="15" t="s">
        <v>56</v>
      </c>
      <c r="E180" s="15" t="s">
        <v>119</v>
      </c>
      <c r="F180" s="15" t="s">
        <v>299</v>
      </c>
      <c r="G180" s="262"/>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38" t="s">
        <v>48</v>
      </c>
      <c r="B181" s="38" t="s">
        <v>286</v>
      </c>
      <c r="C181" s="39">
        <v>0.4861111111111111</v>
      </c>
      <c r="D181" s="38" t="s">
        <v>50</v>
      </c>
      <c r="E181" s="38" t="s">
        <v>118</v>
      </c>
      <c r="F181" s="38" t="s">
        <v>337</v>
      </c>
      <c r="G181" s="262"/>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48</v>
      </c>
      <c r="B182" s="15" t="s">
        <v>286</v>
      </c>
      <c r="C182" s="16">
        <v>0.4861111111111111</v>
      </c>
      <c r="D182" s="15" t="s">
        <v>53</v>
      </c>
      <c r="E182" s="15" t="s">
        <v>119</v>
      </c>
      <c r="F182" s="15" t="s">
        <v>94</v>
      </c>
      <c r="G182" s="262"/>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5" t="s">
        <v>48</v>
      </c>
      <c r="B183" s="15" t="s">
        <v>286</v>
      </c>
      <c r="C183" s="16">
        <v>0.4861111111111111</v>
      </c>
      <c r="D183" s="15" t="s">
        <v>56</v>
      </c>
      <c r="E183" s="15" t="s">
        <v>119</v>
      </c>
      <c r="F183" s="15" t="s">
        <v>299</v>
      </c>
      <c r="G183" s="262"/>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38" t="s">
        <v>48</v>
      </c>
      <c r="B184" s="38" t="s">
        <v>289</v>
      </c>
      <c r="C184" s="39">
        <v>0.88888888888888884</v>
      </c>
      <c r="D184" s="38" t="s">
        <v>50</v>
      </c>
      <c r="E184" s="38" t="s">
        <v>118</v>
      </c>
      <c r="F184" s="38" t="s">
        <v>337</v>
      </c>
      <c r="G184" s="262"/>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48</v>
      </c>
      <c r="B185" s="15" t="s">
        <v>289</v>
      </c>
      <c r="C185" s="16">
        <v>0.88888888888888884</v>
      </c>
      <c r="D185" s="15" t="s">
        <v>53</v>
      </c>
      <c r="E185" s="15" t="s">
        <v>119</v>
      </c>
      <c r="F185" s="15" t="s">
        <v>94</v>
      </c>
      <c r="G185" s="262"/>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5" t="s">
        <v>48</v>
      </c>
      <c r="B186" s="15" t="s">
        <v>289</v>
      </c>
      <c r="C186" s="16">
        <v>0.88888888888888884</v>
      </c>
      <c r="D186" s="15" t="s">
        <v>56</v>
      </c>
      <c r="E186" s="15" t="s">
        <v>119</v>
      </c>
      <c r="F186" s="15" t="s">
        <v>299</v>
      </c>
      <c r="G186" s="262"/>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36" t="s">
        <v>300</v>
      </c>
      <c r="B187" s="36" t="s">
        <v>374</v>
      </c>
      <c r="C187" s="37">
        <v>0.11805555555555559</v>
      </c>
      <c r="D187" s="36" t="s">
        <v>37</v>
      </c>
      <c r="E187" s="36" t="s">
        <v>51</v>
      </c>
      <c r="F187" s="36" t="s">
        <v>302</v>
      </c>
      <c r="G187" s="262"/>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38" t="s">
        <v>300</v>
      </c>
      <c r="B188" s="38" t="s">
        <v>301</v>
      </c>
      <c r="C188" s="39">
        <v>0.4201388888888889</v>
      </c>
      <c r="D188" s="38" t="s">
        <v>37</v>
      </c>
      <c r="E188" s="38" t="s">
        <v>91</v>
      </c>
      <c r="F188" s="38" t="s">
        <v>302</v>
      </c>
      <c r="G188" s="262"/>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36" t="s">
        <v>295</v>
      </c>
      <c r="B189" s="36" t="s">
        <v>296</v>
      </c>
      <c r="C189" s="37">
        <v>0.49305555555555558</v>
      </c>
      <c r="D189" s="36" t="s">
        <v>37</v>
      </c>
      <c r="E189" s="36" t="s">
        <v>375</v>
      </c>
      <c r="F189" s="36" t="s">
        <v>52</v>
      </c>
      <c r="G189" s="262"/>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36" t="s">
        <v>58</v>
      </c>
      <c r="B190" s="36" t="s">
        <v>346</v>
      </c>
      <c r="C190" s="37">
        <v>0.82986111111111116</v>
      </c>
      <c r="D190" s="36" t="s">
        <v>63</v>
      </c>
      <c r="E190" s="36" t="s">
        <v>77</v>
      </c>
      <c r="F190" s="36" t="s">
        <v>345</v>
      </c>
      <c r="G190" s="262"/>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38" t="s">
        <v>58</v>
      </c>
      <c r="B191" s="38" t="s">
        <v>347</v>
      </c>
      <c r="C191" s="39">
        <v>0.11805555555555559</v>
      </c>
      <c r="D191" s="38" t="s">
        <v>63</v>
      </c>
      <c r="E191" s="38" t="s">
        <v>86</v>
      </c>
      <c r="F191" s="38" t="s">
        <v>345</v>
      </c>
      <c r="G191" s="262"/>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38" t="s">
        <v>58</v>
      </c>
      <c r="B192" s="38" t="s">
        <v>315</v>
      </c>
      <c r="C192" s="39">
        <v>0.70486111111111116</v>
      </c>
      <c r="D192" s="38" t="s">
        <v>63</v>
      </c>
      <c r="E192" s="38" t="s">
        <v>86</v>
      </c>
      <c r="F192" s="38" t="s">
        <v>345</v>
      </c>
      <c r="G192" s="262"/>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38" t="s">
        <v>58</v>
      </c>
      <c r="B193" s="38" t="s">
        <v>303</v>
      </c>
      <c r="C193" s="39">
        <v>0.98958333333333337</v>
      </c>
      <c r="D193" s="38" t="s">
        <v>63</v>
      </c>
      <c r="E193" s="38" t="s">
        <v>72</v>
      </c>
      <c r="F193" s="38" t="s">
        <v>304</v>
      </c>
      <c r="G193" s="262"/>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38" t="s">
        <v>58</v>
      </c>
      <c r="B194" s="38" t="s">
        <v>305</v>
      </c>
      <c r="C194" s="39">
        <v>0.39930555555555558</v>
      </c>
      <c r="D194" s="38" t="s">
        <v>63</v>
      </c>
      <c r="E194" s="38" t="s">
        <v>72</v>
      </c>
      <c r="F194" s="38" t="s">
        <v>304</v>
      </c>
      <c r="G194" s="262"/>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38" t="s">
        <v>58</v>
      </c>
      <c r="B195" s="38" t="s">
        <v>306</v>
      </c>
      <c r="C195" s="39">
        <v>0.48958333333333331</v>
      </c>
      <c r="D195" s="38" t="s">
        <v>63</v>
      </c>
      <c r="E195" s="38" t="s">
        <v>72</v>
      </c>
      <c r="F195" s="38" t="s">
        <v>304</v>
      </c>
      <c r="G195" s="262"/>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38" t="s">
        <v>58</v>
      </c>
      <c r="B196" s="38" t="s">
        <v>308</v>
      </c>
      <c r="C196" s="39">
        <v>0.48958333333333331</v>
      </c>
      <c r="D196" s="38" t="s">
        <v>63</v>
      </c>
      <c r="E196" s="38" t="s">
        <v>86</v>
      </c>
      <c r="F196" s="38" t="s">
        <v>309</v>
      </c>
      <c r="G196" s="262"/>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38" t="s">
        <v>58</v>
      </c>
      <c r="B197" s="38" t="s">
        <v>313</v>
      </c>
      <c r="C197" s="39">
        <v>0.72222222222222221</v>
      </c>
      <c r="D197" s="38" t="s">
        <v>63</v>
      </c>
      <c r="E197" s="38" t="s">
        <v>86</v>
      </c>
      <c r="F197" s="38" t="s">
        <v>309</v>
      </c>
      <c r="G197" s="262"/>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38" t="s">
        <v>58</v>
      </c>
      <c r="B198" s="38" t="s">
        <v>310</v>
      </c>
      <c r="C198" s="39">
        <v>0.25347222222222221</v>
      </c>
      <c r="D198" s="38" t="s">
        <v>63</v>
      </c>
      <c r="E198" s="38" t="s">
        <v>86</v>
      </c>
      <c r="F198" s="38" t="s">
        <v>309</v>
      </c>
      <c r="G198" s="262"/>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38" t="s">
        <v>58</v>
      </c>
      <c r="B199" s="38" t="s">
        <v>311</v>
      </c>
      <c r="C199" s="39">
        <v>4.1666666666666657E-2</v>
      </c>
      <c r="D199" s="38" t="s">
        <v>63</v>
      </c>
      <c r="E199" s="38" t="s">
        <v>86</v>
      </c>
      <c r="F199" s="38" t="s">
        <v>309</v>
      </c>
      <c r="G199" s="262"/>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38" t="s">
        <v>58</v>
      </c>
      <c r="B200" s="38" t="s">
        <v>312</v>
      </c>
      <c r="C200" s="39">
        <v>0.94097222222222221</v>
      </c>
      <c r="D200" s="38" t="s">
        <v>63</v>
      </c>
      <c r="E200" s="38" t="s">
        <v>86</v>
      </c>
      <c r="F200" s="38" t="s">
        <v>309</v>
      </c>
      <c r="G200" s="262"/>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38" t="s">
        <v>58</v>
      </c>
      <c r="B201" s="38" t="s">
        <v>307</v>
      </c>
      <c r="C201" s="39">
        <v>0.88888888888888884</v>
      </c>
      <c r="D201" s="38" t="s">
        <v>63</v>
      </c>
      <c r="E201" s="38" t="s">
        <v>72</v>
      </c>
      <c r="F201" s="38" t="s">
        <v>349</v>
      </c>
      <c r="G201" s="262"/>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227" t="s">
        <v>75</v>
      </c>
      <c r="B202" s="227" t="s">
        <v>316</v>
      </c>
      <c r="C202" s="228">
        <v>0.83680555555555547</v>
      </c>
      <c r="D202" s="227" t="s">
        <v>60</v>
      </c>
      <c r="E202" s="227" t="s">
        <v>38</v>
      </c>
      <c r="F202" s="227" t="s">
        <v>317</v>
      </c>
      <c r="G202" s="263"/>
      <c r="H202" s="42"/>
      <c r="I202" s="43"/>
      <c r="J202" s="43"/>
      <c r="K202" s="43"/>
      <c r="L202" s="43"/>
      <c r="M202" s="43"/>
      <c r="N202" s="43"/>
      <c r="O202" s="44"/>
      <c r="P202" s="43"/>
      <c r="Q202" s="45"/>
      <c r="R202" s="46"/>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4.4" customHeight="1" x14ac:dyDescent="0.3">
      <c r="A203" s="285"/>
      <c r="B203" s="286"/>
      <c r="C203" s="286"/>
      <c r="D203" s="286"/>
      <c r="E203" s="286"/>
      <c r="F203" s="286"/>
      <c r="G203" s="276"/>
      <c r="H203" s="287"/>
      <c r="I203" s="287"/>
      <c r="J203" s="287"/>
      <c r="K203" s="287"/>
      <c r="L203" s="287"/>
      <c r="M203" s="287"/>
      <c r="N203" s="287"/>
      <c r="O203" s="288"/>
      <c r="P203" s="287"/>
      <c r="Q203" s="276"/>
      <c r="R203" s="27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22.05" customHeight="1" x14ac:dyDescent="0.3">
      <c r="A204" s="266" t="s">
        <v>5</v>
      </c>
      <c r="B204" s="267"/>
      <c r="C204" s="267"/>
      <c r="D204" s="267"/>
      <c r="E204" s="267"/>
      <c r="F204" s="267"/>
      <c r="G204" s="5">
        <v>45989</v>
      </c>
      <c r="H204" s="270" t="s">
        <v>6</v>
      </c>
      <c r="I204" s="269"/>
      <c r="J204" s="269"/>
      <c r="K204" s="269"/>
      <c r="L204" s="269"/>
      <c r="M204" s="269"/>
      <c r="N204" s="269"/>
      <c r="O204" s="269"/>
      <c r="P204" s="269"/>
      <c r="Q204" s="269"/>
      <c r="R204" s="269"/>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24" customHeight="1" x14ac:dyDescent="0.3">
      <c r="A205" s="47" t="s">
        <v>7</v>
      </c>
      <c r="B205" s="47" t="s">
        <v>8</v>
      </c>
      <c r="C205" s="48" t="s">
        <v>9</v>
      </c>
      <c r="D205" s="47" t="s">
        <v>10</v>
      </c>
      <c r="E205" s="47" t="s">
        <v>11</v>
      </c>
      <c r="F205" s="47" t="s">
        <v>12</v>
      </c>
      <c r="G205" s="49" t="s">
        <v>13</v>
      </c>
      <c r="H205" s="47" t="s">
        <v>14</v>
      </c>
      <c r="I205" s="50" t="s">
        <v>15</v>
      </c>
      <c r="J205" s="51" t="s">
        <v>16</v>
      </c>
      <c r="K205" s="52" t="s">
        <v>17</v>
      </c>
      <c r="L205" s="51" t="s">
        <v>18</v>
      </c>
      <c r="M205" s="51" t="s">
        <v>19</v>
      </c>
      <c r="N205" s="51" t="s">
        <v>20</v>
      </c>
      <c r="O205" s="47" t="s">
        <v>21</v>
      </c>
      <c r="P205" s="48" t="s">
        <v>22</v>
      </c>
      <c r="Q205" s="51" t="s">
        <v>23</v>
      </c>
      <c r="R205" s="47" t="s">
        <v>24</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83" t="s">
        <v>35</v>
      </c>
      <c r="B206" s="183" t="s">
        <v>365</v>
      </c>
      <c r="C206" s="184">
        <v>0.4375</v>
      </c>
      <c r="D206" s="183" t="s">
        <v>37</v>
      </c>
      <c r="E206" s="183" t="s">
        <v>61</v>
      </c>
      <c r="F206" s="183" t="s">
        <v>376</v>
      </c>
      <c r="G206" s="261"/>
      <c r="H206" s="186" t="s">
        <v>325</v>
      </c>
      <c r="I206" s="187">
        <v>0.9889</v>
      </c>
      <c r="J206" s="188">
        <v>178</v>
      </c>
      <c r="K206" s="189">
        <v>45984</v>
      </c>
      <c r="L206" s="188">
        <v>28</v>
      </c>
      <c r="M206" s="188">
        <v>0</v>
      </c>
      <c r="N206" s="188">
        <v>3</v>
      </c>
      <c r="O206" s="190" t="s">
        <v>126</v>
      </c>
      <c r="P206" s="191">
        <v>0.4375</v>
      </c>
      <c r="Q206" s="188">
        <v>180</v>
      </c>
      <c r="R206" s="192" t="s">
        <v>377</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9" t="s">
        <v>35</v>
      </c>
      <c r="B207" s="199" t="s">
        <v>378</v>
      </c>
      <c r="C207" s="200">
        <v>0.76041666666666663</v>
      </c>
      <c r="D207" s="199" t="s">
        <v>37</v>
      </c>
      <c r="E207" s="199" t="s">
        <v>80</v>
      </c>
      <c r="F207" s="199" t="s">
        <v>366</v>
      </c>
      <c r="G207" s="262"/>
      <c r="H207" s="176" t="s">
        <v>329</v>
      </c>
      <c r="I207" s="202">
        <v>0.9889</v>
      </c>
      <c r="J207" s="178">
        <v>178</v>
      </c>
      <c r="K207" s="179">
        <v>45984</v>
      </c>
      <c r="L207" s="178">
        <v>18</v>
      </c>
      <c r="M207" s="178">
        <v>0</v>
      </c>
      <c r="N207" s="178">
        <v>1</v>
      </c>
      <c r="O207" s="180" t="s">
        <v>367</v>
      </c>
      <c r="P207" s="181">
        <v>0.76041666666666663</v>
      </c>
      <c r="Q207" s="178">
        <v>180</v>
      </c>
      <c r="R207" s="182" t="s">
        <v>379</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96" t="s">
        <v>35</v>
      </c>
      <c r="B208" s="196" t="s">
        <v>380</v>
      </c>
      <c r="C208" s="197">
        <v>0.55902777777777779</v>
      </c>
      <c r="D208" s="196" t="s">
        <v>37</v>
      </c>
      <c r="E208" s="196" t="s">
        <v>80</v>
      </c>
      <c r="F208" s="196" t="s">
        <v>366</v>
      </c>
      <c r="G208" s="262"/>
      <c r="H208" s="151" t="s">
        <v>323</v>
      </c>
      <c r="I208" s="152">
        <v>0.9889</v>
      </c>
      <c r="J208" s="153">
        <v>178</v>
      </c>
      <c r="K208" s="154">
        <v>45984</v>
      </c>
      <c r="L208" s="153">
        <v>48</v>
      </c>
      <c r="M208" s="153">
        <v>0</v>
      </c>
      <c r="N208" s="153">
        <v>8</v>
      </c>
      <c r="O208" s="155" t="s">
        <v>367</v>
      </c>
      <c r="P208" s="156">
        <v>0.55902777777777779</v>
      </c>
      <c r="Q208" s="153">
        <v>180</v>
      </c>
      <c r="R208" s="157" t="s">
        <v>381</v>
      </c>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26" t="s">
        <v>35</v>
      </c>
      <c r="B209" s="26" t="s">
        <v>382</v>
      </c>
      <c r="C209" s="27">
        <v>0.28125</v>
      </c>
      <c r="D209" s="26" t="s">
        <v>37</v>
      </c>
      <c r="E209" s="26" t="s">
        <v>66</v>
      </c>
      <c r="F209" s="26" t="s">
        <v>366</v>
      </c>
      <c r="G209" s="262"/>
      <c r="H209" s="29" t="s">
        <v>327</v>
      </c>
      <c r="I209" s="30">
        <v>0.98329999999999995</v>
      </c>
      <c r="J209" s="31">
        <v>177</v>
      </c>
      <c r="K209" s="32">
        <v>45984</v>
      </c>
      <c r="L209" s="31">
        <v>52</v>
      </c>
      <c r="M209" s="31">
        <v>0</v>
      </c>
      <c r="N209" s="31">
        <v>5</v>
      </c>
      <c r="O209" s="33" t="s">
        <v>383</v>
      </c>
      <c r="P209" s="34">
        <v>0.28125</v>
      </c>
      <c r="Q209" s="31">
        <v>180</v>
      </c>
      <c r="R209" s="35" t="s">
        <v>384</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99" t="s">
        <v>35</v>
      </c>
      <c r="B210" s="199" t="s">
        <v>333</v>
      </c>
      <c r="C210" s="200">
        <v>0.1423611111111111</v>
      </c>
      <c r="D210" s="199" t="s">
        <v>44</v>
      </c>
      <c r="E210" s="201"/>
      <c r="F210" s="199" t="s">
        <v>45</v>
      </c>
      <c r="G210" s="262"/>
      <c r="H210" s="176" t="s">
        <v>333</v>
      </c>
      <c r="I210" s="202">
        <v>1</v>
      </c>
      <c r="J210" s="178">
        <v>180</v>
      </c>
      <c r="K210" s="179">
        <v>45980</v>
      </c>
      <c r="L210" s="178">
        <v>18</v>
      </c>
      <c r="M210" s="178">
        <v>0</v>
      </c>
      <c r="N210" s="178">
        <v>0</v>
      </c>
      <c r="O210" s="180" t="s">
        <v>46</v>
      </c>
      <c r="P210" s="181">
        <v>0.1423611111111111</v>
      </c>
      <c r="Q210" s="178">
        <v>180</v>
      </c>
      <c r="R210" s="182" t="s">
        <v>385</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36" t="s">
        <v>75</v>
      </c>
      <c r="B211" s="36" t="s">
        <v>318</v>
      </c>
      <c r="C211" s="37">
        <v>0.2986111111111111</v>
      </c>
      <c r="D211" s="36" t="s">
        <v>60</v>
      </c>
      <c r="E211" s="36" t="s">
        <v>77</v>
      </c>
      <c r="F211" s="36" t="s">
        <v>338</v>
      </c>
      <c r="G211" s="262"/>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38" t="s">
        <v>75</v>
      </c>
      <c r="B212" s="38" t="s">
        <v>320</v>
      </c>
      <c r="C212" s="39">
        <v>0.1041666666666667</v>
      </c>
      <c r="D212" s="38" t="s">
        <v>60</v>
      </c>
      <c r="E212" s="38" t="s">
        <v>86</v>
      </c>
      <c r="F212" s="38" t="s">
        <v>338</v>
      </c>
      <c r="G212" s="262"/>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38" t="s">
        <v>75</v>
      </c>
      <c r="B213" s="38" t="s">
        <v>321</v>
      </c>
      <c r="C213" s="39">
        <v>0.78472222222222221</v>
      </c>
      <c r="D213" s="38" t="s">
        <v>60</v>
      </c>
      <c r="E213" s="38" t="s">
        <v>83</v>
      </c>
      <c r="F213" s="38" t="s">
        <v>338</v>
      </c>
      <c r="G213" s="262"/>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38" t="s">
        <v>75</v>
      </c>
      <c r="B214" s="38" t="s">
        <v>322</v>
      </c>
      <c r="C214" s="39">
        <v>0.59722222222222221</v>
      </c>
      <c r="D214" s="38" t="s">
        <v>60</v>
      </c>
      <c r="E214" s="38" t="s">
        <v>86</v>
      </c>
      <c r="F214" s="38" t="s">
        <v>338</v>
      </c>
      <c r="G214" s="262"/>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38" t="s">
        <v>75</v>
      </c>
      <c r="B215" s="38" t="s">
        <v>339</v>
      </c>
      <c r="C215" s="39">
        <v>4.8611111111111112E-2</v>
      </c>
      <c r="D215" s="38" t="s">
        <v>60</v>
      </c>
      <c r="E215" s="38" t="s">
        <v>86</v>
      </c>
      <c r="F215" s="38" t="s">
        <v>338</v>
      </c>
      <c r="G215" s="262"/>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38" t="s">
        <v>75</v>
      </c>
      <c r="B216" s="38" t="s">
        <v>316</v>
      </c>
      <c r="C216" s="39">
        <v>0.83680555555555547</v>
      </c>
      <c r="D216" s="38" t="s">
        <v>60</v>
      </c>
      <c r="E216" s="38" t="s">
        <v>86</v>
      </c>
      <c r="F216" s="38" t="s">
        <v>386</v>
      </c>
      <c r="G216" s="262"/>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36" t="s">
        <v>290</v>
      </c>
      <c r="B217" s="36" t="s">
        <v>341</v>
      </c>
      <c r="C217" s="37">
        <v>0.22569444444444439</v>
      </c>
      <c r="D217" s="36" t="s">
        <v>292</v>
      </c>
      <c r="E217" s="36" t="s">
        <v>28</v>
      </c>
      <c r="F217" s="36" t="s">
        <v>387</v>
      </c>
      <c r="G217" s="262"/>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290</v>
      </c>
      <c r="B218" s="15" t="s">
        <v>341</v>
      </c>
      <c r="C218" s="16">
        <v>0.22569444444444439</v>
      </c>
      <c r="D218" s="15" t="s">
        <v>30</v>
      </c>
      <c r="E218" s="15" t="s">
        <v>31</v>
      </c>
      <c r="F218" s="15" t="s">
        <v>388</v>
      </c>
      <c r="G218" s="262"/>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38" t="s">
        <v>290</v>
      </c>
      <c r="B219" s="38" t="s">
        <v>389</v>
      </c>
      <c r="C219" s="39">
        <v>0.80902777777777779</v>
      </c>
      <c r="D219" s="38" t="s">
        <v>292</v>
      </c>
      <c r="E219" s="38" t="s">
        <v>83</v>
      </c>
      <c r="F219" s="38" t="s">
        <v>390</v>
      </c>
      <c r="G219" s="262"/>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290</v>
      </c>
      <c r="B220" s="15" t="s">
        <v>389</v>
      </c>
      <c r="C220" s="16">
        <v>0.80902777777777779</v>
      </c>
      <c r="D220" s="15" t="s">
        <v>30</v>
      </c>
      <c r="E220" s="15" t="s">
        <v>373</v>
      </c>
      <c r="F220" s="15" t="s">
        <v>391</v>
      </c>
      <c r="G220" s="262"/>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36" t="s">
        <v>25</v>
      </c>
      <c r="B221" s="36" t="s">
        <v>268</v>
      </c>
      <c r="C221" s="37">
        <v>0.39930555555555558</v>
      </c>
      <c r="D221" s="36" t="s">
        <v>27</v>
      </c>
      <c r="E221" s="36" t="s">
        <v>28</v>
      </c>
      <c r="F221" s="36" t="s">
        <v>270</v>
      </c>
      <c r="G221" s="262"/>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25</v>
      </c>
      <c r="B222" s="15" t="s">
        <v>268</v>
      </c>
      <c r="C222" s="16">
        <v>0.39930555555555558</v>
      </c>
      <c r="D222" s="15" t="s">
        <v>33</v>
      </c>
      <c r="E222" s="15" t="s">
        <v>31</v>
      </c>
      <c r="F222" s="15" t="s">
        <v>112</v>
      </c>
      <c r="G222" s="262"/>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25</v>
      </c>
      <c r="B223" s="15" t="s">
        <v>268</v>
      </c>
      <c r="C223" s="16">
        <v>0.39930555555555558</v>
      </c>
      <c r="D223" s="15" t="s">
        <v>30</v>
      </c>
      <c r="E223" s="15" t="s">
        <v>31</v>
      </c>
      <c r="F223" s="15" t="s">
        <v>94</v>
      </c>
      <c r="G223" s="262"/>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38" t="s">
        <v>25</v>
      </c>
      <c r="B224" s="38" t="s">
        <v>271</v>
      </c>
      <c r="C224" s="39">
        <v>0.48958333333333331</v>
      </c>
      <c r="D224" s="38" t="s">
        <v>27</v>
      </c>
      <c r="E224" s="38" t="s">
        <v>118</v>
      </c>
      <c r="F224" s="38" t="s">
        <v>112</v>
      </c>
      <c r="G224" s="262"/>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25</v>
      </c>
      <c r="B225" s="15" t="s">
        <v>271</v>
      </c>
      <c r="C225" s="16">
        <v>0.48958333333333331</v>
      </c>
      <c r="D225" s="15" t="s">
        <v>33</v>
      </c>
      <c r="E225" s="15" t="s">
        <v>119</v>
      </c>
      <c r="F225" s="15" t="s">
        <v>94</v>
      </c>
      <c r="G225" s="262"/>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25</v>
      </c>
      <c r="B226" s="15" t="s">
        <v>271</v>
      </c>
      <c r="C226" s="16">
        <v>0.48958333333333331</v>
      </c>
      <c r="D226" s="15" t="s">
        <v>30</v>
      </c>
      <c r="E226" s="15" t="s">
        <v>119</v>
      </c>
      <c r="F226" s="15" t="s">
        <v>94</v>
      </c>
      <c r="G226" s="262"/>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8" t="s">
        <v>25</v>
      </c>
      <c r="B227" s="38" t="s">
        <v>276</v>
      </c>
      <c r="C227" s="39">
        <v>0.88888888888888884</v>
      </c>
      <c r="D227" s="38" t="s">
        <v>27</v>
      </c>
      <c r="E227" s="38" t="s">
        <v>70</v>
      </c>
      <c r="F227" s="38" t="s">
        <v>112</v>
      </c>
      <c r="G227" s="262"/>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5" t="s">
        <v>25</v>
      </c>
      <c r="B228" s="15" t="s">
        <v>276</v>
      </c>
      <c r="C228" s="16">
        <v>0.88888888888888884</v>
      </c>
      <c r="D228" s="15" t="s">
        <v>33</v>
      </c>
      <c r="E228" s="15" t="s">
        <v>54</v>
      </c>
      <c r="F228" s="15" t="s">
        <v>94</v>
      </c>
      <c r="G228" s="262"/>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25</v>
      </c>
      <c r="B229" s="15" t="s">
        <v>276</v>
      </c>
      <c r="C229" s="16">
        <v>0.88888888888888884</v>
      </c>
      <c r="D229" s="15" t="s">
        <v>30</v>
      </c>
      <c r="E229" s="15" t="s">
        <v>54</v>
      </c>
      <c r="F229" s="15" t="s">
        <v>336</v>
      </c>
      <c r="G229" s="262"/>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38" t="s">
        <v>25</v>
      </c>
      <c r="B230" s="38" t="s">
        <v>277</v>
      </c>
      <c r="C230" s="39">
        <v>0.98958333333333337</v>
      </c>
      <c r="D230" s="38" t="s">
        <v>27</v>
      </c>
      <c r="E230" s="38" t="s">
        <v>392</v>
      </c>
      <c r="F230" s="38" t="s">
        <v>112</v>
      </c>
      <c r="G230" s="262"/>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25</v>
      </c>
      <c r="B231" s="15" t="s">
        <v>277</v>
      </c>
      <c r="C231" s="16">
        <v>0.98958333333333337</v>
      </c>
      <c r="D231" s="15" t="s">
        <v>33</v>
      </c>
      <c r="E231" s="15" t="s">
        <v>393</v>
      </c>
      <c r="F231" s="15" t="s">
        <v>94</v>
      </c>
      <c r="G231" s="262"/>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25</v>
      </c>
      <c r="B232" s="15" t="s">
        <v>277</v>
      </c>
      <c r="C232" s="16">
        <v>0.98958333333333337</v>
      </c>
      <c r="D232" s="15" t="s">
        <v>30</v>
      </c>
      <c r="E232" s="15" t="s">
        <v>393</v>
      </c>
      <c r="F232" s="15" t="s">
        <v>94</v>
      </c>
      <c r="G232" s="262"/>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36" t="s">
        <v>48</v>
      </c>
      <c r="B233" s="36" t="s">
        <v>279</v>
      </c>
      <c r="C233" s="37">
        <v>0.34722222222222232</v>
      </c>
      <c r="D233" s="36" t="s">
        <v>50</v>
      </c>
      <c r="E233" s="36" t="s">
        <v>97</v>
      </c>
      <c r="F233" s="36" t="s">
        <v>275</v>
      </c>
      <c r="G233" s="262"/>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48</v>
      </c>
      <c r="B234" s="15" t="s">
        <v>279</v>
      </c>
      <c r="C234" s="16">
        <v>0.34722222222222232</v>
      </c>
      <c r="D234" s="15" t="s">
        <v>53</v>
      </c>
      <c r="E234" s="15" t="s">
        <v>99</v>
      </c>
      <c r="F234" s="15" t="s">
        <v>112</v>
      </c>
      <c r="G234" s="262"/>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48</v>
      </c>
      <c r="B235" s="15" t="s">
        <v>279</v>
      </c>
      <c r="C235" s="16">
        <v>0.34722222222222232</v>
      </c>
      <c r="D235" s="15" t="s">
        <v>56</v>
      </c>
      <c r="E235" s="15" t="s">
        <v>99</v>
      </c>
      <c r="F235" s="15" t="s">
        <v>394</v>
      </c>
      <c r="G235" s="262"/>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38" t="s">
        <v>48</v>
      </c>
      <c r="B236" s="38" t="s">
        <v>278</v>
      </c>
      <c r="C236" s="39">
        <v>0.99305555555555547</v>
      </c>
      <c r="D236" s="38" t="s">
        <v>50</v>
      </c>
      <c r="E236" s="38" t="s">
        <v>83</v>
      </c>
      <c r="F236" s="38" t="s">
        <v>395</v>
      </c>
      <c r="G236" s="262"/>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5" t="s">
        <v>48</v>
      </c>
      <c r="B237" s="15" t="s">
        <v>278</v>
      </c>
      <c r="C237" s="16">
        <v>0.99305555555555547</v>
      </c>
      <c r="D237" s="15" t="s">
        <v>53</v>
      </c>
      <c r="E237" s="15" t="s">
        <v>373</v>
      </c>
      <c r="F237" s="15" t="s">
        <v>396</v>
      </c>
      <c r="G237" s="262"/>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48</v>
      </c>
      <c r="B238" s="15" t="s">
        <v>278</v>
      </c>
      <c r="C238" s="16">
        <v>0.99305555555555547</v>
      </c>
      <c r="D238" s="15" t="s">
        <v>56</v>
      </c>
      <c r="E238" s="15" t="s">
        <v>373</v>
      </c>
      <c r="F238" s="15" t="s">
        <v>397</v>
      </c>
      <c r="G238" s="262"/>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38" t="s">
        <v>48</v>
      </c>
      <c r="B239" s="38" t="s">
        <v>282</v>
      </c>
      <c r="C239" s="39">
        <v>0.73611111111111116</v>
      </c>
      <c r="D239" s="38" t="s">
        <v>50</v>
      </c>
      <c r="E239" s="38" t="s">
        <v>118</v>
      </c>
      <c r="F239" s="38" t="s">
        <v>395</v>
      </c>
      <c r="G239" s="262"/>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48</v>
      </c>
      <c r="B240" s="15" t="s">
        <v>282</v>
      </c>
      <c r="C240" s="16">
        <v>0.73611111111111116</v>
      </c>
      <c r="D240" s="15" t="s">
        <v>53</v>
      </c>
      <c r="E240" s="15" t="s">
        <v>119</v>
      </c>
      <c r="F240" s="15" t="s">
        <v>396</v>
      </c>
      <c r="G240" s="262"/>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48</v>
      </c>
      <c r="B241" s="15" t="s">
        <v>282</v>
      </c>
      <c r="C241" s="16">
        <v>0.73611111111111116</v>
      </c>
      <c r="D241" s="15" t="s">
        <v>56</v>
      </c>
      <c r="E241" s="15" t="s">
        <v>119</v>
      </c>
      <c r="F241" s="15" t="s">
        <v>397</v>
      </c>
      <c r="G241" s="262"/>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8" t="s">
        <v>48</v>
      </c>
      <c r="B242" s="38" t="s">
        <v>283</v>
      </c>
      <c r="C242" s="39">
        <v>0.83680555555555547</v>
      </c>
      <c r="D242" s="38" t="s">
        <v>50</v>
      </c>
      <c r="E242" s="38" t="s">
        <v>118</v>
      </c>
      <c r="F242" s="38" t="s">
        <v>395</v>
      </c>
      <c r="G242" s="262"/>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48</v>
      </c>
      <c r="B243" s="15" t="s">
        <v>283</v>
      </c>
      <c r="C243" s="16">
        <v>0.83680555555555547</v>
      </c>
      <c r="D243" s="15" t="s">
        <v>53</v>
      </c>
      <c r="E243" s="15" t="s">
        <v>119</v>
      </c>
      <c r="F243" s="15" t="s">
        <v>396</v>
      </c>
      <c r="G243" s="262"/>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48</v>
      </c>
      <c r="B244" s="15" t="s">
        <v>283</v>
      </c>
      <c r="C244" s="16">
        <v>0.83680555555555547</v>
      </c>
      <c r="D244" s="15" t="s">
        <v>56</v>
      </c>
      <c r="E244" s="15" t="s">
        <v>119</v>
      </c>
      <c r="F244" s="15" t="s">
        <v>397</v>
      </c>
      <c r="G244" s="262"/>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38" t="s">
        <v>48</v>
      </c>
      <c r="B245" s="38" t="s">
        <v>285</v>
      </c>
      <c r="C245" s="39">
        <v>0.94444444444444453</v>
      </c>
      <c r="D245" s="38" t="s">
        <v>50</v>
      </c>
      <c r="E245" s="38" t="s">
        <v>91</v>
      </c>
      <c r="F245" s="38" t="s">
        <v>395</v>
      </c>
      <c r="G245" s="262"/>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48</v>
      </c>
      <c r="B246" s="15" t="s">
        <v>285</v>
      </c>
      <c r="C246" s="16">
        <v>0.94444444444444453</v>
      </c>
      <c r="D246" s="15" t="s">
        <v>53</v>
      </c>
      <c r="E246" s="15" t="s">
        <v>99</v>
      </c>
      <c r="F246" s="15" t="s">
        <v>396</v>
      </c>
      <c r="G246" s="262"/>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48</v>
      </c>
      <c r="B247" s="15" t="s">
        <v>285</v>
      </c>
      <c r="C247" s="16">
        <v>0.94444444444444453</v>
      </c>
      <c r="D247" s="15" t="s">
        <v>56</v>
      </c>
      <c r="E247" s="15" t="s">
        <v>99</v>
      </c>
      <c r="F247" s="15" t="s">
        <v>397</v>
      </c>
      <c r="G247" s="262"/>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38" t="s">
        <v>48</v>
      </c>
      <c r="B248" s="38" t="s">
        <v>286</v>
      </c>
      <c r="C248" s="39">
        <v>0.4861111111111111</v>
      </c>
      <c r="D248" s="38" t="s">
        <v>50</v>
      </c>
      <c r="E248" s="38" t="s">
        <v>118</v>
      </c>
      <c r="F248" s="38" t="s">
        <v>395</v>
      </c>
      <c r="G248" s="262"/>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48</v>
      </c>
      <c r="B249" s="15" t="s">
        <v>286</v>
      </c>
      <c r="C249" s="16">
        <v>0.4861111111111111</v>
      </c>
      <c r="D249" s="15" t="s">
        <v>53</v>
      </c>
      <c r="E249" s="15" t="s">
        <v>119</v>
      </c>
      <c r="F249" s="15" t="s">
        <v>396</v>
      </c>
      <c r="G249" s="262"/>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48</v>
      </c>
      <c r="B250" s="15" t="s">
        <v>286</v>
      </c>
      <c r="C250" s="16">
        <v>0.4861111111111111</v>
      </c>
      <c r="D250" s="15" t="s">
        <v>56</v>
      </c>
      <c r="E250" s="15" t="s">
        <v>119</v>
      </c>
      <c r="F250" s="15" t="s">
        <v>397</v>
      </c>
      <c r="G250" s="262"/>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38" t="s">
        <v>48</v>
      </c>
      <c r="B251" s="38" t="s">
        <v>289</v>
      </c>
      <c r="C251" s="39">
        <v>0.88888888888888884</v>
      </c>
      <c r="D251" s="38" t="s">
        <v>50</v>
      </c>
      <c r="E251" s="38" t="s">
        <v>118</v>
      </c>
      <c r="F251" s="38" t="s">
        <v>395</v>
      </c>
      <c r="G251" s="262"/>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48</v>
      </c>
      <c r="B252" s="15" t="s">
        <v>289</v>
      </c>
      <c r="C252" s="16">
        <v>0.88888888888888884</v>
      </c>
      <c r="D252" s="15" t="s">
        <v>53</v>
      </c>
      <c r="E252" s="15" t="s">
        <v>119</v>
      </c>
      <c r="F252" s="15" t="s">
        <v>396</v>
      </c>
      <c r="G252" s="262"/>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48</v>
      </c>
      <c r="B253" s="15" t="s">
        <v>289</v>
      </c>
      <c r="C253" s="16">
        <v>0.88888888888888884</v>
      </c>
      <c r="D253" s="15" t="s">
        <v>56</v>
      </c>
      <c r="E253" s="15" t="s">
        <v>119</v>
      </c>
      <c r="F253" s="15" t="s">
        <v>397</v>
      </c>
      <c r="G253" s="262"/>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36" t="s">
        <v>295</v>
      </c>
      <c r="B254" s="36" t="s">
        <v>296</v>
      </c>
      <c r="C254" s="37">
        <v>0.49305555555555558</v>
      </c>
      <c r="D254" s="36" t="s">
        <v>37</v>
      </c>
      <c r="E254" s="36" t="s">
        <v>375</v>
      </c>
      <c r="F254" s="36" t="s">
        <v>52</v>
      </c>
      <c r="G254" s="262"/>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36" t="s">
        <v>58</v>
      </c>
      <c r="B255" s="36" t="s">
        <v>347</v>
      </c>
      <c r="C255" s="37">
        <v>0.11805555555555559</v>
      </c>
      <c r="D255" s="36" t="s">
        <v>63</v>
      </c>
      <c r="E255" s="36" t="s">
        <v>77</v>
      </c>
      <c r="F255" s="36" t="s">
        <v>345</v>
      </c>
      <c r="G255" s="262"/>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38" t="s">
        <v>58</v>
      </c>
      <c r="B256" s="38" t="s">
        <v>311</v>
      </c>
      <c r="C256" s="39">
        <v>4.1666666666666657E-2</v>
      </c>
      <c r="D256" s="38" t="s">
        <v>63</v>
      </c>
      <c r="E256" s="38" t="s">
        <v>86</v>
      </c>
      <c r="F256" s="38" t="s">
        <v>345</v>
      </c>
      <c r="G256" s="262"/>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8" t="s">
        <v>58</v>
      </c>
      <c r="B257" s="38" t="s">
        <v>308</v>
      </c>
      <c r="C257" s="39">
        <v>0.48958333333333331</v>
      </c>
      <c r="D257" s="38" t="s">
        <v>63</v>
      </c>
      <c r="E257" s="38" t="s">
        <v>86</v>
      </c>
      <c r="F257" s="38" t="s">
        <v>309</v>
      </c>
      <c r="G257" s="262"/>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38" t="s">
        <v>58</v>
      </c>
      <c r="B258" s="38" t="s">
        <v>346</v>
      </c>
      <c r="C258" s="39">
        <v>0.82986111111111116</v>
      </c>
      <c r="D258" s="38" t="s">
        <v>63</v>
      </c>
      <c r="E258" s="38" t="s">
        <v>86</v>
      </c>
      <c r="F258" s="38" t="s">
        <v>309</v>
      </c>
      <c r="G258" s="262"/>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38" t="s">
        <v>58</v>
      </c>
      <c r="B259" s="38" t="s">
        <v>313</v>
      </c>
      <c r="C259" s="39">
        <v>0.72222222222222221</v>
      </c>
      <c r="D259" s="38" t="s">
        <v>63</v>
      </c>
      <c r="E259" s="38" t="s">
        <v>86</v>
      </c>
      <c r="F259" s="38" t="s">
        <v>309</v>
      </c>
      <c r="G259" s="262"/>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38" t="s">
        <v>58</v>
      </c>
      <c r="B260" s="38" t="s">
        <v>315</v>
      </c>
      <c r="C260" s="39">
        <v>0.70138888888888884</v>
      </c>
      <c r="D260" s="38" t="s">
        <v>63</v>
      </c>
      <c r="E260" s="38" t="s">
        <v>86</v>
      </c>
      <c r="F260" s="38" t="s">
        <v>309</v>
      </c>
      <c r="G260" s="262"/>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38" t="s">
        <v>58</v>
      </c>
      <c r="B261" s="38" t="s">
        <v>310</v>
      </c>
      <c r="C261" s="39">
        <v>0.25347222222222221</v>
      </c>
      <c r="D261" s="38" t="s">
        <v>63</v>
      </c>
      <c r="E261" s="38" t="s">
        <v>86</v>
      </c>
      <c r="F261" s="38" t="s">
        <v>309</v>
      </c>
      <c r="G261" s="262"/>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38" t="s">
        <v>58</v>
      </c>
      <c r="B262" s="38" t="s">
        <v>312</v>
      </c>
      <c r="C262" s="39">
        <v>0.94097222222222221</v>
      </c>
      <c r="D262" s="38" t="s">
        <v>63</v>
      </c>
      <c r="E262" s="38" t="s">
        <v>86</v>
      </c>
      <c r="F262" s="38" t="s">
        <v>309</v>
      </c>
      <c r="G262" s="262"/>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38" t="s">
        <v>58</v>
      </c>
      <c r="B263" s="38" t="s">
        <v>305</v>
      </c>
      <c r="C263" s="39">
        <v>0.39930555555555558</v>
      </c>
      <c r="D263" s="38" t="s">
        <v>63</v>
      </c>
      <c r="E263" s="38" t="s">
        <v>72</v>
      </c>
      <c r="F263" s="38" t="s">
        <v>349</v>
      </c>
      <c r="G263" s="262"/>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38" t="s">
        <v>58</v>
      </c>
      <c r="B264" s="38" t="s">
        <v>303</v>
      </c>
      <c r="C264" s="39">
        <v>0.98958333333333337</v>
      </c>
      <c r="D264" s="38" t="s">
        <v>63</v>
      </c>
      <c r="E264" s="38" t="s">
        <v>72</v>
      </c>
      <c r="F264" s="38" t="s">
        <v>398</v>
      </c>
      <c r="G264" s="262"/>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38" t="s">
        <v>58</v>
      </c>
      <c r="B265" s="38" t="s">
        <v>306</v>
      </c>
      <c r="C265" s="39">
        <v>0.48958333333333331</v>
      </c>
      <c r="D265" s="38" t="s">
        <v>63</v>
      </c>
      <c r="E265" s="38" t="s">
        <v>72</v>
      </c>
      <c r="F265" s="38" t="s">
        <v>398</v>
      </c>
      <c r="G265" s="262"/>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40" t="s">
        <v>58</v>
      </c>
      <c r="B266" s="40" t="s">
        <v>307</v>
      </c>
      <c r="C266" s="41">
        <v>0.88888888888888884</v>
      </c>
      <c r="D266" s="40" t="s">
        <v>63</v>
      </c>
      <c r="E266" s="40" t="s">
        <v>72</v>
      </c>
      <c r="F266" s="40" t="s">
        <v>398</v>
      </c>
      <c r="G266" s="263"/>
      <c r="H266" s="42"/>
      <c r="I266" s="43"/>
      <c r="J266" s="43"/>
      <c r="K266" s="43"/>
      <c r="L266" s="43"/>
      <c r="M266" s="43"/>
      <c r="N266" s="43"/>
      <c r="O266" s="44"/>
      <c r="P266" s="43"/>
      <c r="Q266" s="45"/>
      <c r="R266" s="46"/>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4.4" customHeight="1" x14ac:dyDescent="0.3">
      <c r="A267" s="275"/>
      <c r="B267" s="276"/>
      <c r="C267" s="276"/>
      <c r="D267" s="276"/>
      <c r="E267" s="276"/>
      <c r="F267" s="276"/>
      <c r="G267" s="276"/>
      <c r="H267" s="276"/>
      <c r="I267" s="276"/>
      <c r="J267" s="276"/>
      <c r="K267" s="276"/>
      <c r="L267" s="276"/>
      <c r="M267" s="276"/>
      <c r="N267" s="276"/>
      <c r="O267" s="276"/>
      <c r="P267" s="276"/>
      <c r="Q267" s="276"/>
      <c r="R267" s="27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22.05" customHeight="1" x14ac:dyDescent="0.3">
      <c r="A268" s="266" t="s">
        <v>5</v>
      </c>
      <c r="B268" s="267"/>
      <c r="C268" s="267"/>
      <c r="D268" s="267"/>
      <c r="E268" s="267"/>
      <c r="F268" s="267"/>
      <c r="G268" s="5">
        <v>45990</v>
      </c>
      <c r="H268" s="270" t="s">
        <v>6</v>
      </c>
      <c r="I268" s="269"/>
      <c r="J268" s="269"/>
      <c r="K268" s="269"/>
      <c r="L268" s="269"/>
      <c r="M268" s="269"/>
      <c r="N268" s="269"/>
      <c r="O268" s="269"/>
      <c r="P268" s="269"/>
      <c r="Q268" s="269"/>
      <c r="R268" s="269"/>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24" customHeight="1" x14ac:dyDescent="0.3">
      <c r="A269" s="47" t="s">
        <v>7</v>
      </c>
      <c r="B269" s="47" t="s">
        <v>8</v>
      </c>
      <c r="C269" s="48" t="s">
        <v>9</v>
      </c>
      <c r="D269" s="47" t="s">
        <v>10</v>
      </c>
      <c r="E269" s="47" t="s">
        <v>11</v>
      </c>
      <c r="F269" s="47" t="s">
        <v>12</v>
      </c>
      <c r="G269" s="49" t="s">
        <v>13</v>
      </c>
      <c r="H269" s="47" t="s">
        <v>14</v>
      </c>
      <c r="I269" s="50" t="s">
        <v>15</v>
      </c>
      <c r="J269" s="51" t="s">
        <v>16</v>
      </c>
      <c r="K269" s="52" t="s">
        <v>17</v>
      </c>
      <c r="L269" s="51" t="s">
        <v>18</v>
      </c>
      <c r="M269" s="51" t="s">
        <v>19</v>
      </c>
      <c r="N269" s="51" t="s">
        <v>20</v>
      </c>
      <c r="O269" s="47" t="s">
        <v>21</v>
      </c>
      <c r="P269" s="48" t="s">
        <v>22</v>
      </c>
      <c r="Q269" s="51" t="s">
        <v>23</v>
      </c>
      <c r="R269" s="47" t="s">
        <v>24</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8" t="s">
        <v>75</v>
      </c>
      <c r="B270" s="8" t="s">
        <v>318</v>
      </c>
      <c r="C270" s="9">
        <v>0.3125</v>
      </c>
      <c r="D270" s="8" t="s">
        <v>60</v>
      </c>
      <c r="E270" s="8" t="s">
        <v>77</v>
      </c>
      <c r="F270" s="8" t="s">
        <v>338</v>
      </c>
      <c r="G270" s="261"/>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38" t="s">
        <v>75</v>
      </c>
      <c r="B271" s="38" t="s">
        <v>319</v>
      </c>
      <c r="C271" s="39">
        <v>0.97222222222222221</v>
      </c>
      <c r="D271" s="38" t="s">
        <v>60</v>
      </c>
      <c r="E271" s="38" t="s">
        <v>86</v>
      </c>
      <c r="F271" s="38" t="s">
        <v>338</v>
      </c>
      <c r="G271" s="262"/>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8" t="s">
        <v>75</v>
      </c>
      <c r="B272" s="38" t="s">
        <v>321</v>
      </c>
      <c r="C272" s="39">
        <v>0.78472222222222221</v>
      </c>
      <c r="D272" s="38" t="s">
        <v>60</v>
      </c>
      <c r="E272" s="38" t="s">
        <v>72</v>
      </c>
      <c r="F272" s="38" t="s">
        <v>338</v>
      </c>
      <c r="G272" s="262"/>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38" t="s">
        <v>75</v>
      </c>
      <c r="B273" s="38" t="s">
        <v>316</v>
      </c>
      <c r="C273" s="39">
        <v>0.83680555555555547</v>
      </c>
      <c r="D273" s="38" t="s">
        <v>60</v>
      </c>
      <c r="E273" s="38" t="s">
        <v>86</v>
      </c>
      <c r="F273" s="38" t="s">
        <v>386</v>
      </c>
      <c r="G273" s="262"/>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38" t="s">
        <v>75</v>
      </c>
      <c r="B274" s="38" t="s">
        <v>399</v>
      </c>
      <c r="C274" s="39">
        <v>0.34027777777777768</v>
      </c>
      <c r="D274" s="38" t="s">
        <v>60</v>
      </c>
      <c r="E274" s="38" t="s">
        <v>70</v>
      </c>
      <c r="F274" s="38" t="s">
        <v>317</v>
      </c>
      <c r="G274" s="262"/>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38" t="s">
        <v>75</v>
      </c>
      <c r="B275" s="38" t="s">
        <v>322</v>
      </c>
      <c r="C275" s="39">
        <v>0.60069444444444442</v>
      </c>
      <c r="D275" s="38" t="s">
        <v>60</v>
      </c>
      <c r="E275" s="38" t="s">
        <v>72</v>
      </c>
      <c r="F275" s="38" t="s">
        <v>317</v>
      </c>
      <c r="G275" s="262"/>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36" t="s">
        <v>25</v>
      </c>
      <c r="B276" s="36" t="s">
        <v>268</v>
      </c>
      <c r="C276" s="37">
        <v>0.39930555555555558</v>
      </c>
      <c r="D276" s="36" t="s">
        <v>27</v>
      </c>
      <c r="E276" s="36" t="s">
        <v>28</v>
      </c>
      <c r="F276" s="36" t="s">
        <v>275</v>
      </c>
      <c r="G276" s="262"/>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5" t="s">
        <v>25</v>
      </c>
      <c r="B277" s="15" t="s">
        <v>268</v>
      </c>
      <c r="C277" s="16">
        <v>0.39930555555555558</v>
      </c>
      <c r="D277" s="15" t="s">
        <v>33</v>
      </c>
      <c r="E277" s="15" t="s">
        <v>31</v>
      </c>
      <c r="F277" s="15" t="s">
        <v>337</v>
      </c>
      <c r="G277" s="262"/>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25</v>
      </c>
      <c r="B278" s="15" t="s">
        <v>268</v>
      </c>
      <c r="C278" s="16">
        <v>0.39930555555555558</v>
      </c>
      <c r="D278" s="15" t="s">
        <v>30</v>
      </c>
      <c r="E278" s="15" t="s">
        <v>31</v>
      </c>
      <c r="F278" s="15" t="s">
        <v>336</v>
      </c>
      <c r="G278" s="262"/>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38" t="s">
        <v>25</v>
      </c>
      <c r="B279" s="38" t="s">
        <v>277</v>
      </c>
      <c r="C279" s="39">
        <v>0.98958333333333337</v>
      </c>
      <c r="D279" s="38" t="s">
        <v>27</v>
      </c>
      <c r="E279" s="38" t="s">
        <v>121</v>
      </c>
      <c r="F279" s="38" t="s">
        <v>112</v>
      </c>
      <c r="G279" s="262"/>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5" t="s">
        <v>25</v>
      </c>
      <c r="B280" s="15" t="s">
        <v>277</v>
      </c>
      <c r="C280" s="16">
        <v>0.98958333333333337</v>
      </c>
      <c r="D280" s="15" t="s">
        <v>33</v>
      </c>
      <c r="E280" s="15" t="s">
        <v>284</v>
      </c>
      <c r="F280" s="15" t="s">
        <v>94</v>
      </c>
      <c r="G280" s="262"/>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5" t="s">
        <v>25</v>
      </c>
      <c r="B281" s="15" t="s">
        <v>277</v>
      </c>
      <c r="C281" s="16">
        <v>0.98958333333333337</v>
      </c>
      <c r="D281" s="15" t="s">
        <v>30</v>
      </c>
      <c r="E281" s="15" t="s">
        <v>284</v>
      </c>
      <c r="F281" s="15" t="s">
        <v>400</v>
      </c>
      <c r="G281" s="262"/>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38" t="s">
        <v>25</v>
      </c>
      <c r="B282" s="38" t="s">
        <v>271</v>
      </c>
      <c r="C282" s="39">
        <v>0.48958333333333331</v>
      </c>
      <c r="D282" s="38" t="s">
        <v>27</v>
      </c>
      <c r="E282" s="38" t="s">
        <v>401</v>
      </c>
      <c r="F282" s="38" t="s">
        <v>396</v>
      </c>
      <c r="G282" s="262"/>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5" t="s">
        <v>25</v>
      </c>
      <c r="B283" s="15" t="s">
        <v>271</v>
      </c>
      <c r="C283" s="16">
        <v>0.48958333333333331</v>
      </c>
      <c r="D283" s="15" t="s">
        <v>33</v>
      </c>
      <c r="E283" s="15" t="s">
        <v>402</v>
      </c>
      <c r="F283" s="15" t="s">
        <v>403</v>
      </c>
      <c r="G283" s="262"/>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25</v>
      </c>
      <c r="B284" s="15" t="s">
        <v>271</v>
      </c>
      <c r="C284" s="16">
        <v>0.48958333333333331</v>
      </c>
      <c r="D284" s="15" t="s">
        <v>30</v>
      </c>
      <c r="E284" s="15" t="s">
        <v>402</v>
      </c>
      <c r="F284" s="15" t="s">
        <v>400</v>
      </c>
      <c r="G284" s="262"/>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38" t="s">
        <v>25</v>
      </c>
      <c r="B285" s="38" t="s">
        <v>276</v>
      </c>
      <c r="C285" s="39">
        <v>0.88888888888888884</v>
      </c>
      <c r="D285" s="38" t="s">
        <v>27</v>
      </c>
      <c r="E285" s="38" t="s">
        <v>272</v>
      </c>
      <c r="F285" s="38" t="s">
        <v>396</v>
      </c>
      <c r="G285" s="262"/>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25</v>
      </c>
      <c r="B286" s="15" t="s">
        <v>276</v>
      </c>
      <c r="C286" s="16">
        <v>0.88888888888888884</v>
      </c>
      <c r="D286" s="15" t="s">
        <v>33</v>
      </c>
      <c r="E286" s="15" t="s">
        <v>274</v>
      </c>
      <c r="F286" s="15" t="s">
        <v>403</v>
      </c>
      <c r="G286" s="262"/>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25</v>
      </c>
      <c r="B287" s="15" t="s">
        <v>276</v>
      </c>
      <c r="C287" s="16">
        <v>0.88888888888888884</v>
      </c>
      <c r="D287" s="15" t="s">
        <v>30</v>
      </c>
      <c r="E287" s="15" t="s">
        <v>274</v>
      </c>
      <c r="F287" s="15" t="s">
        <v>400</v>
      </c>
      <c r="G287" s="262"/>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36" t="s">
        <v>48</v>
      </c>
      <c r="B288" s="36" t="s">
        <v>279</v>
      </c>
      <c r="C288" s="37">
        <v>0.34722222222222232</v>
      </c>
      <c r="D288" s="36" t="s">
        <v>50</v>
      </c>
      <c r="E288" s="36" t="s">
        <v>61</v>
      </c>
      <c r="F288" s="36" t="s">
        <v>275</v>
      </c>
      <c r="G288" s="262"/>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48</v>
      </c>
      <c r="B289" s="15" t="s">
        <v>279</v>
      </c>
      <c r="C289" s="16">
        <v>0.34722222222222232</v>
      </c>
      <c r="D289" s="15" t="s">
        <v>53</v>
      </c>
      <c r="E289" s="15" t="s">
        <v>64</v>
      </c>
      <c r="F289" s="15" t="s">
        <v>112</v>
      </c>
      <c r="G289" s="262"/>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48</v>
      </c>
      <c r="B290" s="15" t="s">
        <v>279</v>
      </c>
      <c r="C290" s="16">
        <v>0.34722222222222232</v>
      </c>
      <c r="D290" s="15" t="s">
        <v>56</v>
      </c>
      <c r="E290" s="15" t="s">
        <v>64</v>
      </c>
      <c r="F290" s="15" t="s">
        <v>394</v>
      </c>
      <c r="G290" s="262"/>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38" t="s">
        <v>48</v>
      </c>
      <c r="B291" s="38" t="s">
        <v>278</v>
      </c>
      <c r="C291" s="39">
        <v>0.99305555555555547</v>
      </c>
      <c r="D291" s="38" t="s">
        <v>50</v>
      </c>
      <c r="E291" s="38" t="s">
        <v>121</v>
      </c>
      <c r="F291" s="38" t="s">
        <v>395</v>
      </c>
      <c r="G291" s="262"/>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48</v>
      </c>
      <c r="B292" s="15" t="s">
        <v>278</v>
      </c>
      <c r="C292" s="16">
        <v>0.99305555555555547</v>
      </c>
      <c r="D292" s="15" t="s">
        <v>53</v>
      </c>
      <c r="E292" s="15" t="s">
        <v>284</v>
      </c>
      <c r="F292" s="15" t="s">
        <v>396</v>
      </c>
      <c r="G292" s="262"/>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48</v>
      </c>
      <c r="B293" s="15" t="s">
        <v>278</v>
      </c>
      <c r="C293" s="16">
        <v>0.99305555555555547</v>
      </c>
      <c r="D293" s="15" t="s">
        <v>56</v>
      </c>
      <c r="E293" s="15" t="s">
        <v>284</v>
      </c>
      <c r="F293" s="15" t="s">
        <v>397</v>
      </c>
      <c r="G293" s="262"/>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38" t="s">
        <v>48</v>
      </c>
      <c r="B294" s="38" t="s">
        <v>283</v>
      </c>
      <c r="C294" s="39">
        <v>0.83680555555555547</v>
      </c>
      <c r="D294" s="38" t="s">
        <v>50</v>
      </c>
      <c r="E294" s="38" t="s">
        <v>287</v>
      </c>
      <c r="F294" s="38" t="s">
        <v>395</v>
      </c>
      <c r="G294" s="262"/>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48</v>
      </c>
      <c r="B295" s="15" t="s">
        <v>283</v>
      </c>
      <c r="C295" s="16">
        <v>0.83680555555555547</v>
      </c>
      <c r="D295" s="15" t="s">
        <v>53</v>
      </c>
      <c r="E295" s="15" t="s">
        <v>31</v>
      </c>
      <c r="F295" s="15" t="s">
        <v>396</v>
      </c>
      <c r="G295" s="262"/>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5" t="s">
        <v>48</v>
      </c>
      <c r="B296" s="15" t="s">
        <v>283</v>
      </c>
      <c r="C296" s="16">
        <v>0.83680555555555547</v>
      </c>
      <c r="D296" s="15" t="s">
        <v>56</v>
      </c>
      <c r="E296" s="15" t="s">
        <v>31</v>
      </c>
      <c r="F296" s="15" t="s">
        <v>397</v>
      </c>
      <c r="G296" s="262"/>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38" t="s">
        <v>48</v>
      </c>
      <c r="B297" s="38" t="s">
        <v>285</v>
      </c>
      <c r="C297" s="39">
        <v>0.94444444444444453</v>
      </c>
      <c r="D297" s="38" t="s">
        <v>50</v>
      </c>
      <c r="E297" s="38" t="s">
        <v>118</v>
      </c>
      <c r="F297" s="38" t="s">
        <v>395</v>
      </c>
      <c r="G297" s="262"/>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48</v>
      </c>
      <c r="B298" s="15" t="s">
        <v>285</v>
      </c>
      <c r="C298" s="16">
        <v>0.94444444444444453</v>
      </c>
      <c r="D298" s="15" t="s">
        <v>53</v>
      </c>
      <c r="E298" s="15" t="s">
        <v>119</v>
      </c>
      <c r="F298" s="15" t="s">
        <v>396</v>
      </c>
      <c r="G298" s="262"/>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48</v>
      </c>
      <c r="B299" s="15" t="s">
        <v>285</v>
      </c>
      <c r="C299" s="16">
        <v>0.94444444444444453</v>
      </c>
      <c r="D299" s="15" t="s">
        <v>56</v>
      </c>
      <c r="E299" s="15" t="s">
        <v>119</v>
      </c>
      <c r="F299" s="15" t="s">
        <v>397</v>
      </c>
      <c r="G299" s="262"/>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38" t="s">
        <v>48</v>
      </c>
      <c r="B300" s="38" t="s">
        <v>286</v>
      </c>
      <c r="C300" s="39">
        <v>0.4861111111111111</v>
      </c>
      <c r="D300" s="38" t="s">
        <v>50</v>
      </c>
      <c r="E300" s="38" t="s">
        <v>80</v>
      </c>
      <c r="F300" s="38" t="s">
        <v>395</v>
      </c>
      <c r="G300" s="262"/>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48</v>
      </c>
      <c r="B301" s="15" t="s">
        <v>286</v>
      </c>
      <c r="C301" s="16">
        <v>0.4861111111111111</v>
      </c>
      <c r="D301" s="15" t="s">
        <v>53</v>
      </c>
      <c r="E301" s="15" t="s">
        <v>64</v>
      </c>
      <c r="F301" s="15" t="s">
        <v>396</v>
      </c>
      <c r="G301" s="262"/>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48</v>
      </c>
      <c r="B302" s="15" t="s">
        <v>286</v>
      </c>
      <c r="C302" s="16">
        <v>0.4861111111111111</v>
      </c>
      <c r="D302" s="15" t="s">
        <v>56</v>
      </c>
      <c r="E302" s="15" t="s">
        <v>64</v>
      </c>
      <c r="F302" s="15" t="s">
        <v>397</v>
      </c>
      <c r="G302" s="262"/>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38" t="s">
        <v>48</v>
      </c>
      <c r="B303" s="38" t="s">
        <v>289</v>
      </c>
      <c r="C303" s="39">
        <v>0.88888888888888884</v>
      </c>
      <c r="D303" s="38" t="s">
        <v>50</v>
      </c>
      <c r="E303" s="38" t="s">
        <v>72</v>
      </c>
      <c r="F303" s="38" t="s">
        <v>395</v>
      </c>
      <c r="G303" s="262"/>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48</v>
      </c>
      <c r="B304" s="15" t="s">
        <v>289</v>
      </c>
      <c r="C304" s="16">
        <v>0.88888888888888884</v>
      </c>
      <c r="D304" s="15" t="s">
        <v>53</v>
      </c>
      <c r="E304" s="15" t="s">
        <v>74</v>
      </c>
      <c r="F304" s="15" t="s">
        <v>396</v>
      </c>
      <c r="G304" s="262"/>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48</v>
      </c>
      <c r="B305" s="15" t="s">
        <v>289</v>
      </c>
      <c r="C305" s="16">
        <v>0.88888888888888884</v>
      </c>
      <c r="D305" s="15" t="s">
        <v>56</v>
      </c>
      <c r="E305" s="15" t="s">
        <v>74</v>
      </c>
      <c r="F305" s="15" t="s">
        <v>397</v>
      </c>
      <c r="G305" s="262"/>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38" t="s">
        <v>48</v>
      </c>
      <c r="B306" s="38" t="s">
        <v>282</v>
      </c>
      <c r="C306" s="39">
        <v>0.75</v>
      </c>
      <c r="D306" s="38" t="s">
        <v>50</v>
      </c>
      <c r="E306" s="38" t="s">
        <v>91</v>
      </c>
      <c r="F306" s="38" t="s">
        <v>403</v>
      </c>
      <c r="G306" s="262"/>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48</v>
      </c>
      <c r="B307" s="15" t="s">
        <v>282</v>
      </c>
      <c r="C307" s="16">
        <v>0.75</v>
      </c>
      <c r="D307" s="15" t="s">
        <v>53</v>
      </c>
      <c r="E307" s="15" t="s">
        <v>99</v>
      </c>
      <c r="F307" s="15" t="s">
        <v>101</v>
      </c>
      <c r="G307" s="262"/>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48</v>
      </c>
      <c r="B308" s="15" t="s">
        <v>282</v>
      </c>
      <c r="C308" s="16">
        <v>0.75</v>
      </c>
      <c r="D308" s="15" t="s">
        <v>56</v>
      </c>
      <c r="E308" s="15" t="s">
        <v>99</v>
      </c>
      <c r="F308" s="15" t="s">
        <v>404</v>
      </c>
      <c r="G308" s="262"/>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36" t="s">
        <v>290</v>
      </c>
      <c r="B309" s="36" t="s">
        <v>291</v>
      </c>
      <c r="C309" s="37">
        <v>5.5555555555555552E-2</v>
      </c>
      <c r="D309" s="36" t="s">
        <v>292</v>
      </c>
      <c r="E309" s="36" t="s">
        <v>405</v>
      </c>
      <c r="F309" s="36" t="s">
        <v>406</v>
      </c>
      <c r="G309" s="262"/>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5" t="s">
        <v>290</v>
      </c>
      <c r="B310" s="15" t="s">
        <v>291</v>
      </c>
      <c r="C310" s="16">
        <v>5.5555555555555552E-2</v>
      </c>
      <c r="D310" s="15" t="s">
        <v>30</v>
      </c>
      <c r="E310" s="15" t="s">
        <v>119</v>
      </c>
      <c r="F310" s="15" t="s">
        <v>407</v>
      </c>
      <c r="G310" s="262"/>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36" t="s">
        <v>295</v>
      </c>
      <c r="B311" s="36" t="s">
        <v>296</v>
      </c>
      <c r="C311" s="37">
        <v>0.49305555555555558</v>
      </c>
      <c r="D311" s="36" t="s">
        <v>37</v>
      </c>
      <c r="E311" s="36" t="s">
        <v>97</v>
      </c>
      <c r="F311" s="36" t="s">
        <v>52</v>
      </c>
      <c r="G311" s="262"/>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38" t="s">
        <v>295</v>
      </c>
      <c r="B312" s="38" t="s">
        <v>298</v>
      </c>
      <c r="C312" s="39">
        <v>4.1666666666666657E-2</v>
      </c>
      <c r="D312" s="38" t="s">
        <v>37</v>
      </c>
      <c r="E312" s="38" t="s">
        <v>86</v>
      </c>
      <c r="F312" s="38" t="s">
        <v>52</v>
      </c>
      <c r="G312" s="262"/>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36" t="s">
        <v>300</v>
      </c>
      <c r="B313" s="36" t="s">
        <v>374</v>
      </c>
      <c r="C313" s="37">
        <v>9.7222222222222224E-2</v>
      </c>
      <c r="D313" s="36" t="s">
        <v>37</v>
      </c>
      <c r="E313" s="36" t="s">
        <v>51</v>
      </c>
      <c r="F313" s="36" t="s">
        <v>408</v>
      </c>
      <c r="G313" s="262"/>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4" t="s">
        <v>35</v>
      </c>
      <c r="B314" s="174" t="s">
        <v>358</v>
      </c>
      <c r="C314" s="175">
        <v>0.90625</v>
      </c>
      <c r="D314" s="174" t="s">
        <v>37</v>
      </c>
      <c r="E314" s="174" t="s">
        <v>61</v>
      </c>
      <c r="F314" s="174" t="s">
        <v>409</v>
      </c>
      <c r="G314" s="262"/>
      <c r="H314" s="176" t="s">
        <v>331</v>
      </c>
      <c r="I314" s="202">
        <v>0.9556</v>
      </c>
      <c r="J314" s="178">
        <v>172</v>
      </c>
      <c r="K314" s="179">
        <v>45981</v>
      </c>
      <c r="L314" s="178">
        <v>25</v>
      </c>
      <c r="M314" s="178">
        <v>0</v>
      </c>
      <c r="N314" s="178">
        <v>0</v>
      </c>
      <c r="O314" s="180" t="s">
        <v>410</v>
      </c>
      <c r="P314" s="181">
        <v>0.90625</v>
      </c>
      <c r="Q314" s="178">
        <v>180</v>
      </c>
      <c r="R314" s="182" t="s">
        <v>411</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214" t="s">
        <v>35</v>
      </c>
      <c r="B315" s="214" t="s">
        <v>356</v>
      </c>
      <c r="C315" s="215">
        <v>4.8611111111111112E-2</v>
      </c>
      <c r="D315" s="214" t="s">
        <v>44</v>
      </c>
      <c r="E315" s="216"/>
      <c r="F315" s="214" t="s">
        <v>45</v>
      </c>
      <c r="G315" s="262"/>
      <c r="H315" s="186" t="s">
        <v>356</v>
      </c>
      <c r="I315" s="187">
        <v>1.0333000000000001</v>
      </c>
      <c r="J315" s="188">
        <v>186</v>
      </c>
      <c r="K315" s="189">
        <v>45974</v>
      </c>
      <c r="L315" s="188">
        <v>0</v>
      </c>
      <c r="M315" s="188">
        <v>0</v>
      </c>
      <c r="N315" s="188">
        <v>0</v>
      </c>
      <c r="O315" s="190" t="s">
        <v>46</v>
      </c>
      <c r="P315" s="191">
        <v>4.8611111111111112E-2</v>
      </c>
      <c r="Q315" s="188">
        <v>180</v>
      </c>
      <c r="R315" s="192" t="s">
        <v>412</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93" t="s">
        <v>35</v>
      </c>
      <c r="B316" s="193" t="s">
        <v>333</v>
      </c>
      <c r="C316" s="194">
        <v>0.15625</v>
      </c>
      <c r="D316" s="193" t="s">
        <v>44</v>
      </c>
      <c r="E316" s="195"/>
      <c r="F316" s="193" t="s">
        <v>45</v>
      </c>
      <c r="G316" s="262"/>
      <c r="H316" s="19" t="s">
        <v>333</v>
      </c>
      <c r="I316" s="20">
        <v>1</v>
      </c>
      <c r="J316" s="21">
        <v>180</v>
      </c>
      <c r="K316" s="22">
        <v>45983</v>
      </c>
      <c r="L316" s="21">
        <v>5</v>
      </c>
      <c r="M316" s="21">
        <v>0</v>
      </c>
      <c r="N316" s="21">
        <v>0</v>
      </c>
      <c r="O316" s="23" t="s">
        <v>46</v>
      </c>
      <c r="P316" s="24">
        <v>0.15625</v>
      </c>
      <c r="Q316" s="21">
        <v>180</v>
      </c>
      <c r="R316" s="25" t="s">
        <v>413</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96" t="s">
        <v>35</v>
      </c>
      <c r="B317" s="196" t="s">
        <v>327</v>
      </c>
      <c r="C317" s="197">
        <v>0.50347222222222221</v>
      </c>
      <c r="D317" s="196" t="s">
        <v>44</v>
      </c>
      <c r="E317" s="198"/>
      <c r="F317" s="196" t="s">
        <v>45</v>
      </c>
      <c r="G317" s="262"/>
      <c r="H317" s="151" t="s">
        <v>327</v>
      </c>
      <c r="I317" s="152">
        <v>1</v>
      </c>
      <c r="J317" s="153">
        <v>180</v>
      </c>
      <c r="K317" s="154">
        <v>45973</v>
      </c>
      <c r="L317" s="153">
        <v>0</v>
      </c>
      <c r="M317" s="153">
        <v>0</v>
      </c>
      <c r="N317" s="153">
        <v>0</v>
      </c>
      <c r="O317" s="155" t="s">
        <v>46</v>
      </c>
      <c r="P317" s="156">
        <v>0.50347222222222221</v>
      </c>
      <c r="Q317" s="153">
        <v>180</v>
      </c>
      <c r="R317" s="157" t="s">
        <v>414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36" t="s">
        <v>58</v>
      </c>
      <c r="B318" s="36" t="s">
        <v>347</v>
      </c>
      <c r="C318" s="37">
        <v>0.11805555555555559</v>
      </c>
      <c r="D318" s="36" t="s">
        <v>63</v>
      </c>
      <c r="E318" s="36" t="s">
        <v>77</v>
      </c>
      <c r="F318" s="36" t="s">
        <v>309</v>
      </c>
      <c r="G318" s="262"/>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38" t="s">
        <v>58</v>
      </c>
      <c r="B319" s="38" t="s">
        <v>311</v>
      </c>
      <c r="C319" s="39">
        <v>4.1666666666666657E-2</v>
      </c>
      <c r="D319" s="38" t="s">
        <v>63</v>
      </c>
      <c r="E319" s="38" t="s">
        <v>86</v>
      </c>
      <c r="F319" s="38" t="s">
        <v>309</v>
      </c>
      <c r="G319" s="262"/>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38" t="s">
        <v>58</v>
      </c>
      <c r="B320" s="38" t="s">
        <v>305</v>
      </c>
      <c r="C320" s="39">
        <v>0.39930555555555558</v>
      </c>
      <c r="D320" s="38" t="s">
        <v>63</v>
      </c>
      <c r="E320" s="38" t="s">
        <v>72</v>
      </c>
      <c r="F320" s="38" t="s">
        <v>349</v>
      </c>
      <c r="G320" s="262"/>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38" t="s">
        <v>58</v>
      </c>
      <c r="B321" s="38" t="s">
        <v>315</v>
      </c>
      <c r="C321" s="39">
        <v>0.70486111111111116</v>
      </c>
      <c r="D321" s="38" t="s">
        <v>63</v>
      </c>
      <c r="E321" s="38" t="s">
        <v>70</v>
      </c>
      <c r="F321" s="38" t="s">
        <v>314</v>
      </c>
      <c r="G321" s="262"/>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38" t="s">
        <v>58</v>
      </c>
      <c r="B322" s="38" t="s">
        <v>310</v>
      </c>
      <c r="C322" s="39">
        <v>0.25347222222222221</v>
      </c>
      <c r="D322" s="38" t="s">
        <v>63</v>
      </c>
      <c r="E322" s="38" t="s">
        <v>66</v>
      </c>
      <c r="F322" s="38" t="s">
        <v>314</v>
      </c>
      <c r="G322" s="262"/>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38" t="s">
        <v>58</v>
      </c>
      <c r="B323" s="38" t="s">
        <v>312</v>
      </c>
      <c r="C323" s="39">
        <v>0.94097222222222221</v>
      </c>
      <c r="D323" s="38" t="s">
        <v>63</v>
      </c>
      <c r="E323" s="38" t="s">
        <v>86</v>
      </c>
      <c r="F323" s="38" t="s">
        <v>314</v>
      </c>
      <c r="G323" s="262"/>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38" t="s">
        <v>58</v>
      </c>
      <c r="B324" s="38" t="s">
        <v>346</v>
      </c>
      <c r="C324" s="39">
        <v>0.82986111111111116</v>
      </c>
      <c r="D324" s="38" t="s">
        <v>63</v>
      </c>
      <c r="E324" s="38" t="s">
        <v>70</v>
      </c>
      <c r="F324" s="38" t="s">
        <v>415</v>
      </c>
      <c r="G324" s="262"/>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38" t="s">
        <v>58</v>
      </c>
      <c r="B325" s="38" t="s">
        <v>313</v>
      </c>
      <c r="C325" s="39">
        <v>0.72222222222222221</v>
      </c>
      <c r="D325" s="38" t="s">
        <v>63</v>
      </c>
      <c r="E325" s="38" t="s">
        <v>91</v>
      </c>
      <c r="F325" s="38" t="s">
        <v>415</v>
      </c>
      <c r="G325" s="262"/>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38" t="s">
        <v>58</v>
      </c>
      <c r="B326" s="38" t="s">
        <v>303</v>
      </c>
      <c r="C326" s="39">
        <v>0.98958333333333337</v>
      </c>
      <c r="D326" s="38" t="s">
        <v>63</v>
      </c>
      <c r="E326" s="38" t="s">
        <v>72</v>
      </c>
      <c r="F326" s="38" t="s">
        <v>398</v>
      </c>
      <c r="G326" s="262"/>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38" t="s">
        <v>58</v>
      </c>
      <c r="B327" s="38" t="s">
        <v>306</v>
      </c>
      <c r="C327" s="39">
        <v>0.48958333333333331</v>
      </c>
      <c r="D327" s="38" t="s">
        <v>63</v>
      </c>
      <c r="E327" s="38" t="s">
        <v>72</v>
      </c>
      <c r="F327" s="38" t="s">
        <v>398</v>
      </c>
      <c r="G327" s="262"/>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40" t="s">
        <v>58</v>
      </c>
      <c r="B328" s="40" t="s">
        <v>307</v>
      </c>
      <c r="C328" s="41">
        <v>0.88888888888888884</v>
      </c>
      <c r="D328" s="40" t="s">
        <v>63</v>
      </c>
      <c r="E328" s="40" t="s">
        <v>72</v>
      </c>
      <c r="F328" s="40" t="s">
        <v>398</v>
      </c>
      <c r="G328" s="263"/>
      <c r="H328" s="42"/>
      <c r="I328" s="43"/>
      <c r="J328" s="43"/>
      <c r="K328" s="43"/>
      <c r="L328" s="43"/>
      <c r="M328" s="43"/>
      <c r="N328" s="43"/>
      <c r="O328" s="44"/>
      <c r="P328" s="43"/>
      <c r="Q328" s="45"/>
      <c r="R328" s="46"/>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4.4" customHeight="1" x14ac:dyDescent="0.3">
      <c r="A329" s="285"/>
      <c r="B329" s="286"/>
      <c r="C329" s="286"/>
      <c r="D329" s="286"/>
      <c r="E329" s="286"/>
      <c r="F329" s="286"/>
      <c r="G329" s="276"/>
      <c r="H329" s="287"/>
      <c r="I329" s="287"/>
      <c r="J329" s="287"/>
      <c r="K329" s="287"/>
      <c r="L329" s="287"/>
      <c r="M329" s="287"/>
      <c r="N329" s="287"/>
      <c r="O329" s="288"/>
      <c r="P329" s="287"/>
      <c r="Q329" s="276"/>
      <c r="R329" s="277"/>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22.05" customHeight="1" x14ac:dyDescent="0.3">
      <c r="A330" s="266" t="s">
        <v>5</v>
      </c>
      <c r="B330" s="267"/>
      <c r="C330" s="267"/>
      <c r="D330" s="267"/>
      <c r="E330" s="267"/>
      <c r="F330" s="267"/>
      <c r="G330" s="5">
        <v>45991</v>
      </c>
      <c r="H330" s="270" t="s">
        <v>6</v>
      </c>
      <c r="I330" s="269"/>
      <c r="J330" s="269"/>
      <c r="K330" s="269"/>
      <c r="L330" s="269"/>
      <c r="M330" s="269"/>
      <c r="N330" s="269"/>
      <c r="O330" s="269"/>
      <c r="P330" s="269"/>
      <c r="Q330" s="269"/>
      <c r="R330" s="269"/>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24" customHeight="1" x14ac:dyDescent="0.3">
      <c r="A331" s="47" t="s">
        <v>7</v>
      </c>
      <c r="B331" s="47" t="s">
        <v>8</v>
      </c>
      <c r="C331" s="48" t="s">
        <v>9</v>
      </c>
      <c r="D331" s="47" t="s">
        <v>10</v>
      </c>
      <c r="E331" s="47" t="s">
        <v>11</v>
      </c>
      <c r="F331" s="47" t="s">
        <v>12</v>
      </c>
      <c r="G331" s="49" t="s">
        <v>13</v>
      </c>
      <c r="H331" s="47" t="s">
        <v>14</v>
      </c>
      <c r="I331" s="50" t="s">
        <v>15</v>
      </c>
      <c r="J331" s="51" t="s">
        <v>16</v>
      </c>
      <c r="K331" s="52" t="s">
        <v>17</v>
      </c>
      <c r="L331" s="51" t="s">
        <v>18</v>
      </c>
      <c r="M331" s="51" t="s">
        <v>19</v>
      </c>
      <c r="N331" s="51" t="s">
        <v>20</v>
      </c>
      <c r="O331" s="47" t="s">
        <v>21</v>
      </c>
      <c r="P331" s="48" t="s">
        <v>22</v>
      </c>
      <c r="Q331" s="51" t="s">
        <v>23</v>
      </c>
      <c r="R331" s="47" t="s">
        <v>24</v>
      </c>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8" t="s">
        <v>25</v>
      </c>
      <c r="B332" s="8" t="s">
        <v>268</v>
      </c>
      <c r="C332" s="9">
        <v>0.39930555555555558</v>
      </c>
      <c r="D332" s="8" t="s">
        <v>335</v>
      </c>
      <c r="E332" s="8" t="s">
        <v>246</v>
      </c>
      <c r="F332" s="8" t="s">
        <v>269</v>
      </c>
      <c r="G332" s="261"/>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38" t="s">
        <v>25</v>
      </c>
      <c r="B333" s="38" t="s">
        <v>271</v>
      </c>
      <c r="C333" s="39">
        <v>0.48958333333333331</v>
      </c>
      <c r="D333" s="38" t="s">
        <v>335</v>
      </c>
      <c r="E333" s="38" t="s">
        <v>91</v>
      </c>
      <c r="F333" s="38" t="s">
        <v>269</v>
      </c>
      <c r="G333" s="262"/>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38" t="s">
        <v>25</v>
      </c>
      <c r="B334" s="38" t="s">
        <v>277</v>
      </c>
      <c r="C334" s="39">
        <v>0.98958333333333337</v>
      </c>
      <c r="D334" s="38" t="s">
        <v>335</v>
      </c>
      <c r="E334" s="38" t="s">
        <v>72</v>
      </c>
      <c r="F334" s="38" t="s">
        <v>269</v>
      </c>
      <c r="G334" s="262"/>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38" t="s">
        <v>25</v>
      </c>
      <c r="B335" s="38" t="s">
        <v>276</v>
      </c>
      <c r="C335" s="39">
        <v>0.88888888888888884</v>
      </c>
      <c r="D335" s="38" t="s">
        <v>335</v>
      </c>
      <c r="E335" s="38" t="s">
        <v>70</v>
      </c>
      <c r="F335" s="38" t="s">
        <v>32</v>
      </c>
      <c r="G335" s="262"/>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83" t="s">
        <v>35</v>
      </c>
      <c r="B336" s="183" t="s">
        <v>362</v>
      </c>
      <c r="C336" s="184">
        <v>0.15625</v>
      </c>
      <c r="D336" s="183" t="s">
        <v>37</v>
      </c>
      <c r="E336" s="183" t="s">
        <v>61</v>
      </c>
      <c r="F336" s="183" t="s">
        <v>29</v>
      </c>
      <c r="G336" s="262"/>
      <c r="H336" s="186" t="s">
        <v>363</v>
      </c>
      <c r="I336" s="187">
        <v>0.99439999999999995</v>
      </c>
      <c r="J336" s="188">
        <v>179</v>
      </c>
      <c r="K336" s="189">
        <v>45982</v>
      </c>
      <c r="L336" s="188">
        <v>17</v>
      </c>
      <c r="M336" s="188">
        <v>0</v>
      </c>
      <c r="N336" s="188">
        <v>0</v>
      </c>
      <c r="O336" s="190" t="s">
        <v>169</v>
      </c>
      <c r="P336" s="191">
        <v>0.15625</v>
      </c>
      <c r="Q336" s="188">
        <v>180</v>
      </c>
      <c r="R336" s="192" t="s">
        <v>416</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99" t="s">
        <v>35</v>
      </c>
      <c r="B337" s="199" t="s">
        <v>333</v>
      </c>
      <c r="C337" s="200">
        <v>0.1423611111111111</v>
      </c>
      <c r="D337" s="199" t="s">
        <v>44</v>
      </c>
      <c r="E337" s="201"/>
      <c r="F337" s="199" t="s">
        <v>45</v>
      </c>
      <c r="G337" s="262"/>
      <c r="H337" s="176" t="s">
        <v>333</v>
      </c>
      <c r="I337" s="202">
        <v>1</v>
      </c>
      <c r="J337" s="178">
        <v>180</v>
      </c>
      <c r="K337" s="179">
        <v>45966</v>
      </c>
      <c r="L337" s="178">
        <v>0</v>
      </c>
      <c r="M337" s="178">
        <v>0</v>
      </c>
      <c r="N337" s="178">
        <v>0</v>
      </c>
      <c r="O337" s="180" t="s">
        <v>46</v>
      </c>
      <c r="P337" s="181">
        <v>0.1423611111111111</v>
      </c>
      <c r="Q337" s="178">
        <v>180</v>
      </c>
      <c r="R337" s="182" t="s">
        <v>417</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6" t="s">
        <v>35</v>
      </c>
      <c r="B338" s="196" t="s">
        <v>329</v>
      </c>
      <c r="C338" s="197">
        <v>0.33333333333333331</v>
      </c>
      <c r="D338" s="196" t="s">
        <v>44</v>
      </c>
      <c r="E338" s="198"/>
      <c r="F338" s="196" t="s">
        <v>45</v>
      </c>
      <c r="G338" s="262"/>
      <c r="H338" s="151" t="s">
        <v>329</v>
      </c>
      <c r="I338" s="152">
        <v>1</v>
      </c>
      <c r="J338" s="153">
        <v>180</v>
      </c>
      <c r="K338" s="154">
        <v>45981</v>
      </c>
      <c r="L338" s="153">
        <v>4</v>
      </c>
      <c r="M338" s="153">
        <v>0</v>
      </c>
      <c r="N338" s="153">
        <v>0</v>
      </c>
      <c r="O338" s="155" t="s">
        <v>46</v>
      </c>
      <c r="P338" s="156">
        <v>0.33333333333333331</v>
      </c>
      <c r="Q338" s="153">
        <v>180</v>
      </c>
      <c r="R338" s="157" t="s">
        <v>418</v>
      </c>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99" t="s">
        <v>35</v>
      </c>
      <c r="B339" s="199" t="s">
        <v>327</v>
      </c>
      <c r="C339" s="200">
        <v>0.4548611111111111</v>
      </c>
      <c r="D339" s="199" t="s">
        <v>44</v>
      </c>
      <c r="E339" s="201"/>
      <c r="F339" s="199" t="s">
        <v>45</v>
      </c>
      <c r="G339" s="262"/>
      <c r="H339" s="176" t="s">
        <v>327</v>
      </c>
      <c r="I339" s="202">
        <v>0.99439999999999995</v>
      </c>
      <c r="J339" s="178">
        <v>179</v>
      </c>
      <c r="K339" s="179">
        <v>45984</v>
      </c>
      <c r="L339" s="178">
        <v>24</v>
      </c>
      <c r="M339" s="178">
        <v>0</v>
      </c>
      <c r="N339" s="178">
        <v>3</v>
      </c>
      <c r="O339" s="180" t="s">
        <v>46</v>
      </c>
      <c r="P339" s="181">
        <v>0.4548611111111111</v>
      </c>
      <c r="Q339" s="178">
        <v>180</v>
      </c>
      <c r="R339" s="182" t="s">
        <v>419</v>
      </c>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26" t="s">
        <v>35</v>
      </c>
      <c r="B340" s="26" t="s">
        <v>325</v>
      </c>
      <c r="C340" s="27">
        <v>0.82986111111111116</v>
      </c>
      <c r="D340" s="26" t="s">
        <v>44</v>
      </c>
      <c r="E340" s="28"/>
      <c r="F340" s="26" t="s">
        <v>45</v>
      </c>
      <c r="G340" s="262"/>
      <c r="H340" s="29" t="s">
        <v>325</v>
      </c>
      <c r="I340" s="30">
        <v>0.99439999999999995</v>
      </c>
      <c r="J340" s="31">
        <v>179</v>
      </c>
      <c r="K340" s="32">
        <v>45985</v>
      </c>
      <c r="L340" s="31">
        <v>15</v>
      </c>
      <c r="M340" s="31">
        <v>1</v>
      </c>
      <c r="N340" s="31">
        <v>0</v>
      </c>
      <c r="O340" s="33" t="s">
        <v>46</v>
      </c>
      <c r="P340" s="34">
        <v>0.82986111111111116</v>
      </c>
      <c r="Q340" s="31">
        <v>180</v>
      </c>
      <c r="R340" s="35" t="s">
        <v>420</v>
      </c>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36" t="s">
        <v>48</v>
      </c>
      <c r="B341" s="36" t="s">
        <v>278</v>
      </c>
      <c r="C341" s="37">
        <v>0.99305555555555547</v>
      </c>
      <c r="D341" s="36" t="s">
        <v>102</v>
      </c>
      <c r="E341" s="36" t="s">
        <v>103</v>
      </c>
      <c r="F341" s="36" t="s">
        <v>29</v>
      </c>
      <c r="G341" s="262"/>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38" t="s">
        <v>48</v>
      </c>
      <c r="B342" s="38" t="s">
        <v>288</v>
      </c>
      <c r="C342" s="39">
        <v>0.3923611111111111</v>
      </c>
      <c r="D342" s="38" t="s">
        <v>102</v>
      </c>
      <c r="E342" s="38" t="s">
        <v>66</v>
      </c>
      <c r="F342" s="38" t="s">
        <v>29</v>
      </c>
      <c r="G342" s="262"/>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38" t="s">
        <v>48</v>
      </c>
      <c r="B343" s="38" t="s">
        <v>279</v>
      </c>
      <c r="C343" s="39">
        <v>0.34722222222222232</v>
      </c>
      <c r="D343" s="38" t="s">
        <v>102</v>
      </c>
      <c r="E343" s="38" t="s">
        <v>91</v>
      </c>
      <c r="F343" s="38" t="s">
        <v>32</v>
      </c>
      <c r="G343" s="262"/>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38" t="s">
        <v>48</v>
      </c>
      <c r="B344" s="38" t="s">
        <v>285</v>
      </c>
      <c r="C344" s="39">
        <v>0.94444444444444453</v>
      </c>
      <c r="D344" s="38" t="s">
        <v>102</v>
      </c>
      <c r="E344" s="38" t="s">
        <v>121</v>
      </c>
      <c r="F344" s="38" t="s">
        <v>32</v>
      </c>
      <c r="G344" s="262"/>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38" t="s">
        <v>48</v>
      </c>
      <c r="B345" s="38" t="s">
        <v>289</v>
      </c>
      <c r="C345" s="39">
        <v>0.88888888888888884</v>
      </c>
      <c r="D345" s="38" t="s">
        <v>102</v>
      </c>
      <c r="E345" s="38" t="s">
        <v>118</v>
      </c>
      <c r="F345" s="38" t="s">
        <v>32</v>
      </c>
      <c r="G345" s="262"/>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38" t="s">
        <v>48</v>
      </c>
      <c r="B346" s="38" t="s">
        <v>282</v>
      </c>
      <c r="C346" s="39">
        <v>0.73611111111111116</v>
      </c>
      <c r="D346" s="38" t="s">
        <v>102</v>
      </c>
      <c r="E346" s="38" t="s">
        <v>118</v>
      </c>
      <c r="F346" s="38" t="s">
        <v>275</v>
      </c>
      <c r="G346" s="262"/>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38" t="s">
        <v>48</v>
      </c>
      <c r="B347" s="38" t="s">
        <v>283</v>
      </c>
      <c r="C347" s="39">
        <v>0.83680555555555547</v>
      </c>
      <c r="D347" s="38" t="s">
        <v>102</v>
      </c>
      <c r="E347" s="38" t="s">
        <v>118</v>
      </c>
      <c r="F347" s="38" t="s">
        <v>275</v>
      </c>
      <c r="G347" s="262"/>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38" t="s">
        <v>48</v>
      </c>
      <c r="B348" s="38" t="s">
        <v>286</v>
      </c>
      <c r="C348" s="39">
        <v>0.4861111111111111</v>
      </c>
      <c r="D348" s="38" t="s">
        <v>102</v>
      </c>
      <c r="E348" s="38" t="s">
        <v>83</v>
      </c>
      <c r="F348" s="38" t="s">
        <v>275</v>
      </c>
      <c r="G348" s="262"/>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36" t="s">
        <v>75</v>
      </c>
      <c r="B349" s="36" t="s">
        <v>320</v>
      </c>
      <c r="C349" s="37">
        <v>0.1041666666666667</v>
      </c>
      <c r="D349" s="36" t="s">
        <v>60</v>
      </c>
      <c r="E349" s="36" t="s">
        <v>77</v>
      </c>
      <c r="F349" s="36" t="s">
        <v>338</v>
      </c>
      <c r="G349" s="262"/>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38" t="s">
        <v>75</v>
      </c>
      <c r="B350" s="38" t="s">
        <v>321</v>
      </c>
      <c r="C350" s="39">
        <v>0.78472222222222221</v>
      </c>
      <c r="D350" s="38" t="s">
        <v>60</v>
      </c>
      <c r="E350" s="38" t="s">
        <v>121</v>
      </c>
      <c r="F350" s="38" t="s">
        <v>338</v>
      </c>
      <c r="G350" s="262"/>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38" t="s">
        <v>75</v>
      </c>
      <c r="B351" s="38" t="s">
        <v>322</v>
      </c>
      <c r="C351" s="39">
        <v>0.60069444444444442</v>
      </c>
      <c r="D351" s="38" t="s">
        <v>60</v>
      </c>
      <c r="E351" s="38" t="s">
        <v>86</v>
      </c>
      <c r="F351" s="38" t="s">
        <v>338</v>
      </c>
      <c r="G351" s="262"/>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38" t="s">
        <v>75</v>
      </c>
      <c r="B352" s="38" t="s">
        <v>339</v>
      </c>
      <c r="C352" s="39">
        <v>4.8611111111111112E-2</v>
      </c>
      <c r="D352" s="38" t="s">
        <v>60</v>
      </c>
      <c r="E352" s="38" t="s">
        <v>86</v>
      </c>
      <c r="F352" s="38" t="s">
        <v>386</v>
      </c>
      <c r="G352" s="262"/>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38" t="s">
        <v>75</v>
      </c>
      <c r="B353" s="38" t="s">
        <v>318</v>
      </c>
      <c r="C353" s="39">
        <v>0.3125</v>
      </c>
      <c r="D353" s="38" t="s">
        <v>60</v>
      </c>
      <c r="E353" s="38" t="s">
        <v>72</v>
      </c>
      <c r="F353" s="38" t="s">
        <v>317</v>
      </c>
      <c r="G353" s="262"/>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38" t="s">
        <v>75</v>
      </c>
      <c r="B354" s="38" t="s">
        <v>319</v>
      </c>
      <c r="C354" s="39">
        <v>0.97222222222222221</v>
      </c>
      <c r="D354" s="38" t="s">
        <v>60</v>
      </c>
      <c r="E354" s="38" t="s">
        <v>80</v>
      </c>
      <c r="F354" s="38" t="s">
        <v>317</v>
      </c>
      <c r="G354" s="262"/>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36" t="s">
        <v>290</v>
      </c>
      <c r="B355" s="36" t="s">
        <v>341</v>
      </c>
      <c r="C355" s="37">
        <v>0.22916666666666671</v>
      </c>
      <c r="D355" s="36" t="s">
        <v>421</v>
      </c>
      <c r="E355" s="36" t="s">
        <v>405</v>
      </c>
      <c r="F355" s="36" t="s">
        <v>422</v>
      </c>
      <c r="G355" s="262"/>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36" t="s">
        <v>295</v>
      </c>
      <c r="B356" s="36" t="s">
        <v>296</v>
      </c>
      <c r="C356" s="37">
        <v>0.49305555555555558</v>
      </c>
      <c r="D356" s="36" t="s">
        <v>37</v>
      </c>
      <c r="E356" s="36" t="s">
        <v>77</v>
      </c>
      <c r="F356" s="36" t="s">
        <v>297</v>
      </c>
      <c r="G356" s="262"/>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38" t="s">
        <v>295</v>
      </c>
      <c r="B357" s="38" t="s">
        <v>298</v>
      </c>
      <c r="C357" s="39">
        <v>0.2048611111111111</v>
      </c>
      <c r="D357" s="38" t="s">
        <v>37</v>
      </c>
      <c r="E357" s="38" t="s">
        <v>86</v>
      </c>
      <c r="F357" s="38" t="s">
        <v>297</v>
      </c>
      <c r="G357" s="262"/>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36" t="s">
        <v>300</v>
      </c>
      <c r="B358" s="36" t="s">
        <v>374</v>
      </c>
      <c r="C358" s="37">
        <v>0.10069444444444441</v>
      </c>
      <c r="D358" s="36" t="s">
        <v>37</v>
      </c>
      <c r="E358" s="36" t="s">
        <v>97</v>
      </c>
      <c r="F358" s="36" t="s">
        <v>302</v>
      </c>
      <c r="G358" s="262"/>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38" t="s">
        <v>300</v>
      </c>
      <c r="B359" s="38" t="s">
        <v>423</v>
      </c>
      <c r="C359" s="39">
        <v>0.1736111111111111</v>
      </c>
      <c r="D359" s="38" t="s">
        <v>37</v>
      </c>
      <c r="E359" s="38" t="s">
        <v>91</v>
      </c>
      <c r="F359" s="38" t="s">
        <v>424</v>
      </c>
      <c r="G359" s="262"/>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36" t="s">
        <v>58</v>
      </c>
      <c r="B360" s="36" t="s">
        <v>346</v>
      </c>
      <c r="C360" s="37">
        <v>0.82986111111111116</v>
      </c>
      <c r="D360" s="36" t="s">
        <v>63</v>
      </c>
      <c r="E360" s="36" t="s">
        <v>77</v>
      </c>
      <c r="F360" s="36" t="s">
        <v>345</v>
      </c>
      <c r="G360" s="262"/>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38" t="s">
        <v>58</v>
      </c>
      <c r="B361" s="38" t="s">
        <v>312</v>
      </c>
      <c r="C361" s="39">
        <v>0.94097222222222221</v>
      </c>
      <c r="D361" s="38" t="s">
        <v>63</v>
      </c>
      <c r="E361" s="38" t="s">
        <v>86</v>
      </c>
      <c r="F361" s="38" t="s">
        <v>345</v>
      </c>
      <c r="G361" s="262"/>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38" t="s">
        <v>58</v>
      </c>
      <c r="B362" s="38" t="s">
        <v>303</v>
      </c>
      <c r="C362" s="39">
        <v>0.98958333333333337</v>
      </c>
      <c r="D362" s="38" t="s">
        <v>63</v>
      </c>
      <c r="E362" s="38" t="s">
        <v>72</v>
      </c>
      <c r="F362" s="38" t="s">
        <v>425</v>
      </c>
      <c r="G362" s="262"/>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38" t="s">
        <v>58</v>
      </c>
      <c r="B363" s="38" t="s">
        <v>305</v>
      </c>
      <c r="C363" s="39">
        <v>0.39930555555555558</v>
      </c>
      <c r="D363" s="38" t="s">
        <v>63</v>
      </c>
      <c r="E363" s="38" t="s">
        <v>72</v>
      </c>
      <c r="F363" s="38" t="s">
        <v>425</v>
      </c>
      <c r="G363" s="262"/>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38" t="s">
        <v>58</v>
      </c>
      <c r="B364" s="38" t="s">
        <v>306</v>
      </c>
      <c r="C364" s="39">
        <v>0.48958333333333331</v>
      </c>
      <c r="D364" s="38" t="s">
        <v>63</v>
      </c>
      <c r="E364" s="38" t="s">
        <v>72</v>
      </c>
      <c r="F364" s="38" t="s">
        <v>304</v>
      </c>
      <c r="G364" s="262"/>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38" t="s">
        <v>58</v>
      </c>
      <c r="B365" s="38" t="s">
        <v>308</v>
      </c>
      <c r="C365" s="39">
        <v>0.48958333333333331</v>
      </c>
      <c r="D365" s="38" t="s">
        <v>63</v>
      </c>
      <c r="E365" s="38" t="s">
        <v>287</v>
      </c>
      <c r="F365" s="38" t="s">
        <v>309</v>
      </c>
      <c r="G365" s="262"/>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38" t="s">
        <v>58</v>
      </c>
      <c r="B366" s="38" t="s">
        <v>313</v>
      </c>
      <c r="C366" s="39">
        <v>0.72222222222222221</v>
      </c>
      <c r="D366" s="38" t="s">
        <v>63</v>
      </c>
      <c r="E366" s="38" t="s">
        <v>86</v>
      </c>
      <c r="F366" s="38" t="s">
        <v>309</v>
      </c>
      <c r="G366" s="262"/>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38" t="s">
        <v>58</v>
      </c>
      <c r="B367" s="38" t="s">
        <v>315</v>
      </c>
      <c r="C367" s="39">
        <v>0.70138888888888884</v>
      </c>
      <c r="D367" s="38" t="s">
        <v>63</v>
      </c>
      <c r="E367" s="38" t="s">
        <v>91</v>
      </c>
      <c r="F367" s="38" t="s">
        <v>309</v>
      </c>
      <c r="G367" s="262"/>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38" t="s">
        <v>58</v>
      </c>
      <c r="B368" s="38" t="s">
        <v>310</v>
      </c>
      <c r="C368" s="39">
        <v>0.25347222222222221</v>
      </c>
      <c r="D368" s="38" t="s">
        <v>63</v>
      </c>
      <c r="E368" s="38" t="s">
        <v>86</v>
      </c>
      <c r="F368" s="38" t="s">
        <v>309</v>
      </c>
      <c r="G368" s="262"/>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38" t="s">
        <v>58</v>
      </c>
      <c r="B369" s="38" t="s">
        <v>307</v>
      </c>
      <c r="C369" s="39">
        <v>0.88888888888888884</v>
      </c>
      <c r="D369" s="38" t="s">
        <v>63</v>
      </c>
      <c r="E369" s="38" t="s">
        <v>72</v>
      </c>
      <c r="F369" s="38" t="s">
        <v>349</v>
      </c>
      <c r="G369" s="262"/>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40" t="s">
        <v>58</v>
      </c>
      <c r="B370" s="40" t="s">
        <v>347</v>
      </c>
      <c r="C370" s="41">
        <v>0.11805555555555559</v>
      </c>
      <c r="D370" s="40" t="s">
        <v>63</v>
      </c>
      <c r="E370" s="40" t="s">
        <v>121</v>
      </c>
      <c r="F370" s="40" t="s">
        <v>314</v>
      </c>
      <c r="G370" s="263"/>
      <c r="H370" s="42"/>
      <c r="I370" s="43"/>
      <c r="J370" s="43"/>
      <c r="K370" s="43"/>
      <c r="L370" s="43"/>
      <c r="M370" s="43"/>
      <c r="N370" s="43"/>
      <c r="O370" s="44"/>
      <c r="P370" s="43"/>
      <c r="Q370" s="45"/>
      <c r="R370" s="46"/>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4.4" customHeight="1" x14ac:dyDescent="0.3">
      <c r="A371" s="275"/>
      <c r="B371" s="276"/>
      <c r="C371" s="276"/>
      <c r="D371" s="276"/>
      <c r="E371" s="276"/>
      <c r="F371" s="276"/>
      <c r="G371" s="276"/>
      <c r="H371" s="276"/>
      <c r="I371" s="276"/>
      <c r="J371" s="276"/>
      <c r="K371" s="276"/>
      <c r="L371" s="276"/>
      <c r="M371" s="276"/>
      <c r="N371" s="276"/>
      <c r="O371" s="276"/>
      <c r="P371" s="276"/>
      <c r="Q371" s="276"/>
      <c r="R371" s="277"/>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sheetData>
  <mergeCells count="33">
    <mergeCell ref="D1:F1"/>
    <mergeCell ref="H268:R268"/>
    <mergeCell ref="A329:R329"/>
    <mergeCell ref="A1:C1"/>
    <mergeCell ref="A142:R142"/>
    <mergeCell ref="G206:G266"/>
    <mergeCell ref="G1:H1"/>
    <mergeCell ref="A70:F70"/>
    <mergeCell ref="G72:G141"/>
    <mergeCell ref="H204:R204"/>
    <mergeCell ref="G270:G328"/>
    <mergeCell ref="H70:R70"/>
    <mergeCell ref="A371:R371"/>
    <mergeCell ref="G145:G202"/>
    <mergeCell ref="K2:R2"/>
    <mergeCell ref="G6:G68"/>
    <mergeCell ref="A143:F143"/>
    <mergeCell ref="O1:Q1"/>
    <mergeCell ref="A69:R69"/>
    <mergeCell ref="A330:F330"/>
    <mergeCell ref="A268:F268"/>
    <mergeCell ref="G332:G370"/>
    <mergeCell ref="H4:R4"/>
    <mergeCell ref="A267:R267"/>
    <mergeCell ref="H330:R330"/>
    <mergeCell ref="A2:F2"/>
    <mergeCell ref="A3:R3"/>
    <mergeCell ref="A204:F204"/>
    <mergeCell ref="H143:R143"/>
    <mergeCell ref="A203:R203"/>
    <mergeCell ref="G2:J2"/>
    <mergeCell ref="A4:F4"/>
    <mergeCell ref="J1:M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3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323</v>
      </c>
      <c r="D2" s="81">
        <v>5.2083333333333343E-2</v>
      </c>
      <c r="E2" s="80" t="s">
        <v>267</v>
      </c>
      <c r="F2" s="80" t="s">
        <v>159</v>
      </c>
      <c r="G2" s="82">
        <v>1</v>
      </c>
      <c r="H2" s="83">
        <v>179</v>
      </c>
      <c r="I2" s="83">
        <v>179</v>
      </c>
      <c r="J2" s="83">
        <v>46</v>
      </c>
      <c r="K2" s="79">
        <v>45984</v>
      </c>
      <c r="L2" s="83">
        <v>0</v>
      </c>
      <c r="M2" s="83">
        <v>4</v>
      </c>
      <c r="N2" s="83">
        <v>62</v>
      </c>
      <c r="O2" s="80" t="s">
        <v>46</v>
      </c>
      <c r="P2" s="84"/>
      <c r="Q2" s="84"/>
      <c r="R2" s="84"/>
      <c r="S2" s="84"/>
      <c r="T2" s="84"/>
      <c r="U2" s="84"/>
      <c r="V2" s="83" t="s">
        <v>426</v>
      </c>
      <c r="W2" s="83" t="s">
        <v>427</v>
      </c>
      <c r="X2" s="83" t="s">
        <v>428</v>
      </c>
      <c r="Y2" s="83" t="s">
        <v>429</v>
      </c>
      <c r="Z2" s="83" t="s">
        <v>430</v>
      </c>
      <c r="AA2" s="83" t="s">
        <v>431</v>
      </c>
      <c r="AB2" s="83" t="s">
        <v>432</v>
      </c>
      <c r="AC2" s="83" t="s">
        <v>164</v>
      </c>
      <c r="AD2" s="83" t="s">
        <v>183</v>
      </c>
      <c r="AE2" s="83" t="s">
        <v>433</v>
      </c>
      <c r="AF2" s="84"/>
      <c r="AG2" s="84"/>
      <c r="AH2" s="83" t="s">
        <v>434</v>
      </c>
      <c r="AI2" s="84"/>
    </row>
    <row r="3" spans="1:35" ht="18" x14ac:dyDescent="0.3">
      <c r="A3" s="85" t="s">
        <v>158</v>
      </c>
      <c r="B3" s="86">
        <v>45986</v>
      </c>
      <c r="C3" s="87" t="s">
        <v>325</v>
      </c>
      <c r="D3" s="88">
        <v>0.38194444444444442</v>
      </c>
      <c r="E3" s="87" t="s">
        <v>267</v>
      </c>
      <c r="F3" s="87" t="s">
        <v>159</v>
      </c>
      <c r="G3" s="89">
        <v>1.0056</v>
      </c>
      <c r="H3" s="90">
        <v>180</v>
      </c>
      <c r="I3" s="90">
        <v>181</v>
      </c>
      <c r="J3" s="90">
        <v>139</v>
      </c>
      <c r="K3" s="86">
        <v>45981</v>
      </c>
      <c r="L3" s="90">
        <v>0</v>
      </c>
      <c r="M3" s="90">
        <v>0</v>
      </c>
      <c r="N3" s="90">
        <v>5</v>
      </c>
      <c r="O3" s="87" t="s">
        <v>46</v>
      </c>
      <c r="P3" s="91"/>
      <c r="Q3" s="91"/>
      <c r="R3" s="91"/>
      <c r="S3" s="91"/>
      <c r="T3" s="91"/>
      <c r="U3" s="91"/>
      <c r="V3" s="91"/>
      <c r="W3" s="91"/>
      <c r="X3" s="91"/>
      <c r="Y3" s="90" t="s">
        <v>435</v>
      </c>
      <c r="Z3" s="91"/>
      <c r="AA3" s="90" t="s">
        <v>244</v>
      </c>
      <c r="AB3" s="90" t="s">
        <v>436</v>
      </c>
      <c r="AC3" s="90" t="s">
        <v>164</v>
      </c>
      <c r="AD3" s="90" t="s">
        <v>165</v>
      </c>
      <c r="AE3" s="90" t="s">
        <v>437</v>
      </c>
      <c r="AF3" s="91"/>
      <c r="AG3" s="91"/>
      <c r="AH3" s="90" t="s">
        <v>438</v>
      </c>
      <c r="AI3" s="90" t="s">
        <v>185</v>
      </c>
    </row>
    <row r="4" spans="1:35" ht="18" x14ac:dyDescent="0.3">
      <c r="A4" s="78" t="s">
        <v>158</v>
      </c>
      <c r="B4" s="79">
        <v>45986</v>
      </c>
      <c r="C4" s="80" t="s">
        <v>327</v>
      </c>
      <c r="D4" s="81">
        <v>0.4375</v>
      </c>
      <c r="E4" s="80" t="s">
        <v>267</v>
      </c>
      <c r="F4" s="80" t="s">
        <v>159</v>
      </c>
      <c r="G4" s="82">
        <v>1</v>
      </c>
      <c r="H4" s="83">
        <v>180</v>
      </c>
      <c r="I4" s="83">
        <v>180</v>
      </c>
      <c r="J4" s="83">
        <v>93</v>
      </c>
      <c r="K4" s="79">
        <v>45984</v>
      </c>
      <c r="L4" s="83">
        <v>0</v>
      </c>
      <c r="M4" s="83">
        <v>2</v>
      </c>
      <c r="N4" s="83">
        <v>19</v>
      </c>
      <c r="O4" s="80" t="s">
        <v>46</v>
      </c>
      <c r="P4" s="84"/>
      <c r="Q4" s="84"/>
      <c r="R4" s="84"/>
      <c r="S4" s="84"/>
      <c r="T4" s="84"/>
      <c r="U4" s="84"/>
      <c r="V4" s="84"/>
      <c r="W4" s="84"/>
      <c r="X4" s="84"/>
      <c r="Y4" s="83" t="s">
        <v>439</v>
      </c>
      <c r="Z4" s="83" t="s">
        <v>430</v>
      </c>
      <c r="AA4" s="83" t="s">
        <v>440</v>
      </c>
      <c r="AB4" s="83" t="s">
        <v>163</v>
      </c>
      <c r="AC4" s="83" t="s">
        <v>441</v>
      </c>
      <c r="AD4" s="83" t="s">
        <v>442</v>
      </c>
      <c r="AE4" s="83" t="s">
        <v>166</v>
      </c>
      <c r="AF4" s="84"/>
      <c r="AG4" s="84"/>
      <c r="AH4" s="83" t="s">
        <v>443</v>
      </c>
      <c r="AI4" s="84"/>
    </row>
    <row r="5" spans="1:35" ht="18" x14ac:dyDescent="0.3">
      <c r="A5" s="85" t="s">
        <v>158</v>
      </c>
      <c r="B5" s="86">
        <v>45986</v>
      </c>
      <c r="C5" s="87" t="s">
        <v>329</v>
      </c>
      <c r="D5" s="88">
        <v>0.55208333333333337</v>
      </c>
      <c r="E5" s="87" t="s">
        <v>267</v>
      </c>
      <c r="F5" s="87" t="s">
        <v>159</v>
      </c>
      <c r="G5" s="89">
        <v>0.98329999999999995</v>
      </c>
      <c r="H5" s="90">
        <v>180</v>
      </c>
      <c r="I5" s="90">
        <v>177</v>
      </c>
      <c r="J5" s="90">
        <v>116</v>
      </c>
      <c r="K5" s="86">
        <v>45985</v>
      </c>
      <c r="L5" s="90">
        <v>1</v>
      </c>
      <c r="M5" s="90">
        <v>3</v>
      </c>
      <c r="N5" s="90">
        <v>49</v>
      </c>
      <c r="O5" s="87" t="s">
        <v>46</v>
      </c>
      <c r="P5" s="91"/>
      <c r="Q5" s="91"/>
      <c r="R5" s="91"/>
      <c r="S5" s="91"/>
      <c r="T5" s="91"/>
      <c r="U5" s="91"/>
      <c r="V5" s="91"/>
      <c r="W5" s="91"/>
      <c r="X5" s="91"/>
      <c r="Y5" s="90" t="s">
        <v>444</v>
      </c>
      <c r="Z5" s="91"/>
      <c r="AA5" s="91"/>
      <c r="AB5" s="91"/>
      <c r="AC5" s="90" t="s">
        <v>445</v>
      </c>
      <c r="AD5" s="90" t="s">
        <v>442</v>
      </c>
      <c r="AE5" s="90" t="s">
        <v>446</v>
      </c>
      <c r="AF5" s="90" t="s">
        <v>447</v>
      </c>
      <c r="AG5" s="91"/>
      <c r="AH5" s="90" t="s">
        <v>448</v>
      </c>
      <c r="AI5" s="91"/>
    </row>
    <row r="6" spans="1:35" ht="18" x14ac:dyDescent="0.3">
      <c r="A6" s="78" t="s">
        <v>158</v>
      </c>
      <c r="B6" s="79">
        <v>45986</v>
      </c>
      <c r="C6" s="80" t="s">
        <v>331</v>
      </c>
      <c r="D6" s="81">
        <v>0.75694444444444453</v>
      </c>
      <c r="E6" s="80" t="s">
        <v>267</v>
      </c>
      <c r="F6" s="80" t="s">
        <v>159</v>
      </c>
      <c r="G6" s="82">
        <v>0.99439999999999995</v>
      </c>
      <c r="H6" s="83">
        <v>180</v>
      </c>
      <c r="I6" s="83">
        <v>179</v>
      </c>
      <c r="J6" s="83">
        <v>90</v>
      </c>
      <c r="K6" s="79">
        <v>45979</v>
      </c>
      <c r="L6" s="83">
        <v>0</v>
      </c>
      <c r="M6" s="83">
        <v>0</v>
      </c>
      <c r="N6" s="83">
        <v>1</v>
      </c>
      <c r="O6" s="80" t="s">
        <v>46</v>
      </c>
      <c r="P6" s="84"/>
      <c r="Q6" s="84"/>
      <c r="R6" s="84"/>
      <c r="S6" s="84"/>
      <c r="T6" s="84"/>
      <c r="U6" s="84"/>
      <c r="V6" s="84"/>
      <c r="W6" s="84"/>
      <c r="X6" s="84"/>
      <c r="Y6" s="83" t="s">
        <v>449</v>
      </c>
      <c r="Z6" s="83" t="s">
        <v>251</v>
      </c>
      <c r="AA6" s="83" t="s">
        <v>431</v>
      </c>
      <c r="AB6" s="83" t="s">
        <v>450</v>
      </c>
      <c r="AC6" s="83" t="s">
        <v>451</v>
      </c>
      <c r="AD6" s="83" t="s">
        <v>452</v>
      </c>
      <c r="AE6" s="83" t="s">
        <v>453</v>
      </c>
      <c r="AF6" s="84"/>
      <c r="AG6" s="84"/>
      <c r="AH6" s="83" t="s">
        <v>454</v>
      </c>
      <c r="AI6" s="84"/>
    </row>
    <row r="7" spans="1:35" ht="18" x14ac:dyDescent="0.3">
      <c r="A7" s="85" t="s">
        <v>158</v>
      </c>
      <c r="B7" s="86">
        <v>45986</v>
      </c>
      <c r="C7" s="87" t="s">
        <v>333</v>
      </c>
      <c r="D7" s="88">
        <v>0.79166666666666663</v>
      </c>
      <c r="E7" s="87" t="s">
        <v>267</v>
      </c>
      <c r="F7" s="87" t="s">
        <v>159</v>
      </c>
      <c r="G7" s="89">
        <v>0.99439999999999995</v>
      </c>
      <c r="H7" s="90">
        <v>180</v>
      </c>
      <c r="I7" s="90">
        <v>179</v>
      </c>
      <c r="J7" s="90">
        <v>2</v>
      </c>
      <c r="K7" s="86">
        <v>45984</v>
      </c>
      <c r="L7" s="90">
        <v>0</v>
      </c>
      <c r="M7" s="90">
        <v>6</v>
      </c>
      <c r="N7" s="90">
        <v>103</v>
      </c>
      <c r="O7" s="87" t="s">
        <v>46</v>
      </c>
      <c r="P7" s="91"/>
      <c r="Q7" s="91"/>
      <c r="R7" s="91"/>
      <c r="S7" s="91"/>
      <c r="T7" s="91"/>
      <c r="U7" s="91"/>
      <c r="V7" s="90" t="s">
        <v>455</v>
      </c>
      <c r="W7" s="90" t="s">
        <v>427</v>
      </c>
      <c r="X7" s="90" t="s">
        <v>456</v>
      </c>
      <c r="Y7" s="90" t="s">
        <v>457</v>
      </c>
      <c r="Z7" s="90" t="s">
        <v>430</v>
      </c>
      <c r="AA7" s="90" t="s">
        <v>252</v>
      </c>
      <c r="AB7" s="90" t="s">
        <v>458</v>
      </c>
      <c r="AC7" s="90" t="s">
        <v>459</v>
      </c>
      <c r="AD7" s="90" t="s">
        <v>183</v>
      </c>
      <c r="AE7" s="90" t="s">
        <v>166</v>
      </c>
      <c r="AF7" s="91"/>
      <c r="AG7" s="91"/>
      <c r="AH7" s="90" t="s">
        <v>460</v>
      </c>
      <c r="AI7" s="90" t="s">
        <v>461</v>
      </c>
    </row>
    <row r="8" spans="1:35" ht="18" x14ac:dyDescent="0.3">
      <c r="A8" s="78" t="s">
        <v>232</v>
      </c>
      <c r="B8" s="79">
        <v>45987</v>
      </c>
      <c r="C8" s="80" t="s">
        <v>331</v>
      </c>
      <c r="D8" s="81">
        <v>0.2326388888888889</v>
      </c>
      <c r="E8" s="80" t="s">
        <v>267</v>
      </c>
      <c r="F8" s="80" t="s">
        <v>159</v>
      </c>
      <c r="G8" s="82">
        <v>1</v>
      </c>
      <c r="H8" s="83">
        <v>180</v>
      </c>
      <c r="I8" s="83">
        <v>180</v>
      </c>
      <c r="J8" s="83">
        <v>90</v>
      </c>
      <c r="K8" s="79">
        <v>45980</v>
      </c>
      <c r="L8" s="83">
        <v>0</v>
      </c>
      <c r="M8" s="83">
        <v>0</v>
      </c>
      <c r="N8" s="83">
        <v>6</v>
      </c>
      <c r="O8" s="80" t="s">
        <v>46</v>
      </c>
      <c r="P8" s="84"/>
      <c r="Q8" s="84"/>
      <c r="R8" s="84"/>
      <c r="S8" s="84"/>
      <c r="T8" s="84"/>
      <c r="U8" s="84"/>
      <c r="V8" s="84"/>
      <c r="W8" s="84"/>
      <c r="X8" s="84"/>
      <c r="Y8" s="83" t="s">
        <v>435</v>
      </c>
      <c r="Z8" s="83" t="s">
        <v>462</v>
      </c>
      <c r="AA8" s="83" t="s">
        <v>431</v>
      </c>
      <c r="AB8" s="83" t="s">
        <v>262</v>
      </c>
      <c r="AC8" s="83" t="s">
        <v>451</v>
      </c>
      <c r="AD8" s="83" t="s">
        <v>463</v>
      </c>
      <c r="AE8" s="83" t="s">
        <v>464</v>
      </c>
      <c r="AF8" s="84"/>
      <c r="AG8" s="84"/>
      <c r="AH8" s="83" t="s">
        <v>454</v>
      </c>
      <c r="AI8" s="84"/>
    </row>
    <row r="9" spans="1:35" ht="18" x14ac:dyDescent="0.3">
      <c r="A9" s="85" t="s">
        <v>232</v>
      </c>
      <c r="B9" s="86">
        <v>45987</v>
      </c>
      <c r="C9" s="87" t="s">
        <v>333</v>
      </c>
      <c r="D9" s="88">
        <v>0.34027777777777768</v>
      </c>
      <c r="E9" s="87" t="s">
        <v>267</v>
      </c>
      <c r="F9" s="87" t="s">
        <v>159</v>
      </c>
      <c r="G9" s="89">
        <v>0.99439999999999995</v>
      </c>
      <c r="H9" s="90">
        <v>180</v>
      </c>
      <c r="I9" s="90">
        <v>179</v>
      </c>
      <c r="J9" s="90">
        <v>51</v>
      </c>
      <c r="K9" s="86">
        <v>45983</v>
      </c>
      <c r="L9" s="90">
        <v>0</v>
      </c>
      <c r="M9" s="90">
        <v>0</v>
      </c>
      <c r="N9" s="90">
        <v>50</v>
      </c>
      <c r="O9" s="87" t="s">
        <v>46</v>
      </c>
      <c r="P9" s="91"/>
      <c r="Q9" s="91"/>
      <c r="R9" s="91"/>
      <c r="S9" s="91"/>
      <c r="T9" s="91"/>
      <c r="U9" s="91"/>
      <c r="V9" s="91"/>
      <c r="W9" s="91"/>
      <c r="X9" s="90" t="s">
        <v>180</v>
      </c>
      <c r="Y9" s="90" t="s">
        <v>465</v>
      </c>
      <c r="Z9" s="90" t="s">
        <v>466</v>
      </c>
      <c r="AA9" s="90" t="s">
        <v>467</v>
      </c>
      <c r="AB9" s="90" t="s">
        <v>468</v>
      </c>
      <c r="AC9" s="90" t="s">
        <v>469</v>
      </c>
      <c r="AD9" s="90" t="s">
        <v>463</v>
      </c>
      <c r="AE9" s="90" t="s">
        <v>464</v>
      </c>
      <c r="AF9" s="91"/>
      <c r="AG9" s="91"/>
      <c r="AH9" s="90" t="s">
        <v>470</v>
      </c>
      <c r="AI9" s="91"/>
    </row>
    <row r="10" spans="1:35" ht="18" x14ac:dyDescent="0.3">
      <c r="A10" s="78" t="s">
        <v>232</v>
      </c>
      <c r="B10" s="79">
        <v>45987</v>
      </c>
      <c r="C10" s="80" t="s">
        <v>329</v>
      </c>
      <c r="D10" s="81">
        <v>0.34375</v>
      </c>
      <c r="E10" s="80" t="s">
        <v>267</v>
      </c>
      <c r="F10" s="80" t="s">
        <v>159</v>
      </c>
      <c r="G10" s="82">
        <v>0.99439999999999995</v>
      </c>
      <c r="H10" s="83">
        <v>180</v>
      </c>
      <c r="I10" s="83">
        <v>179</v>
      </c>
      <c r="J10" s="83">
        <v>90</v>
      </c>
      <c r="K10" s="79">
        <v>45980</v>
      </c>
      <c r="L10" s="83">
        <v>0</v>
      </c>
      <c r="M10" s="83">
        <v>0</v>
      </c>
      <c r="N10" s="83">
        <v>8</v>
      </c>
      <c r="O10" s="80" t="s">
        <v>46</v>
      </c>
      <c r="P10" s="84"/>
      <c r="Q10" s="84"/>
      <c r="R10" s="84"/>
      <c r="S10" s="84"/>
      <c r="T10" s="84"/>
      <c r="U10" s="84"/>
      <c r="V10" s="84"/>
      <c r="W10" s="84"/>
      <c r="X10" s="84"/>
      <c r="Y10" s="84"/>
      <c r="Z10" s="84"/>
      <c r="AA10" s="83" t="s">
        <v>431</v>
      </c>
      <c r="AB10" s="83" t="s">
        <v>458</v>
      </c>
      <c r="AC10" s="83" t="s">
        <v>254</v>
      </c>
      <c r="AD10" s="83" t="s">
        <v>463</v>
      </c>
      <c r="AE10" s="83" t="s">
        <v>464</v>
      </c>
      <c r="AF10" s="84"/>
      <c r="AG10" s="84"/>
      <c r="AH10" s="83" t="s">
        <v>454</v>
      </c>
      <c r="AI10" s="83" t="s">
        <v>185</v>
      </c>
    </row>
    <row r="11" spans="1:35" ht="18" x14ac:dyDescent="0.3">
      <c r="A11" s="85" t="s">
        <v>232</v>
      </c>
      <c r="B11" s="86">
        <v>45987</v>
      </c>
      <c r="C11" s="87" t="s">
        <v>327</v>
      </c>
      <c r="D11" s="88">
        <v>0.4375</v>
      </c>
      <c r="E11" s="87" t="s">
        <v>267</v>
      </c>
      <c r="F11" s="87" t="s">
        <v>159</v>
      </c>
      <c r="G11" s="89">
        <v>0.99439999999999995</v>
      </c>
      <c r="H11" s="90">
        <v>180</v>
      </c>
      <c r="I11" s="90">
        <v>179</v>
      </c>
      <c r="J11" s="90">
        <v>114</v>
      </c>
      <c r="K11" s="86">
        <v>45983</v>
      </c>
      <c r="L11" s="90">
        <v>0</v>
      </c>
      <c r="M11" s="90">
        <v>0</v>
      </c>
      <c r="N11" s="90">
        <v>49</v>
      </c>
      <c r="O11" s="87" t="s">
        <v>46</v>
      </c>
      <c r="P11" s="91"/>
      <c r="Q11" s="91"/>
      <c r="R11" s="91"/>
      <c r="S11" s="91"/>
      <c r="T11" s="91"/>
      <c r="U11" s="91"/>
      <c r="V11" s="91"/>
      <c r="W11" s="91"/>
      <c r="X11" s="91"/>
      <c r="Y11" s="90" t="s">
        <v>471</v>
      </c>
      <c r="Z11" s="90" t="s">
        <v>472</v>
      </c>
      <c r="AA11" s="90" t="s">
        <v>431</v>
      </c>
      <c r="AB11" s="90" t="s">
        <v>473</v>
      </c>
      <c r="AC11" s="90" t="s">
        <v>441</v>
      </c>
      <c r="AD11" s="90" t="s">
        <v>165</v>
      </c>
      <c r="AE11" s="90" t="s">
        <v>474</v>
      </c>
      <c r="AF11" s="91"/>
      <c r="AG11" s="91"/>
      <c r="AH11" s="90" t="s">
        <v>475</v>
      </c>
      <c r="AI11" s="91"/>
    </row>
    <row r="12" spans="1:35" ht="18" x14ac:dyDescent="0.3">
      <c r="A12" s="78" t="s">
        <v>232</v>
      </c>
      <c r="B12" s="79">
        <v>45987</v>
      </c>
      <c r="C12" s="80" t="s">
        <v>323</v>
      </c>
      <c r="D12" s="81">
        <v>0.9375</v>
      </c>
      <c r="E12" s="80" t="s">
        <v>267</v>
      </c>
      <c r="F12" s="80" t="s">
        <v>159</v>
      </c>
      <c r="G12" s="82">
        <v>0.99439999999999995</v>
      </c>
      <c r="H12" s="83">
        <v>180</v>
      </c>
      <c r="I12" s="83">
        <v>179</v>
      </c>
      <c r="J12" s="83">
        <v>0</v>
      </c>
      <c r="K12" s="79">
        <v>45984</v>
      </c>
      <c r="L12" s="83">
        <v>0</v>
      </c>
      <c r="M12" s="83">
        <v>7</v>
      </c>
      <c r="N12" s="83">
        <v>81</v>
      </c>
      <c r="O12" s="80" t="s">
        <v>46</v>
      </c>
      <c r="P12" s="84"/>
      <c r="Q12" s="84"/>
      <c r="R12" s="84"/>
      <c r="S12" s="84"/>
      <c r="T12" s="84"/>
      <c r="U12" s="84"/>
      <c r="V12" s="83" t="s">
        <v>476</v>
      </c>
      <c r="W12" s="83" t="s">
        <v>477</v>
      </c>
      <c r="X12" s="83" t="s">
        <v>478</v>
      </c>
      <c r="Y12" s="83" t="s">
        <v>479</v>
      </c>
      <c r="Z12" s="83" t="s">
        <v>466</v>
      </c>
      <c r="AA12" s="83" t="s">
        <v>480</v>
      </c>
      <c r="AB12" s="83" t="s">
        <v>163</v>
      </c>
      <c r="AC12" s="83" t="s">
        <v>182</v>
      </c>
      <c r="AD12" s="83" t="s">
        <v>481</v>
      </c>
      <c r="AE12" s="83" t="s">
        <v>166</v>
      </c>
      <c r="AF12" s="84"/>
      <c r="AG12" s="84"/>
      <c r="AH12" s="84"/>
      <c r="AI12" s="84"/>
    </row>
    <row r="13" spans="1:35" ht="18" x14ac:dyDescent="0.3">
      <c r="A13" s="85" t="s">
        <v>176</v>
      </c>
      <c r="B13" s="86">
        <v>45988</v>
      </c>
      <c r="C13" s="87" t="s">
        <v>356</v>
      </c>
      <c r="D13" s="88">
        <v>6.5972222222222224E-2</v>
      </c>
      <c r="E13" s="87" t="s">
        <v>267</v>
      </c>
      <c r="F13" s="87" t="s">
        <v>159</v>
      </c>
      <c r="G13" s="89">
        <v>0.9778</v>
      </c>
      <c r="H13" s="90">
        <v>180</v>
      </c>
      <c r="I13" s="90">
        <v>176</v>
      </c>
      <c r="J13" s="90">
        <v>0</v>
      </c>
      <c r="K13" s="86">
        <v>45985</v>
      </c>
      <c r="L13" s="90">
        <v>1</v>
      </c>
      <c r="M13" s="90">
        <v>3</v>
      </c>
      <c r="N13" s="90">
        <v>60</v>
      </c>
      <c r="O13" s="87" t="s">
        <v>169</v>
      </c>
      <c r="P13" s="91"/>
      <c r="Q13" s="91"/>
      <c r="R13" s="91"/>
      <c r="S13" s="91"/>
      <c r="T13" s="91"/>
      <c r="U13" s="91"/>
      <c r="V13" s="90" t="s">
        <v>426</v>
      </c>
      <c r="W13" s="90" t="s">
        <v>482</v>
      </c>
      <c r="X13" s="90" t="s">
        <v>483</v>
      </c>
      <c r="Y13" s="90" t="s">
        <v>484</v>
      </c>
      <c r="Z13" s="90" t="s">
        <v>485</v>
      </c>
      <c r="AA13" s="90" t="s">
        <v>486</v>
      </c>
      <c r="AB13" s="90" t="s">
        <v>262</v>
      </c>
      <c r="AC13" s="90" t="s">
        <v>182</v>
      </c>
      <c r="AD13" s="90" t="s">
        <v>183</v>
      </c>
      <c r="AE13" s="90" t="s">
        <v>433</v>
      </c>
      <c r="AF13" s="91"/>
      <c r="AG13" s="91"/>
      <c r="AH13" s="91"/>
      <c r="AI13" s="91"/>
    </row>
    <row r="14" spans="1:35" ht="18" x14ac:dyDescent="0.3">
      <c r="A14" s="78" t="s">
        <v>176</v>
      </c>
      <c r="B14" s="79">
        <v>45988</v>
      </c>
      <c r="C14" s="80" t="s">
        <v>333</v>
      </c>
      <c r="D14" s="81">
        <v>0.15625</v>
      </c>
      <c r="E14" s="80" t="s">
        <v>267</v>
      </c>
      <c r="F14" s="80" t="s">
        <v>159</v>
      </c>
      <c r="G14" s="82">
        <v>0.99439999999999995</v>
      </c>
      <c r="H14" s="83">
        <v>180</v>
      </c>
      <c r="I14" s="83">
        <v>179</v>
      </c>
      <c r="J14" s="83">
        <v>65</v>
      </c>
      <c r="K14" s="79">
        <v>45984</v>
      </c>
      <c r="L14" s="83">
        <v>0</v>
      </c>
      <c r="M14" s="83">
        <v>1</v>
      </c>
      <c r="N14" s="83">
        <v>23</v>
      </c>
      <c r="O14" s="80" t="s">
        <v>46</v>
      </c>
      <c r="P14" s="84"/>
      <c r="Q14" s="84"/>
      <c r="R14" s="84"/>
      <c r="S14" s="84"/>
      <c r="T14" s="84"/>
      <c r="U14" s="84"/>
      <c r="V14" s="84"/>
      <c r="W14" s="83" t="s">
        <v>238</v>
      </c>
      <c r="X14" s="83" t="s">
        <v>428</v>
      </c>
      <c r="Y14" s="83" t="s">
        <v>487</v>
      </c>
      <c r="Z14" s="83" t="s">
        <v>488</v>
      </c>
      <c r="AA14" s="83" t="s">
        <v>489</v>
      </c>
      <c r="AB14" s="83" t="s">
        <v>490</v>
      </c>
      <c r="AC14" s="83" t="s">
        <v>441</v>
      </c>
      <c r="AD14" s="83" t="s">
        <v>491</v>
      </c>
      <c r="AE14" s="83" t="s">
        <v>433</v>
      </c>
      <c r="AF14" s="84"/>
      <c r="AG14" s="84"/>
      <c r="AH14" s="83" t="s">
        <v>492</v>
      </c>
      <c r="AI14" s="84"/>
    </row>
    <row r="15" spans="1:35" ht="18" x14ac:dyDescent="0.3">
      <c r="A15" s="85" t="s">
        <v>176</v>
      </c>
      <c r="B15" s="86">
        <v>45988</v>
      </c>
      <c r="C15" s="87" t="s">
        <v>363</v>
      </c>
      <c r="D15" s="88">
        <v>0.1875</v>
      </c>
      <c r="E15" s="87" t="s">
        <v>267</v>
      </c>
      <c r="F15" s="87" t="s">
        <v>159</v>
      </c>
      <c r="G15" s="89">
        <v>0.9889</v>
      </c>
      <c r="H15" s="90">
        <v>180</v>
      </c>
      <c r="I15" s="90">
        <v>178</v>
      </c>
      <c r="J15" s="90">
        <v>45</v>
      </c>
      <c r="K15" s="86">
        <v>45985</v>
      </c>
      <c r="L15" s="90">
        <v>1</v>
      </c>
      <c r="M15" s="90">
        <v>2</v>
      </c>
      <c r="N15" s="90">
        <v>56</v>
      </c>
      <c r="O15" s="87" t="s">
        <v>168</v>
      </c>
      <c r="P15" s="91"/>
      <c r="Q15" s="91"/>
      <c r="R15" s="91"/>
      <c r="S15" s="91"/>
      <c r="T15" s="91"/>
      <c r="U15" s="91"/>
      <c r="V15" s="90" t="s">
        <v>360</v>
      </c>
      <c r="W15" s="90" t="s">
        <v>482</v>
      </c>
      <c r="X15" s="90" t="s">
        <v>493</v>
      </c>
      <c r="Y15" s="90" t="s">
        <v>494</v>
      </c>
      <c r="Z15" s="90" t="s">
        <v>488</v>
      </c>
      <c r="AA15" s="90" t="s">
        <v>486</v>
      </c>
      <c r="AB15" s="90" t="s">
        <v>495</v>
      </c>
      <c r="AC15" s="90" t="s">
        <v>263</v>
      </c>
      <c r="AD15" s="90" t="s">
        <v>491</v>
      </c>
      <c r="AE15" s="90" t="s">
        <v>437</v>
      </c>
      <c r="AF15" s="91"/>
      <c r="AG15" s="91"/>
      <c r="AH15" s="90" t="s">
        <v>496</v>
      </c>
      <c r="AI15" s="91"/>
    </row>
    <row r="16" spans="1:35" ht="18" x14ac:dyDescent="0.3">
      <c r="A16" s="78" t="s">
        <v>176</v>
      </c>
      <c r="B16" s="79">
        <v>45988</v>
      </c>
      <c r="C16" s="80" t="s">
        <v>327</v>
      </c>
      <c r="D16" s="81">
        <v>0.40625</v>
      </c>
      <c r="E16" s="80" t="s">
        <v>267</v>
      </c>
      <c r="F16" s="80" t="s">
        <v>159</v>
      </c>
      <c r="G16" s="82">
        <v>1</v>
      </c>
      <c r="H16" s="83">
        <v>180</v>
      </c>
      <c r="I16" s="83">
        <v>180</v>
      </c>
      <c r="J16" s="83">
        <v>135</v>
      </c>
      <c r="K16" s="79">
        <v>45960</v>
      </c>
      <c r="L16" s="83">
        <v>0</v>
      </c>
      <c r="M16" s="83">
        <v>0</v>
      </c>
      <c r="N16" s="83">
        <v>0</v>
      </c>
      <c r="O16" s="80" t="s">
        <v>46</v>
      </c>
      <c r="P16" s="84"/>
      <c r="Q16" s="84"/>
      <c r="R16" s="84"/>
      <c r="S16" s="84"/>
      <c r="T16" s="84"/>
      <c r="U16" s="84"/>
      <c r="V16" s="84"/>
      <c r="W16" s="84"/>
      <c r="X16" s="84"/>
      <c r="Y16" s="84"/>
      <c r="Z16" s="84"/>
      <c r="AA16" s="84"/>
      <c r="AB16" s="83" t="s">
        <v>497</v>
      </c>
      <c r="AC16" s="83" t="s">
        <v>441</v>
      </c>
      <c r="AD16" s="83" t="s">
        <v>183</v>
      </c>
      <c r="AE16" s="83" t="s">
        <v>433</v>
      </c>
      <c r="AF16" s="84"/>
      <c r="AG16" s="84"/>
      <c r="AH16" s="83" t="s">
        <v>184</v>
      </c>
      <c r="AI16" s="84"/>
    </row>
    <row r="17" spans="1:35" ht="18" x14ac:dyDescent="0.3">
      <c r="A17" s="85" t="s">
        <v>176</v>
      </c>
      <c r="B17" s="86">
        <v>45988</v>
      </c>
      <c r="C17" s="87" t="s">
        <v>325</v>
      </c>
      <c r="D17" s="88">
        <v>0.5625</v>
      </c>
      <c r="E17" s="87" t="s">
        <v>267</v>
      </c>
      <c r="F17" s="87" t="s">
        <v>159</v>
      </c>
      <c r="G17" s="89">
        <v>0.9889</v>
      </c>
      <c r="H17" s="90">
        <v>180</v>
      </c>
      <c r="I17" s="90">
        <v>178</v>
      </c>
      <c r="J17" s="90">
        <v>132</v>
      </c>
      <c r="K17" s="86">
        <v>45984</v>
      </c>
      <c r="L17" s="90">
        <v>0</v>
      </c>
      <c r="M17" s="90">
        <v>4</v>
      </c>
      <c r="N17" s="90">
        <v>4</v>
      </c>
      <c r="O17" s="87" t="s">
        <v>367</v>
      </c>
      <c r="P17" s="91"/>
      <c r="Q17" s="91"/>
      <c r="R17" s="91"/>
      <c r="S17" s="91"/>
      <c r="T17" s="91"/>
      <c r="U17" s="90" t="s">
        <v>498</v>
      </c>
      <c r="V17" s="91"/>
      <c r="W17" s="90" t="s">
        <v>499</v>
      </c>
      <c r="X17" s="91"/>
      <c r="Y17" s="90" t="s">
        <v>471</v>
      </c>
      <c r="Z17" s="90" t="s">
        <v>251</v>
      </c>
      <c r="AA17" s="90" t="s">
        <v>500</v>
      </c>
      <c r="AB17" s="90" t="s">
        <v>501</v>
      </c>
      <c r="AC17" s="90" t="s">
        <v>502</v>
      </c>
      <c r="AD17" s="90" t="s">
        <v>264</v>
      </c>
      <c r="AE17" s="90" t="s">
        <v>437</v>
      </c>
      <c r="AF17" s="91"/>
      <c r="AG17" s="91"/>
      <c r="AH17" s="90" t="s">
        <v>503</v>
      </c>
      <c r="AI17" s="91"/>
    </row>
    <row r="18" spans="1:35" ht="18" x14ac:dyDescent="0.3">
      <c r="A18" s="78" t="s">
        <v>176</v>
      </c>
      <c r="B18" s="79">
        <v>45988</v>
      </c>
      <c r="C18" s="80" t="s">
        <v>331</v>
      </c>
      <c r="D18" s="81">
        <v>0.9375</v>
      </c>
      <c r="E18" s="80" t="s">
        <v>267</v>
      </c>
      <c r="F18" s="80" t="s">
        <v>159</v>
      </c>
      <c r="G18" s="82">
        <v>0.9778</v>
      </c>
      <c r="H18" s="83">
        <v>180</v>
      </c>
      <c r="I18" s="83">
        <v>176</v>
      </c>
      <c r="J18" s="83">
        <v>0</v>
      </c>
      <c r="K18" s="79">
        <v>45984</v>
      </c>
      <c r="L18" s="83">
        <v>0</v>
      </c>
      <c r="M18" s="83">
        <v>15</v>
      </c>
      <c r="N18" s="83">
        <v>40</v>
      </c>
      <c r="O18" s="80" t="s">
        <v>360</v>
      </c>
      <c r="P18" s="84"/>
      <c r="Q18" s="84"/>
      <c r="R18" s="84"/>
      <c r="S18" s="84"/>
      <c r="T18" s="84"/>
      <c r="U18" s="83" t="s">
        <v>504</v>
      </c>
      <c r="V18" s="83" t="s">
        <v>505</v>
      </c>
      <c r="W18" s="83" t="s">
        <v>506</v>
      </c>
      <c r="X18" s="83" t="s">
        <v>428</v>
      </c>
      <c r="Y18" s="83" t="s">
        <v>507</v>
      </c>
      <c r="Z18" s="83" t="s">
        <v>430</v>
      </c>
      <c r="AA18" s="83" t="s">
        <v>489</v>
      </c>
      <c r="AB18" s="83" t="s">
        <v>473</v>
      </c>
      <c r="AC18" s="83" t="s">
        <v>508</v>
      </c>
      <c r="AD18" s="83" t="s">
        <v>183</v>
      </c>
      <c r="AE18" s="83" t="s">
        <v>166</v>
      </c>
      <c r="AF18" s="84"/>
      <c r="AG18" s="84"/>
      <c r="AH18" s="84"/>
      <c r="AI18" s="83" t="s">
        <v>509</v>
      </c>
    </row>
    <row r="19" spans="1:35" ht="18" x14ac:dyDescent="0.3">
      <c r="A19" s="85" t="s">
        <v>510</v>
      </c>
      <c r="B19" s="86">
        <v>45989</v>
      </c>
      <c r="C19" s="87" t="s">
        <v>333</v>
      </c>
      <c r="D19" s="88">
        <v>0.1423611111111111</v>
      </c>
      <c r="E19" s="87" t="s">
        <v>267</v>
      </c>
      <c r="F19" s="87" t="s">
        <v>159</v>
      </c>
      <c r="G19" s="89">
        <v>1</v>
      </c>
      <c r="H19" s="90">
        <v>180</v>
      </c>
      <c r="I19" s="90">
        <v>180</v>
      </c>
      <c r="J19" s="90">
        <v>35</v>
      </c>
      <c r="K19" s="86">
        <v>45980</v>
      </c>
      <c r="L19" s="90">
        <v>0</v>
      </c>
      <c r="M19" s="90">
        <v>0</v>
      </c>
      <c r="N19" s="90">
        <v>18</v>
      </c>
      <c r="O19" s="87" t="s">
        <v>46</v>
      </c>
      <c r="P19" s="91"/>
      <c r="Q19" s="91"/>
      <c r="R19" s="91"/>
      <c r="S19" s="91"/>
      <c r="T19" s="91"/>
      <c r="U19" s="90" t="s">
        <v>511</v>
      </c>
      <c r="V19" s="90" t="s">
        <v>512</v>
      </c>
      <c r="W19" s="90" t="s">
        <v>513</v>
      </c>
      <c r="X19" s="90" t="s">
        <v>428</v>
      </c>
      <c r="Y19" s="90" t="s">
        <v>514</v>
      </c>
      <c r="Z19" s="90" t="s">
        <v>515</v>
      </c>
      <c r="AA19" s="90" t="s">
        <v>489</v>
      </c>
      <c r="AB19" s="90" t="s">
        <v>450</v>
      </c>
      <c r="AC19" s="90" t="s">
        <v>516</v>
      </c>
      <c r="AD19" s="90" t="s">
        <v>183</v>
      </c>
      <c r="AE19" s="90" t="s">
        <v>166</v>
      </c>
      <c r="AF19" s="91"/>
      <c r="AG19" s="91"/>
      <c r="AH19" s="90" t="s">
        <v>517</v>
      </c>
      <c r="AI19" s="90" t="s">
        <v>461</v>
      </c>
    </row>
    <row r="20" spans="1:35" ht="18" x14ac:dyDescent="0.3">
      <c r="A20" s="78" t="s">
        <v>510</v>
      </c>
      <c r="B20" s="79">
        <v>45989</v>
      </c>
      <c r="C20" s="80" t="s">
        <v>327</v>
      </c>
      <c r="D20" s="81">
        <v>0.28125</v>
      </c>
      <c r="E20" s="80" t="s">
        <v>267</v>
      </c>
      <c r="F20" s="80" t="s">
        <v>159</v>
      </c>
      <c r="G20" s="82">
        <v>0.98329999999999995</v>
      </c>
      <c r="H20" s="83">
        <v>180</v>
      </c>
      <c r="I20" s="83">
        <v>177</v>
      </c>
      <c r="J20" s="83">
        <v>0</v>
      </c>
      <c r="K20" s="79">
        <v>45984</v>
      </c>
      <c r="L20" s="83">
        <v>0</v>
      </c>
      <c r="M20" s="83">
        <v>5</v>
      </c>
      <c r="N20" s="83">
        <v>52</v>
      </c>
      <c r="O20" s="80" t="s">
        <v>383</v>
      </c>
      <c r="P20" s="84"/>
      <c r="Q20" s="84"/>
      <c r="R20" s="84"/>
      <c r="S20" s="84"/>
      <c r="T20" s="84"/>
      <c r="U20" s="83" t="s">
        <v>518</v>
      </c>
      <c r="V20" s="83" t="s">
        <v>519</v>
      </c>
      <c r="W20" s="83" t="s">
        <v>520</v>
      </c>
      <c r="X20" s="83" t="s">
        <v>521</v>
      </c>
      <c r="Y20" s="83" t="s">
        <v>429</v>
      </c>
      <c r="Z20" s="83" t="s">
        <v>515</v>
      </c>
      <c r="AA20" s="83" t="s">
        <v>431</v>
      </c>
      <c r="AB20" s="83" t="s">
        <v>450</v>
      </c>
      <c r="AC20" s="83" t="s">
        <v>441</v>
      </c>
      <c r="AD20" s="83" t="s">
        <v>442</v>
      </c>
      <c r="AE20" s="83" t="s">
        <v>166</v>
      </c>
      <c r="AF20" s="84"/>
      <c r="AG20" s="84"/>
      <c r="AH20" s="84"/>
      <c r="AI20" s="84"/>
    </row>
    <row r="21" spans="1:35" ht="18" x14ac:dyDescent="0.3">
      <c r="A21" s="85" t="s">
        <v>510</v>
      </c>
      <c r="B21" s="86">
        <v>45989</v>
      </c>
      <c r="C21" s="87" t="s">
        <v>325</v>
      </c>
      <c r="D21" s="88">
        <v>0.4375</v>
      </c>
      <c r="E21" s="87" t="s">
        <v>267</v>
      </c>
      <c r="F21" s="87" t="s">
        <v>159</v>
      </c>
      <c r="G21" s="89">
        <v>0.9889</v>
      </c>
      <c r="H21" s="90">
        <v>180</v>
      </c>
      <c r="I21" s="90">
        <v>178</v>
      </c>
      <c r="J21" s="90">
        <v>45</v>
      </c>
      <c r="K21" s="86">
        <v>45984</v>
      </c>
      <c r="L21" s="90">
        <v>0</v>
      </c>
      <c r="M21" s="90">
        <v>3</v>
      </c>
      <c r="N21" s="90">
        <v>28</v>
      </c>
      <c r="O21" s="87" t="s">
        <v>126</v>
      </c>
      <c r="P21" s="91"/>
      <c r="Q21" s="91"/>
      <c r="R21" s="91"/>
      <c r="S21" s="91"/>
      <c r="T21" s="91"/>
      <c r="U21" s="90" t="s">
        <v>522</v>
      </c>
      <c r="V21" s="90" t="s">
        <v>523</v>
      </c>
      <c r="W21" s="90" t="s">
        <v>524</v>
      </c>
      <c r="X21" s="90" t="s">
        <v>525</v>
      </c>
      <c r="Y21" s="90" t="s">
        <v>439</v>
      </c>
      <c r="Z21" s="90" t="s">
        <v>488</v>
      </c>
      <c r="AA21" s="90" t="s">
        <v>489</v>
      </c>
      <c r="AB21" s="90" t="s">
        <v>436</v>
      </c>
      <c r="AC21" s="90" t="s">
        <v>526</v>
      </c>
      <c r="AD21" s="90" t="s">
        <v>527</v>
      </c>
      <c r="AE21" s="90" t="s">
        <v>528</v>
      </c>
      <c r="AF21" s="91"/>
      <c r="AG21" s="91"/>
      <c r="AH21" s="90" t="s">
        <v>496</v>
      </c>
      <c r="AI21" s="91"/>
    </row>
    <row r="22" spans="1:35" ht="18" x14ac:dyDescent="0.3">
      <c r="A22" s="78" t="s">
        <v>510</v>
      </c>
      <c r="B22" s="79">
        <v>45989</v>
      </c>
      <c r="C22" s="80" t="s">
        <v>323</v>
      </c>
      <c r="D22" s="81">
        <v>0.55902777777777779</v>
      </c>
      <c r="E22" s="80" t="s">
        <v>267</v>
      </c>
      <c r="F22" s="80" t="s">
        <v>159</v>
      </c>
      <c r="G22" s="82">
        <v>0.9889</v>
      </c>
      <c r="H22" s="83">
        <v>180</v>
      </c>
      <c r="I22" s="83">
        <v>178</v>
      </c>
      <c r="J22" s="83">
        <v>0</v>
      </c>
      <c r="K22" s="79">
        <v>45984</v>
      </c>
      <c r="L22" s="83">
        <v>0</v>
      </c>
      <c r="M22" s="83">
        <v>8</v>
      </c>
      <c r="N22" s="83">
        <v>48</v>
      </c>
      <c r="O22" s="80" t="s">
        <v>367</v>
      </c>
      <c r="P22" s="84"/>
      <c r="Q22" s="84"/>
      <c r="R22" s="84"/>
      <c r="S22" s="84"/>
      <c r="T22" s="84"/>
      <c r="U22" s="83" t="s">
        <v>529</v>
      </c>
      <c r="V22" s="83" t="s">
        <v>530</v>
      </c>
      <c r="W22" s="83" t="s">
        <v>531</v>
      </c>
      <c r="X22" s="83" t="s">
        <v>428</v>
      </c>
      <c r="Y22" s="83" t="s">
        <v>444</v>
      </c>
      <c r="Z22" s="83" t="s">
        <v>515</v>
      </c>
      <c r="AA22" s="83" t="s">
        <v>162</v>
      </c>
      <c r="AB22" s="83" t="s">
        <v>253</v>
      </c>
      <c r="AC22" s="83" t="s">
        <v>182</v>
      </c>
      <c r="AD22" s="83" t="s">
        <v>183</v>
      </c>
      <c r="AE22" s="83" t="s">
        <v>166</v>
      </c>
      <c r="AF22" s="84"/>
      <c r="AG22" s="84"/>
      <c r="AH22" s="84"/>
      <c r="AI22" s="84"/>
    </row>
    <row r="23" spans="1:35" ht="18" x14ac:dyDescent="0.3">
      <c r="A23" s="85" t="s">
        <v>510</v>
      </c>
      <c r="B23" s="86">
        <v>45989</v>
      </c>
      <c r="C23" s="87" t="s">
        <v>329</v>
      </c>
      <c r="D23" s="88">
        <v>0.76041666666666663</v>
      </c>
      <c r="E23" s="87" t="s">
        <v>267</v>
      </c>
      <c r="F23" s="87" t="s">
        <v>159</v>
      </c>
      <c r="G23" s="89">
        <v>0.9889</v>
      </c>
      <c r="H23" s="90">
        <v>180</v>
      </c>
      <c r="I23" s="90">
        <v>178</v>
      </c>
      <c r="J23" s="90">
        <v>0</v>
      </c>
      <c r="K23" s="86">
        <v>45984</v>
      </c>
      <c r="L23" s="90">
        <v>0</v>
      </c>
      <c r="M23" s="90">
        <v>1</v>
      </c>
      <c r="N23" s="90">
        <v>18</v>
      </c>
      <c r="O23" s="87" t="s">
        <v>367</v>
      </c>
      <c r="P23" s="91"/>
      <c r="Q23" s="91"/>
      <c r="R23" s="91"/>
      <c r="S23" s="91"/>
      <c r="T23" s="91"/>
      <c r="U23" s="90" t="s">
        <v>532</v>
      </c>
      <c r="V23" s="90" t="s">
        <v>533</v>
      </c>
      <c r="W23" s="90" t="s">
        <v>534</v>
      </c>
      <c r="X23" s="90" t="s">
        <v>535</v>
      </c>
      <c r="Y23" s="90" t="s">
        <v>536</v>
      </c>
      <c r="Z23" s="90" t="s">
        <v>537</v>
      </c>
      <c r="AA23" s="90" t="s">
        <v>538</v>
      </c>
      <c r="AB23" s="90" t="s">
        <v>436</v>
      </c>
      <c r="AC23" s="90" t="s">
        <v>441</v>
      </c>
      <c r="AD23" s="90" t="s">
        <v>183</v>
      </c>
      <c r="AE23" s="90" t="s">
        <v>166</v>
      </c>
      <c r="AF23" s="91"/>
      <c r="AG23" s="91"/>
      <c r="AH23" s="91"/>
      <c r="AI23" s="91"/>
    </row>
    <row r="24" spans="1:35" ht="18" x14ac:dyDescent="0.3">
      <c r="A24" s="78" t="s">
        <v>179</v>
      </c>
      <c r="B24" s="79">
        <v>45990</v>
      </c>
      <c r="C24" s="80" t="s">
        <v>356</v>
      </c>
      <c r="D24" s="81">
        <v>4.8611111111111112E-2</v>
      </c>
      <c r="E24" s="80" t="s">
        <v>267</v>
      </c>
      <c r="F24" s="80" t="s">
        <v>159</v>
      </c>
      <c r="G24" s="82">
        <v>1.0333000000000001</v>
      </c>
      <c r="H24" s="83">
        <v>180</v>
      </c>
      <c r="I24" s="83">
        <v>186</v>
      </c>
      <c r="J24" s="83">
        <v>45</v>
      </c>
      <c r="K24" s="79">
        <v>45974</v>
      </c>
      <c r="L24" s="83">
        <v>0</v>
      </c>
      <c r="M24" s="83">
        <v>0</v>
      </c>
      <c r="N24" s="83">
        <v>0</v>
      </c>
      <c r="O24" s="80" t="s">
        <v>46</v>
      </c>
      <c r="P24" s="84"/>
      <c r="Q24" s="84"/>
      <c r="R24" s="84"/>
      <c r="S24" s="84"/>
      <c r="T24" s="84"/>
      <c r="U24" s="84"/>
      <c r="V24" s="83" t="s">
        <v>168</v>
      </c>
      <c r="W24" s="84"/>
      <c r="X24" s="83" t="s">
        <v>539</v>
      </c>
      <c r="Y24" s="83" t="s">
        <v>487</v>
      </c>
      <c r="Z24" s="83" t="s">
        <v>540</v>
      </c>
      <c r="AA24" s="83" t="s">
        <v>541</v>
      </c>
      <c r="AB24" s="83" t="s">
        <v>436</v>
      </c>
      <c r="AC24" s="83" t="s">
        <v>441</v>
      </c>
      <c r="AD24" s="83" t="s">
        <v>183</v>
      </c>
      <c r="AE24" s="83" t="s">
        <v>166</v>
      </c>
      <c r="AF24" s="84"/>
      <c r="AG24" s="84"/>
      <c r="AH24" s="83" t="s">
        <v>496</v>
      </c>
      <c r="AI24" s="84"/>
    </row>
    <row r="25" spans="1:35" ht="18" x14ac:dyDescent="0.3">
      <c r="A25" s="85" t="s">
        <v>179</v>
      </c>
      <c r="B25" s="86">
        <v>45990</v>
      </c>
      <c r="C25" s="87" t="s">
        <v>333</v>
      </c>
      <c r="D25" s="88">
        <v>0.15625</v>
      </c>
      <c r="E25" s="87" t="s">
        <v>267</v>
      </c>
      <c r="F25" s="87" t="s">
        <v>159</v>
      </c>
      <c r="G25" s="89">
        <v>1</v>
      </c>
      <c r="H25" s="90">
        <v>180</v>
      </c>
      <c r="I25" s="90">
        <v>180</v>
      </c>
      <c r="J25" s="90">
        <v>135</v>
      </c>
      <c r="K25" s="86">
        <v>45983</v>
      </c>
      <c r="L25" s="90">
        <v>0</v>
      </c>
      <c r="M25" s="90">
        <v>0</v>
      </c>
      <c r="N25" s="90">
        <v>5</v>
      </c>
      <c r="O25" s="87" t="s">
        <v>46</v>
      </c>
      <c r="P25" s="91"/>
      <c r="Q25" s="91"/>
      <c r="R25" s="91"/>
      <c r="S25" s="91"/>
      <c r="T25" s="91"/>
      <c r="U25" s="91"/>
      <c r="V25" s="91"/>
      <c r="W25" s="91"/>
      <c r="X25" s="90" t="s">
        <v>542</v>
      </c>
      <c r="Y25" s="91"/>
      <c r="Z25" s="91"/>
      <c r="AA25" s="91"/>
      <c r="AB25" s="90" t="s">
        <v>181</v>
      </c>
      <c r="AC25" s="90" t="s">
        <v>182</v>
      </c>
      <c r="AD25" s="90" t="s">
        <v>183</v>
      </c>
      <c r="AE25" s="90" t="s">
        <v>166</v>
      </c>
      <c r="AF25" s="91"/>
      <c r="AG25" s="91"/>
      <c r="AH25" s="90" t="s">
        <v>184</v>
      </c>
      <c r="AI25" s="90" t="s">
        <v>461</v>
      </c>
    </row>
    <row r="26" spans="1:35" ht="18" x14ac:dyDescent="0.3">
      <c r="A26" s="78" t="s">
        <v>179</v>
      </c>
      <c r="B26" s="79">
        <v>45990</v>
      </c>
      <c r="C26" s="80" t="s">
        <v>327</v>
      </c>
      <c r="D26" s="81">
        <v>0.50347222222222221</v>
      </c>
      <c r="E26" s="80" t="s">
        <v>267</v>
      </c>
      <c r="F26" s="80" t="s">
        <v>159</v>
      </c>
      <c r="G26" s="82">
        <v>1</v>
      </c>
      <c r="H26" s="83">
        <v>180</v>
      </c>
      <c r="I26" s="83">
        <v>180</v>
      </c>
      <c r="J26" s="83">
        <v>90</v>
      </c>
      <c r="K26" s="79">
        <v>45973</v>
      </c>
      <c r="L26" s="83">
        <v>0</v>
      </c>
      <c r="M26" s="83">
        <v>0</v>
      </c>
      <c r="N26" s="83">
        <v>0</v>
      </c>
      <c r="O26" s="80" t="s">
        <v>46</v>
      </c>
      <c r="P26" s="83" t="s">
        <v>543</v>
      </c>
      <c r="Q26" s="84"/>
      <c r="R26" s="84"/>
      <c r="S26" s="84"/>
      <c r="T26" s="84"/>
      <c r="U26" s="83" t="s">
        <v>544</v>
      </c>
      <c r="V26" s="83" t="s">
        <v>545</v>
      </c>
      <c r="W26" s="83" t="s">
        <v>546</v>
      </c>
      <c r="X26" s="83" t="s">
        <v>547</v>
      </c>
      <c r="Y26" s="83" t="s">
        <v>429</v>
      </c>
      <c r="Z26" s="83" t="s">
        <v>466</v>
      </c>
      <c r="AA26" s="83" t="s">
        <v>489</v>
      </c>
      <c r="AB26" s="83" t="s">
        <v>436</v>
      </c>
      <c r="AC26" s="84"/>
      <c r="AD26" s="84"/>
      <c r="AE26" s="84"/>
      <c r="AF26" s="84"/>
      <c r="AG26" s="84"/>
      <c r="AH26" s="83" t="s">
        <v>454</v>
      </c>
      <c r="AI26" s="84"/>
    </row>
    <row r="27" spans="1:35" ht="18" x14ac:dyDescent="0.3">
      <c r="A27" s="85" t="s">
        <v>179</v>
      </c>
      <c r="B27" s="86">
        <v>45990</v>
      </c>
      <c r="C27" s="87" t="s">
        <v>331</v>
      </c>
      <c r="D27" s="88">
        <v>0.90625</v>
      </c>
      <c r="E27" s="87" t="s">
        <v>267</v>
      </c>
      <c r="F27" s="87" t="s">
        <v>159</v>
      </c>
      <c r="G27" s="89">
        <v>0.9556</v>
      </c>
      <c r="H27" s="90">
        <v>180</v>
      </c>
      <c r="I27" s="90">
        <v>172</v>
      </c>
      <c r="J27" s="90">
        <v>0</v>
      </c>
      <c r="K27" s="86">
        <v>45981</v>
      </c>
      <c r="L27" s="90">
        <v>0</v>
      </c>
      <c r="M27" s="90">
        <v>0</v>
      </c>
      <c r="N27" s="90">
        <v>25</v>
      </c>
      <c r="O27" s="87" t="s">
        <v>410</v>
      </c>
      <c r="P27" s="91"/>
      <c r="Q27" s="91"/>
      <c r="R27" s="91"/>
      <c r="S27" s="90" t="s">
        <v>548</v>
      </c>
      <c r="T27" s="90" t="s">
        <v>549</v>
      </c>
      <c r="U27" s="90" t="s">
        <v>550</v>
      </c>
      <c r="V27" s="90" t="s">
        <v>551</v>
      </c>
      <c r="W27" s="90" t="s">
        <v>552</v>
      </c>
      <c r="X27" s="90" t="s">
        <v>553</v>
      </c>
      <c r="Y27" s="90" t="s">
        <v>487</v>
      </c>
      <c r="Z27" s="90" t="s">
        <v>430</v>
      </c>
      <c r="AA27" s="90" t="s">
        <v>431</v>
      </c>
      <c r="AB27" s="90" t="s">
        <v>450</v>
      </c>
      <c r="AC27" s="90" t="s">
        <v>441</v>
      </c>
      <c r="AD27" s="90" t="s">
        <v>183</v>
      </c>
      <c r="AE27" s="90" t="s">
        <v>166</v>
      </c>
      <c r="AF27" s="91"/>
      <c r="AG27" s="91"/>
      <c r="AH27" s="91"/>
      <c r="AI27" s="90" t="s">
        <v>185</v>
      </c>
    </row>
    <row r="28" spans="1:35" ht="18" x14ac:dyDescent="0.3">
      <c r="A28" s="78" t="s">
        <v>186</v>
      </c>
      <c r="B28" s="79">
        <v>45991</v>
      </c>
      <c r="C28" s="80" t="s">
        <v>333</v>
      </c>
      <c r="D28" s="81">
        <v>0.1423611111111111</v>
      </c>
      <c r="E28" s="80" t="s">
        <v>267</v>
      </c>
      <c r="F28" s="80" t="s">
        <v>159</v>
      </c>
      <c r="G28" s="82">
        <v>1</v>
      </c>
      <c r="H28" s="83">
        <v>180</v>
      </c>
      <c r="I28" s="83">
        <v>180</v>
      </c>
      <c r="J28" s="83">
        <v>90</v>
      </c>
      <c r="K28" s="79">
        <v>45966</v>
      </c>
      <c r="L28" s="83">
        <v>0</v>
      </c>
      <c r="M28" s="83">
        <v>0</v>
      </c>
      <c r="N28" s="83">
        <v>0</v>
      </c>
      <c r="O28" s="80" t="s">
        <v>46</v>
      </c>
      <c r="P28" s="84"/>
      <c r="Q28" s="84"/>
      <c r="R28" s="84"/>
      <c r="S28" s="84"/>
      <c r="T28" s="84"/>
      <c r="U28" s="84"/>
      <c r="V28" s="84"/>
      <c r="W28" s="84"/>
      <c r="X28" s="83" t="s">
        <v>180</v>
      </c>
      <c r="Y28" s="83" t="s">
        <v>429</v>
      </c>
      <c r="Z28" s="83" t="s">
        <v>430</v>
      </c>
      <c r="AA28" s="83" t="s">
        <v>431</v>
      </c>
      <c r="AB28" s="83" t="s">
        <v>450</v>
      </c>
      <c r="AC28" s="83" t="s">
        <v>516</v>
      </c>
      <c r="AD28" s="83" t="s">
        <v>183</v>
      </c>
      <c r="AE28" s="83" t="s">
        <v>166</v>
      </c>
      <c r="AF28" s="84"/>
      <c r="AG28" s="84"/>
      <c r="AH28" s="83" t="s">
        <v>454</v>
      </c>
      <c r="AI28" s="84"/>
    </row>
    <row r="29" spans="1:35" ht="18" x14ac:dyDescent="0.3">
      <c r="A29" s="85" t="s">
        <v>186</v>
      </c>
      <c r="B29" s="86">
        <v>45991</v>
      </c>
      <c r="C29" s="87" t="s">
        <v>363</v>
      </c>
      <c r="D29" s="88">
        <v>0.15625</v>
      </c>
      <c r="E29" s="87" t="s">
        <v>267</v>
      </c>
      <c r="F29" s="87" t="s">
        <v>159</v>
      </c>
      <c r="G29" s="89">
        <v>0.99439999999999995</v>
      </c>
      <c r="H29" s="90">
        <v>180</v>
      </c>
      <c r="I29" s="90">
        <v>179</v>
      </c>
      <c r="J29" s="90">
        <v>85</v>
      </c>
      <c r="K29" s="86">
        <v>45982</v>
      </c>
      <c r="L29" s="90">
        <v>0</v>
      </c>
      <c r="M29" s="90">
        <v>0</v>
      </c>
      <c r="N29" s="90">
        <v>17</v>
      </c>
      <c r="O29" s="87" t="s">
        <v>169</v>
      </c>
      <c r="P29" s="91"/>
      <c r="Q29" s="91"/>
      <c r="R29" s="91"/>
      <c r="S29" s="91"/>
      <c r="T29" s="91"/>
      <c r="U29" s="91"/>
      <c r="V29" s="90" t="s">
        <v>554</v>
      </c>
      <c r="W29" s="90" t="s">
        <v>555</v>
      </c>
      <c r="X29" s="90" t="s">
        <v>556</v>
      </c>
      <c r="Y29" s="90" t="s">
        <v>536</v>
      </c>
      <c r="Z29" s="90" t="s">
        <v>488</v>
      </c>
      <c r="AA29" s="90" t="s">
        <v>162</v>
      </c>
      <c r="AB29" s="90" t="s">
        <v>229</v>
      </c>
      <c r="AC29" s="90" t="s">
        <v>263</v>
      </c>
      <c r="AD29" s="90" t="s">
        <v>491</v>
      </c>
      <c r="AE29" s="90" t="s">
        <v>437</v>
      </c>
      <c r="AF29" s="90" t="s">
        <v>447</v>
      </c>
      <c r="AG29" s="91"/>
      <c r="AH29" s="90" t="s">
        <v>496</v>
      </c>
      <c r="AI29" s="91"/>
    </row>
    <row r="30" spans="1:35" ht="18" x14ac:dyDescent="0.3">
      <c r="A30" s="78" t="s">
        <v>186</v>
      </c>
      <c r="B30" s="79">
        <v>45991</v>
      </c>
      <c r="C30" s="80" t="s">
        <v>329</v>
      </c>
      <c r="D30" s="81">
        <v>0.33333333333333331</v>
      </c>
      <c r="E30" s="80" t="s">
        <v>267</v>
      </c>
      <c r="F30" s="80" t="s">
        <v>159</v>
      </c>
      <c r="G30" s="82">
        <v>1</v>
      </c>
      <c r="H30" s="83">
        <v>180</v>
      </c>
      <c r="I30" s="83">
        <v>180</v>
      </c>
      <c r="J30" s="83">
        <v>89</v>
      </c>
      <c r="K30" s="79">
        <v>45981</v>
      </c>
      <c r="L30" s="83">
        <v>0</v>
      </c>
      <c r="M30" s="83">
        <v>0</v>
      </c>
      <c r="N30" s="83">
        <v>4</v>
      </c>
      <c r="O30" s="80" t="s">
        <v>46</v>
      </c>
      <c r="P30" s="84"/>
      <c r="Q30" s="84"/>
      <c r="R30" s="84"/>
      <c r="S30" s="84"/>
      <c r="T30" s="84"/>
      <c r="U30" s="84"/>
      <c r="V30" s="84"/>
      <c r="W30" s="84"/>
      <c r="X30" s="83" t="s">
        <v>557</v>
      </c>
      <c r="Y30" s="83" t="s">
        <v>439</v>
      </c>
      <c r="Z30" s="83" t="s">
        <v>515</v>
      </c>
      <c r="AA30" s="83" t="s">
        <v>162</v>
      </c>
      <c r="AB30" s="83" t="s">
        <v>163</v>
      </c>
      <c r="AC30" s="83" t="s">
        <v>441</v>
      </c>
      <c r="AD30" s="83" t="s">
        <v>442</v>
      </c>
      <c r="AE30" s="83" t="s">
        <v>166</v>
      </c>
      <c r="AF30" s="84"/>
      <c r="AG30" s="84"/>
      <c r="AH30" s="83" t="s">
        <v>558</v>
      </c>
      <c r="AI30" s="84"/>
    </row>
    <row r="31" spans="1:35" ht="18" x14ac:dyDescent="0.3">
      <c r="A31" s="85" t="s">
        <v>186</v>
      </c>
      <c r="B31" s="86">
        <v>45991</v>
      </c>
      <c r="C31" s="87" t="s">
        <v>327</v>
      </c>
      <c r="D31" s="88">
        <v>0.4548611111111111</v>
      </c>
      <c r="E31" s="87" t="s">
        <v>267</v>
      </c>
      <c r="F31" s="87" t="s">
        <v>159</v>
      </c>
      <c r="G31" s="89">
        <v>0.99439999999999995</v>
      </c>
      <c r="H31" s="90">
        <v>180</v>
      </c>
      <c r="I31" s="90">
        <v>179</v>
      </c>
      <c r="J31" s="90">
        <v>90</v>
      </c>
      <c r="K31" s="86">
        <v>45984</v>
      </c>
      <c r="L31" s="90">
        <v>0</v>
      </c>
      <c r="M31" s="90">
        <v>3</v>
      </c>
      <c r="N31" s="90">
        <v>24</v>
      </c>
      <c r="O31" s="87" t="s">
        <v>46</v>
      </c>
      <c r="P31" s="91"/>
      <c r="Q31" s="91"/>
      <c r="R31" s="91"/>
      <c r="S31" s="91"/>
      <c r="T31" s="91"/>
      <c r="U31" s="91"/>
      <c r="V31" s="91"/>
      <c r="W31" s="90" t="s">
        <v>559</v>
      </c>
      <c r="X31" s="90" t="s">
        <v>560</v>
      </c>
      <c r="Y31" s="90" t="s">
        <v>507</v>
      </c>
      <c r="Z31" s="90" t="s">
        <v>561</v>
      </c>
      <c r="AA31" s="90" t="s">
        <v>562</v>
      </c>
      <c r="AB31" s="90" t="s">
        <v>468</v>
      </c>
      <c r="AC31" s="91"/>
      <c r="AD31" s="91"/>
      <c r="AE31" s="91"/>
      <c r="AF31" s="91"/>
      <c r="AG31" s="91"/>
      <c r="AH31" s="90" t="s">
        <v>454</v>
      </c>
      <c r="AI31" s="91"/>
    </row>
    <row r="32" spans="1:35" ht="18" x14ac:dyDescent="0.3">
      <c r="A32" s="78" t="s">
        <v>186</v>
      </c>
      <c r="B32" s="79">
        <v>45991</v>
      </c>
      <c r="C32" s="80" t="s">
        <v>325</v>
      </c>
      <c r="D32" s="81">
        <v>0.82986111111111116</v>
      </c>
      <c r="E32" s="80" t="s">
        <v>267</v>
      </c>
      <c r="F32" s="80" t="s">
        <v>159</v>
      </c>
      <c r="G32" s="82">
        <v>0.99439999999999995</v>
      </c>
      <c r="H32" s="83">
        <v>180</v>
      </c>
      <c r="I32" s="83">
        <v>179</v>
      </c>
      <c r="J32" s="83">
        <v>90</v>
      </c>
      <c r="K32" s="79">
        <v>45985</v>
      </c>
      <c r="L32" s="83">
        <v>1</v>
      </c>
      <c r="M32" s="83">
        <v>0</v>
      </c>
      <c r="N32" s="83">
        <v>15</v>
      </c>
      <c r="O32" s="80" t="s">
        <v>46</v>
      </c>
      <c r="P32" s="84"/>
      <c r="Q32" s="84"/>
      <c r="R32" s="84"/>
      <c r="S32" s="84"/>
      <c r="T32" s="84"/>
      <c r="U32" s="84"/>
      <c r="V32" s="83" t="s">
        <v>227</v>
      </c>
      <c r="W32" s="83" t="s">
        <v>482</v>
      </c>
      <c r="X32" s="83" t="s">
        <v>563</v>
      </c>
      <c r="Y32" s="83" t="s">
        <v>444</v>
      </c>
      <c r="Z32" s="83" t="s">
        <v>564</v>
      </c>
      <c r="AA32" s="83" t="s">
        <v>489</v>
      </c>
      <c r="AB32" s="83" t="s">
        <v>436</v>
      </c>
      <c r="AC32" s="83" t="s">
        <v>263</v>
      </c>
      <c r="AD32" s="83" t="s">
        <v>491</v>
      </c>
      <c r="AE32" s="83" t="s">
        <v>437</v>
      </c>
      <c r="AF32" s="84"/>
      <c r="AG32" s="84"/>
      <c r="AH32" s="83" t="s">
        <v>454</v>
      </c>
      <c r="AI32" s="84"/>
    </row>
    <row r="33" spans="1:35" ht="18" x14ac:dyDescent="0.3">
      <c r="A33" s="92" t="s">
        <v>189</v>
      </c>
      <c r="B33" s="93"/>
      <c r="C33" s="94">
        <f>COUNTA(C2:C32)</f>
        <v>31</v>
      </c>
      <c r="D33" s="93"/>
      <c r="E33" s="93"/>
      <c r="F33" s="93"/>
      <c r="G33" s="95">
        <f>AVERAGE(G2:G32)</f>
        <v>0.99371612903225803</v>
      </c>
      <c r="H33" s="96">
        <f>SUM(H2:H32)</f>
        <v>5579</v>
      </c>
      <c r="I33" s="96">
        <f>SUM(I2:I32)</f>
        <v>5544</v>
      </c>
      <c r="J33" s="96">
        <f>SUM(J2:J32)</f>
        <v>2002</v>
      </c>
      <c r="K33" s="93"/>
      <c r="L33" s="96">
        <f>SUM(L2:L32)</f>
        <v>4</v>
      </c>
      <c r="M33" s="96">
        <f>SUM(M2:M32)</f>
        <v>67</v>
      </c>
      <c r="N33" s="96">
        <f>SUM(N2:N32)</f>
        <v>870</v>
      </c>
      <c r="O33" s="93"/>
      <c r="P33" s="96">
        <f t="shared" ref="P33:AI33" si="0">SUMPRODUCT(--IFERROR(VALUE(SUBSTITUTE(SUBSTITUTE(SUBSTITUTE(SUBSTITUTE(SUBSTITUTE(SUBSTITUTE(SUBSTITUTE(SUBSTITUTE(SUBSTITUTE(SUBSTITUTE(SUBSTITUTE(SUBSTITUTE(SUBSTITUTE(SUBSTITUTE(SUBSTITUTE(SUBSTITUTE(SUBSTITUTE(SUBSTITUTE(SUBSTITUTE(SUBSTITUTE(P2:P32,"Y",""),"B",""),"M",""),"H",""),"Q",""),"K",""),"V",""),"L",""),"G",""),"S",""),"W",""),"T",""),"X",""),"U",""),"O",""),"I",""),"E",""),"A",""),"P",""),"N","")),0))</f>
        <v>0</v>
      </c>
      <c r="Q33" s="96">
        <f t="shared" si="0"/>
        <v>0</v>
      </c>
      <c r="R33" s="96">
        <f t="shared" si="0"/>
        <v>0</v>
      </c>
      <c r="S33" s="96">
        <f t="shared" si="0"/>
        <v>0</v>
      </c>
      <c r="T33" s="96">
        <f t="shared" si="0"/>
        <v>0</v>
      </c>
      <c r="U33" s="96">
        <f t="shared" si="0"/>
        <v>0</v>
      </c>
      <c r="V33" s="96">
        <f t="shared" si="0"/>
        <v>0</v>
      </c>
      <c r="W33" s="96">
        <f t="shared" si="0"/>
        <v>0</v>
      </c>
      <c r="X33" s="96">
        <f t="shared" si="0"/>
        <v>0</v>
      </c>
      <c r="Y33" s="96">
        <f t="shared" si="0"/>
        <v>0</v>
      </c>
      <c r="Z33" s="96">
        <f t="shared" si="0"/>
        <v>0</v>
      </c>
      <c r="AA33" s="96">
        <f t="shared" si="0"/>
        <v>0</v>
      </c>
      <c r="AB33" s="96">
        <f t="shared" si="0"/>
        <v>0</v>
      </c>
      <c r="AC33" s="96">
        <f t="shared" si="0"/>
        <v>0</v>
      </c>
      <c r="AD33" s="96">
        <f t="shared" si="0"/>
        <v>0</v>
      </c>
      <c r="AE33" s="96">
        <f t="shared" si="0"/>
        <v>0</v>
      </c>
      <c r="AF33" s="96">
        <f t="shared" si="0"/>
        <v>0</v>
      </c>
      <c r="AG33" s="96">
        <f t="shared" si="0"/>
        <v>0</v>
      </c>
      <c r="AH33" s="96">
        <f t="shared" si="0"/>
        <v>0</v>
      </c>
      <c r="AI33" s="96">
        <f t="shared" si="0"/>
        <v>0</v>
      </c>
    </row>
  </sheetData>
  <autoFilter ref="A1:AI3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51"/>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25</v>
      </c>
      <c r="C2" s="100" t="s">
        <v>268</v>
      </c>
      <c r="D2" s="99" t="s">
        <v>267</v>
      </c>
      <c r="E2" s="101">
        <v>1.399305555555556</v>
      </c>
      <c r="F2" s="99" t="s">
        <v>27</v>
      </c>
      <c r="G2" s="102">
        <v>4</v>
      </c>
      <c r="H2" s="103" t="s">
        <v>269</v>
      </c>
    </row>
    <row r="3" spans="1:8" ht="18" x14ac:dyDescent="0.3">
      <c r="A3" s="104">
        <v>45986</v>
      </c>
      <c r="B3" s="105" t="s">
        <v>25</v>
      </c>
      <c r="C3" s="106" t="s">
        <v>268</v>
      </c>
      <c r="D3" s="105" t="s">
        <v>267</v>
      </c>
      <c r="E3" s="107">
        <v>1.399305555555556</v>
      </c>
      <c r="F3" s="105" t="s">
        <v>33</v>
      </c>
      <c r="G3" s="108">
        <v>4</v>
      </c>
      <c r="H3" s="105" t="s">
        <v>270</v>
      </c>
    </row>
    <row r="4" spans="1:8" ht="18" x14ac:dyDescent="0.3">
      <c r="A4" s="104">
        <v>45986</v>
      </c>
      <c r="B4" s="105" t="s">
        <v>25</v>
      </c>
      <c r="C4" s="106" t="s">
        <v>268</v>
      </c>
      <c r="D4" s="105" t="s">
        <v>267</v>
      </c>
      <c r="E4" s="107">
        <v>1.399305555555556</v>
      </c>
      <c r="F4" s="105" t="s">
        <v>30</v>
      </c>
      <c r="G4" s="108">
        <v>4</v>
      </c>
      <c r="H4" s="105" t="s">
        <v>94</v>
      </c>
    </row>
    <row r="5" spans="1:8" ht="18" x14ac:dyDescent="0.3">
      <c r="A5" s="119">
        <v>45986</v>
      </c>
      <c r="B5" s="120" t="s">
        <v>25</v>
      </c>
      <c r="C5" s="121" t="s">
        <v>271</v>
      </c>
      <c r="D5" s="120" t="s">
        <v>267</v>
      </c>
      <c r="E5" s="122">
        <v>1.489583333333333</v>
      </c>
      <c r="F5" s="120" t="s">
        <v>27</v>
      </c>
      <c r="G5" s="123">
        <v>10</v>
      </c>
      <c r="H5" s="120" t="s">
        <v>273</v>
      </c>
    </row>
    <row r="6" spans="1:8" ht="18" x14ac:dyDescent="0.3">
      <c r="A6" s="104">
        <v>45986</v>
      </c>
      <c r="B6" s="105" t="s">
        <v>25</v>
      </c>
      <c r="C6" s="106" t="s">
        <v>271</v>
      </c>
      <c r="D6" s="105" t="s">
        <v>267</v>
      </c>
      <c r="E6" s="107">
        <v>1.489583333333333</v>
      </c>
      <c r="F6" s="105" t="s">
        <v>33</v>
      </c>
      <c r="G6" s="108">
        <v>10</v>
      </c>
      <c r="H6" s="105" t="s">
        <v>275</v>
      </c>
    </row>
    <row r="7" spans="1:8" ht="18" x14ac:dyDescent="0.3">
      <c r="A7" s="104">
        <v>45986</v>
      </c>
      <c r="B7" s="105" t="s">
        <v>25</v>
      </c>
      <c r="C7" s="106" t="s">
        <v>271</v>
      </c>
      <c r="D7" s="105" t="s">
        <v>267</v>
      </c>
      <c r="E7" s="107">
        <v>1.489583333333333</v>
      </c>
      <c r="F7" s="105" t="s">
        <v>30</v>
      </c>
      <c r="G7" s="108">
        <v>10</v>
      </c>
      <c r="H7" s="105" t="s">
        <v>94</v>
      </c>
    </row>
    <row r="8" spans="1:8" ht="18" x14ac:dyDescent="0.3">
      <c r="A8" s="119">
        <v>45986</v>
      </c>
      <c r="B8" s="120" t="s">
        <v>25</v>
      </c>
      <c r="C8" s="121" t="s">
        <v>276</v>
      </c>
      <c r="D8" s="120" t="s">
        <v>267</v>
      </c>
      <c r="E8" s="122">
        <v>1.8888888888888891</v>
      </c>
      <c r="F8" s="120" t="s">
        <v>27</v>
      </c>
      <c r="G8" s="123">
        <v>4</v>
      </c>
      <c r="H8" s="120" t="s">
        <v>273</v>
      </c>
    </row>
    <row r="9" spans="1:8" ht="18" x14ac:dyDescent="0.3">
      <c r="A9" s="104">
        <v>45986</v>
      </c>
      <c r="B9" s="105" t="s">
        <v>25</v>
      </c>
      <c r="C9" s="106" t="s">
        <v>276</v>
      </c>
      <c r="D9" s="105" t="s">
        <v>267</v>
      </c>
      <c r="E9" s="107">
        <v>1.8888888888888891</v>
      </c>
      <c r="F9" s="105" t="s">
        <v>33</v>
      </c>
      <c r="G9" s="108">
        <v>4</v>
      </c>
      <c r="H9" s="105" t="s">
        <v>275</v>
      </c>
    </row>
    <row r="10" spans="1:8" ht="18" x14ac:dyDescent="0.3">
      <c r="A10" s="104">
        <v>45986</v>
      </c>
      <c r="B10" s="105" t="s">
        <v>25</v>
      </c>
      <c r="C10" s="106" t="s">
        <v>276</v>
      </c>
      <c r="D10" s="105" t="s">
        <v>267</v>
      </c>
      <c r="E10" s="107">
        <v>1.8888888888888891</v>
      </c>
      <c r="F10" s="105" t="s">
        <v>30</v>
      </c>
      <c r="G10" s="108">
        <v>4</v>
      </c>
      <c r="H10" s="105" t="s">
        <v>94</v>
      </c>
    </row>
    <row r="11" spans="1:8" ht="18" x14ac:dyDescent="0.3">
      <c r="A11" s="119">
        <v>45986</v>
      </c>
      <c r="B11" s="120" t="s">
        <v>25</v>
      </c>
      <c r="C11" s="121" t="s">
        <v>277</v>
      </c>
      <c r="D11" s="120" t="s">
        <v>267</v>
      </c>
      <c r="E11" s="122">
        <v>1.989583333333333</v>
      </c>
      <c r="F11" s="120" t="s">
        <v>27</v>
      </c>
      <c r="G11" s="123">
        <v>9</v>
      </c>
      <c r="H11" s="120" t="s">
        <v>273</v>
      </c>
    </row>
    <row r="12" spans="1:8" ht="18" x14ac:dyDescent="0.3">
      <c r="A12" s="104">
        <v>45986</v>
      </c>
      <c r="B12" s="105" t="s">
        <v>25</v>
      </c>
      <c r="C12" s="106" t="s">
        <v>277</v>
      </c>
      <c r="D12" s="105" t="s">
        <v>267</v>
      </c>
      <c r="E12" s="107">
        <v>1.989583333333333</v>
      </c>
      <c r="F12" s="105" t="s">
        <v>33</v>
      </c>
      <c r="G12" s="108">
        <v>9</v>
      </c>
      <c r="H12" s="105" t="s">
        <v>275</v>
      </c>
    </row>
    <row r="13" spans="1:8" ht="18" x14ac:dyDescent="0.3">
      <c r="A13" s="104">
        <v>45986</v>
      </c>
      <c r="B13" s="105" t="s">
        <v>25</v>
      </c>
      <c r="C13" s="106" t="s">
        <v>277</v>
      </c>
      <c r="D13" s="105" t="s">
        <v>267</v>
      </c>
      <c r="E13" s="107">
        <v>1.989583333333333</v>
      </c>
      <c r="F13" s="105" t="s">
        <v>30</v>
      </c>
      <c r="G13" s="108">
        <v>9</v>
      </c>
      <c r="H13" s="105" t="s">
        <v>94</v>
      </c>
    </row>
    <row r="14" spans="1:8" ht="18" x14ac:dyDescent="0.3">
      <c r="A14" s="118">
        <v>45986</v>
      </c>
      <c r="B14" s="99" t="s">
        <v>48</v>
      </c>
      <c r="C14" s="100" t="s">
        <v>278</v>
      </c>
      <c r="D14" s="99" t="s">
        <v>267</v>
      </c>
      <c r="E14" s="101">
        <v>1.993055555555556</v>
      </c>
      <c r="F14" s="99" t="s">
        <v>50</v>
      </c>
      <c r="G14" s="102">
        <v>1</v>
      </c>
      <c r="H14" s="99" t="s">
        <v>273</v>
      </c>
    </row>
    <row r="15" spans="1:8" ht="18" x14ac:dyDescent="0.3">
      <c r="A15" s="104">
        <v>45986</v>
      </c>
      <c r="B15" s="105" t="s">
        <v>48</v>
      </c>
      <c r="C15" s="106" t="s">
        <v>278</v>
      </c>
      <c r="D15" s="105" t="s">
        <v>267</v>
      </c>
      <c r="E15" s="107">
        <v>1.993055555555556</v>
      </c>
      <c r="F15" s="105" t="s">
        <v>53</v>
      </c>
      <c r="G15" s="108">
        <v>1</v>
      </c>
      <c r="H15" s="105" t="s">
        <v>270</v>
      </c>
    </row>
    <row r="16" spans="1:8" ht="18" x14ac:dyDescent="0.3">
      <c r="A16" s="104">
        <v>45986</v>
      </c>
      <c r="B16" s="105" t="s">
        <v>48</v>
      </c>
      <c r="C16" s="106" t="s">
        <v>278</v>
      </c>
      <c r="D16" s="105" t="s">
        <v>267</v>
      </c>
      <c r="E16" s="107">
        <v>1.993055555555556</v>
      </c>
      <c r="F16" s="105" t="s">
        <v>56</v>
      </c>
      <c r="G16" s="108">
        <v>1</v>
      </c>
      <c r="H16" s="105" t="s">
        <v>93</v>
      </c>
    </row>
    <row r="17" spans="1:8" ht="18" x14ac:dyDescent="0.3">
      <c r="A17" s="119">
        <v>45986</v>
      </c>
      <c r="B17" s="120" t="s">
        <v>48</v>
      </c>
      <c r="C17" s="121" t="s">
        <v>279</v>
      </c>
      <c r="D17" s="120" t="s">
        <v>267</v>
      </c>
      <c r="E17" s="122">
        <v>1.3472222222222221</v>
      </c>
      <c r="F17" s="120" t="s">
        <v>50</v>
      </c>
      <c r="G17" s="123">
        <v>5</v>
      </c>
      <c r="H17" s="120" t="s">
        <v>270</v>
      </c>
    </row>
    <row r="18" spans="1:8" ht="18" x14ac:dyDescent="0.3">
      <c r="A18" s="104">
        <v>45986</v>
      </c>
      <c r="B18" s="105" t="s">
        <v>48</v>
      </c>
      <c r="C18" s="106" t="s">
        <v>279</v>
      </c>
      <c r="D18" s="105" t="s">
        <v>267</v>
      </c>
      <c r="E18" s="107">
        <v>1.3472222222222221</v>
      </c>
      <c r="F18" s="105" t="s">
        <v>53</v>
      </c>
      <c r="G18" s="108">
        <v>5</v>
      </c>
      <c r="H18" s="105" t="s">
        <v>280</v>
      </c>
    </row>
    <row r="19" spans="1:8" ht="18" x14ac:dyDescent="0.3">
      <c r="A19" s="104">
        <v>45986</v>
      </c>
      <c r="B19" s="105" t="s">
        <v>48</v>
      </c>
      <c r="C19" s="106" t="s">
        <v>279</v>
      </c>
      <c r="D19" s="105" t="s">
        <v>267</v>
      </c>
      <c r="E19" s="107">
        <v>1.3472222222222221</v>
      </c>
      <c r="F19" s="105" t="s">
        <v>56</v>
      </c>
      <c r="G19" s="108">
        <v>5</v>
      </c>
      <c r="H19" s="105" t="s">
        <v>281</v>
      </c>
    </row>
    <row r="20" spans="1:8" ht="18" x14ac:dyDescent="0.3">
      <c r="A20" s="119">
        <v>45986</v>
      </c>
      <c r="B20" s="120" t="s">
        <v>48</v>
      </c>
      <c r="C20" s="121" t="s">
        <v>282</v>
      </c>
      <c r="D20" s="120" t="s">
        <v>267</v>
      </c>
      <c r="E20" s="122">
        <v>1.7361111111111109</v>
      </c>
      <c r="F20" s="120" t="s">
        <v>50</v>
      </c>
      <c r="G20" s="123">
        <v>1</v>
      </c>
      <c r="H20" s="120" t="s">
        <v>270</v>
      </c>
    </row>
    <row r="21" spans="1:8" ht="18" x14ac:dyDescent="0.3">
      <c r="A21" s="104">
        <v>45986</v>
      </c>
      <c r="B21" s="105" t="s">
        <v>48</v>
      </c>
      <c r="C21" s="106" t="s">
        <v>282</v>
      </c>
      <c r="D21" s="105" t="s">
        <v>267</v>
      </c>
      <c r="E21" s="107">
        <v>1.7361111111111109</v>
      </c>
      <c r="F21" s="105" t="s">
        <v>53</v>
      </c>
      <c r="G21" s="108">
        <v>1</v>
      </c>
      <c r="H21" s="105" t="s">
        <v>280</v>
      </c>
    </row>
    <row r="22" spans="1:8" ht="18" x14ac:dyDescent="0.3">
      <c r="A22" s="104">
        <v>45986</v>
      </c>
      <c r="B22" s="105" t="s">
        <v>48</v>
      </c>
      <c r="C22" s="106" t="s">
        <v>282</v>
      </c>
      <c r="D22" s="105" t="s">
        <v>267</v>
      </c>
      <c r="E22" s="107">
        <v>1.7361111111111109</v>
      </c>
      <c r="F22" s="105" t="s">
        <v>56</v>
      </c>
      <c r="G22" s="108">
        <v>1</v>
      </c>
      <c r="H22" s="105" t="s">
        <v>281</v>
      </c>
    </row>
    <row r="23" spans="1:8" ht="18" x14ac:dyDescent="0.3">
      <c r="A23" s="119">
        <v>45986</v>
      </c>
      <c r="B23" s="120" t="s">
        <v>48</v>
      </c>
      <c r="C23" s="121" t="s">
        <v>283</v>
      </c>
      <c r="D23" s="120" t="s">
        <v>267</v>
      </c>
      <c r="E23" s="122">
        <v>1.836805555555556</v>
      </c>
      <c r="F23" s="120" t="s">
        <v>50</v>
      </c>
      <c r="G23" s="123">
        <v>6</v>
      </c>
      <c r="H23" s="120" t="s">
        <v>270</v>
      </c>
    </row>
    <row r="24" spans="1:8" ht="18" x14ac:dyDescent="0.3">
      <c r="A24" s="104">
        <v>45986</v>
      </c>
      <c r="B24" s="105" t="s">
        <v>48</v>
      </c>
      <c r="C24" s="106" t="s">
        <v>283</v>
      </c>
      <c r="D24" s="105" t="s">
        <v>267</v>
      </c>
      <c r="E24" s="107">
        <v>1.836805555555556</v>
      </c>
      <c r="F24" s="105" t="s">
        <v>53</v>
      </c>
      <c r="G24" s="108">
        <v>6</v>
      </c>
      <c r="H24" s="105" t="s">
        <v>280</v>
      </c>
    </row>
    <row r="25" spans="1:8" ht="18" x14ac:dyDescent="0.3">
      <c r="A25" s="104">
        <v>45986</v>
      </c>
      <c r="B25" s="105" t="s">
        <v>48</v>
      </c>
      <c r="C25" s="106" t="s">
        <v>283</v>
      </c>
      <c r="D25" s="105" t="s">
        <v>267</v>
      </c>
      <c r="E25" s="107">
        <v>1.836805555555556</v>
      </c>
      <c r="F25" s="105" t="s">
        <v>56</v>
      </c>
      <c r="G25" s="108">
        <v>6</v>
      </c>
      <c r="H25" s="105" t="s">
        <v>281</v>
      </c>
    </row>
    <row r="26" spans="1:8" ht="18" x14ac:dyDescent="0.3">
      <c r="A26" s="119">
        <v>45986</v>
      </c>
      <c r="B26" s="120" t="s">
        <v>48</v>
      </c>
      <c r="C26" s="121" t="s">
        <v>285</v>
      </c>
      <c r="D26" s="120" t="s">
        <v>267</v>
      </c>
      <c r="E26" s="122">
        <v>1.944444444444444</v>
      </c>
      <c r="F26" s="120" t="s">
        <v>50</v>
      </c>
      <c r="G26" s="123">
        <v>9</v>
      </c>
      <c r="H26" s="120" t="s">
        <v>270</v>
      </c>
    </row>
    <row r="27" spans="1:8" ht="18" x14ac:dyDescent="0.3">
      <c r="A27" s="104">
        <v>45986</v>
      </c>
      <c r="B27" s="105" t="s">
        <v>48</v>
      </c>
      <c r="C27" s="106" t="s">
        <v>285</v>
      </c>
      <c r="D27" s="105" t="s">
        <v>267</v>
      </c>
      <c r="E27" s="107">
        <v>1.944444444444444</v>
      </c>
      <c r="F27" s="105" t="s">
        <v>53</v>
      </c>
      <c r="G27" s="108">
        <v>9</v>
      </c>
      <c r="H27" s="105" t="s">
        <v>280</v>
      </c>
    </row>
    <row r="28" spans="1:8" ht="18" x14ac:dyDescent="0.3">
      <c r="A28" s="104">
        <v>45986</v>
      </c>
      <c r="B28" s="105" t="s">
        <v>48</v>
      </c>
      <c r="C28" s="106" t="s">
        <v>285</v>
      </c>
      <c r="D28" s="105" t="s">
        <v>267</v>
      </c>
      <c r="E28" s="107">
        <v>1.944444444444444</v>
      </c>
      <c r="F28" s="105" t="s">
        <v>56</v>
      </c>
      <c r="G28" s="108">
        <v>9</v>
      </c>
      <c r="H28" s="105" t="s">
        <v>281</v>
      </c>
    </row>
    <row r="29" spans="1:8" ht="18" x14ac:dyDescent="0.3">
      <c r="A29" s="119">
        <v>45986</v>
      </c>
      <c r="B29" s="120" t="s">
        <v>48</v>
      </c>
      <c r="C29" s="121" t="s">
        <v>286</v>
      </c>
      <c r="D29" s="120" t="s">
        <v>267</v>
      </c>
      <c r="E29" s="122">
        <v>1.4861111111111109</v>
      </c>
      <c r="F29" s="120" t="s">
        <v>50</v>
      </c>
      <c r="G29" s="123">
        <v>8</v>
      </c>
      <c r="H29" s="120" t="s">
        <v>270</v>
      </c>
    </row>
    <row r="30" spans="1:8" ht="18" x14ac:dyDescent="0.3">
      <c r="A30" s="104">
        <v>45986</v>
      </c>
      <c r="B30" s="105" t="s">
        <v>48</v>
      </c>
      <c r="C30" s="106" t="s">
        <v>286</v>
      </c>
      <c r="D30" s="105" t="s">
        <v>267</v>
      </c>
      <c r="E30" s="107">
        <v>1.4861111111111109</v>
      </c>
      <c r="F30" s="105" t="s">
        <v>53</v>
      </c>
      <c r="G30" s="108">
        <v>8</v>
      </c>
      <c r="H30" s="105" t="s">
        <v>280</v>
      </c>
    </row>
    <row r="31" spans="1:8" ht="18" x14ac:dyDescent="0.3">
      <c r="A31" s="104">
        <v>45986</v>
      </c>
      <c r="B31" s="105" t="s">
        <v>48</v>
      </c>
      <c r="C31" s="106" t="s">
        <v>286</v>
      </c>
      <c r="D31" s="105" t="s">
        <v>267</v>
      </c>
      <c r="E31" s="107">
        <v>1.4861111111111109</v>
      </c>
      <c r="F31" s="105" t="s">
        <v>56</v>
      </c>
      <c r="G31" s="108">
        <v>8</v>
      </c>
      <c r="H31" s="105" t="s">
        <v>281</v>
      </c>
    </row>
    <row r="32" spans="1:8" ht="18" x14ac:dyDescent="0.3">
      <c r="A32" s="119">
        <v>45986</v>
      </c>
      <c r="B32" s="120" t="s">
        <v>48</v>
      </c>
      <c r="C32" s="121" t="s">
        <v>288</v>
      </c>
      <c r="D32" s="120" t="s">
        <v>267</v>
      </c>
      <c r="E32" s="122">
        <v>1.3923611111111109</v>
      </c>
      <c r="F32" s="120" t="s">
        <v>50</v>
      </c>
      <c r="G32" s="123">
        <v>9</v>
      </c>
      <c r="H32" s="120" t="s">
        <v>270</v>
      </c>
    </row>
    <row r="33" spans="1:8" ht="18" x14ac:dyDescent="0.3">
      <c r="A33" s="104">
        <v>45986</v>
      </c>
      <c r="B33" s="105" t="s">
        <v>48</v>
      </c>
      <c r="C33" s="106" t="s">
        <v>288</v>
      </c>
      <c r="D33" s="105" t="s">
        <v>267</v>
      </c>
      <c r="E33" s="107">
        <v>1.3923611111111109</v>
      </c>
      <c r="F33" s="105" t="s">
        <v>53</v>
      </c>
      <c r="G33" s="108">
        <v>9</v>
      </c>
      <c r="H33" s="105" t="s">
        <v>280</v>
      </c>
    </row>
    <row r="34" spans="1:8" ht="18" x14ac:dyDescent="0.3">
      <c r="A34" s="104">
        <v>45986</v>
      </c>
      <c r="B34" s="105" t="s">
        <v>48</v>
      </c>
      <c r="C34" s="106" t="s">
        <v>288</v>
      </c>
      <c r="D34" s="105" t="s">
        <v>267</v>
      </c>
      <c r="E34" s="107">
        <v>1.3923611111111109</v>
      </c>
      <c r="F34" s="105" t="s">
        <v>56</v>
      </c>
      <c r="G34" s="108">
        <v>9</v>
      </c>
      <c r="H34" s="105" t="s">
        <v>281</v>
      </c>
    </row>
    <row r="35" spans="1:8" ht="18" x14ac:dyDescent="0.3">
      <c r="A35" s="119">
        <v>45986</v>
      </c>
      <c r="B35" s="120" t="s">
        <v>48</v>
      </c>
      <c r="C35" s="121" t="s">
        <v>289</v>
      </c>
      <c r="D35" s="120" t="s">
        <v>267</v>
      </c>
      <c r="E35" s="122">
        <v>1.8888888888888891</v>
      </c>
      <c r="F35" s="120" t="s">
        <v>50</v>
      </c>
      <c r="G35" s="123">
        <v>9</v>
      </c>
      <c r="H35" s="120" t="s">
        <v>270</v>
      </c>
    </row>
    <row r="36" spans="1:8" ht="18" x14ac:dyDescent="0.3">
      <c r="A36" s="104">
        <v>45986</v>
      </c>
      <c r="B36" s="105" t="s">
        <v>48</v>
      </c>
      <c r="C36" s="106" t="s">
        <v>289</v>
      </c>
      <c r="D36" s="105" t="s">
        <v>267</v>
      </c>
      <c r="E36" s="107">
        <v>1.8888888888888891</v>
      </c>
      <c r="F36" s="105" t="s">
        <v>53</v>
      </c>
      <c r="G36" s="108">
        <v>9</v>
      </c>
      <c r="H36" s="105" t="s">
        <v>280</v>
      </c>
    </row>
    <row r="37" spans="1:8" ht="18" x14ac:dyDescent="0.3">
      <c r="A37" s="104">
        <v>45986</v>
      </c>
      <c r="B37" s="105" t="s">
        <v>48</v>
      </c>
      <c r="C37" s="106" t="s">
        <v>289</v>
      </c>
      <c r="D37" s="105" t="s">
        <v>267</v>
      </c>
      <c r="E37" s="107">
        <v>1.8888888888888891</v>
      </c>
      <c r="F37" s="105" t="s">
        <v>56</v>
      </c>
      <c r="G37" s="108">
        <v>9</v>
      </c>
      <c r="H37" s="105" t="s">
        <v>281</v>
      </c>
    </row>
    <row r="38" spans="1:8" ht="18" x14ac:dyDescent="0.3">
      <c r="A38" s="118">
        <v>45986</v>
      </c>
      <c r="B38" s="99" t="s">
        <v>290</v>
      </c>
      <c r="C38" s="100" t="s">
        <v>291</v>
      </c>
      <c r="D38" s="99" t="s">
        <v>267</v>
      </c>
      <c r="E38" s="101">
        <v>1.055555555555556</v>
      </c>
      <c r="F38" s="99" t="s">
        <v>292</v>
      </c>
      <c r="G38" s="102">
        <v>1</v>
      </c>
      <c r="H38" s="99" t="s">
        <v>293</v>
      </c>
    </row>
    <row r="39" spans="1:8" ht="18" x14ac:dyDescent="0.3">
      <c r="A39" s="104">
        <v>45986</v>
      </c>
      <c r="B39" s="105" t="s">
        <v>290</v>
      </c>
      <c r="C39" s="106" t="s">
        <v>291</v>
      </c>
      <c r="D39" s="105" t="s">
        <v>267</v>
      </c>
      <c r="E39" s="107">
        <v>1.055555555555556</v>
      </c>
      <c r="F39" s="105" t="s">
        <v>30</v>
      </c>
      <c r="G39" s="108">
        <v>1</v>
      </c>
      <c r="H39" s="105" t="s">
        <v>294</v>
      </c>
    </row>
    <row r="40" spans="1:8" ht="18" x14ac:dyDescent="0.3">
      <c r="A40" s="118">
        <v>45986</v>
      </c>
      <c r="B40" s="99" t="s">
        <v>295</v>
      </c>
      <c r="C40" s="100" t="s">
        <v>296</v>
      </c>
      <c r="D40" s="99" t="s">
        <v>267</v>
      </c>
      <c r="E40" s="101">
        <v>1.493055555555556</v>
      </c>
      <c r="F40" s="99" t="s">
        <v>37</v>
      </c>
      <c r="G40" s="102">
        <v>5</v>
      </c>
      <c r="H40" s="99" t="s">
        <v>297</v>
      </c>
    </row>
    <row r="41" spans="1:8" ht="18" x14ac:dyDescent="0.3">
      <c r="A41" s="119">
        <v>45986</v>
      </c>
      <c r="B41" s="120" t="s">
        <v>295</v>
      </c>
      <c r="C41" s="121" t="s">
        <v>298</v>
      </c>
      <c r="D41" s="120" t="s">
        <v>267</v>
      </c>
      <c r="E41" s="122">
        <v>1.1875</v>
      </c>
      <c r="F41" s="120" t="s">
        <v>37</v>
      </c>
      <c r="G41" s="123">
        <v>3</v>
      </c>
      <c r="H41" s="120" t="s">
        <v>299</v>
      </c>
    </row>
    <row r="42" spans="1:8" ht="18" x14ac:dyDescent="0.3">
      <c r="A42" s="118">
        <v>45986</v>
      </c>
      <c r="B42" s="99" t="s">
        <v>300</v>
      </c>
      <c r="C42" s="100" t="s">
        <v>301</v>
      </c>
      <c r="D42" s="99" t="s">
        <v>267</v>
      </c>
      <c r="E42" s="101">
        <v>1.270833333333333</v>
      </c>
      <c r="F42" s="99" t="s">
        <v>37</v>
      </c>
      <c r="G42" s="102">
        <v>3</v>
      </c>
      <c r="H42" s="99" t="s">
        <v>302</v>
      </c>
    </row>
    <row r="43" spans="1:8" ht="18" x14ac:dyDescent="0.3">
      <c r="A43" s="118">
        <v>45986</v>
      </c>
      <c r="B43" s="99" t="s">
        <v>58</v>
      </c>
      <c r="C43" s="100" t="s">
        <v>303</v>
      </c>
      <c r="D43" s="99" t="s">
        <v>267</v>
      </c>
      <c r="E43" s="101">
        <v>1.989583333333333</v>
      </c>
      <c r="F43" s="99" t="s">
        <v>63</v>
      </c>
      <c r="G43" s="102">
        <v>4</v>
      </c>
      <c r="H43" s="99" t="s">
        <v>304</v>
      </c>
    </row>
    <row r="44" spans="1:8" ht="18" x14ac:dyDescent="0.3">
      <c r="A44" s="119">
        <v>45986</v>
      </c>
      <c r="B44" s="120" t="s">
        <v>58</v>
      </c>
      <c r="C44" s="121" t="s">
        <v>305</v>
      </c>
      <c r="D44" s="120" t="s">
        <v>267</v>
      </c>
      <c r="E44" s="122">
        <v>1.399305555555556</v>
      </c>
      <c r="F44" s="120" t="s">
        <v>63</v>
      </c>
      <c r="G44" s="123">
        <v>4</v>
      </c>
      <c r="H44" s="120" t="s">
        <v>304</v>
      </c>
    </row>
    <row r="45" spans="1:8" ht="18" x14ac:dyDescent="0.3">
      <c r="A45" s="119">
        <v>45986</v>
      </c>
      <c r="B45" s="120" t="s">
        <v>58</v>
      </c>
      <c r="C45" s="121" t="s">
        <v>306</v>
      </c>
      <c r="D45" s="120" t="s">
        <v>267</v>
      </c>
      <c r="E45" s="122">
        <v>1.489583333333333</v>
      </c>
      <c r="F45" s="120" t="s">
        <v>63</v>
      </c>
      <c r="G45" s="123">
        <v>4</v>
      </c>
      <c r="H45" s="120" t="s">
        <v>304</v>
      </c>
    </row>
    <row r="46" spans="1:8" ht="18" x14ac:dyDescent="0.3">
      <c r="A46" s="119">
        <v>45986</v>
      </c>
      <c r="B46" s="120" t="s">
        <v>58</v>
      </c>
      <c r="C46" s="121" t="s">
        <v>307</v>
      </c>
      <c r="D46" s="120" t="s">
        <v>267</v>
      </c>
      <c r="E46" s="122">
        <v>1.8888888888888891</v>
      </c>
      <c r="F46" s="120" t="s">
        <v>63</v>
      </c>
      <c r="G46" s="123">
        <v>4</v>
      </c>
      <c r="H46" s="120" t="s">
        <v>304</v>
      </c>
    </row>
    <row r="47" spans="1:8" ht="18" x14ac:dyDescent="0.3">
      <c r="A47" s="119">
        <v>45986</v>
      </c>
      <c r="B47" s="120" t="s">
        <v>58</v>
      </c>
      <c r="C47" s="121" t="s">
        <v>308</v>
      </c>
      <c r="D47" s="120" t="s">
        <v>267</v>
      </c>
      <c r="E47" s="122">
        <v>1.489583333333333</v>
      </c>
      <c r="F47" s="120" t="s">
        <v>63</v>
      </c>
      <c r="G47" s="123">
        <v>3</v>
      </c>
      <c r="H47" s="120" t="s">
        <v>309</v>
      </c>
    </row>
    <row r="48" spans="1:8" ht="18" x14ac:dyDescent="0.3">
      <c r="A48" s="119">
        <v>45986</v>
      </c>
      <c r="B48" s="120" t="s">
        <v>58</v>
      </c>
      <c r="C48" s="121" t="s">
        <v>310</v>
      </c>
      <c r="D48" s="120" t="s">
        <v>267</v>
      </c>
      <c r="E48" s="122">
        <v>1.2534722222222221</v>
      </c>
      <c r="F48" s="120" t="s">
        <v>63</v>
      </c>
      <c r="G48" s="123">
        <v>1</v>
      </c>
      <c r="H48" s="120" t="s">
        <v>309</v>
      </c>
    </row>
    <row r="49" spans="1:8" ht="18" x14ac:dyDescent="0.3">
      <c r="A49" s="119">
        <v>45986</v>
      </c>
      <c r="B49" s="120" t="s">
        <v>58</v>
      </c>
      <c r="C49" s="121" t="s">
        <v>311</v>
      </c>
      <c r="D49" s="120" t="s">
        <v>267</v>
      </c>
      <c r="E49" s="122">
        <v>1.041666666666667</v>
      </c>
      <c r="F49" s="120" t="s">
        <v>63</v>
      </c>
      <c r="G49" s="123">
        <v>3</v>
      </c>
      <c r="H49" s="120" t="s">
        <v>309</v>
      </c>
    </row>
    <row r="50" spans="1:8" ht="18" x14ac:dyDescent="0.3">
      <c r="A50" s="119">
        <v>45986</v>
      </c>
      <c r="B50" s="120" t="s">
        <v>58</v>
      </c>
      <c r="C50" s="121" t="s">
        <v>312</v>
      </c>
      <c r="D50" s="120" t="s">
        <v>267</v>
      </c>
      <c r="E50" s="122">
        <v>1.9409722222222221</v>
      </c>
      <c r="F50" s="120" t="s">
        <v>63</v>
      </c>
      <c r="G50" s="123">
        <v>4</v>
      </c>
      <c r="H50" s="120" t="s">
        <v>309</v>
      </c>
    </row>
    <row r="51" spans="1:8" ht="18" x14ac:dyDescent="0.3">
      <c r="A51" s="119">
        <v>45986</v>
      </c>
      <c r="B51" s="120" t="s">
        <v>58</v>
      </c>
      <c r="C51" s="121" t="s">
        <v>313</v>
      </c>
      <c r="D51" s="120" t="s">
        <v>267</v>
      </c>
      <c r="E51" s="122">
        <v>1.7222222222222221</v>
      </c>
      <c r="F51" s="120" t="s">
        <v>63</v>
      </c>
      <c r="G51" s="123">
        <v>1</v>
      </c>
      <c r="H51" s="120" t="s">
        <v>314</v>
      </c>
    </row>
    <row r="52" spans="1:8" ht="18" x14ac:dyDescent="0.3">
      <c r="A52" s="119">
        <v>45986</v>
      </c>
      <c r="B52" s="120" t="s">
        <v>58</v>
      </c>
      <c r="C52" s="121" t="s">
        <v>315</v>
      </c>
      <c r="D52" s="120" t="s">
        <v>267</v>
      </c>
      <c r="E52" s="122">
        <v>1.7013888888888891</v>
      </c>
      <c r="F52" s="120" t="s">
        <v>63</v>
      </c>
      <c r="G52" s="123">
        <v>2</v>
      </c>
      <c r="H52" s="120" t="s">
        <v>314</v>
      </c>
    </row>
    <row r="53" spans="1:8" ht="18" x14ac:dyDescent="0.3">
      <c r="A53" s="118">
        <v>45986</v>
      </c>
      <c r="B53" s="99" t="s">
        <v>75</v>
      </c>
      <c r="C53" s="100" t="s">
        <v>316</v>
      </c>
      <c r="D53" s="99" t="s">
        <v>267</v>
      </c>
      <c r="E53" s="101">
        <v>1.836805555555556</v>
      </c>
      <c r="F53" s="99" t="s">
        <v>60</v>
      </c>
      <c r="G53" s="102">
        <v>3</v>
      </c>
      <c r="H53" s="99" t="s">
        <v>317</v>
      </c>
    </row>
    <row r="54" spans="1:8" ht="18" x14ac:dyDescent="0.3">
      <c r="A54" s="119">
        <v>45986</v>
      </c>
      <c r="B54" s="120" t="s">
        <v>75</v>
      </c>
      <c r="C54" s="121" t="s">
        <v>318</v>
      </c>
      <c r="D54" s="120" t="s">
        <v>267</v>
      </c>
      <c r="E54" s="122">
        <v>1.3125</v>
      </c>
      <c r="F54" s="120" t="s">
        <v>60</v>
      </c>
      <c r="G54" s="123">
        <v>7</v>
      </c>
      <c r="H54" s="120" t="s">
        <v>317</v>
      </c>
    </row>
    <row r="55" spans="1:8" ht="18" x14ac:dyDescent="0.3">
      <c r="A55" s="119">
        <v>45986</v>
      </c>
      <c r="B55" s="120" t="s">
        <v>75</v>
      </c>
      <c r="C55" s="121" t="s">
        <v>319</v>
      </c>
      <c r="D55" s="120" t="s">
        <v>267</v>
      </c>
      <c r="E55" s="122">
        <v>1.9722222222222221</v>
      </c>
      <c r="F55" s="120" t="s">
        <v>60</v>
      </c>
      <c r="G55" s="123">
        <v>7</v>
      </c>
      <c r="H55" s="120" t="s">
        <v>317</v>
      </c>
    </row>
    <row r="56" spans="1:8" ht="18" x14ac:dyDescent="0.3">
      <c r="A56" s="119">
        <v>45986</v>
      </c>
      <c r="B56" s="120" t="s">
        <v>75</v>
      </c>
      <c r="C56" s="121" t="s">
        <v>320</v>
      </c>
      <c r="D56" s="120" t="s">
        <v>267</v>
      </c>
      <c r="E56" s="122">
        <v>1.104166666666667</v>
      </c>
      <c r="F56" s="120" t="s">
        <v>60</v>
      </c>
      <c r="G56" s="123">
        <v>3</v>
      </c>
      <c r="H56" s="120" t="s">
        <v>317</v>
      </c>
    </row>
    <row r="57" spans="1:8" ht="18" x14ac:dyDescent="0.3">
      <c r="A57" s="119">
        <v>45986</v>
      </c>
      <c r="B57" s="120" t="s">
        <v>75</v>
      </c>
      <c r="C57" s="121" t="s">
        <v>321</v>
      </c>
      <c r="D57" s="120" t="s">
        <v>267</v>
      </c>
      <c r="E57" s="122">
        <v>1.7847222222222221</v>
      </c>
      <c r="F57" s="120" t="s">
        <v>60</v>
      </c>
      <c r="G57" s="123">
        <v>4</v>
      </c>
      <c r="H57" s="120" t="s">
        <v>317</v>
      </c>
    </row>
    <row r="58" spans="1:8" ht="18" x14ac:dyDescent="0.3">
      <c r="A58" s="119">
        <v>45986</v>
      </c>
      <c r="B58" s="120" t="s">
        <v>75</v>
      </c>
      <c r="C58" s="121" t="s">
        <v>322</v>
      </c>
      <c r="D58" s="120" t="s">
        <v>267</v>
      </c>
      <c r="E58" s="122">
        <v>1.600694444444444</v>
      </c>
      <c r="F58" s="120" t="s">
        <v>60</v>
      </c>
      <c r="G58" s="123">
        <v>7</v>
      </c>
      <c r="H58" s="120" t="s">
        <v>317</v>
      </c>
    </row>
    <row r="59" spans="1:8" ht="18" x14ac:dyDescent="0.3">
      <c r="A59" s="109">
        <v>45986</v>
      </c>
      <c r="B59" s="110" t="s">
        <v>35</v>
      </c>
      <c r="C59" s="111" t="s">
        <v>323</v>
      </c>
      <c r="D59" s="110" t="s">
        <v>267</v>
      </c>
      <c r="E59" s="112">
        <v>1.052083333333333</v>
      </c>
      <c r="F59" s="110" t="s">
        <v>44</v>
      </c>
      <c r="G59" s="110"/>
      <c r="H59" s="110" t="s">
        <v>45</v>
      </c>
    </row>
    <row r="60" spans="1:8" ht="18" x14ac:dyDescent="0.3">
      <c r="A60" s="114">
        <v>45986</v>
      </c>
      <c r="B60" s="115" t="s">
        <v>35</v>
      </c>
      <c r="C60" s="116" t="s">
        <v>325</v>
      </c>
      <c r="D60" s="115" t="s">
        <v>267</v>
      </c>
      <c r="E60" s="117">
        <v>1.381944444444444</v>
      </c>
      <c r="F60" s="115" t="s">
        <v>44</v>
      </c>
      <c r="G60" s="115"/>
      <c r="H60" s="115" t="s">
        <v>45</v>
      </c>
    </row>
    <row r="61" spans="1:8" ht="18" x14ac:dyDescent="0.3">
      <c r="A61" s="114">
        <v>45986</v>
      </c>
      <c r="B61" s="115" t="s">
        <v>35</v>
      </c>
      <c r="C61" s="116" t="s">
        <v>327</v>
      </c>
      <c r="D61" s="115" t="s">
        <v>267</v>
      </c>
      <c r="E61" s="117">
        <v>1.4375</v>
      </c>
      <c r="F61" s="115" t="s">
        <v>44</v>
      </c>
      <c r="G61" s="115"/>
      <c r="H61" s="115" t="s">
        <v>45</v>
      </c>
    </row>
    <row r="62" spans="1:8" ht="18" x14ac:dyDescent="0.3">
      <c r="A62" s="114">
        <v>45986</v>
      </c>
      <c r="B62" s="115" t="s">
        <v>35</v>
      </c>
      <c r="C62" s="116" t="s">
        <v>329</v>
      </c>
      <c r="D62" s="115" t="s">
        <v>267</v>
      </c>
      <c r="E62" s="117">
        <v>1.552083333333333</v>
      </c>
      <c r="F62" s="115" t="s">
        <v>44</v>
      </c>
      <c r="G62" s="115"/>
      <c r="H62" s="115" t="s">
        <v>45</v>
      </c>
    </row>
    <row r="63" spans="1:8" ht="18" x14ac:dyDescent="0.3">
      <c r="A63" s="114">
        <v>45986</v>
      </c>
      <c r="B63" s="115" t="s">
        <v>35</v>
      </c>
      <c r="C63" s="116" t="s">
        <v>331</v>
      </c>
      <c r="D63" s="115" t="s">
        <v>267</v>
      </c>
      <c r="E63" s="117">
        <v>1.756944444444444</v>
      </c>
      <c r="F63" s="115" t="s">
        <v>44</v>
      </c>
      <c r="G63" s="115"/>
      <c r="H63" s="115" t="s">
        <v>45</v>
      </c>
    </row>
    <row r="64" spans="1:8" ht="18" x14ac:dyDescent="0.3">
      <c r="A64" s="229">
        <v>45986</v>
      </c>
      <c r="B64" s="230" t="s">
        <v>35</v>
      </c>
      <c r="C64" s="231" t="s">
        <v>333</v>
      </c>
      <c r="D64" s="230" t="s">
        <v>267</v>
      </c>
      <c r="E64" s="232">
        <v>1.791666666666667</v>
      </c>
      <c r="F64" s="230" t="s">
        <v>44</v>
      </c>
      <c r="G64" s="230"/>
      <c r="H64" s="230" t="s">
        <v>45</v>
      </c>
    </row>
    <row r="65" spans="1:8" ht="18" x14ac:dyDescent="0.3">
      <c r="A65" s="98">
        <v>45987</v>
      </c>
      <c r="B65" s="99" t="s">
        <v>25</v>
      </c>
      <c r="C65" s="100" t="s">
        <v>268</v>
      </c>
      <c r="D65" s="99" t="s">
        <v>267</v>
      </c>
      <c r="E65" s="101">
        <v>1.399305555555556</v>
      </c>
      <c r="F65" s="99" t="s">
        <v>27</v>
      </c>
      <c r="G65" s="102">
        <v>4</v>
      </c>
      <c r="H65" s="103" t="s">
        <v>273</v>
      </c>
    </row>
    <row r="66" spans="1:8" ht="18" x14ac:dyDescent="0.3">
      <c r="A66" s="104">
        <v>45987</v>
      </c>
      <c r="B66" s="105" t="s">
        <v>25</v>
      </c>
      <c r="C66" s="106" t="s">
        <v>268</v>
      </c>
      <c r="D66" s="105" t="s">
        <v>267</v>
      </c>
      <c r="E66" s="107">
        <v>1.399305555555556</v>
      </c>
      <c r="F66" s="105" t="s">
        <v>33</v>
      </c>
      <c r="G66" s="108">
        <v>4</v>
      </c>
      <c r="H66" s="105" t="s">
        <v>275</v>
      </c>
    </row>
    <row r="67" spans="1:8" ht="18" x14ac:dyDescent="0.3">
      <c r="A67" s="104">
        <v>45987</v>
      </c>
      <c r="B67" s="105" t="s">
        <v>25</v>
      </c>
      <c r="C67" s="106" t="s">
        <v>268</v>
      </c>
      <c r="D67" s="105" t="s">
        <v>267</v>
      </c>
      <c r="E67" s="107">
        <v>1.399305555555556</v>
      </c>
      <c r="F67" s="105" t="s">
        <v>30</v>
      </c>
      <c r="G67" s="108">
        <v>4</v>
      </c>
      <c r="H67" s="105" t="s">
        <v>94</v>
      </c>
    </row>
    <row r="68" spans="1:8" ht="18" x14ac:dyDescent="0.3">
      <c r="A68" s="119">
        <v>45987</v>
      </c>
      <c r="B68" s="120" t="s">
        <v>25</v>
      </c>
      <c r="C68" s="121" t="s">
        <v>271</v>
      </c>
      <c r="D68" s="120" t="s">
        <v>267</v>
      </c>
      <c r="E68" s="122">
        <v>1.489583333333333</v>
      </c>
      <c r="F68" s="120" t="s">
        <v>27</v>
      </c>
      <c r="G68" s="123">
        <v>3</v>
      </c>
      <c r="H68" s="120" t="s">
        <v>273</v>
      </c>
    </row>
    <row r="69" spans="1:8" ht="18" x14ac:dyDescent="0.3">
      <c r="A69" s="104">
        <v>45987</v>
      </c>
      <c r="B69" s="105" t="s">
        <v>25</v>
      </c>
      <c r="C69" s="106" t="s">
        <v>271</v>
      </c>
      <c r="D69" s="105" t="s">
        <v>267</v>
      </c>
      <c r="E69" s="107">
        <v>1.489583333333333</v>
      </c>
      <c r="F69" s="105" t="s">
        <v>33</v>
      </c>
      <c r="G69" s="108">
        <v>3</v>
      </c>
      <c r="H69" s="105" t="s">
        <v>275</v>
      </c>
    </row>
    <row r="70" spans="1:8" ht="18" x14ac:dyDescent="0.3">
      <c r="A70" s="104">
        <v>45987</v>
      </c>
      <c r="B70" s="105" t="s">
        <v>25</v>
      </c>
      <c r="C70" s="106" t="s">
        <v>271</v>
      </c>
      <c r="D70" s="105" t="s">
        <v>267</v>
      </c>
      <c r="E70" s="107">
        <v>1.489583333333333</v>
      </c>
      <c r="F70" s="105" t="s">
        <v>30</v>
      </c>
      <c r="G70" s="108">
        <v>3</v>
      </c>
      <c r="H70" s="105" t="s">
        <v>94</v>
      </c>
    </row>
    <row r="71" spans="1:8" ht="18" x14ac:dyDescent="0.3">
      <c r="A71" s="119">
        <v>45987</v>
      </c>
      <c r="B71" s="120" t="s">
        <v>25</v>
      </c>
      <c r="C71" s="121" t="s">
        <v>276</v>
      </c>
      <c r="D71" s="120" t="s">
        <v>267</v>
      </c>
      <c r="E71" s="122">
        <v>1.8888888888888891</v>
      </c>
      <c r="F71" s="120" t="s">
        <v>335</v>
      </c>
      <c r="G71" s="123">
        <v>3</v>
      </c>
      <c r="H71" s="120" t="s">
        <v>32</v>
      </c>
    </row>
    <row r="72" spans="1:8" ht="18" x14ac:dyDescent="0.3">
      <c r="A72" s="104">
        <v>45987</v>
      </c>
      <c r="B72" s="105" t="s">
        <v>25</v>
      </c>
      <c r="C72" s="106" t="s">
        <v>276</v>
      </c>
      <c r="D72" s="105" t="s">
        <v>267</v>
      </c>
      <c r="E72" s="107">
        <v>1.8888888888888891</v>
      </c>
      <c r="F72" s="105" t="s">
        <v>27</v>
      </c>
      <c r="G72" s="108">
        <v>3</v>
      </c>
      <c r="H72" s="105" t="s">
        <v>32</v>
      </c>
    </row>
    <row r="73" spans="1:8" ht="18" x14ac:dyDescent="0.3">
      <c r="A73" s="104">
        <v>45987</v>
      </c>
      <c r="B73" s="105" t="s">
        <v>25</v>
      </c>
      <c r="C73" s="106" t="s">
        <v>276</v>
      </c>
      <c r="D73" s="105" t="s">
        <v>267</v>
      </c>
      <c r="E73" s="107">
        <v>1.8888888888888891</v>
      </c>
      <c r="F73" s="105" t="s">
        <v>33</v>
      </c>
      <c r="G73" s="108">
        <v>3</v>
      </c>
      <c r="H73" s="105" t="s">
        <v>280</v>
      </c>
    </row>
    <row r="74" spans="1:8" ht="18" x14ac:dyDescent="0.3">
      <c r="A74" s="104">
        <v>45987</v>
      </c>
      <c r="B74" s="105" t="s">
        <v>25</v>
      </c>
      <c r="C74" s="106" t="s">
        <v>276</v>
      </c>
      <c r="D74" s="105" t="s">
        <v>267</v>
      </c>
      <c r="E74" s="107">
        <v>1.8888888888888891</v>
      </c>
      <c r="F74" s="105" t="s">
        <v>30</v>
      </c>
      <c r="G74" s="108">
        <v>3</v>
      </c>
      <c r="H74" s="105" t="s">
        <v>336</v>
      </c>
    </row>
    <row r="75" spans="1:8" ht="18" x14ac:dyDescent="0.3">
      <c r="A75" s="119">
        <v>45987</v>
      </c>
      <c r="B75" s="120" t="s">
        <v>25</v>
      </c>
      <c r="C75" s="121" t="s">
        <v>277</v>
      </c>
      <c r="D75" s="120" t="s">
        <v>267</v>
      </c>
      <c r="E75" s="122">
        <v>1.989583333333333</v>
      </c>
      <c r="F75" s="120" t="s">
        <v>27</v>
      </c>
      <c r="G75" s="123">
        <v>10</v>
      </c>
      <c r="H75" s="120" t="s">
        <v>32</v>
      </c>
    </row>
    <row r="76" spans="1:8" ht="18" x14ac:dyDescent="0.3">
      <c r="A76" s="104">
        <v>45987</v>
      </c>
      <c r="B76" s="105" t="s">
        <v>25</v>
      </c>
      <c r="C76" s="106" t="s">
        <v>277</v>
      </c>
      <c r="D76" s="105" t="s">
        <v>267</v>
      </c>
      <c r="E76" s="107">
        <v>1.989583333333333</v>
      </c>
      <c r="F76" s="105" t="s">
        <v>33</v>
      </c>
      <c r="G76" s="108">
        <v>10</v>
      </c>
      <c r="H76" s="105" t="s">
        <v>280</v>
      </c>
    </row>
    <row r="77" spans="1:8" ht="18" x14ac:dyDescent="0.3">
      <c r="A77" s="104">
        <v>45987</v>
      </c>
      <c r="B77" s="105" t="s">
        <v>25</v>
      </c>
      <c r="C77" s="106" t="s">
        <v>277</v>
      </c>
      <c r="D77" s="105" t="s">
        <v>267</v>
      </c>
      <c r="E77" s="107">
        <v>1.989583333333333</v>
      </c>
      <c r="F77" s="105" t="s">
        <v>30</v>
      </c>
      <c r="G77" s="108">
        <v>10</v>
      </c>
      <c r="H77" s="105" t="s">
        <v>94</v>
      </c>
    </row>
    <row r="78" spans="1:8" ht="18" x14ac:dyDescent="0.3">
      <c r="A78" s="118">
        <v>45987</v>
      </c>
      <c r="B78" s="99" t="s">
        <v>48</v>
      </c>
      <c r="C78" s="100" t="s">
        <v>283</v>
      </c>
      <c r="D78" s="99" t="s">
        <v>267</v>
      </c>
      <c r="E78" s="101">
        <v>1.836805555555556</v>
      </c>
      <c r="F78" s="99" t="s">
        <v>102</v>
      </c>
      <c r="G78" s="102">
        <v>2</v>
      </c>
      <c r="H78" s="99" t="s">
        <v>273</v>
      </c>
    </row>
    <row r="79" spans="1:8" ht="18" x14ac:dyDescent="0.3">
      <c r="A79" s="104">
        <v>45987</v>
      </c>
      <c r="B79" s="105" t="s">
        <v>48</v>
      </c>
      <c r="C79" s="106" t="s">
        <v>283</v>
      </c>
      <c r="D79" s="105" t="s">
        <v>267</v>
      </c>
      <c r="E79" s="107">
        <v>1.836805555555556</v>
      </c>
      <c r="F79" s="105" t="s">
        <v>50</v>
      </c>
      <c r="G79" s="108">
        <v>2</v>
      </c>
      <c r="H79" s="105" t="s">
        <v>273</v>
      </c>
    </row>
    <row r="80" spans="1:8" ht="18" x14ac:dyDescent="0.3">
      <c r="A80" s="104">
        <v>45987</v>
      </c>
      <c r="B80" s="105" t="s">
        <v>48</v>
      </c>
      <c r="C80" s="106" t="s">
        <v>283</v>
      </c>
      <c r="D80" s="105" t="s">
        <v>267</v>
      </c>
      <c r="E80" s="107">
        <v>1.836805555555556</v>
      </c>
      <c r="F80" s="105" t="s">
        <v>53</v>
      </c>
      <c r="G80" s="108">
        <v>2</v>
      </c>
      <c r="H80" s="105" t="s">
        <v>270</v>
      </c>
    </row>
    <row r="81" spans="1:8" ht="18" x14ac:dyDescent="0.3">
      <c r="A81" s="104">
        <v>45987</v>
      </c>
      <c r="B81" s="105" t="s">
        <v>48</v>
      </c>
      <c r="C81" s="106" t="s">
        <v>283</v>
      </c>
      <c r="D81" s="105" t="s">
        <v>267</v>
      </c>
      <c r="E81" s="107">
        <v>1.836805555555556</v>
      </c>
      <c r="F81" s="105" t="s">
        <v>56</v>
      </c>
      <c r="G81" s="108">
        <v>2</v>
      </c>
      <c r="H81" s="105" t="s">
        <v>93</v>
      </c>
    </row>
    <row r="82" spans="1:8" ht="18" x14ac:dyDescent="0.3">
      <c r="A82" s="119">
        <v>45987</v>
      </c>
      <c r="B82" s="120" t="s">
        <v>48</v>
      </c>
      <c r="C82" s="121" t="s">
        <v>279</v>
      </c>
      <c r="D82" s="120" t="s">
        <v>267</v>
      </c>
      <c r="E82" s="122">
        <v>1.3472222222222221</v>
      </c>
      <c r="F82" s="120" t="s">
        <v>50</v>
      </c>
      <c r="G82" s="123">
        <v>9</v>
      </c>
      <c r="H82" s="120" t="s">
        <v>270</v>
      </c>
    </row>
    <row r="83" spans="1:8" ht="18" x14ac:dyDescent="0.3">
      <c r="A83" s="104">
        <v>45987</v>
      </c>
      <c r="B83" s="105" t="s">
        <v>48</v>
      </c>
      <c r="C83" s="106" t="s">
        <v>279</v>
      </c>
      <c r="D83" s="105" t="s">
        <v>267</v>
      </c>
      <c r="E83" s="107">
        <v>1.3472222222222221</v>
      </c>
      <c r="F83" s="105" t="s">
        <v>53</v>
      </c>
      <c r="G83" s="108">
        <v>9</v>
      </c>
      <c r="H83" s="105" t="s">
        <v>280</v>
      </c>
    </row>
    <row r="84" spans="1:8" ht="18" x14ac:dyDescent="0.3">
      <c r="A84" s="104">
        <v>45987</v>
      </c>
      <c r="B84" s="105" t="s">
        <v>48</v>
      </c>
      <c r="C84" s="106" t="s">
        <v>279</v>
      </c>
      <c r="D84" s="105" t="s">
        <v>267</v>
      </c>
      <c r="E84" s="107">
        <v>1.3472222222222221</v>
      </c>
      <c r="F84" s="105" t="s">
        <v>56</v>
      </c>
      <c r="G84" s="108">
        <v>9</v>
      </c>
      <c r="H84" s="105" t="s">
        <v>281</v>
      </c>
    </row>
    <row r="85" spans="1:8" ht="18" x14ac:dyDescent="0.3">
      <c r="A85" s="119">
        <v>45987</v>
      </c>
      <c r="B85" s="120" t="s">
        <v>48</v>
      </c>
      <c r="C85" s="121" t="s">
        <v>278</v>
      </c>
      <c r="D85" s="120" t="s">
        <v>267</v>
      </c>
      <c r="E85" s="122">
        <v>1.993055555555556</v>
      </c>
      <c r="F85" s="120" t="s">
        <v>50</v>
      </c>
      <c r="G85" s="123">
        <v>8</v>
      </c>
      <c r="H85" s="120" t="s">
        <v>270</v>
      </c>
    </row>
    <row r="86" spans="1:8" ht="18" x14ac:dyDescent="0.3">
      <c r="A86" s="104">
        <v>45987</v>
      </c>
      <c r="B86" s="105" t="s">
        <v>48</v>
      </c>
      <c r="C86" s="106" t="s">
        <v>278</v>
      </c>
      <c r="D86" s="105" t="s">
        <v>267</v>
      </c>
      <c r="E86" s="107">
        <v>1.993055555555556</v>
      </c>
      <c r="F86" s="105" t="s">
        <v>53</v>
      </c>
      <c r="G86" s="108">
        <v>8</v>
      </c>
      <c r="H86" s="105" t="s">
        <v>280</v>
      </c>
    </row>
    <row r="87" spans="1:8" ht="18" x14ac:dyDescent="0.3">
      <c r="A87" s="104">
        <v>45987</v>
      </c>
      <c r="B87" s="105" t="s">
        <v>48</v>
      </c>
      <c r="C87" s="106" t="s">
        <v>278</v>
      </c>
      <c r="D87" s="105" t="s">
        <v>267</v>
      </c>
      <c r="E87" s="107">
        <v>1.993055555555556</v>
      </c>
      <c r="F87" s="105" t="s">
        <v>56</v>
      </c>
      <c r="G87" s="108">
        <v>8</v>
      </c>
      <c r="H87" s="105" t="s">
        <v>281</v>
      </c>
    </row>
    <row r="88" spans="1:8" ht="18" x14ac:dyDescent="0.3">
      <c r="A88" s="119">
        <v>45987</v>
      </c>
      <c r="B88" s="120" t="s">
        <v>48</v>
      </c>
      <c r="C88" s="121" t="s">
        <v>285</v>
      </c>
      <c r="D88" s="120" t="s">
        <v>267</v>
      </c>
      <c r="E88" s="122">
        <v>1.944444444444444</v>
      </c>
      <c r="F88" s="120" t="s">
        <v>50</v>
      </c>
      <c r="G88" s="123">
        <v>8</v>
      </c>
      <c r="H88" s="120" t="s">
        <v>270</v>
      </c>
    </row>
    <row r="89" spans="1:8" ht="18" x14ac:dyDescent="0.3">
      <c r="A89" s="104">
        <v>45987</v>
      </c>
      <c r="B89" s="105" t="s">
        <v>48</v>
      </c>
      <c r="C89" s="106" t="s">
        <v>285</v>
      </c>
      <c r="D89" s="105" t="s">
        <v>267</v>
      </c>
      <c r="E89" s="107">
        <v>1.944444444444444</v>
      </c>
      <c r="F89" s="105" t="s">
        <v>53</v>
      </c>
      <c r="G89" s="108">
        <v>8</v>
      </c>
      <c r="H89" s="105" t="s">
        <v>280</v>
      </c>
    </row>
    <row r="90" spans="1:8" ht="18" x14ac:dyDescent="0.3">
      <c r="A90" s="104">
        <v>45987</v>
      </c>
      <c r="B90" s="105" t="s">
        <v>48</v>
      </c>
      <c r="C90" s="106" t="s">
        <v>285</v>
      </c>
      <c r="D90" s="105" t="s">
        <v>267</v>
      </c>
      <c r="E90" s="107">
        <v>1.944444444444444</v>
      </c>
      <c r="F90" s="105" t="s">
        <v>56</v>
      </c>
      <c r="G90" s="108">
        <v>8</v>
      </c>
      <c r="H90" s="105" t="s">
        <v>281</v>
      </c>
    </row>
    <row r="91" spans="1:8" ht="18" x14ac:dyDescent="0.3">
      <c r="A91" s="119">
        <v>45987</v>
      </c>
      <c r="B91" s="120" t="s">
        <v>48</v>
      </c>
      <c r="C91" s="121" t="s">
        <v>286</v>
      </c>
      <c r="D91" s="120" t="s">
        <v>267</v>
      </c>
      <c r="E91" s="122">
        <v>1.4861111111111109</v>
      </c>
      <c r="F91" s="120" t="s">
        <v>50</v>
      </c>
      <c r="G91" s="123">
        <v>8</v>
      </c>
      <c r="H91" s="120" t="s">
        <v>270</v>
      </c>
    </row>
    <row r="92" spans="1:8" ht="18" x14ac:dyDescent="0.3">
      <c r="A92" s="104">
        <v>45987</v>
      </c>
      <c r="B92" s="105" t="s">
        <v>48</v>
      </c>
      <c r="C92" s="106" t="s">
        <v>286</v>
      </c>
      <c r="D92" s="105" t="s">
        <v>267</v>
      </c>
      <c r="E92" s="107">
        <v>1.4861111111111109</v>
      </c>
      <c r="F92" s="105" t="s">
        <v>53</v>
      </c>
      <c r="G92" s="108">
        <v>8</v>
      </c>
      <c r="H92" s="105" t="s">
        <v>280</v>
      </c>
    </row>
    <row r="93" spans="1:8" ht="18" x14ac:dyDescent="0.3">
      <c r="A93" s="104">
        <v>45987</v>
      </c>
      <c r="B93" s="105" t="s">
        <v>48</v>
      </c>
      <c r="C93" s="106" t="s">
        <v>286</v>
      </c>
      <c r="D93" s="105" t="s">
        <v>267</v>
      </c>
      <c r="E93" s="107">
        <v>1.4861111111111109</v>
      </c>
      <c r="F93" s="105" t="s">
        <v>56</v>
      </c>
      <c r="G93" s="108">
        <v>8</v>
      </c>
      <c r="H93" s="105" t="s">
        <v>281</v>
      </c>
    </row>
    <row r="94" spans="1:8" ht="18" x14ac:dyDescent="0.3">
      <c r="A94" s="119">
        <v>45987</v>
      </c>
      <c r="B94" s="120" t="s">
        <v>48</v>
      </c>
      <c r="C94" s="121" t="s">
        <v>288</v>
      </c>
      <c r="D94" s="120" t="s">
        <v>267</v>
      </c>
      <c r="E94" s="122">
        <v>1.3923611111111109</v>
      </c>
      <c r="F94" s="120" t="s">
        <v>50</v>
      </c>
      <c r="G94" s="123">
        <v>8</v>
      </c>
      <c r="H94" s="120" t="s">
        <v>270</v>
      </c>
    </row>
    <row r="95" spans="1:8" ht="18" x14ac:dyDescent="0.3">
      <c r="A95" s="104">
        <v>45987</v>
      </c>
      <c r="B95" s="105" t="s">
        <v>48</v>
      </c>
      <c r="C95" s="106" t="s">
        <v>288</v>
      </c>
      <c r="D95" s="105" t="s">
        <v>267</v>
      </c>
      <c r="E95" s="107">
        <v>1.3923611111111109</v>
      </c>
      <c r="F95" s="105" t="s">
        <v>53</v>
      </c>
      <c r="G95" s="108">
        <v>8</v>
      </c>
      <c r="H95" s="105" t="s">
        <v>280</v>
      </c>
    </row>
    <row r="96" spans="1:8" ht="18" x14ac:dyDescent="0.3">
      <c r="A96" s="104">
        <v>45987</v>
      </c>
      <c r="B96" s="105" t="s">
        <v>48</v>
      </c>
      <c r="C96" s="106" t="s">
        <v>288</v>
      </c>
      <c r="D96" s="105" t="s">
        <v>267</v>
      </c>
      <c r="E96" s="107">
        <v>1.3923611111111109</v>
      </c>
      <c r="F96" s="105" t="s">
        <v>56</v>
      </c>
      <c r="G96" s="108">
        <v>8</v>
      </c>
      <c r="H96" s="105" t="s">
        <v>281</v>
      </c>
    </row>
    <row r="97" spans="1:8" ht="18" x14ac:dyDescent="0.3">
      <c r="A97" s="119">
        <v>45987</v>
      </c>
      <c r="B97" s="120" t="s">
        <v>48</v>
      </c>
      <c r="C97" s="121" t="s">
        <v>289</v>
      </c>
      <c r="D97" s="120" t="s">
        <v>267</v>
      </c>
      <c r="E97" s="122">
        <v>1.8888888888888891</v>
      </c>
      <c r="F97" s="120" t="s">
        <v>50</v>
      </c>
      <c r="G97" s="123">
        <v>9</v>
      </c>
      <c r="H97" s="120" t="s">
        <v>270</v>
      </c>
    </row>
    <row r="98" spans="1:8" ht="18" x14ac:dyDescent="0.3">
      <c r="A98" s="104">
        <v>45987</v>
      </c>
      <c r="B98" s="105" t="s">
        <v>48</v>
      </c>
      <c r="C98" s="106" t="s">
        <v>289</v>
      </c>
      <c r="D98" s="105" t="s">
        <v>267</v>
      </c>
      <c r="E98" s="107">
        <v>1.8888888888888891</v>
      </c>
      <c r="F98" s="105" t="s">
        <v>53</v>
      </c>
      <c r="G98" s="108">
        <v>9</v>
      </c>
      <c r="H98" s="105" t="s">
        <v>280</v>
      </c>
    </row>
    <row r="99" spans="1:8" ht="18" x14ac:dyDescent="0.3">
      <c r="A99" s="104">
        <v>45987</v>
      </c>
      <c r="B99" s="105" t="s">
        <v>48</v>
      </c>
      <c r="C99" s="106" t="s">
        <v>289</v>
      </c>
      <c r="D99" s="105" t="s">
        <v>267</v>
      </c>
      <c r="E99" s="107">
        <v>1.8888888888888891</v>
      </c>
      <c r="F99" s="105" t="s">
        <v>56</v>
      </c>
      <c r="G99" s="108">
        <v>9</v>
      </c>
      <c r="H99" s="105" t="s">
        <v>281</v>
      </c>
    </row>
    <row r="100" spans="1:8" ht="18" x14ac:dyDescent="0.3">
      <c r="A100" s="119">
        <v>45987</v>
      </c>
      <c r="B100" s="120" t="s">
        <v>48</v>
      </c>
      <c r="C100" s="121" t="s">
        <v>282</v>
      </c>
      <c r="D100" s="120" t="s">
        <v>267</v>
      </c>
      <c r="E100" s="122">
        <v>1.7361111111111109</v>
      </c>
      <c r="F100" s="120" t="s">
        <v>50</v>
      </c>
      <c r="G100" s="123">
        <v>5</v>
      </c>
      <c r="H100" s="120" t="s">
        <v>337</v>
      </c>
    </row>
    <row r="101" spans="1:8" ht="18" x14ac:dyDescent="0.3">
      <c r="A101" s="104">
        <v>45987</v>
      </c>
      <c r="B101" s="105" t="s">
        <v>48</v>
      </c>
      <c r="C101" s="106" t="s">
        <v>282</v>
      </c>
      <c r="D101" s="105" t="s">
        <v>267</v>
      </c>
      <c r="E101" s="107">
        <v>1.7361111111111109</v>
      </c>
      <c r="F101" s="105" t="s">
        <v>53</v>
      </c>
      <c r="G101" s="108">
        <v>5</v>
      </c>
      <c r="H101" s="105" t="s">
        <v>94</v>
      </c>
    </row>
    <row r="102" spans="1:8" ht="18" x14ac:dyDescent="0.3">
      <c r="A102" s="104">
        <v>45987</v>
      </c>
      <c r="B102" s="105" t="s">
        <v>48</v>
      </c>
      <c r="C102" s="106" t="s">
        <v>282</v>
      </c>
      <c r="D102" s="105" t="s">
        <v>267</v>
      </c>
      <c r="E102" s="107">
        <v>1.7361111111111109</v>
      </c>
      <c r="F102" s="105" t="s">
        <v>56</v>
      </c>
      <c r="G102" s="108">
        <v>5</v>
      </c>
      <c r="H102" s="105" t="s">
        <v>299</v>
      </c>
    </row>
    <row r="103" spans="1:8" ht="18" x14ac:dyDescent="0.3">
      <c r="A103" s="118">
        <v>45987</v>
      </c>
      <c r="B103" s="99" t="s">
        <v>75</v>
      </c>
      <c r="C103" s="100" t="s">
        <v>320</v>
      </c>
      <c r="D103" s="99" t="s">
        <v>267</v>
      </c>
      <c r="E103" s="101">
        <v>1.100694444444444</v>
      </c>
      <c r="F103" s="99" t="s">
        <v>60</v>
      </c>
      <c r="G103" s="102">
        <v>5</v>
      </c>
      <c r="H103" s="99" t="s">
        <v>338</v>
      </c>
    </row>
    <row r="104" spans="1:8" ht="18" x14ac:dyDescent="0.3">
      <c r="A104" s="119">
        <v>45987</v>
      </c>
      <c r="B104" s="120" t="s">
        <v>75</v>
      </c>
      <c r="C104" s="121" t="s">
        <v>339</v>
      </c>
      <c r="D104" s="120" t="s">
        <v>267</v>
      </c>
      <c r="E104" s="122">
        <v>1.0486111111111109</v>
      </c>
      <c r="F104" s="120" t="s">
        <v>60</v>
      </c>
      <c r="G104" s="123">
        <v>6</v>
      </c>
      <c r="H104" s="120" t="s">
        <v>338</v>
      </c>
    </row>
    <row r="105" spans="1:8" ht="18" x14ac:dyDescent="0.3">
      <c r="A105" s="119">
        <v>45987</v>
      </c>
      <c r="B105" s="120" t="s">
        <v>75</v>
      </c>
      <c r="C105" s="121" t="s">
        <v>340</v>
      </c>
      <c r="D105" s="120" t="s">
        <v>267</v>
      </c>
      <c r="E105" s="122">
        <v>1.6111111111111109</v>
      </c>
      <c r="F105" s="120" t="s">
        <v>60</v>
      </c>
      <c r="G105" s="123">
        <v>3</v>
      </c>
      <c r="H105" s="120" t="s">
        <v>317</v>
      </c>
    </row>
    <row r="106" spans="1:8" ht="18" x14ac:dyDescent="0.3">
      <c r="A106" s="119">
        <v>45987</v>
      </c>
      <c r="B106" s="120" t="s">
        <v>75</v>
      </c>
      <c r="C106" s="121" t="s">
        <v>316</v>
      </c>
      <c r="D106" s="120" t="s">
        <v>267</v>
      </c>
      <c r="E106" s="122">
        <v>1.836805555555556</v>
      </c>
      <c r="F106" s="120" t="s">
        <v>60</v>
      </c>
      <c r="G106" s="123">
        <v>3</v>
      </c>
      <c r="H106" s="120" t="s">
        <v>317</v>
      </c>
    </row>
    <row r="107" spans="1:8" ht="18" x14ac:dyDescent="0.3">
      <c r="A107" s="119">
        <v>45987</v>
      </c>
      <c r="B107" s="120" t="s">
        <v>75</v>
      </c>
      <c r="C107" s="121" t="s">
        <v>319</v>
      </c>
      <c r="D107" s="120" t="s">
        <v>267</v>
      </c>
      <c r="E107" s="122">
        <v>1.9722222222222221</v>
      </c>
      <c r="F107" s="120" t="s">
        <v>60</v>
      </c>
      <c r="G107" s="123">
        <v>5</v>
      </c>
      <c r="H107" s="120" t="s">
        <v>317</v>
      </c>
    </row>
    <row r="108" spans="1:8" ht="18" x14ac:dyDescent="0.3">
      <c r="A108" s="119">
        <v>45987</v>
      </c>
      <c r="B108" s="120" t="s">
        <v>75</v>
      </c>
      <c r="C108" s="121" t="s">
        <v>321</v>
      </c>
      <c r="D108" s="120" t="s">
        <v>267</v>
      </c>
      <c r="E108" s="122">
        <v>1.7847222222222221</v>
      </c>
      <c r="F108" s="120" t="s">
        <v>60</v>
      </c>
      <c r="G108" s="123">
        <v>3</v>
      </c>
      <c r="H108" s="120" t="s">
        <v>317</v>
      </c>
    </row>
    <row r="109" spans="1:8" ht="18" x14ac:dyDescent="0.3">
      <c r="A109" s="118">
        <v>45987</v>
      </c>
      <c r="B109" s="99" t="s">
        <v>290</v>
      </c>
      <c r="C109" s="100" t="s">
        <v>341</v>
      </c>
      <c r="D109" s="99" t="s">
        <v>267</v>
      </c>
      <c r="E109" s="101">
        <v>1.225694444444444</v>
      </c>
      <c r="F109" s="99" t="s">
        <v>292</v>
      </c>
      <c r="G109" s="102">
        <v>1</v>
      </c>
      <c r="H109" s="99" t="s">
        <v>342</v>
      </c>
    </row>
    <row r="110" spans="1:8" ht="18" x14ac:dyDescent="0.3">
      <c r="A110" s="104">
        <v>45987</v>
      </c>
      <c r="B110" s="105" t="s">
        <v>290</v>
      </c>
      <c r="C110" s="106" t="s">
        <v>341</v>
      </c>
      <c r="D110" s="105" t="s">
        <v>267</v>
      </c>
      <c r="E110" s="107">
        <v>1.225694444444444</v>
      </c>
      <c r="F110" s="105" t="s">
        <v>30</v>
      </c>
      <c r="G110" s="108">
        <v>1</v>
      </c>
      <c r="H110" s="105" t="s">
        <v>343</v>
      </c>
    </row>
    <row r="111" spans="1:8" ht="18" x14ac:dyDescent="0.3">
      <c r="A111" s="118">
        <v>45987</v>
      </c>
      <c r="B111" s="99" t="s">
        <v>295</v>
      </c>
      <c r="C111" s="100" t="s">
        <v>298</v>
      </c>
      <c r="D111" s="99" t="s">
        <v>267</v>
      </c>
      <c r="E111" s="101">
        <v>1.194444444444444</v>
      </c>
      <c r="F111" s="99" t="s">
        <v>37</v>
      </c>
      <c r="G111" s="102">
        <v>3</v>
      </c>
      <c r="H111" s="99" t="s">
        <v>297</v>
      </c>
    </row>
    <row r="112" spans="1:8" ht="18" x14ac:dyDescent="0.3">
      <c r="A112" s="119">
        <v>45987</v>
      </c>
      <c r="B112" s="120" t="s">
        <v>295</v>
      </c>
      <c r="C112" s="121" t="s">
        <v>296</v>
      </c>
      <c r="D112" s="120" t="s">
        <v>267</v>
      </c>
      <c r="E112" s="122">
        <v>1.493055555555556</v>
      </c>
      <c r="F112" s="120" t="s">
        <v>37</v>
      </c>
      <c r="G112" s="123">
        <v>5</v>
      </c>
      <c r="H112" s="120" t="s">
        <v>344</v>
      </c>
    </row>
    <row r="113" spans="1:8" ht="18" x14ac:dyDescent="0.3">
      <c r="A113" s="118">
        <v>45987</v>
      </c>
      <c r="B113" s="99" t="s">
        <v>300</v>
      </c>
      <c r="C113" s="100" t="s">
        <v>301</v>
      </c>
      <c r="D113" s="99" t="s">
        <v>267</v>
      </c>
      <c r="E113" s="101">
        <v>1.461805555555556</v>
      </c>
      <c r="F113" s="99" t="s">
        <v>37</v>
      </c>
      <c r="G113" s="102">
        <v>5</v>
      </c>
      <c r="H113" s="99" t="s">
        <v>302</v>
      </c>
    </row>
    <row r="114" spans="1:8" ht="18" x14ac:dyDescent="0.3">
      <c r="A114" s="118">
        <v>45987</v>
      </c>
      <c r="B114" s="99" t="s">
        <v>58</v>
      </c>
      <c r="C114" s="100" t="s">
        <v>313</v>
      </c>
      <c r="D114" s="99" t="s">
        <v>267</v>
      </c>
      <c r="E114" s="101">
        <v>1.7222222222222221</v>
      </c>
      <c r="F114" s="99" t="s">
        <v>63</v>
      </c>
      <c r="G114" s="102">
        <v>9</v>
      </c>
      <c r="H114" s="99" t="s">
        <v>345</v>
      </c>
    </row>
    <row r="115" spans="1:8" ht="18" x14ac:dyDescent="0.3">
      <c r="A115" s="119">
        <v>45987</v>
      </c>
      <c r="B115" s="120" t="s">
        <v>58</v>
      </c>
      <c r="C115" s="121" t="s">
        <v>315</v>
      </c>
      <c r="D115" s="120" t="s">
        <v>267</v>
      </c>
      <c r="E115" s="122">
        <v>1.7013888888888891</v>
      </c>
      <c r="F115" s="120" t="s">
        <v>63</v>
      </c>
      <c r="G115" s="123">
        <v>9</v>
      </c>
      <c r="H115" s="120" t="s">
        <v>345</v>
      </c>
    </row>
    <row r="116" spans="1:8" ht="18" x14ac:dyDescent="0.3">
      <c r="A116" s="119">
        <v>45987</v>
      </c>
      <c r="B116" s="120" t="s">
        <v>58</v>
      </c>
      <c r="C116" s="121" t="s">
        <v>312</v>
      </c>
      <c r="D116" s="120" t="s">
        <v>267</v>
      </c>
      <c r="E116" s="122">
        <v>1.9409722222222221</v>
      </c>
      <c r="F116" s="120" t="s">
        <v>63</v>
      </c>
      <c r="G116" s="123">
        <v>9</v>
      </c>
      <c r="H116" s="120" t="s">
        <v>345</v>
      </c>
    </row>
    <row r="117" spans="1:8" ht="18" x14ac:dyDescent="0.3">
      <c r="A117" s="119">
        <v>45987</v>
      </c>
      <c r="B117" s="120" t="s">
        <v>58</v>
      </c>
      <c r="C117" s="121" t="s">
        <v>303</v>
      </c>
      <c r="D117" s="120" t="s">
        <v>267</v>
      </c>
      <c r="E117" s="122">
        <v>1.989583333333333</v>
      </c>
      <c r="F117" s="120" t="s">
        <v>60</v>
      </c>
      <c r="G117" s="123">
        <v>4</v>
      </c>
      <c r="H117" s="120" t="s">
        <v>304</v>
      </c>
    </row>
    <row r="118" spans="1:8" ht="18" x14ac:dyDescent="0.3">
      <c r="A118" s="104">
        <v>45987</v>
      </c>
      <c r="B118" s="105" t="s">
        <v>58</v>
      </c>
      <c r="C118" s="106" t="s">
        <v>303</v>
      </c>
      <c r="D118" s="105" t="s">
        <v>267</v>
      </c>
      <c r="E118" s="107">
        <v>1.989583333333333</v>
      </c>
      <c r="F118" s="105" t="s">
        <v>63</v>
      </c>
      <c r="G118" s="108">
        <v>4</v>
      </c>
      <c r="H118" s="105" t="s">
        <v>304</v>
      </c>
    </row>
    <row r="119" spans="1:8" ht="18" x14ac:dyDescent="0.3">
      <c r="A119" s="119">
        <v>45987</v>
      </c>
      <c r="B119" s="120" t="s">
        <v>58</v>
      </c>
      <c r="C119" s="121" t="s">
        <v>305</v>
      </c>
      <c r="D119" s="120" t="s">
        <v>267</v>
      </c>
      <c r="E119" s="122">
        <v>1.399305555555556</v>
      </c>
      <c r="F119" s="120" t="s">
        <v>63</v>
      </c>
      <c r="G119" s="123">
        <v>4</v>
      </c>
      <c r="H119" s="120" t="s">
        <v>304</v>
      </c>
    </row>
    <row r="120" spans="1:8" ht="18" x14ac:dyDescent="0.3">
      <c r="A120" s="119">
        <v>45987</v>
      </c>
      <c r="B120" s="120" t="s">
        <v>58</v>
      </c>
      <c r="C120" s="121" t="s">
        <v>306</v>
      </c>
      <c r="D120" s="120" t="s">
        <v>267</v>
      </c>
      <c r="E120" s="122">
        <v>1.489583333333333</v>
      </c>
      <c r="F120" s="120" t="s">
        <v>63</v>
      </c>
      <c r="G120" s="123">
        <v>4</v>
      </c>
      <c r="H120" s="120" t="s">
        <v>304</v>
      </c>
    </row>
    <row r="121" spans="1:8" ht="18" x14ac:dyDescent="0.3">
      <c r="A121" s="119">
        <v>45987</v>
      </c>
      <c r="B121" s="120" t="s">
        <v>58</v>
      </c>
      <c r="C121" s="121" t="s">
        <v>308</v>
      </c>
      <c r="D121" s="120" t="s">
        <v>267</v>
      </c>
      <c r="E121" s="122">
        <v>1.489583333333333</v>
      </c>
      <c r="F121" s="120" t="s">
        <v>63</v>
      </c>
      <c r="G121" s="123">
        <v>9</v>
      </c>
      <c r="H121" s="120" t="s">
        <v>309</v>
      </c>
    </row>
    <row r="122" spans="1:8" ht="18" x14ac:dyDescent="0.3">
      <c r="A122" s="119">
        <v>45987</v>
      </c>
      <c r="B122" s="120" t="s">
        <v>58</v>
      </c>
      <c r="C122" s="121" t="s">
        <v>346</v>
      </c>
      <c r="D122" s="120" t="s">
        <v>267</v>
      </c>
      <c r="E122" s="122">
        <v>1.8298611111111109</v>
      </c>
      <c r="F122" s="120" t="s">
        <v>63</v>
      </c>
      <c r="G122" s="123">
        <v>9</v>
      </c>
      <c r="H122" s="120" t="s">
        <v>309</v>
      </c>
    </row>
    <row r="123" spans="1:8" ht="18" x14ac:dyDescent="0.3">
      <c r="A123" s="119">
        <v>45987</v>
      </c>
      <c r="B123" s="120" t="s">
        <v>58</v>
      </c>
      <c r="C123" s="121" t="s">
        <v>347</v>
      </c>
      <c r="D123" s="120" t="s">
        <v>267</v>
      </c>
      <c r="E123" s="122">
        <v>1.118055555555556</v>
      </c>
      <c r="F123" s="120" t="s">
        <v>63</v>
      </c>
      <c r="G123" s="123">
        <v>9</v>
      </c>
      <c r="H123" s="120" t="s">
        <v>309</v>
      </c>
    </row>
    <row r="124" spans="1:8" ht="18" x14ac:dyDescent="0.3">
      <c r="A124" s="119">
        <v>45987</v>
      </c>
      <c r="B124" s="120" t="s">
        <v>58</v>
      </c>
      <c r="C124" s="121" t="s">
        <v>310</v>
      </c>
      <c r="D124" s="120" t="s">
        <v>267</v>
      </c>
      <c r="E124" s="122">
        <v>1.2534722222222221</v>
      </c>
      <c r="F124" s="120" t="s">
        <v>60</v>
      </c>
      <c r="G124" s="123">
        <v>9</v>
      </c>
      <c r="H124" s="120" t="s">
        <v>309</v>
      </c>
    </row>
    <row r="125" spans="1:8" ht="18" x14ac:dyDescent="0.3">
      <c r="A125" s="104">
        <v>45987</v>
      </c>
      <c r="B125" s="105" t="s">
        <v>58</v>
      </c>
      <c r="C125" s="106" t="s">
        <v>310</v>
      </c>
      <c r="D125" s="105" t="s">
        <v>267</v>
      </c>
      <c r="E125" s="107">
        <v>1.2534722222222221</v>
      </c>
      <c r="F125" s="105" t="s">
        <v>63</v>
      </c>
      <c r="G125" s="108">
        <v>9</v>
      </c>
      <c r="H125" s="105" t="s">
        <v>309</v>
      </c>
    </row>
    <row r="126" spans="1:8" ht="18" x14ac:dyDescent="0.3">
      <c r="A126" s="119">
        <v>45987</v>
      </c>
      <c r="B126" s="120" t="s">
        <v>58</v>
      </c>
      <c r="C126" s="121" t="s">
        <v>311</v>
      </c>
      <c r="D126" s="120" t="s">
        <v>267</v>
      </c>
      <c r="E126" s="122">
        <v>1.041666666666667</v>
      </c>
      <c r="F126" s="120" t="s">
        <v>60</v>
      </c>
      <c r="G126" s="123">
        <v>9</v>
      </c>
      <c r="H126" s="120" t="s">
        <v>309</v>
      </c>
    </row>
    <row r="127" spans="1:8" ht="18" x14ac:dyDescent="0.3">
      <c r="A127" s="104">
        <v>45987</v>
      </c>
      <c r="B127" s="105" t="s">
        <v>58</v>
      </c>
      <c r="C127" s="106" t="s">
        <v>311</v>
      </c>
      <c r="D127" s="105" t="s">
        <v>267</v>
      </c>
      <c r="E127" s="107">
        <v>1.041666666666667</v>
      </c>
      <c r="F127" s="105" t="s">
        <v>63</v>
      </c>
      <c r="G127" s="108">
        <v>9</v>
      </c>
      <c r="H127" s="105" t="s">
        <v>309</v>
      </c>
    </row>
    <row r="128" spans="1:8" ht="18" x14ac:dyDescent="0.3">
      <c r="A128" s="119">
        <v>45987</v>
      </c>
      <c r="B128" s="120" t="s">
        <v>58</v>
      </c>
      <c r="C128" s="121" t="s">
        <v>307</v>
      </c>
      <c r="D128" s="120" t="s">
        <v>267</v>
      </c>
      <c r="E128" s="122">
        <v>1.8888888888888891</v>
      </c>
      <c r="F128" s="120" t="s">
        <v>60</v>
      </c>
      <c r="G128" s="123">
        <v>4</v>
      </c>
      <c r="H128" s="120" t="s">
        <v>349</v>
      </c>
    </row>
    <row r="129" spans="1:8" ht="18" x14ac:dyDescent="0.3">
      <c r="A129" s="104">
        <v>45987</v>
      </c>
      <c r="B129" s="105" t="s">
        <v>58</v>
      </c>
      <c r="C129" s="106" t="s">
        <v>307</v>
      </c>
      <c r="D129" s="105" t="s">
        <v>267</v>
      </c>
      <c r="E129" s="107">
        <v>1.8888888888888891</v>
      </c>
      <c r="F129" s="105" t="s">
        <v>63</v>
      </c>
      <c r="G129" s="108">
        <v>4</v>
      </c>
      <c r="H129" s="105" t="s">
        <v>349</v>
      </c>
    </row>
    <row r="130" spans="1:8" ht="18" x14ac:dyDescent="0.3">
      <c r="A130" s="109">
        <v>45987</v>
      </c>
      <c r="B130" s="110" t="s">
        <v>35</v>
      </c>
      <c r="C130" s="111" t="s">
        <v>331</v>
      </c>
      <c r="D130" s="110" t="s">
        <v>267</v>
      </c>
      <c r="E130" s="112">
        <v>1.2326388888888891</v>
      </c>
      <c r="F130" s="110" t="s">
        <v>44</v>
      </c>
      <c r="G130" s="110"/>
      <c r="H130" s="110" t="s">
        <v>45</v>
      </c>
    </row>
    <row r="131" spans="1:8" ht="18" x14ac:dyDescent="0.3">
      <c r="A131" s="114">
        <v>45987</v>
      </c>
      <c r="B131" s="115" t="s">
        <v>35</v>
      </c>
      <c r="C131" s="116" t="s">
        <v>333</v>
      </c>
      <c r="D131" s="115" t="s">
        <v>267</v>
      </c>
      <c r="E131" s="117">
        <v>1.3402777777777779</v>
      </c>
      <c r="F131" s="115" t="s">
        <v>44</v>
      </c>
      <c r="G131" s="115"/>
      <c r="H131" s="115" t="s">
        <v>45</v>
      </c>
    </row>
    <row r="132" spans="1:8" ht="18" x14ac:dyDescent="0.3">
      <c r="A132" s="114">
        <v>45987</v>
      </c>
      <c r="B132" s="115" t="s">
        <v>35</v>
      </c>
      <c r="C132" s="116" t="s">
        <v>329</v>
      </c>
      <c r="D132" s="115" t="s">
        <v>267</v>
      </c>
      <c r="E132" s="117">
        <v>1.34375</v>
      </c>
      <c r="F132" s="115" t="s">
        <v>44</v>
      </c>
      <c r="G132" s="115"/>
      <c r="H132" s="115" t="s">
        <v>45</v>
      </c>
    </row>
    <row r="133" spans="1:8" ht="18" x14ac:dyDescent="0.3">
      <c r="A133" s="114">
        <v>45987</v>
      </c>
      <c r="B133" s="115" t="s">
        <v>35</v>
      </c>
      <c r="C133" s="116" t="s">
        <v>327</v>
      </c>
      <c r="D133" s="115" t="s">
        <v>267</v>
      </c>
      <c r="E133" s="117">
        <v>1.4375</v>
      </c>
      <c r="F133" s="115" t="s">
        <v>44</v>
      </c>
      <c r="G133" s="115"/>
      <c r="H133" s="115" t="s">
        <v>45</v>
      </c>
    </row>
    <row r="134" spans="1:8" ht="18" x14ac:dyDescent="0.3">
      <c r="A134" s="229">
        <v>45987</v>
      </c>
      <c r="B134" s="230" t="s">
        <v>35</v>
      </c>
      <c r="C134" s="231" t="s">
        <v>323</v>
      </c>
      <c r="D134" s="230" t="s">
        <v>267</v>
      </c>
      <c r="E134" s="232">
        <v>1.9375</v>
      </c>
      <c r="F134" s="230" t="s">
        <v>44</v>
      </c>
      <c r="G134" s="230"/>
      <c r="H134" s="230" t="s">
        <v>45</v>
      </c>
    </row>
    <row r="135" spans="1:8" ht="18" x14ac:dyDescent="0.3">
      <c r="A135" s="165">
        <v>45988</v>
      </c>
      <c r="B135" s="110" t="s">
        <v>35</v>
      </c>
      <c r="C135" s="111" t="s">
        <v>355</v>
      </c>
      <c r="D135" s="110" t="s">
        <v>267</v>
      </c>
      <c r="E135" s="112">
        <v>1.0659722222222221</v>
      </c>
      <c r="F135" s="110" t="s">
        <v>37</v>
      </c>
      <c r="G135" s="113">
        <v>1</v>
      </c>
      <c r="H135" s="166" t="s">
        <v>29</v>
      </c>
    </row>
    <row r="136" spans="1:8" ht="18" x14ac:dyDescent="0.3">
      <c r="A136" s="114">
        <v>45988</v>
      </c>
      <c r="B136" s="115" t="s">
        <v>35</v>
      </c>
      <c r="C136" s="116" t="s">
        <v>358</v>
      </c>
      <c r="D136" s="115" t="s">
        <v>267</v>
      </c>
      <c r="E136" s="117">
        <v>1.9375</v>
      </c>
      <c r="F136" s="115" t="s">
        <v>37</v>
      </c>
      <c r="G136" s="233">
        <v>3</v>
      </c>
      <c r="H136" s="115" t="s">
        <v>359</v>
      </c>
    </row>
    <row r="137" spans="1:8" ht="18" x14ac:dyDescent="0.3">
      <c r="A137" s="114">
        <v>45988</v>
      </c>
      <c r="B137" s="115" t="s">
        <v>35</v>
      </c>
      <c r="C137" s="116" t="s">
        <v>362</v>
      </c>
      <c r="D137" s="115" t="s">
        <v>267</v>
      </c>
      <c r="E137" s="117">
        <v>1.1875</v>
      </c>
      <c r="F137" s="115" t="s">
        <v>37</v>
      </c>
      <c r="G137" s="233">
        <v>1</v>
      </c>
      <c r="H137" s="115" t="s">
        <v>359</v>
      </c>
    </row>
    <row r="138" spans="1:8" ht="18" x14ac:dyDescent="0.3">
      <c r="A138" s="114">
        <v>45988</v>
      </c>
      <c r="B138" s="115" t="s">
        <v>35</v>
      </c>
      <c r="C138" s="116" t="s">
        <v>365</v>
      </c>
      <c r="D138" s="115" t="s">
        <v>267</v>
      </c>
      <c r="E138" s="117">
        <v>1.5625</v>
      </c>
      <c r="F138" s="115" t="s">
        <v>37</v>
      </c>
      <c r="G138" s="233">
        <v>1</v>
      </c>
      <c r="H138" s="115" t="s">
        <v>366</v>
      </c>
    </row>
    <row r="139" spans="1:8" ht="18" x14ac:dyDescent="0.3">
      <c r="A139" s="114">
        <v>45988</v>
      </c>
      <c r="B139" s="115" t="s">
        <v>35</v>
      </c>
      <c r="C139" s="116" t="s">
        <v>333</v>
      </c>
      <c r="D139" s="115" t="s">
        <v>267</v>
      </c>
      <c r="E139" s="117">
        <v>1.15625</v>
      </c>
      <c r="F139" s="115" t="s">
        <v>44</v>
      </c>
      <c r="G139" s="115"/>
      <c r="H139" s="115" t="s">
        <v>45</v>
      </c>
    </row>
    <row r="140" spans="1:8" ht="18" x14ac:dyDescent="0.3">
      <c r="A140" s="114">
        <v>45988</v>
      </c>
      <c r="B140" s="115" t="s">
        <v>35</v>
      </c>
      <c r="C140" s="116" t="s">
        <v>327</v>
      </c>
      <c r="D140" s="115" t="s">
        <v>267</v>
      </c>
      <c r="E140" s="117">
        <v>1.40625</v>
      </c>
      <c r="F140" s="115" t="s">
        <v>44</v>
      </c>
      <c r="G140" s="115"/>
      <c r="H140" s="115" t="s">
        <v>45</v>
      </c>
    </row>
    <row r="141" spans="1:8" ht="18" x14ac:dyDescent="0.3">
      <c r="A141" s="118">
        <v>45988</v>
      </c>
      <c r="B141" s="99" t="s">
        <v>25</v>
      </c>
      <c r="C141" s="100" t="s">
        <v>268</v>
      </c>
      <c r="D141" s="99" t="s">
        <v>267</v>
      </c>
      <c r="E141" s="101">
        <v>1.399305555555556</v>
      </c>
      <c r="F141" s="99" t="s">
        <v>27</v>
      </c>
      <c r="G141" s="102">
        <v>1</v>
      </c>
      <c r="H141" s="99" t="s">
        <v>273</v>
      </c>
    </row>
    <row r="142" spans="1:8" ht="18" x14ac:dyDescent="0.3">
      <c r="A142" s="104">
        <v>45988</v>
      </c>
      <c r="B142" s="105" t="s">
        <v>25</v>
      </c>
      <c r="C142" s="106" t="s">
        <v>268</v>
      </c>
      <c r="D142" s="105" t="s">
        <v>267</v>
      </c>
      <c r="E142" s="107">
        <v>1.399305555555556</v>
      </c>
      <c r="F142" s="105" t="s">
        <v>33</v>
      </c>
      <c r="G142" s="108">
        <v>1</v>
      </c>
      <c r="H142" s="105" t="s">
        <v>275</v>
      </c>
    </row>
    <row r="143" spans="1:8" ht="18" x14ac:dyDescent="0.3">
      <c r="A143" s="104">
        <v>45988</v>
      </c>
      <c r="B143" s="105" t="s">
        <v>25</v>
      </c>
      <c r="C143" s="106" t="s">
        <v>268</v>
      </c>
      <c r="D143" s="105" t="s">
        <v>267</v>
      </c>
      <c r="E143" s="107">
        <v>1.399305555555556</v>
      </c>
      <c r="F143" s="105" t="s">
        <v>30</v>
      </c>
      <c r="G143" s="108">
        <v>1</v>
      </c>
      <c r="H143" s="105" t="s">
        <v>94</v>
      </c>
    </row>
    <row r="144" spans="1:8" ht="18" x14ac:dyDescent="0.3">
      <c r="A144" s="119">
        <v>45988</v>
      </c>
      <c r="B144" s="120" t="s">
        <v>25</v>
      </c>
      <c r="C144" s="121" t="s">
        <v>271</v>
      </c>
      <c r="D144" s="120" t="s">
        <v>267</v>
      </c>
      <c r="E144" s="122">
        <v>1.489583333333333</v>
      </c>
      <c r="F144" s="120" t="s">
        <v>27</v>
      </c>
      <c r="G144" s="123">
        <v>9</v>
      </c>
      <c r="H144" s="120" t="s">
        <v>32</v>
      </c>
    </row>
    <row r="145" spans="1:8" ht="18" x14ac:dyDescent="0.3">
      <c r="A145" s="104">
        <v>45988</v>
      </c>
      <c r="B145" s="105" t="s">
        <v>25</v>
      </c>
      <c r="C145" s="106" t="s">
        <v>271</v>
      </c>
      <c r="D145" s="105" t="s">
        <v>267</v>
      </c>
      <c r="E145" s="107">
        <v>1.489583333333333</v>
      </c>
      <c r="F145" s="105" t="s">
        <v>33</v>
      </c>
      <c r="G145" s="108">
        <v>9</v>
      </c>
      <c r="H145" s="105" t="s">
        <v>280</v>
      </c>
    </row>
    <row r="146" spans="1:8" ht="18" x14ac:dyDescent="0.3">
      <c r="A146" s="104">
        <v>45988</v>
      </c>
      <c r="B146" s="105" t="s">
        <v>25</v>
      </c>
      <c r="C146" s="106" t="s">
        <v>271</v>
      </c>
      <c r="D146" s="105" t="s">
        <v>267</v>
      </c>
      <c r="E146" s="107">
        <v>1.489583333333333</v>
      </c>
      <c r="F146" s="105" t="s">
        <v>30</v>
      </c>
      <c r="G146" s="108">
        <v>9</v>
      </c>
      <c r="H146" s="105" t="s">
        <v>94</v>
      </c>
    </row>
    <row r="147" spans="1:8" ht="18" x14ac:dyDescent="0.3">
      <c r="A147" s="119">
        <v>45988</v>
      </c>
      <c r="B147" s="120" t="s">
        <v>25</v>
      </c>
      <c r="C147" s="121" t="s">
        <v>277</v>
      </c>
      <c r="D147" s="120" t="s">
        <v>267</v>
      </c>
      <c r="E147" s="122">
        <v>1.989583333333333</v>
      </c>
      <c r="F147" s="120" t="s">
        <v>27</v>
      </c>
      <c r="G147" s="123">
        <v>12</v>
      </c>
      <c r="H147" s="120" t="s">
        <v>32</v>
      </c>
    </row>
    <row r="148" spans="1:8" ht="18" x14ac:dyDescent="0.3">
      <c r="A148" s="104">
        <v>45988</v>
      </c>
      <c r="B148" s="105" t="s">
        <v>25</v>
      </c>
      <c r="C148" s="106" t="s">
        <v>277</v>
      </c>
      <c r="D148" s="105" t="s">
        <v>267</v>
      </c>
      <c r="E148" s="107">
        <v>1.989583333333333</v>
      </c>
      <c r="F148" s="105" t="s">
        <v>33</v>
      </c>
      <c r="G148" s="108">
        <v>12</v>
      </c>
      <c r="H148" s="105" t="s">
        <v>280</v>
      </c>
    </row>
    <row r="149" spans="1:8" ht="18" x14ac:dyDescent="0.3">
      <c r="A149" s="104">
        <v>45988</v>
      </c>
      <c r="B149" s="105" t="s">
        <v>25</v>
      </c>
      <c r="C149" s="106" t="s">
        <v>277</v>
      </c>
      <c r="D149" s="105" t="s">
        <v>267</v>
      </c>
      <c r="E149" s="107">
        <v>1.989583333333333</v>
      </c>
      <c r="F149" s="105" t="s">
        <v>30</v>
      </c>
      <c r="G149" s="108">
        <v>12</v>
      </c>
      <c r="H149" s="105" t="s">
        <v>94</v>
      </c>
    </row>
    <row r="150" spans="1:8" ht="18" x14ac:dyDescent="0.3">
      <c r="A150" s="119">
        <v>45988</v>
      </c>
      <c r="B150" s="120" t="s">
        <v>25</v>
      </c>
      <c r="C150" s="121" t="s">
        <v>276</v>
      </c>
      <c r="D150" s="120" t="s">
        <v>267</v>
      </c>
      <c r="E150" s="122">
        <v>1.8888888888888891</v>
      </c>
      <c r="F150" s="120" t="s">
        <v>27</v>
      </c>
      <c r="G150" s="123">
        <v>5</v>
      </c>
      <c r="H150" s="120" t="s">
        <v>270</v>
      </c>
    </row>
    <row r="151" spans="1:8" ht="18" x14ac:dyDescent="0.3">
      <c r="A151" s="104">
        <v>45988</v>
      </c>
      <c r="B151" s="105" t="s">
        <v>25</v>
      </c>
      <c r="C151" s="106" t="s">
        <v>276</v>
      </c>
      <c r="D151" s="105" t="s">
        <v>267</v>
      </c>
      <c r="E151" s="107">
        <v>1.8888888888888891</v>
      </c>
      <c r="F151" s="105" t="s">
        <v>33</v>
      </c>
      <c r="G151" s="108">
        <v>5</v>
      </c>
      <c r="H151" s="105" t="s">
        <v>112</v>
      </c>
    </row>
    <row r="152" spans="1:8" ht="18" x14ac:dyDescent="0.3">
      <c r="A152" s="104">
        <v>45988</v>
      </c>
      <c r="B152" s="105" t="s">
        <v>25</v>
      </c>
      <c r="C152" s="106" t="s">
        <v>276</v>
      </c>
      <c r="D152" s="105" t="s">
        <v>267</v>
      </c>
      <c r="E152" s="107">
        <v>1.8888888888888891</v>
      </c>
      <c r="F152" s="105" t="s">
        <v>30</v>
      </c>
      <c r="G152" s="108">
        <v>5</v>
      </c>
      <c r="H152" s="105" t="s">
        <v>336</v>
      </c>
    </row>
    <row r="153" spans="1:8" ht="18" x14ac:dyDescent="0.3">
      <c r="A153" s="118">
        <v>45988</v>
      </c>
      <c r="B153" s="99" t="s">
        <v>48</v>
      </c>
      <c r="C153" s="100" t="s">
        <v>279</v>
      </c>
      <c r="D153" s="99" t="s">
        <v>267</v>
      </c>
      <c r="E153" s="101">
        <v>1.3472222222222221</v>
      </c>
      <c r="F153" s="99" t="s">
        <v>50</v>
      </c>
      <c r="G153" s="102">
        <v>6</v>
      </c>
      <c r="H153" s="99" t="s">
        <v>270</v>
      </c>
    </row>
    <row r="154" spans="1:8" ht="18" x14ac:dyDescent="0.3">
      <c r="A154" s="104">
        <v>45988</v>
      </c>
      <c r="B154" s="105" t="s">
        <v>48</v>
      </c>
      <c r="C154" s="106" t="s">
        <v>279</v>
      </c>
      <c r="D154" s="105" t="s">
        <v>267</v>
      </c>
      <c r="E154" s="107">
        <v>1.3472222222222221</v>
      </c>
      <c r="F154" s="105" t="s">
        <v>53</v>
      </c>
      <c r="G154" s="108">
        <v>6</v>
      </c>
      <c r="H154" s="105" t="s">
        <v>280</v>
      </c>
    </row>
    <row r="155" spans="1:8" ht="18" x14ac:dyDescent="0.3">
      <c r="A155" s="104">
        <v>45988</v>
      </c>
      <c r="B155" s="105" t="s">
        <v>48</v>
      </c>
      <c r="C155" s="106" t="s">
        <v>279</v>
      </c>
      <c r="D155" s="105" t="s">
        <v>267</v>
      </c>
      <c r="E155" s="107">
        <v>1.3472222222222221</v>
      </c>
      <c r="F155" s="105" t="s">
        <v>56</v>
      </c>
      <c r="G155" s="108">
        <v>6</v>
      </c>
      <c r="H155" s="105" t="s">
        <v>281</v>
      </c>
    </row>
    <row r="156" spans="1:8" ht="18" x14ac:dyDescent="0.3">
      <c r="A156" s="119">
        <v>45988</v>
      </c>
      <c r="B156" s="120" t="s">
        <v>48</v>
      </c>
      <c r="C156" s="121" t="s">
        <v>278</v>
      </c>
      <c r="D156" s="120" t="s">
        <v>267</v>
      </c>
      <c r="E156" s="122">
        <v>1.993055555555556</v>
      </c>
      <c r="F156" s="120" t="s">
        <v>50</v>
      </c>
      <c r="G156" s="123">
        <v>1</v>
      </c>
      <c r="H156" s="120" t="s">
        <v>270</v>
      </c>
    </row>
    <row r="157" spans="1:8" ht="18" x14ac:dyDescent="0.3">
      <c r="A157" s="104">
        <v>45988</v>
      </c>
      <c r="B157" s="105" t="s">
        <v>48</v>
      </c>
      <c r="C157" s="106" t="s">
        <v>278</v>
      </c>
      <c r="D157" s="105" t="s">
        <v>267</v>
      </c>
      <c r="E157" s="107">
        <v>1.993055555555556</v>
      </c>
      <c r="F157" s="105" t="s">
        <v>53</v>
      </c>
      <c r="G157" s="108">
        <v>1</v>
      </c>
      <c r="H157" s="105" t="s">
        <v>280</v>
      </c>
    </row>
    <row r="158" spans="1:8" ht="18" x14ac:dyDescent="0.3">
      <c r="A158" s="104">
        <v>45988</v>
      </c>
      <c r="B158" s="105" t="s">
        <v>48</v>
      </c>
      <c r="C158" s="106" t="s">
        <v>278</v>
      </c>
      <c r="D158" s="105" t="s">
        <v>267</v>
      </c>
      <c r="E158" s="107">
        <v>1.993055555555556</v>
      </c>
      <c r="F158" s="105" t="s">
        <v>56</v>
      </c>
      <c r="G158" s="108">
        <v>1</v>
      </c>
      <c r="H158" s="105" t="s">
        <v>281</v>
      </c>
    </row>
    <row r="159" spans="1:8" ht="18" x14ac:dyDescent="0.3">
      <c r="A159" s="119">
        <v>45988</v>
      </c>
      <c r="B159" s="120" t="s">
        <v>48</v>
      </c>
      <c r="C159" s="121" t="s">
        <v>288</v>
      </c>
      <c r="D159" s="120" t="s">
        <v>267</v>
      </c>
      <c r="E159" s="122">
        <v>1.3923611111111109</v>
      </c>
      <c r="F159" s="120" t="s">
        <v>50</v>
      </c>
      <c r="G159" s="123">
        <v>9</v>
      </c>
      <c r="H159" s="120" t="s">
        <v>270</v>
      </c>
    </row>
    <row r="160" spans="1:8" ht="18" x14ac:dyDescent="0.3">
      <c r="A160" s="104">
        <v>45988</v>
      </c>
      <c r="B160" s="105" t="s">
        <v>48</v>
      </c>
      <c r="C160" s="106" t="s">
        <v>288</v>
      </c>
      <c r="D160" s="105" t="s">
        <v>267</v>
      </c>
      <c r="E160" s="107">
        <v>1.3923611111111109</v>
      </c>
      <c r="F160" s="105" t="s">
        <v>53</v>
      </c>
      <c r="G160" s="108">
        <v>9</v>
      </c>
      <c r="H160" s="105" t="s">
        <v>280</v>
      </c>
    </row>
    <row r="161" spans="1:8" ht="18" x14ac:dyDescent="0.3">
      <c r="A161" s="104">
        <v>45988</v>
      </c>
      <c r="B161" s="105" t="s">
        <v>48</v>
      </c>
      <c r="C161" s="106" t="s">
        <v>288</v>
      </c>
      <c r="D161" s="105" t="s">
        <v>267</v>
      </c>
      <c r="E161" s="107">
        <v>1.3923611111111109</v>
      </c>
      <c r="F161" s="105" t="s">
        <v>56</v>
      </c>
      <c r="G161" s="108">
        <v>9</v>
      </c>
      <c r="H161" s="105" t="s">
        <v>281</v>
      </c>
    </row>
    <row r="162" spans="1:8" ht="18" x14ac:dyDescent="0.3">
      <c r="A162" s="119">
        <v>45988</v>
      </c>
      <c r="B162" s="120" t="s">
        <v>48</v>
      </c>
      <c r="C162" s="121" t="s">
        <v>282</v>
      </c>
      <c r="D162" s="120" t="s">
        <v>267</v>
      </c>
      <c r="E162" s="122">
        <v>1.75</v>
      </c>
      <c r="F162" s="120" t="s">
        <v>50</v>
      </c>
      <c r="G162" s="123">
        <v>7</v>
      </c>
      <c r="H162" s="120" t="s">
        <v>337</v>
      </c>
    </row>
    <row r="163" spans="1:8" ht="18" x14ac:dyDescent="0.3">
      <c r="A163" s="104">
        <v>45988</v>
      </c>
      <c r="B163" s="105" t="s">
        <v>48</v>
      </c>
      <c r="C163" s="106" t="s">
        <v>282</v>
      </c>
      <c r="D163" s="105" t="s">
        <v>267</v>
      </c>
      <c r="E163" s="107">
        <v>1.75</v>
      </c>
      <c r="F163" s="105" t="s">
        <v>53</v>
      </c>
      <c r="G163" s="108">
        <v>7</v>
      </c>
      <c r="H163" s="105" t="s">
        <v>94</v>
      </c>
    </row>
    <row r="164" spans="1:8" ht="18" x14ac:dyDescent="0.3">
      <c r="A164" s="104">
        <v>45988</v>
      </c>
      <c r="B164" s="105" t="s">
        <v>48</v>
      </c>
      <c r="C164" s="106" t="s">
        <v>282</v>
      </c>
      <c r="D164" s="105" t="s">
        <v>267</v>
      </c>
      <c r="E164" s="107">
        <v>1.75</v>
      </c>
      <c r="F164" s="105" t="s">
        <v>56</v>
      </c>
      <c r="G164" s="108">
        <v>7</v>
      </c>
      <c r="H164" s="105" t="s">
        <v>299</v>
      </c>
    </row>
    <row r="165" spans="1:8" ht="18" x14ac:dyDescent="0.3">
      <c r="A165" s="119">
        <v>45988</v>
      </c>
      <c r="B165" s="120" t="s">
        <v>48</v>
      </c>
      <c r="C165" s="121" t="s">
        <v>283</v>
      </c>
      <c r="D165" s="120" t="s">
        <v>267</v>
      </c>
      <c r="E165" s="122">
        <v>1.836805555555556</v>
      </c>
      <c r="F165" s="120" t="s">
        <v>50</v>
      </c>
      <c r="G165" s="123">
        <v>9</v>
      </c>
      <c r="H165" s="120" t="s">
        <v>337</v>
      </c>
    </row>
    <row r="166" spans="1:8" ht="18" x14ac:dyDescent="0.3">
      <c r="A166" s="104">
        <v>45988</v>
      </c>
      <c r="B166" s="105" t="s">
        <v>48</v>
      </c>
      <c r="C166" s="106" t="s">
        <v>283</v>
      </c>
      <c r="D166" s="105" t="s">
        <v>267</v>
      </c>
      <c r="E166" s="107">
        <v>1.836805555555556</v>
      </c>
      <c r="F166" s="105" t="s">
        <v>53</v>
      </c>
      <c r="G166" s="108">
        <v>9</v>
      </c>
      <c r="H166" s="105" t="s">
        <v>94</v>
      </c>
    </row>
    <row r="167" spans="1:8" ht="18" x14ac:dyDescent="0.3">
      <c r="A167" s="104">
        <v>45988</v>
      </c>
      <c r="B167" s="105" t="s">
        <v>48</v>
      </c>
      <c r="C167" s="106" t="s">
        <v>283</v>
      </c>
      <c r="D167" s="105" t="s">
        <v>267</v>
      </c>
      <c r="E167" s="107">
        <v>1.836805555555556</v>
      </c>
      <c r="F167" s="105" t="s">
        <v>56</v>
      </c>
      <c r="G167" s="108">
        <v>9</v>
      </c>
      <c r="H167" s="105" t="s">
        <v>299</v>
      </c>
    </row>
    <row r="168" spans="1:8" ht="18" x14ac:dyDescent="0.3">
      <c r="A168" s="119">
        <v>45988</v>
      </c>
      <c r="B168" s="120" t="s">
        <v>48</v>
      </c>
      <c r="C168" s="121" t="s">
        <v>285</v>
      </c>
      <c r="D168" s="120" t="s">
        <v>267</v>
      </c>
      <c r="E168" s="122">
        <v>1.944444444444444</v>
      </c>
      <c r="F168" s="120" t="s">
        <v>50</v>
      </c>
      <c r="G168" s="123">
        <v>9</v>
      </c>
      <c r="H168" s="120" t="s">
        <v>337</v>
      </c>
    </row>
    <row r="169" spans="1:8" ht="18" x14ac:dyDescent="0.3">
      <c r="A169" s="104">
        <v>45988</v>
      </c>
      <c r="B169" s="105" t="s">
        <v>48</v>
      </c>
      <c r="C169" s="106" t="s">
        <v>285</v>
      </c>
      <c r="D169" s="105" t="s">
        <v>267</v>
      </c>
      <c r="E169" s="107">
        <v>1.944444444444444</v>
      </c>
      <c r="F169" s="105" t="s">
        <v>53</v>
      </c>
      <c r="G169" s="108">
        <v>9</v>
      </c>
      <c r="H169" s="105" t="s">
        <v>94</v>
      </c>
    </row>
    <row r="170" spans="1:8" ht="18" x14ac:dyDescent="0.3">
      <c r="A170" s="104">
        <v>45988</v>
      </c>
      <c r="B170" s="105" t="s">
        <v>48</v>
      </c>
      <c r="C170" s="106" t="s">
        <v>285</v>
      </c>
      <c r="D170" s="105" t="s">
        <v>267</v>
      </c>
      <c r="E170" s="107">
        <v>1.944444444444444</v>
      </c>
      <c r="F170" s="105" t="s">
        <v>56</v>
      </c>
      <c r="G170" s="108">
        <v>9</v>
      </c>
      <c r="H170" s="105" t="s">
        <v>299</v>
      </c>
    </row>
    <row r="171" spans="1:8" ht="18" x14ac:dyDescent="0.3">
      <c r="A171" s="119">
        <v>45988</v>
      </c>
      <c r="B171" s="120" t="s">
        <v>48</v>
      </c>
      <c r="C171" s="121" t="s">
        <v>286</v>
      </c>
      <c r="D171" s="120" t="s">
        <v>267</v>
      </c>
      <c r="E171" s="122">
        <v>1.4861111111111109</v>
      </c>
      <c r="F171" s="120" t="s">
        <v>50</v>
      </c>
      <c r="G171" s="123">
        <v>9</v>
      </c>
      <c r="H171" s="120" t="s">
        <v>337</v>
      </c>
    </row>
    <row r="172" spans="1:8" ht="18" x14ac:dyDescent="0.3">
      <c r="A172" s="104">
        <v>45988</v>
      </c>
      <c r="B172" s="105" t="s">
        <v>48</v>
      </c>
      <c r="C172" s="106" t="s">
        <v>286</v>
      </c>
      <c r="D172" s="105" t="s">
        <v>267</v>
      </c>
      <c r="E172" s="107">
        <v>1.4861111111111109</v>
      </c>
      <c r="F172" s="105" t="s">
        <v>53</v>
      </c>
      <c r="G172" s="108">
        <v>9</v>
      </c>
      <c r="H172" s="105" t="s">
        <v>94</v>
      </c>
    </row>
    <row r="173" spans="1:8" ht="18" x14ac:dyDescent="0.3">
      <c r="A173" s="104">
        <v>45988</v>
      </c>
      <c r="B173" s="105" t="s">
        <v>48</v>
      </c>
      <c r="C173" s="106" t="s">
        <v>286</v>
      </c>
      <c r="D173" s="105" t="s">
        <v>267</v>
      </c>
      <c r="E173" s="107">
        <v>1.4861111111111109</v>
      </c>
      <c r="F173" s="105" t="s">
        <v>56</v>
      </c>
      <c r="G173" s="108">
        <v>9</v>
      </c>
      <c r="H173" s="105" t="s">
        <v>299</v>
      </c>
    </row>
    <row r="174" spans="1:8" ht="18" x14ac:dyDescent="0.3">
      <c r="A174" s="119">
        <v>45988</v>
      </c>
      <c r="B174" s="120" t="s">
        <v>48</v>
      </c>
      <c r="C174" s="121" t="s">
        <v>289</v>
      </c>
      <c r="D174" s="120" t="s">
        <v>267</v>
      </c>
      <c r="E174" s="122">
        <v>1.8888888888888891</v>
      </c>
      <c r="F174" s="120" t="s">
        <v>50</v>
      </c>
      <c r="G174" s="123">
        <v>9</v>
      </c>
      <c r="H174" s="120" t="s">
        <v>337</v>
      </c>
    </row>
    <row r="175" spans="1:8" ht="18" x14ac:dyDescent="0.3">
      <c r="A175" s="104">
        <v>45988</v>
      </c>
      <c r="B175" s="105" t="s">
        <v>48</v>
      </c>
      <c r="C175" s="106" t="s">
        <v>289</v>
      </c>
      <c r="D175" s="105" t="s">
        <v>267</v>
      </c>
      <c r="E175" s="107">
        <v>1.8888888888888891</v>
      </c>
      <c r="F175" s="105" t="s">
        <v>53</v>
      </c>
      <c r="G175" s="108">
        <v>9</v>
      </c>
      <c r="H175" s="105" t="s">
        <v>94</v>
      </c>
    </row>
    <row r="176" spans="1:8" ht="18" x14ac:dyDescent="0.3">
      <c r="A176" s="104">
        <v>45988</v>
      </c>
      <c r="B176" s="105" t="s">
        <v>48</v>
      </c>
      <c r="C176" s="106" t="s">
        <v>289</v>
      </c>
      <c r="D176" s="105" t="s">
        <v>267</v>
      </c>
      <c r="E176" s="107">
        <v>1.8888888888888891</v>
      </c>
      <c r="F176" s="105" t="s">
        <v>56</v>
      </c>
      <c r="G176" s="108">
        <v>9</v>
      </c>
      <c r="H176" s="105" t="s">
        <v>299</v>
      </c>
    </row>
    <row r="177" spans="1:8" ht="18" x14ac:dyDescent="0.3">
      <c r="A177" s="118">
        <v>45988</v>
      </c>
      <c r="B177" s="99" t="s">
        <v>300</v>
      </c>
      <c r="C177" s="100" t="s">
        <v>374</v>
      </c>
      <c r="D177" s="99" t="s">
        <v>267</v>
      </c>
      <c r="E177" s="101">
        <v>1.118055555555556</v>
      </c>
      <c r="F177" s="99" t="s">
        <v>37</v>
      </c>
      <c r="G177" s="102">
        <v>3</v>
      </c>
      <c r="H177" s="99" t="s">
        <v>302</v>
      </c>
    </row>
    <row r="178" spans="1:8" ht="18" x14ac:dyDescent="0.3">
      <c r="A178" s="119">
        <v>45988</v>
      </c>
      <c r="B178" s="120" t="s">
        <v>300</v>
      </c>
      <c r="C178" s="121" t="s">
        <v>301</v>
      </c>
      <c r="D178" s="120" t="s">
        <v>267</v>
      </c>
      <c r="E178" s="122">
        <v>1.4201388888888891</v>
      </c>
      <c r="F178" s="120" t="s">
        <v>37</v>
      </c>
      <c r="G178" s="123">
        <v>5</v>
      </c>
      <c r="H178" s="120" t="s">
        <v>302</v>
      </c>
    </row>
    <row r="179" spans="1:8" ht="18" x14ac:dyDescent="0.3">
      <c r="A179" s="118">
        <v>45988</v>
      </c>
      <c r="B179" s="99" t="s">
        <v>295</v>
      </c>
      <c r="C179" s="100" t="s">
        <v>296</v>
      </c>
      <c r="D179" s="99" t="s">
        <v>267</v>
      </c>
      <c r="E179" s="101">
        <v>1.493055555555556</v>
      </c>
      <c r="F179" s="99" t="s">
        <v>37</v>
      </c>
      <c r="G179" s="102">
        <v>7</v>
      </c>
      <c r="H179" s="99" t="s">
        <v>52</v>
      </c>
    </row>
    <row r="180" spans="1:8" ht="18" x14ac:dyDescent="0.3">
      <c r="A180" s="118">
        <v>45988</v>
      </c>
      <c r="B180" s="99" t="s">
        <v>58</v>
      </c>
      <c r="C180" s="100" t="s">
        <v>346</v>
      </c>
      <c r="D180" s="99" t="s">
        <v>267</v>
      </c>
      <c r="E180" s="101">
        <v>1.8298611111111109</v>
      </c>
      <c r="F180" s="99" t="s">
        <v>63</v>
      </c>
      <c r="G180" s="102">
        <v>9</v>
      </c>
      <c r="H180" s="99" t="s">
        <v>345</v>
      </c>
    </row>
    <row r="181" spans="1:8" ht="18" x14ac:dyDescent="0.3">
      <c r="A181" s="119">
        <v>45988</v>
      </c>
      <c r="B181" s="120" t="s">
        <v>58</v>
      </c>
      <c r="C181" s="121" t="s">
        <v>347</v>
      </c>
      <c r="D181" s="120" t="s">
        <v>267</v>
      </c>
      <c r="E181" s="122">
        <v>1.118055555555556</v>
      </c>
      <c r="F181" s="120" t="s">
        <v>63</v>
      </c>
      <c r="G181" s="123">
        <v>9</v>
      </c>
      <c r="H181" s="120" t="s">
        <v>345</v>
      </c>
    </row>
    <row r="182" spans="1:8" ht="18" x14ac:dyDescent="0.3">
      <c r="A182" s="119">
        <v>45988</v>
      </c>
      <c r="B182" s="120" t="s">
        <v>58</v>
      </c>
      <c r="C182" s="121" t="s">
        <v>315</v>
      </c>
      <c r="D182" s="120" t="s">
        <v>267</v>
      </c>
      <c r="E182" s="122">
        <v>1.7048611111111109</v>
      </c>
      <c r="F182" s="120" t="s">
        <v>63</v>
      </c>
      <c r="G182" s="123">
        <v>9</v>
      </c>
      <c r="H182" s="120" t="s">
        <v>345</v>
      </c>
    </row>
    <row r="183" spans="1:8" ht="18" x14ac:dyDescent="0.3">
      <c r="A183" s="119">
        <v>45988</v>
      </c>
      <c r="B183" s="120" t="s">
        <v>58</v>
      </c>
      <c r="C183" s="121" t="s">
        <v>303</v>
      </c>
      <c r="D183" s="120" t="s">
        <v>267</v>
      </c>
      <c r="E183" s="122">
        <v>1.989583333333333</v>
      </c>
      <c r="F183" s="120" t="s">
        <v>63</v>
      </c>
      <c r="G183" s="123">
        <v>4</v>
      </c>
      <c r="H183" s="120" t="s">
        <v>304</v>
      </c>
    </row>
    <row r="184" spans="1:8" ht="18" x14ac:dyDescent="0.3">
      <c r="A184" s="119">
        <v>45988</v>
      </c>
      <c r="B184" s="120" t="s">
        <v>58</v>
      </c>
      <c r="C184" s="121" t="s">
        <v>305</v>
      </c>
      <c r="D184" s="120" t="s">
        <v>267</v>
      </c>
      <c r="E184" s="122">
        <v>1.399305555555556</v>
      </c>
      <c r="F184" s="120" t="s">
        <v>63</v>
      </c>
      <c r="G184" s="123">
        <v>4</v>
      </c>
      <c r="H184" s="120" t="s">
        <v>304</v>
      </c>
    </row>
    <row r="185" spans="1:8" ht="18" x14ac:dyDescent="0.3">
      <c r="A185" s="119">
        <v>45988</v>
      </c>
      <c r="B185" s="120" t="s">
        <v>58</v>
      </c>
      <c r="C185" s="121" t="s">
        <v>306</v>
      </c>
      <c r="D185" s="120" t="s">
        <v>267</v>
      </c>
      <c r="E185" s="122">
        <v>1.489583333333333</v>
      </c>
      <c r="F185" s="120" t="s">
        <v>63</v>
      </c>
      <c r="G185" s="123">
        <v>4</v>
      </c>
      <c r="H185" s="120" t="s">
        <v>304</v>
      </c>
    </row>
    <row r="186" spans="1:8" ht="18" x14ac:dyDescent="0.3">
      <c r="A186" s="119">
        <v>45988</v>
      </c>
      <c r="B186" s="120" t="s">
        <v>58</v>
      </c>
      <c r="C186" s="121" t="s">
        <v>308</v>
      </c>
      <c r="D186" s="120" t="s">
        <v>267</v>
      </c>
      <c r="E186" s="122">
        <v>1.489583333333333</v>
      </c>
      <c r="F186" s="120" t="s">
        <v>63</v>
      </c>
      <c r="G186" s="123">
        <v>9</v>
      </c>
      <c r="H186" s="120" t="s">
        <v>309</v>
      </c>
    </row>
    <row r="187" spans="1:8" ht="18" x14ac:dyDescent="0.3">
      <c r="A187" s="119">
        <v>45988</v>
      </c>
      <c r="B187" s="120" t="s">
        <v>58</v>
      </c>
      <c r="C187" s="121" t="s">
        <v>313</v>
      </c>
      <c r="D187" s="120" t="s">
        <v>267</v>
      </c>
      <c r="E187" s="122">
        <v>1.7222222222222221</v>
      </c>
      <c r="F187" s="120" t="s">
        <v>63</v>
      </c>
      <c r="G187" s="123">
        <v>9</v>
      </c>
      <c r="H187" s="120" t="s">
        <v>309</v>
      </c>
    </row>
    <row r="188" spans="1:8" ht="18" x14ac:dyDescent="0.3">
      <c r="A188" s="119">
        <v>45988</v>
      </c>
      <c r="B188" s="120" t="s">
        <v>58</v>
      </c>
      <c r="C188" s="121" t="s">
        <v>310</v>
      </c>
      <c r="D188" s="120" t="s">
        <v>267</v>
      </c>
      <c r="E188" s="122">
        <v>1.2534722222222221</v>
      </c>
      <c r="F188" s="120" t="s">
        <v>63</v>
      </c>
      <c r="G188" s="123">
        <v>9</v>
      </c>
      <c r="H188" s="120" t="s">
        <v>309</v>
      </c>
    </row>
    <row r="189" spans="1:8" ht="18" x14ac:dyDescent="0.3">
      <c r="A189" s="119">
        <v>45988</v>
      </c>
      <c r="B189" s="120" t="s">
        <v>58</v>
      </c>
      <c r="C189" s="121" t="s">
        <v>311</v>
      </c>
      <c r="D189" s="120" t="s">
        <v>267</v>
      </c>
      <c r="E189" s="122">
        <v>1.041666666666667</v>
      </c>
      <c r="F189" s="120" t="s">
        <v>63</v>
      </c>
      <c r="G189" s="123">
        <v>9</v>
      </c>
      <c r="H189" s="120" t="s">
        <v>309</v>
      </c>
    </row>
    <row r="190" spans="1:8" ht="18" x14ac:dyDescent="0.3">
      <c r="A190" s="119">
        <v>45988</v>
      </c>
      <c r="B190" s="120" t="s">
        <v>58</v>
      </c>
      <c r="C190" s="121" t="s">
        <v>312</v>
      </c>
      <c r="D190" s="120" t="s">
        <v>267</v>
      </c>
      <c r="E190" s="122">
        <v>1.9409722222222221</v>
      </c>
      <c r="F190" s="120" t="s">
        <v>63</v>
      </c>
      <c r="G190" s="123">
        <v>9</v>
      </c>
      <c r="H190" s="120" t="s">
        <v>309</v>
      </c>
    </row>
    <row r="191" spans="1:8" ht="18" x14ac:dyDescent="0.3">
      <c r="A191" s="119">
        <v>45988</v>
      </c>
      <c r="B191" s="120" t="s">
        <v>58</v>
      </c>
      <c r="C191" s="121" t="s">
        <v>307</v>
      </c>
      <c r="D191" s="120" t="s">
        <v>267</v>
      </c>
      <c r="E191" s="122">
        <v>1.8888888888888891</v>
      </c>
      <c r="F191" s="120" t="s">
        <v>63</v>
      </c>
      <c r="G191" s="123">
        <v>4</v>
      </c>
      <c r="H191" s="120" t="s">
        <v>349</v>
      </c>
    </row>
    <row r="192" spans="1:8" ht="18" x14ac:dyDescent="0.3">
      <c r="A192" s="169">
        <v>45988</v>
      </c>
      <c r="B192" s="170" t="s">
        <v>75</v>
      </c>
      <c r="C192" s="171" t="s">
        <v>316</v>
      </c>
      <c r="D192" s="170" t="s">
        <v>267</v>
      </c>
      <c r="E192" s="172">
        <v>1.836805555555556</v>
      </c>
      <c r="F192" s="170" t="s">
        <v>60</v>
      </c>
      <c r="G192" s="173">
        <v>4</v>
      </c>
      <c r="H192" s="170" t="s">
        <v>317</v>
      </c>
    </row>
    <row r="193" spans="1:8" ht="18" x14ac:dyDescent="0.3">
      <c r="A193" s="165">
        <v>45989</v>
      </c>
      <c r="B193" s="110" t="s">
        <v>35</v>
      </c>
      <c r="C193" s="111" t="s">
        <v>365</v>
      </c>
      <c r="D193" s="110" t="s">
        <v>267</v>
      </c>
      <c r="E193" s="112">
        <v>1.4375</v>
      </c>
      <c r="F193" s="110" t="s">
        <v>37</v>
      </c>
      <c r="G193" s="113">
        <v>1</v>
      </c>
      <c r="H193" s="166" t="s">
        <v>376</v>
      </c>
    </row>
    <row r="194" spans="1:8" ht="18" x14ac:dyDescent="0.3">
      <c r="A194" s="114">
        <v>45989</v>
      </c>
      <c r="B194" s="115" t="s">
        <v>35</v>
      </c>
      <c r="C194" s="116" t="s">
        <v>378</v>
      </c>
      <c r="D194" s="115" t="s">
        <v>267</v>
      </c>
      <c r="E194" s="117">
        <v>1.760416666666667</v>
      </c>
      <c r="F194" s="115" t="s">
        <v>37</v>
      </c>
      <c r="G194" s="233">
        <v>1</v>
      </c>
      <c r="H194" s="115" t="s">
        <v>366</v>
      </c>
    </row>
    <row r="195" spans="1:8" ht="18" x14ac:dyDescent="0.3">
      <c r="A195" s="114">
        <v>45989</v>
      </c>
      <c r="B195" s="115" t="s">
        <v>35</v>
      </c>
      <c r="C195" s="116" t="s">
        <v>380</v>
      </c>
      <c r="D195" s="115" t="s">
        <v>267</v>
      </c>
      <c r="E195" s="117">
        <v>1.5590277777777779</v>
      </c>
      <c r="F195" s="115" t="s">
        <v>37</v>
      </c>
      <c r="G195" s="233">
        <v>1</v>
      </c>
      <c r="H195" s="115" t="s">
        <v>366</v>
      </c>
    </row>
    <row r="196" spans="1:8" ht="18" x14ac:dyDescent="0.3">
      <c r="A196" s="114">
        <v>45989</v>
      </c>
      <c r="B196" s="115" t="s">
        <v>35</v>
      </c>
      <c r="C196" s="116" t="s">
        <v>382</v>
      </c>
      <c r="D196" s="115" t="s">
        <v>267</v>
      </c>
      <c r="E196" s="117">
        <v>1.28125</v>
      </c>
      <c r="F196" s="115" t="s">
        <v>37</v>
      </c>
      <c r="G196" s="233">
        <v>2</v>
      </c>
      <c r="H196" s="115" t="s">
        <v>366</v>
      </c>
    </row>
    <row r="197" spans="1:8" ht="18" x14ac:dyDescent="0.3">
      <c r="A197" s="114">
        <v>45989</v>
      </c>
      <c r="B197" s="115" t="s">
        <v>35</v>
      </c>
      <c r="C197" s="116" t="s">
        <v>333</v>
      </c>
      <c r="D197" s="115" t="s">
        <v>267</v>
      </c>
      <c r="E197" s="117">
        <v>1.1423611111111109</v>
      </c>
      <c r="F197" s="115" t="s">
        <v>44</v>
      </c>
      <c r="G197" s="115"/>
      <c r="H197" s="115" t="s">
        <v>45</v>
      </c>
    </row>
    <row r="198" spans="1:8" ht="18" x14ac:dyDescent="0.3">
      <c r="A198" s="118">
        <v>45989</v>
      </c>
      <c r="B198" s="99" t="s">
        <v>75</v>
      </c>
      <c r="C198" s="100" t="s">
        <v>318</v>
      </c>
      <c r="D198" s="99" t="s">
        <v>267</v>
      </c>
      <c r="E198" s="101">
        <v>1.2986111111111109</v>
      </c>
      <c r="F198" s="99" t="s">
        <v>60</v>
      </c>
      <c r="G198" s="102">
        <v>9</v>
      </c>
      <c r="H198" s="99" t="s">
        <v>338</v>
      </c>
    </row>
    <row r="199" spans="1:8" ht="18" x14ac:dyDescent="0.3">
      <c r="A199" s="119">
        <v>45989</v>
      </c>
      <c r="B199" s="120" t="s">
        <v>75</v>
      </c>
      <c r="C199" s="121" t="s">
        <v>320</v>
      </c>
      <c r="D199" s="120" t="s">
        <v>267</v>
      </c>
      <c r="E199" s="122">
        <v>1.104166666666667</v>
      </c>
      <c r="F199" s="120" t="s">
        <v>60</v>
      </c>
      <c r="G199" s="123">
        <v>9</v>
      </c>
      <c r="H199" s="120" t="s">
        <v>338</v>
      </c>
    </row>
    <row r="200" spans="1:8" ht="18" x14ac:dyDescent="0.3">
      <c r="A200" s="119">
        <v>45989</v>
      </c>
      <c r="B200" s="120" t="s">
        <v>75</v>
      </c>
      <c r="C200" s="121" t="s">
        <v>321</v>
      </c>
      <c r="D200" s="120" t="s">
        <v>267</v>
      </c>
      <c r="E200" s="122">
        <v>1.7847222222222221</v>
      </c>
      <c r="F200" s="120" t="s">
        <v>60</v>
      </c>
      <c r="G200" s="123">
        <v>7</v>
      </c>
      <c r="H200" s="120" t="s">
        <v>338</v>
      </c>
    </row>
    <row r="201" spans="1:8" ht="18" x14ac:dyDescent="0.3">
      <c r="A201" s="119">
        <v>45989</v>
      </c>
      <c r="B201" s="120" t="s">
        <v>75</v>
      </c>
      <c r="C201" s="121" t="s">
        <v>322</v>
      </c>
      <c r="D201" s="120" t="s">
        <v>267</v>
      </c>
      <c r="E201" s="122">
        <v>1.5972222222222221</v>
      </c>
      <c r="F201" s="120" t="s">
        <v>60</v>
      </c>
      <c r="G201" s="123">
        <v>9</v>
      </c>
      <c r="H201" s="120" t="s">
        <v>338</v>
      </c>
    </row>
    <row r="202" spans="1:8" ht="18" x14ac:dyDescent="0.3">
      <c r="A202" s="119">
        <v>45989</v>
      </c>
      <c r="B202" s="120" t="s">
        <v>75</v>
      </c>
      <c r="C202" s="121" t="s">
        <v>339</v>
      </c>
      <c r="D202" s="120" t="s">
        <v>267</v>
      </c>
      <c r="E202" s="122">
        <v>1.0486111111111109</v>
      </c>
      <c r="F202" s="120" t="s">
        <v>60</v>
      </c>
      <c r="G202" s="123">
        <v>9</v>
      </c>
      <c r="H202" s="120" t="s">
        <v>338</v>
      </c>
    </row>
    <row r="203" spans="1:8" ht="18" x14ac:dyDescent="0.3">
      <c r="A203" s="119">
        <v>45989</v>
      </c>
      <c r="B203" s="120" t="s">
        <v>75</v>
      </c>
      <c r="C203" s="121" t="s">
        <v>316</v>
      </c>
      <c r="D203" s="120" t="s">
        <v>267</v>
      </c>
      <c r="E203" s="122">
        <v>1.836805555555556</v>
      </c>
      <c r="F203" s="120" t="s">
        <v>60</v>
      </c>
      <c r="G203" s="123">
        <v>9</v>
      </c>
      <c r="H203" s="120" t="s">
        <v>386</v>
      </c>
    </row>
    <row r="204" spans="1:8" ht="18" x14ac:dyDescent="0.3">
      <c r="A204" s="118">
        <v>45989</v>
      </c>
      <c r="B204" s="99" t="s">
        <v>290</v>
      </c>
      <c r="C204" s="100" t="s">
        <v>341</v>
      </c>
      <c r="D204" s="99" t="s">
        <v>267</v>
      </c>
      <c r="E204" s="101">
        <v>1.225694444444444</v>
      </c>
      <c r="F204" s="99" t="s">
        <v>292</v>
      </c>
      <c r="G204" s="102">
        <v>8</v>
      </c>
      <c r="H204" s="99" t="s">
        <v>387</v>
      </c>
    </row>
    <row r="205" spans="1:8" ht="18" x14ac:dyDescent="0.3">
      <c r="A205" s="104">
        <v>45989</v>
      </c>
      <c r="B205" s="105" t="s">
        <v>290</v>
      </c>
      <c r="C205" s="106" t="s">
        <v>341</v>
      </c>
      <c r="D205" s="105" t="s">
        <v>267</v>
      </c>
      <c r="E205" s="107">
        <v>1.225694444444444</v>
      </c>
      <c r="F205" s="105" t="s">
        <v>30</v>
      </c>
      <c r="G205" s="108">
        <v>8</v>
      </c>
      <c r="H205" s="105" t="s">
        <v>388</v>
      </c>
    </row>
    <row r="206" spans="1:8" ht="18" x14ac:dyDescent="0.3">
      <c r="A206" s="119">
        <v>45989</v>
      </c>
      <c r="B206" s="120" t="s">
        <v>290</v>
      </c>
      <c r="C206" s="121" t="s">
        <v>389</v>
      </c>
      <c r="D206" s="120" t="s">
        <v>267</v>
      </c>
      <c r="E206" s="122">
        <v>1.8090277777777779</v>
      </c>
      <c r="F206" s="120" t="s">
        <v>292</v>
      </c>
      <c r="G206" s="123">
        <v>7</v>
      </c>
      <c r="H206" s="120" t="s">
        <v>390</v>
      </c>
    </row>
    <row r="207" spans="1:8" ht="18" x14ac:dyDescent="0.3">
      <c r="A207" s="104">
        <v>45989</v>
      </c>
      <c r="B207" s="105" t="s">
        <v>290</v>
      </c>
      <c r="C207" s="106" t="s">
        <v>389</v>
      </c>
      <c r="D207" s="105" t="s">
        <v>267</v>
      </c>
      <c r="E207" s="107">
        <v>1.8090277777777779</v>
      </c>
      <c r="F207" s="105" t="s">
        <v>30</v>
      </c>
      <c r="G207" s="108">
        <v>7</v>
      </c>
      <c r="H207" s="105" t="s">
        <v>391</v>
      </c>
    </row>
    <row r="208" spans="1:8" ht="18" x14ac:dyDescent="0.3">
      <c r="A208" s="118">
        <v>45989</v>
      </c>
      <c r="B208" s="99" t="s">
        <v>25</v>
      </c>
      <c r="C208" s="100" t="s">
        <v>268</v>
      </c>
      <c r="D208" s="99" t="s">
        <v>267</v>
      </c>
      <c r="E208" s="101">
        <v>1.399305555555556</v>
      </c>
      <c r="F208" s="99" t="s">
        <v>27</v>
      </c>
      <c r="G208" s="102">
        <v>8</v>
      </c>
      <c r="H208" s="99" t="s">
        <v>270</v>
      </c>
    </row>
    <row r="209" spans="1:8" ht="18" x14ac:dyDescent="0.3">
      <c r="A209" s="104">
        <v>45989</v>
      </c>
      <c r="B209" s="105" t="s">
        <v>25</v>
      </c>
      <c r="C209" s="106" t="s">
        <v>268</v>
      </c>
      <c r="D209" s="105" t="s">
        <v>267</v>
      </c>
      <c r="E209" s="107">
        <v>1.399305555555556</v>
      </c>
      <c r="F209" s="105" t="s">
        <v>33</v>
      </c>
      <c r="G209" s="108">
        <v>8</v>
      </c>
      <c r="H209" s="105" t="s">
        <v>112</v>
      </c>
    </row>
    <row r="210" spans="1:8" ht="18" x14ac:dyDescent="0.3">
      <c r="A210" s="104">
        <v>45989</v>
      </c>
      <c r="B210" s="105" t="s">
        <v>25</v>
      </c>
      <c r="C210" s="106" t="s">
        <v>268</v>
      </c>
      <c r="D210" s="105" t="s">
        <v>267</v>
      </c>
      <c r="E210" s="107">
        <v>1.399305555555556</v>
      </c>
      <c r="F210" s="105" t="s">
        <v>30</v>
      </c>
      <c r="G210" s="108">
        <v>8</v>
      </c>
      <c r="H210" s="105" t="s">
        <v>94</v>
      </c>
    </row>
    <row r="211" spans="1:8" ht="18" x14ac:dyDescent="0.3">
      <c r="A211" s="119">
        <v>45989</v>
      </c>
      <c r="B211" s="120" t="s">
        <v>25</v>
      </c>
      <c r="C211" s="121" t="s">
        <v>271</v>
      </c>
      <c r="D211" s="120" t="s">
        <v>267</v>
      </c>
      <c r="E211" s="122">
        <v>1.489583333333333</v>
      </c>
      <c r="F211" s="120" t="s">
        <v>27</v>
      </c>
      <c r="G211" s="123">
        <v>9</v>
      </c>
      <c r="H211" s="120" t="s">
        <v>112</v>
      </c>
    </row>
    <row r="212" spans="1:8" ht="18" x14ac:dyDescent="0.3">
      <c r="A212" s="104">
        <v>45989</v>
      </c>
      <c r="B212" s="105" t="s">
        <v>25</v>
      </c>
      <c r="C212" s="106" t="s">
        <v>271</v>
      </c>
      <c r="D212" s="105" t="s">
        <v>267</v>
      </c>
      <c r="E212" s="107">
        <v>1.489583333333333</v>
      </c>
      <c r="F212" s="105" t="s">
        <v>33</v>
      </c>
      <c r="G212" s="108">
        <v>9</v>
      </c>
      <c r="H212" s="105" t="s">
        <v>94</v>
      </c>
    </row>
    <row r="213" spans="1:8" ht="18" x14ac:dyDescent="0.3">
      <c r="A213" s="104">
        <v>45989</v>
      </c>
      <c r="B213" s="105" t="s">
        <v>25</v>
      </c>
      <c r="C213" s="106" t="s">
        <v>271</v>
      </c>
      <c r="D213" s="105" t="s">
        <v>267</v>
      </c>
      <c r="E213" s="107">
        <v>1.489583333333333</v>
      </c>
      <c r="F213" s="105" t="s">
        <v>30</v>
      </c>
      <c r="G213" s="108">
        <v>9</v>
      </c>
      <c r="H213" s="105" t="s">
        <v>94</v>
      </c>
    </row>
    <row r="214" spans="1:8" ht="18" x14ac:dyDescent="0.3">
      <c r="A214" s="119">
        <v>45989</v>
      </c>
      <c r="B214" s="120" t="s">
        <v>25</v>
      </c>
      <c r="C214" s="121" t="s">
        <v>276</v>
      </c>
      <c r="D214" s="120" t="s">
        <v>267</v>
      </c>
      <c r="E214" s="122">
        <v>1.8888888888888891</v>
      </c>
      <c r="F214" s="120" t="s">
        <v>27</v>
      </c>
      <c r="G214" s="123">
        <v>3</v>
      </c>
      <c r="H214" s="120" t="s">
        <v>112</v>
      </c>
    </row>
    <row r="215" spans="1:8" ht="18" x14ac:dyDescent="0.3">
      <c r="A215" s="104">
        <v>45989</v>
      </c>
      <c r="B215" s="105" t="s">
        <v>25</v>
      </c>
      <c r="C215" s="106" t="s">
        <v>276</v>
      </c>
      <c r="D215" s="105" t="s">
        <v>267</v>
      </c>
      <c r="E215" s="107">
        <v>1.8888888888888891</v>
      </c>
      <c r="F215" s="105" t="s">
        <v>33</v>
      </c>
      <c r="G215" s="108">
        <v>3</v>
      </c>
      <c r="H215" s="105" t="s">
        <v>94</v>
      </c>
    </row>
    <row r="216" spans="1:8" ht="18" x14ac:dyDescent="0.3">
      <c r="A216" s="104">
        <v>45989</v>
      </c>
      <c r="B216" s="105" t="s">
        <v>25</v>
      </c>
      <c r="C216" s="106" t="s">
        <v>276</v>
      </c>
      <c r="D216" s="105" t="s">
        <v>267</v>
      </c>
      <c r="E216" s="107">
        <v>1.8888888888888891</v>
      </c>
      <c r="F216" s="105" t="s">
        <v>30</v>
      </c>
      <c r="G216" s="108">
        <v>3</v>
      </c>
      <c r="H216" s="105" t="s">
        <v>336</v>
      </c>
    </row>
    <row r="217" spans="1:8" ht="18" x14ac:dyDescent="0.3">
      <c r="A217" s="119">
        <v>45989</v>
      </c>
      <c r="B217" s="120" t="s">
        <v>25</v>
      </c>
      <c r="C217" s="121" t="s">
        <v>277</v>
      </c>
      <c r="D217" s="120" t="s">
        <v>267</v>
      </c>
      <c r="E217" s="122">
        <v>1.989583333333333</v>
      </c>
      <c r="F217" s="120" t="s">
        <v>27</v>
      </c>
      <c r="G217" s="123">
        <v>18</v>
      </c>
      <c r="H217" s="120" t="s">
        <v>112</v>
      </c>
    </row>
    <row r="218" spans="1:8" ht="18" x14ac:dyDescent="0.3">
      <c r="A218" s="104">
        <v>45989</v>
      </c>
      <c r="B218" s="105" t="s">
        <v>25</v>
      </c>
      <c r="C218" s="106" t="s">
        <v>277</v>
      </c>
      <c r="D218" s="105" t="s">
        <v>267</v>
      </c>
      <c r="E218" s="107">
        <v>1.989583333333333</v>
      </c>
      <c r="F218" s="105" t="s">
        <v>33</v>
      </c>
      <c r="G218" s="108">
        <v>18</v>
      </c>
      <c r="H218" s="105" t="s">
        <v>94</v>
      </c>
    </row>
    <row r="219" spans="1:8" ht="18" x14ac:dyDescent="0.3">
      <c r="A219" s="104">
        <v>45989</v>
      </c>
      <c r="B219" s="105" t="s">
        <v>25</v>
      </c>
      <c r="C219" s="106" t="s">
        <v>277</v>
      </c>
      <c r="D219" s="105" t="s">
        <v>267</v>
      </c>
      <c r="E219" s="107">
        <v>1.989583333333333</v>
      </c>
      <c r="F219" s="105" t="s">
        <v>30</v>
      </c>
      <c r="G219" s="108">
        <v>18</v>
      </c>
      <c r="H219" s="105" t="s">
        <v>94</v>
      </c>
    </row>
    <row r="220" spans="1:8" ht="18" x14ac:dyDescent="0.3">
      <c r="A220" s="118">
        <v>45989</v>
      </c>
      <c r="B220" s="99" t="s">
        <v>48</v>
      </c>
      <c r="C220" s="100" t="s">
        <v>279</v>
      </c>
      <c r="D220" s="99" t="s">
        <v>267</v>
      </c>
      <c r="E220" s="101">
        <v>1.3472222222222221</v>
      </c>
      <c r="F220" s="99" t="s">
        <v>50</v>
      </c>
      <c r="G220" s="102">
        <v>5</v>
      </c>
      <c r="H220" s="99" t="s">
        <v>275</v>
      </c>
    </row>
    <row r="221" spans="1:8" ht="18" x14ac:dyDescent="0.3">
      <c r="A221" s="104">
        <v>45989</v>
      </c>
      <c r="B221" s="105" t="s">
        <v>48</v>
      </c>
      <c r="C221" s="106" t="s">
        <v>279</v>
      </c>
      <c r="D221" s="105" t="s">
        <v>267</v>
      </c>
      <c r="E221" s="107">
        <v>1.3472222222222221</v>
      </c>
      <c r="F221" s="105" t="s">
        <v>53</v>
      </c>
      <c r="G221" s="108">
        <v>5</v>
      </c>
      <c r="H221" s="105" t="s">
        <v>112</v>
      </c>
    </row>
    <row r="222" spans="1:8" ht="18" x14ac:dyDescent="0.3">
      <c r="A222" s="104">
        <v>45989</v>
      </c>
      <c r="B222" s="105" t="s">
        <v>48</v>
      </c>
      <c r="C222" s="106" t="s">
        <v>279</v>
      </c>
      <c r="D222" s="105" t="s">
        <v>267</v>
      </c>
      <c r="E222" s="107">
        <v>1.3472222222222221</v>
      </c>
      <c r="F222" s="105" t="s">
        <v>56</v>
      </c>
      <c r="G222" s="108">
        <v>5</v>
      </c>
      <c r="H222" s="105" t="s">
        <v>394</v>
      </c>
    </row>
    <row r="223" spans="1:8" ht="18" x14ac:dyDescent="0.3">
      <c r="A223" s="119">
        <v>45989</v>
      </c>
      <c r="B223" s="120" t="s">
        <v>48</v>
      </c>
      <c r="C223" s="121" t="s">
        <v>278</v>
      </c>
      <c r="D223" s="120" t="s">
        <v>267</v>
      </c>
      <c r="E223" s="122">
        <v>1.993055555555556</v>
      </c>
      <c r="F223" s="120" t="s">
        <v>50</v>
      </c>
      <c r="G223" s="123">
        <v>7</v>
      </c>
      <c r="H223" s="120" t="s">
        <v>395</v>
      </c>
    </row>
    <row r="224" spans="1:8" ht="18" x14ac:dyDescent="0.3">
      <c r="A224" s="104">
        <v>45989</v>
      </c>
      <c r="B224" s="105" t="s">
        <v>48</v>
      </c>
      <c r="C224" s="106" t="s">
        <v>278</v>
      </c>
      <c r="D224" s="105" t="s">
        <v>267</v>
      </c>
      <c r="E224" s="107">
        <v>1.993055555555556</v>
      </c>
      <c r="F224" s="105" t="s">
        <v>53</v>
      </c>
      <c r="G224" s="108">
        <v>7</v>
      </c>
      <c r="H224" s="105" t="s">
        <v>396</v>
      </c>
    </row>
    <row r="225" spans="1:8" ht="18" x14ac:dyDescent="0.3">
      <c r="A225" s="104">
        <v>45989</v>
      </c>
      <c r="B225" s="105" t="s">
        <v>48</v>
      </c>
      <c r="C225" s="106" t="s">
        <v>278</v>
      </c>
      <c r="D225" s="105" t="s">
        <v>267</v>
      </c>
      <c r="E225" s="107">
        <v>1.993055555555556</v>
      </c>
      <c r="F225" s="105" t="s">
        <v>56</v>
      </c>
      <c r="G225" s="108">
        <v>7</v>
      </c>
      <c r="H225" s="105" t="s">
        <v>397</v>
      </c>
    </row>
    <row r="226" spans="1:8" ht="18" x14ac:dyDescent="0.3">
      <c r="A226" s="119">
        <v>45989</v>
      </c>
      <c r="B226" s="120" t="s">
        <v>48</v>
      </c>
      <c r="C226" s="121" t="s">
        <v>282</v>
      </c>
      <c r="D226" s="120" t="s">
        <v>267</v>
      </c>
      <c r="E226" s="122">
        <v>1.7361111111111109</v>
      </c>
      <c r="F226" s="120" t="s">
        <v>50</v>
      </c>
      <c r="G226" s="123">
        <v>9</v>
      </c>
      <c r="H226" s="120" t="s">
        <v>395</v>
      </c>
    </row>
    <row r="227" spans="1:8" ht="18" x14ac:dyDescent="0.3">
      <c r="A227" s="104">
        <v>45989</v>
      </c>
      <c r="B227" s="105" t="s">
        <v>48</v>
      </c>
      <c r="C227" s="106" t="s">
        <v>282</v>
      </c>
      <c r="D227" s="105" t="s">
        <v>267</v>
      </c>
      <c r="E227" s="107">
        <v>1.7361111111111109</v>
      </c>
      <c r="F227" s="105" t="s">
        <v>53</v>
      </c>
      <c r="G227" s="108">
        <v>9</v>
      </c>
      <c r="H227" s="105" t="s">
        <v>396</v>
      </c>
    </row>
    <row r="228" spans="1:8" ht="18" x14ac:dyDescent="0.3">
      <c r="A228" s="104">
        <v>45989</v>
      </c>
      <c r="B228" s="105" t="s">
        <v>48</v>
      </c>
      <c r="C228" s="106" t="s">
        <v>282</v>
      </c>
      <c r="D228" s="105" t="s">
        <v>267</v>
      </c>
      <c r="E228" s="107">
        <v>1.7361111111111109</v>
      </c>
      <c r="F228" s="105" t="s">
        <v>56</v>
      </c>
      <c r="G228" s="108">
        <v>9</v>
      </c>
      <c r="H228" s="105" t="s">
        <v>397</v>
      </c>
    </row>
    <row r="229" spans="1:8" ht="18" x14ac:dyDescent="0.3">
      <c r="A229" s="119">
        <v>45989</v>
      </c>
      <c r="B229" s="120" t="s">
        <v>48</v>
      </c>
      <c r="C229" s="121" t="s">
        <v>283</v>
      </c>
      <c r="D229" s="120" t="s">
        <v>267</v>
      </c>
      <c r="E229" s="122">
        <v>1.836805555555556</v>
      </c>
      <c r="F229" s="120" t="s">
        <v>50</v>
      </c>
      <c r="G229" s="123">
        <v>9</v>
      </c>
      <c r="H229" s="120" t="s">
        <v>395</v>
      </c>
    </row>
    <row r="230" spans="1:8" ht="18" x14ac:dyDescent="0.3">
      <c r="A230" s="104">
        <v>45989</v>
      </c>
      <c r="B230" s="105" t="s">
        <v>48</v>
      </c>
      <c r="C230" s="106" t="s">
        <v>283</v>
      </c>
      <c r="D230" s="105" t="s">
        <v>267</v>
      </c>
      <c r="E230" s="107">
        <v>1.836805555555556</v>
      </c>
      <c r="F230" s="105" t="s">
        <v>53</v>
      </c>
      <c r="G230" s="108">
        <v>9</v>
      </c>
      <c r="H230" s="105" t="s">
        <v>396</v>
      </c>
    </row>
    <row r="231" spans="1:8" ht="18" x14ac:dyDescent="0.3">
      <c r="A231" s="104">
        <v>45989</v>
      </c>
      <c r="B231" s="105" t="s">
        <v>48</v>
      </c>
      <c r="C231" s="106" t="s">
        <v>283</v>
      </c>
      <c r="D231" s="105" t="s">
        <v>267</v>
      </c>
      <c r="E231" s="107">
        <v>1.836805555555556</v>
      </c>
      <c r="F231" s="105" t="s">
        <v>56</v>
      </c>
      <c r="G231" s="108">
        <v>9</v>
      </c>
      <c r="H231" s="105" t="s">
        <v>397</v>
      </c>
    </row>
    <row r="232" spans="1:8" ht="18" x14ac:dyDescent="0.3">
      <c r="A232" s="119">
        <v>45989</v>
      </c>
      <c r="B232" s="120" t="s">
        <v>48</v>
      </c>
      <c r="C232" s="121" t="s">
        <v>285</v>
      </c>
      <c r="D232" s="120" t="s">
        <v>267</v>
      </c>
      <c r="E232" s="122">
        <v>1.944444444444444</v>
      </c>
      <c r="F232" s="120" t="s">
        <v>50</v>
      </c>
      <c r="G232" s="123">
        <v>5</v>
      </c>
      <c r="H232" s="120" t="s">
        <v>395</v>
      </c>
    </row>
    <row r="233" spans="1:8" ht="18" x14ac:dyDescent="0.3">
      <c r="A233" s="104">
        <v>45989</v>
      </c>
      <c r="B233" s="105" t="s">
        <v>48</v>
      </c>
      <c r="C233" s="106" t="s">
        <v>285</v>
      </c>
      <c r="D233" s="105" t="s">
        <v>267</v>
      </c>
      <c r="E233" s="107">
        <v>1.944444444444444</v>
      </c>
      <c r="F233" s="105" t="s">
        <v>53</v>
      </c>
      <c r="G233" s="108">
        <v>5</v>
      </c>
      <c r="H233" s="105" t="s">
        <v>396</v>
      </c>
    </row>
    <row r="234" spans="1:8" ht="18" x14ac:dyDescent="0.3">
      <c r="A234" s="104">
        <v>45989</v>
      </c>
      <c r="B234" s="105" t="s">
        <v>48</v>
      </c>
      <c r="C234" s="106" t="s">
        <v>285</v>
      </c>
      <c r="D234" s="105" t="s">
        <v>267</v>
      </c>
      <c r="E234" s="107">
        <v>1.944444444444444</v>
      </c>
      <c r="F234" s="105" t="s">
        <v>56</v>
      </c>
      <c r="G234" s="108">
        <v>5</v>
      </c>
      <c r="H234" s="105" t="s">
        <v>397</v>
      </c>
    </row>
    <row r="235" spans="1:8" ht="18" x14ac:dyDescent="0.3">
      <c r="A235" s="119">
        <v>45989</v>
      </c>
      <c r="B235" s="120" t="s">
        <v>48</v>
      </c>
      <c r="C235" s="121" t="s">
        <v>286</v>
      </c>
      <c r="D235" s="120" t="s">
        <v>267</v>
      </c>
      <c r="E235" s="122">
        <v>1.4861111111111109</v>
      </c>
      <c r="F235" s="120" t="s">
        <v>50</v>
      </c>
      <c r="G235" s="123">
        <v>9</v>
      </c>
      <c r="H235" s="120" t="s">
        <v>395</v>
      </c>
    </row>
    <row r="236" spans="1:8" ht="18" x14ac:dyDescent="0.3">
      <c r="A236" s="104">
        <v>45989</v>
      </c>
      <c r="B236" s="105" t="s">
        <v>48</v>
      </c>
      <c r="C236" s="106" t="s">
        <v>286</v>
      </c>
      <c r="D236" s="105" t="s">
        <v>267</v>
      </c>
      <c r="E236" s="107">
        <v>1.4861111111111109</v>
      </c>
      <c r="F236" s="105" t="s">
        <v>53</v>
      </c>
      <c r="G236" s="108">
        <v>9</v>
      </c>
      <c r="H236" s="105" t="s">
        <v>396</v>
      </c>
    </row>
    <row r="237" spans="1:8" ht="18" x14ac:dyDescent="0.3">
      <c r="A237" s="104">
        <v>45989</v>
      </c>
      <c r="B237" s="105" t="s">
        <v>48</v>
      </c>
      <c r="C237" s="106" t="s">
        <v>286</v>
      </c>
      <c r="D237" s="105" t="s">
        <v>267</v>
      </c>
      <c r="E237" s="107">
        <v>1.4861111111111109</v>
      </c>
      <c r="F237" s="105" t="s">
        <v>56</v>
      </c>
      <c r="G237" s="108">
        <v>9</v>
      </c>
      <c r="H237" s="105" t="s">
        <v>397</v>
      </c>
    </row>
    <row r="238" spans="1:8" ht="18" x14ac:dyDescent="0.3">
      <c r="A238" s="119">
        <v>45989</v>
      </c>
      <c r="B238" s="120" t="s">
        <v>48</v>
      </c>
      <c r="C238" s="121" t="s">
        <v>289</v>
      </c>
      <c r="D238" s="120" t="s">
        <v>267</v>
      </c>
      <c r="E238" s="122">
        <v>1.8888888888888891</v>
      </c>
      <c r="F238" s="120" t="s">
        <v>50</v>
      </c>
      <c r="G238" s="123">
        <v>9</v>
      </c>
      <c r="H238" s="120" t="s">
        <v>395</v>
      </c>
    </row>
    <row r="239" spans="1:8" ht="18" x14ac:dyDescent="0.3">
      <c r="A239" s="104">
        <v>45989</v>
      </c>
      <c r="B239" s="105" t="s">
        <v>48</v>
      </c>
      <c r="C239" s="106" t="s">
        <v>289</v>
      </c>
      <c r="D239" s="105" t="s">
        <v>267</v>
      </c>
      <c r="E239" s="107">
        <v>1.8888888888888891</v>
      </c>
      <c r="F239" s="105" t="s">
        <v>53</v>
      </c>
      <c r="G239" s="108">
        <v>9</v>
      </c>
      <c r="H239" s="105" t="s">
        <v>396</v>
      </c>
    </row>
    <row r="240" spans="1:8" ht="18" x14ac:dyDescent="0.3">
      <c r="A240" s="104">
        <v>45989</v>
      </c>
      <c r="B240" s="105" t="s">
        <v>48</v>
      </c>
      <c r="C240" s="106" t="s">
        <v>289</v>
      </c>
      <c r="D240" s="105" t="s">
        <v>267</v>
      </c>
      <c r="E240" s="107">
        <v>1.8888888888888891</v>
      </c>
      <c r="F240" s="105" t="s">
        <v>56</v>
      </c>
      <c r="G240" s="108">
        <v>9</v>
      </c>
      <c r="H240" s="105" t="s">
        <v>397</v>
      </c>
    </row>
    <row r="241" spans="1:8" ht="18" x14ac:dyDescent="0.3">
      <c r="A241" s="118">
        <v>45989</v>
      </c>
      <c r="B241" s="99" t="s">
        <v>295</v>
      </c>
      <c r="C241" s="100" t="s">
        <v>296</v>
      </c>
      <c r="D241" s="99" t="s">
        <v>267</v>
      </c>
      <c r="E241" s="101">
        <v>1.493055555555556</v>
      </c>
      <c r="F241" s="99" t="s">
        <v>37</v>
      </c>
      <c r="G241" s="102">
        <v>7</v>
      </c>
      <c r="H241" s="99" t="s">
        <v>52</v>
      </c>
    </row>
    <row r="242" spans="1:8" ht="18" x14ac:dyDescent="0.3">
      <c r="A242" s="118">
        <v>45989</v>
      </c>
      <c r="B242" s="99" t="s">
        <v>58</v>
      </c>
      <c r="C242" s="100" t="s">
        <v>347</v>
      </c>
      <c r="D242" s="99" t="s">
        <v>267</v>
      </c>
      <c r="E242" s="101">
        <v>1.118055555555556</v>
      </c>
      <c r="F242" s="99" t="s">
        <v>63</v>
      </c>
      <c r="G242" s="102">
        <v>9</v>
      </c>
      <c r="H242" s="99" t="s">
        <v>345</v>
      </c>
    </row>
    <row r="243" spans="1:8" ht="18" x14ac:dyDescent="0.3">
      <c r="A243" s="119">
        <v>45989</v>
      </c>
      <c r="B243" s="120" t="s">
        <v>58</v>
      </c>
      <c r="C243" s="121" t="s">
        <v>311</v>
      </c>
      <c r="D243" s="120" t="s">
        <v>267</v>
      </c>
      <c r="E243" s="122">
        <v>1.041666666666667</v>
      </c>
      <c r="F243" s="120" t="s">
        <v>63</v>
      </c>
      <c r="G243" s="123">
        <v>9</v>
      </c>
      <c r="H243" s="120" t="s">
        <v>345</v>
      </c>
    </row>
    <row r="244" spans="1:8" ht="18" x14ac:dyDescent="0.3">
      <c r="A244" s="119">
        <v>45989</v>
      </c>
      <c r="B244" s="120" t="s">
        <v>58</v>
      </c>
      <c r="C244" s="121" t="s">
        <v>308</v>
      </c>
      <c r="D244" s="120" t="s">
        <v>267</v>
      </c>
      <c r="E244" s="122">
        <v>1.489583333333333</v>
      </c>
      <c r="F244" s="120" t="s">
        <v>63</v>
      </c>
      <c r="G244" s="123">
        <v>9</v>
      </c>
      <c r="H244" s="120" t="s">
        <v>309</v>
      </c>
    </row>
    <row r="245" spans="1:8" ht="18" x14ac:dyDescent="0.3">
      <c r="A245" s="119">
        <v>45989</v>
      </c>
      <c r="B245" s="120" t="s">
        <v>58</v>
      </c>
      <c r="C245" s="121" t="s">
        <v>346</v>
      </c>
      <c r="D245" s="120" t="s">
        <v>267</v>
      </c>
      <c r="E245" s="122">
        <v>1.8298611111111109</v>
      </c>
      <c r="F245" s="120" t="s">
        <v>63</v>
      </c>
      <c r="G245" s="123">
        <v>9</v>
      </c>
      <c r="H245" s="120" t="s">
        <v>309</v>
      </c>
    </row>
    <row r="246" spans="1:8" ht="18" x14ac:dyDescent="0.3">
      <c r="A246" s="119">
        <v>45989</v>
      </c>
      <c r="B246" s="120" t="s">
        <v>58</v>
      </c>
      <c r="C246" s="121" t="s">
        <v>313</v>
      </c>
      <c r="D246" s="120" t="s">
        <v>267</v>
      </c>
      <c r="E246" s="122">
        <v>1.7222222222222221</v>
      </c>
      <c r="F246" s="120" t="s">
        <v>63</v>
      </c>
      <c r="G246" s="123">
        <v>9</v>
      </c>
      <c r="H246" s="120" t="s">
        <v>309</v>
      </c>
    </row>
    <row r="247" spans="1:8" ht="18" x14ac:dyDescent="0.3">
      <c r="A247" s="119">
        <v>45989</v>
      </c>
      <c r="B247" s="120" t="s">
        <v>58</v>
      </c>
      <c r="C247" s="121" t="s">
        <v>315</v>
      </c>
      <c r="D247" s="120" t="s">
        <v>267</v>
      </c>
      <c r="E247" s="122">
        <v>1.7013888888888891</v>
      </c>
      <c r="F247" s="120" t="s">
        <v>63</v>
      </c>
      <c r="G247" s="123">
        <v>9</v>
      </c>
      <c r="H247" s="120" t="s">
        <v>309</v>
      </c>
    </row>
    <row r="248" spans="1:8" ht="18" x14ac:dyDescent="0.3">
      <c r="A248" s="119">
        <v>45989</v>
      </c>
      <c r="B248" s="120" t="s">
        <v>58</v>
      </c>
      <c r="C248" s="121" t="s">
        <v>310</v>
      </c>
      <c r="D248" s="120" t="s">
        <v>267</v>
      </c>
      <c r="E248" s="122">
        <v>1.2534722222222221</v>
      </c>
      <c r="F248" s="120" t="s">
        <v>63</v>
      </c>
      <c r="G248" s="123">
        <v>9</v>
      </c>
      <c r="H248" s="120" t="s">
        <v>309</v>
      </c>
    </row>
    <row r="249" spans="1:8" ht="18" x14ac:dyDescent="0.3">
      <c r="A249" s="119">
        <v>45989</v>
      </c>
      <c r="B249" s="120" t="s">
        <v>58</v>
      </c>
      <c r="C249" s="121" t="s">
        <v>312</v>
      </c>
      <c r="D249" s="120" t="s">
        <v>267</v>
      </c>
      <c r="E249" s="122">
        <v>1.9409722222222221</v>
      </c>
      <c r="F249" s="120" t="s">
        <v>63</v>
      </c>
      <c r="G249" s="123">
        <v>9</v>
      </c>
      <c r="H249" s="120" t="s">
        <v>309</v>
      </c>
    </row>
    <row r="250" spans="1:8" ht="18" x14ac:dyDescent="0.3">
      <c r="A250" s="119">
        <v>45989</v>
      </c>
      <c r="B250" s="120" t="s">
        <v>58</v>
      </c>
      <c r="C250" s="121" t="s">
        <v>305</v>
      </c>
      <c r="D250" s="120" t="s">
        <v>267</v>
      </c>
      <c r="E250" s="122">
        <v>1.399305555555556</v>
      </c>
      <c r="F250" s="120" t="s">
        <v>63</v>
      </c>
      <c r="G250" s="123">
        <v>4</v>
      </c>
      <c r="H250" s="120" t="s">
        <v>349</v>
      </c>
    </row>
    <row r="251" spans="1:8" ht="18" x14ac:dyDescent="0.3">
      <c r="A251" s="119">
        <v>45989</v>
      </c>
      <c r="B251" s="120" t="s">
        <v>58</v>
      </c>
      <c r="C251" s="121" t="s">
        <v>303</v>
      </c>
      <c r="D251" s="120" t="s">
        <v>267</v>
      </c>
      <c r="E251" s="122">
        <v>1.989583333333333</v>
      </c>
      <c r="F251" s="120" t="s">
        <v>63</v>
      </c>
      <c r="G251" s="123">
        <v>4</v>
      </c>
      <c r="H251" s="120" t="s">
        <v>398</v>
      </c>
    </row>
    <row r="252" spans="1:8" ht="18" x14ac:dyDescent="0.3">
      <c r="A252" s="119">
        <v>45989</v>
      </c>
      <c r="B252" s="120" t="s">
        <v>58</v>
      </c>
      <c r="C252" s="121" t="s">
        <v>306</v>
      </c>
      <c r="D252" s="120" t="s">
        <v>267</v>
      </c>
      <c r="E252" s="122">
        <v>1.489583333333333</v>
      </c>
      <c r="F252" s="120" t="s">
        <v>63</v>
      </c>
      <c r="G252" s="123">
        <v>4</v>
      </c>
      <c r="H252" s="120" t="s">
        <v>398</v>
      </c>
    </row>
    <row r="253" spans="1:8" ht="18" x14ac:dyDescent="0.3">
      <c r="A253" s="124">
        <v>45989</v>
      </c>
      <c r="B253" s="125" t="s">
        <v>58</v>
      </c>
      <c r="C253" s="126" t="s">
        <v>307</v>
      </c>
      <c r="D253" s="125" t="s">
        <v>267</v>
      </c>
      <c r="E253" s="127">
        <v>1.8888888888888891</v>
      </c>
      <c r="F253" s="125" t="s">
        <v>63</v>
      </c>
      <c r="G253" s="128">
        <v>4</v>
      </c>
      <c r="H253" s="125" t="s">
        <v>398</v>
      </c>
    </row>
    <row r="254" spans="1:8" ht="18" x14ac:dyDescent="0.3">
      <c r="A254" s="98">
        <v>45990</v>
      </c>
      <c r="B254" s="99" t="s">
        <v>75</v>
      </c>
      <c r="C254" s="100" t="s">
        <v>318</v>
      </c>
      <c r="D254" s="99" t="s">
        <v>267</v>
      </c>
      <c r="E254" s="101">
        <v>1.3125</v>
      </c>
      <c r="F254" s="99" t="s">
        <v>60</v>
      </c>
      <c r="G254" s="102">
        <v>9</v>
      </c>
      <c r="H254" s="103" t="s">
        <v>338</v>
      </c>
    </row>
    <row r="255" spans="1:8" ht="18" x14ac:dyDescent="0.3">
      <c r="A255" s="119">
        <v>45990</v>
      </c>
      <c r="B255" s="120" t="s">
        <v>75</v>
      </c>
      <c r="C255" s="121" t="s">
        <v>319</v>
      </c>
      <c r="D255" s="120" t="s">
        <v>267</v>
      </c>
      <c r="E255" s="122">
        <v>1.9722222222222221</v>
      </c>
      <c r="F255" s="120" t="s">
        <v>60</v>
      </c>
      <c r="G255" s="123">
        <v>9</v>
      </c>
      <c r="H255" s="120" t="s">
        <v>338</v>
      </c>
    </row>
    <row r="256" spans="1:8" ht="18" x14ac:dyDescent="0.3">
      <c r="A256" s="119">
        <v>45990</v>
      </c>
      <c r="B256" s="120" t="s">
        <v>75</v>
      </c>
      <c r="C256" s="121" t="s">
        <v>321</v>
      </c>
      <c r="D256" s="120" t="s">
        <v>267</v>
      </c>
      <c r="E256" s="122">
        <v>1.7847222222222221</v>
      </c>
      <c r="F256" s="120" t="s">
        <v>60</v>
      </c>
      <c r="G256" s="123">
        <v>4</v>
      </c>
      <c r="H256" s="120" t="s">
        <v>338</v>
      </c>
    </row>
    <row r="257" spans="1:8" ht="18" x14ac:dyDescent="0.3">
      <c r="A257" s="119">
        <v>45990</v>
      </c>
      <c r="B257" s="120" t="s">
        <v>75</v>
      </c>
      <c r="C257" s="121" t="s">
        <v>316</v>
      </c>
      <c r="D257" s="120" t="s">
        <v>267</v>
      </c>
      <c r="E257" s="122">
        <v>1.836805555555556</v>
      </c>
      <c r="F257" s="120" t="s">
        <v>60</v>
      </c>
      <c r="G257" s="123">
        <v>9</v>
      </c>
      <c r="H257" s="120" t="s">
        <v>386</v>
      </c>
    </row>
    <row r="258" spans="1:8" ht="18" x14ac:dyDescent="0.3">
      <c r="A258" s="119">
        <v>45990</v>
      </c>
      <c r="B258" s="120" t="s">
        <v>75</v>
      </c>
      <c r="C258" s="121" t="s">
        <v>399</v>
      </c>
      <c r="D258" s="120" t="s">
        <v>267</v>
      </c>
      <c r="E258" s="122">
        <v>1.3402777777777779</v>
      </c>
      <c r="F258" s="120" t="s">
        <v>60</v>
      </c>
      <c r="G258" s="123">
        <v>3</v>
      </c>
      <c r="H258" s="120" t="s">
        <v>317</v>
      </c>
    </row>
    <row r="259" spans="1:8" ht="18" x14ac:dyDescent="0.3">
      <c r="A259" s="119">
        <v>45990</v>
      </c>
      <c r="B259" s="120" t="s">
        <v>75</v>
      </c>
      <c r="C259" s="121" t="s">
        <v>322</v>
      </c>
      <c r="D259" s="120" t="s">
        <v>267</v>
      </c>
      <c r="E259" s="122">
        <v>1.600694444444444</v>
      </c>
      <c r="F259" s="120" t="s">
        <v>60</v>
      </c>
      <c r="G259" s="123">
        <v>4</v>
      </c>
      <c r="H259" s="120" t="s">
        <v>317</v>
      </c>
    </row>
    <row r="260" spans="1:8" ht="18" x14ac:dyDescent="0.3">
      <c r="A260" s="118">
        <v>45990</v>
      </c>
      <c r="B260" s="99" t="s">
        <v>25</v>
      </c>
      <c r="C260" s="100" t="s">
        <v>268</v>
      </c>
      <c r="D260" s="99" t="s">
        <v>267</v>
      </c>
      <c r="E260" s="101">
        <v>1.399305555555556</v>
      </c>
      <c r="F260" s="99" t="s">
        <v>27</v>
      </c>
      <c r="G260" s="102">
        <v>8</v>
      </c>
      <c r="H260" s="99" t="s">
        <v>275</v>
      </c>
    </row>
    <row r="261" spans="1:8" ht="18" x14ac:dyDescent="0.3">
      <c r="A261" s="104">
        <v>45990</v>
      </c>
      <c r="B261" s="105" t="s">
        <v>25</v>
      </c>
      <c r="C261" s="106" t="s">
        <v>268</v>
      </c>
      <c r="D261" s="105" t="s">
        <v>267</v>
      </c>
      <c r="E261" s="107">
        <v>1.399305555555556</v>
      </c>
      <c r="F261" s="105" t="s">
        <v>33</v>
      </c>
      <c r="G261" s="108">
        <v>8</v>
      </c>
      <c r="H261" s="105" t="s">
        <v>337</v>
      </c>
    </row>
    <row r="262" spans="1:8" ht="18" x14ac:dyDescent="0.3">
      <c r="A262" s="104">
        <v>45990</v>
      </c>
      <c r="B262" s="105" t="s">
        <v>25</v>
      </c>
      <c r="C262" s="106" t="s">
        <v>268</v>
      </c>
      <c r="D262" s="105" t="s">
        <v>267</v>
      </c>
      <c r="E262" s="107">
        <v>1.399305555555556</v>
      </c>
      <c r="F262" s="105" t="s">
        <v>30</v>
      </c>
      <c r="G262" s="108">
        <v>8</v>
      </c>
      <c r="H262" s="105" t="s">
        <v>336</v>
      </c>
    </row>
    <row r="263" spans="1:8" ht="18" x14ac:dyDescent="0.3">
      <c r="A263" s="119">
        <v>45990</v>
      </c>
      <c r="B263" s="120" t="s">
        <v>25</v>
      </c>
      <c r="C263" s="121" t="s">
        <v>277</v>
      </c>
      <c r="D263" s="120" t="s">
        <v>267</v>
      </c>
      <c r="E263" s="122">
        <v>1.989583333333333</v>
      </c>
      <c r="F263" s="120" t="s">
        <v>27</v>
      </c>
      <c r="G263" s="123">
        <v>6</v>
      </c>
      <c r="H263" s="120" t="s">
        <v>112</v>
      </c>
    </row>
    <row r="264" spans="1:8" ht="18" x14ac:dyDescent="0.3">
      <c r="A264" s="104">
        <v>45990</v>
      </c>
      <c r="B264" s="105" t="s">
        <v>25</v>
      </c>
      <c r="C264" s="106" t="s">
        <v>277</v>
      </c>
      <c r="D264" s="105" t="s">
        <v>267</v>
      </c>
      <c r="E264" s="107">
        <v>1.989583333333333</v>
      </c>
      <c r="F264" s="105" t="s">
        <v>33</v>
      </c>
      <c r="G264" s="108">
        <v>6</v>
      </c>
      <c r="H264" s="105" t="s">
        <v>94</v>
      </c>
    </row>
    <row r="265" spans="1:8" ht="18" x14ac:dyDescent="0.3">
      <c r="A265" s="104">
        <v>45990</v>
      </c>
      <c r="B265" s="105" t="s">
        <v>25</v>
      </c>
      <c r="C265" s="106" t="s">
        <v>277</v>
      </c>
      <c r="D265" s="105" t="s">
        <v>267</v>
      </c>
      <c r="E265" s="107">
        <v>1.989583333333333</v>
      </c>
      <c r="F265" s="105" t="s">
        <v>30</v>
      </c>
      <c r="G265" s="108">
        <v>6</v>
      </c>
      <c r="H265" s="105" t="s">
        <v>400</v>
      </c>
    </row>
    <row r="266" spans="1:8" ht="18" x14ac:dyDescent="0.3">
      <c r="A266" s="119">
        <v>45990</v>
      </c>
      <c r="B266" s="120" t="s">
        <v>25</v>
      </c>
      <c r="C266" s="121" t="s">
        <v>271</v>
      </c>
      <c r="D266" s="120" t="s">
        <v>267</v>
      </c>
      <c r="E266" s="122">
        <v>1.489583333333333</v>
      </c>
      <c r="F266" s="120" t="s">
        <v>27</v>
      </c>
      <c r="G266" s="123">
        <v>19</v>
      </c>
      <c r="H266" s="120" t="s">
        <v>396</v>
      </c>
    </row>
    <row r="267" spans="1:8" ht="18" x14ac:dyDescent="0.3">
      <c r="A267" s="104">
        <v>45990</v>
      </c>
      <c r="B267" s="105" t="s">
        <v>25</v>
      </c>
      <c r="C267" s="106" t="s">
        <v>271</v>
      </c>
      <c r="D267" s="105" t="s">
        <v>267</v>
      </c>
      <c r="E267" s="107">
        <v>1.489583333333333</v>
      </c>
      <c r="F267" s="105" t="s">
        <v>33</v>
      </c>
      <c r="G267" s="108">
        <v>19</v>
      </c>
      <c r="H267" s="105" t="s">
        <v>403</v>
      </c>
    </row>
    <row r="268" spans="1:8" ht="18" x14ac:dyDescent="0.3">
      <c r="A268" s="104">
        <v>45990</v>
      </c>
      <c r="B268" s="105" t="s">
        <v>25</v>
      </c>
      <c r="C268" s="106" t="s">
        <v>271</v>
      </c>
      <c r="D268" s="105" t="s">
        <v>267</v>
      </c>
      <c r="E268" s="107">
        <v>1.489583333333333</v>
      </c>
      <c r="F268" s="105" t="s">
        <v>30</v>
      </c>
      <c r="G268" s="108">
        <v>19</v>
      </c>
      <c r="H268" s="105" t="s">
        <v>400</v>
      </c>
    </row>
    <row r="269" spans="1:8" ht="18" x14ac:dyDescent="0.3">
      <c r="A269" s="119">
        <v>45990</v>
      </c>
      <c r="B269" s="120" t="s">
        <v>25</v>
      </c>
      <c r="C269" s="121" t="s">
        <v>276</v>
      </c>
      <c r="D269" s="120" t="s">
        <v>267</v>
      </c>
      <c r="E269" s="122">
        <v>1.8888888888888891</v>
      </c>
      <c r="F269" s="120" t="s">
        <v>27</v>
      </c>
      <c r="G269" s="123">
        <v>10</v>
      </c>
      <c r="H269" s="120" t="s">
        <v>396</v>
      </c>
    </row>
    <row r="270" spans="1:8" ht="18" x14ac:dyDescent="0.3">
      <c r="A270" s="104">
        <v>45990</v>
      </c>
      <c r="B270" s="105" t="s">
        <v>25</v>
      </c>
      <c r="C270" s="106" t="s">
        <v>276</v>
      </c>
      <c r="D270" s="105" t="s">
        <v>267</v>
      </c>
      <c r="E270" s="107">
        <v>1.8888888888888891</v>
      </c>
      <c r="F270" s="105" t="s">
        <v>33</v>
      </c>
      <c r="G270" s="108">
        <v>10</v>
      </c>
      <c r="H270" s="105" t="s">
        <v>403</v>
      </c>
    </row>
    <row r="271" spans="1:8" ht="18" x14ac:dyDescent="0.3">
      <c r="A271" s="104">
        <v>45990</v>
      </c>
      <c r="B271" s="105" t="s">
        <v>25</v>
      </c>
      <c r="C271" s="106" t="s">
        <v>276</v>
      </c>
      <c r="D271" s="105" t="s">
        <v>267</v>
      </c>
      <c r="E271" s="107">
        <v>1.8888888888888891</v>
      </c>
      <c r="F271" s="105" t="s">
        <v>30</v>
      </c>
      <c r="G271" s="108">
        <v>10</v>
      </c>
      <c r="H271" s="105" t="s">
        <v>400</v>
      </c>
    </row>
    <row r="272" spans="1:8" ht="18" x14ac:dyDescent="0.3">
      <c r="A272" s="118">
        <v>45990</v>
      </c>
      <c r="B272" s="99" t="s">
        <v>48</v>
      </c>
      <c r="C272" s="100" t="s">
        <v>279</v>
      </c>
      <c r="D272" s="99" t="s">
        <v>267</v>
      </c>
      <c r="E272" s="101">
        <v>1.3472222222222221</v>
      </c>
      <c r="F272" s="99" t="s">
        <v>50</v>
      </c>
      <c r="G272" s="102">
        <v>1</v>
      </c>
      <c r="H272" s="99" t="s">
        <v>275</v>
      </c>
    </row>
    <row r="273" spans="1:8" ht="18" x14ac:dyDescent="0.3">
      <c r="A273" s="104">
        <v>45990</v>
      </c>
      <c r="B273" s="105" t="s">
        <v>48</v>
      </c>
      <c r="C273" s="106" t="s">
        <v>279</v>
      </c>
      <c r="D273" s="105" t="s">
        <v>267</v>
      </c>
      <c r="E273" s="107">
        <v>1.3472222222222221</v>
      </c>
      <c r="F273" s="105" t="s">
        <v>53</v>
      </c>
      <c r="G273" s="108">
        <v>1</v>
      </c>
      <c r="H273" s="105" t="s">
        <v>112</v>
      </c>
    </row>
    <row r="274" spans="1:8" ht="18" x14ac:dyDescent="0.3">
      <c r="A274" s="104">
        <v>45990</v>
      </c>
      <c r="B274" s="105" t="s">
        <v>48</v>
      </c>
      <c r="C274" s="106" t="s">
        <v>279</v>
      </c>
      <c r="D274" s="105" t="s">
        <v>267</v>
      </c>
      <c r="E274" s="107">
        <v>1.3472222222222221</v>
      </c>
      <c r="F274" s="105" t="s">
        <v>56</v>
      </c>
      <c r="G274" s="108">
        <v>1</v>
      </c>
      <c r="H274" s="105" t="s">
        <v>394</v>
      </c>
    </row>
    <row r="275" spans="1:8" ht="18" x14ac:dyDescent="0.3">
      <c r="A275" s="119">
        <v>45990</v>
      </c>
      <c r="B275" s="120" t="s">
        <v>48</v>
      </c>
      <c r="C275" s="121" t="s">
        <v>278</v>
      </c>
      <c r="D275" s="120" t="s">
        <v>267</v>
      </c>
      <c r="E275" s="122">
        <v>1.993055555555556</v>
      </c>
      <c r="F275" s="120" t="s">
        <v>50</v>
      </c>
      <c r="G275" s="123">
        <v>6</v>
      </c>
      <c r="H275" s="120" t="s">
        <v>395</v>
      </c>
    </row>
    <row r="276" spans="1:8" ht="18" x14ac:dyDescent="0.3">
      <c r="A276" s="104">
        <v>45990</v>
      </c>
      <c r="B276" s="105" t="s">
        <v>48</v>
      </c>
      <c r="C276" s="106" t="s">
        <v>278</v>
      </c>
      <c r="D276" s="105" t="s">
        <v>267</v>
      </c>
      <c r="E276" s="107">
        <v>1.993055555555556</v>
      </c>
      <c r="F276" s="105" t="s">
        <v>53</v>
      </c>
      <c r="G276" s="108">
        <v>6</v>
      </c>
      <c r="H276" s="105" t="s">
        <v>396</v>
      </c>
    </row>
    <row r="277" spans="1:8" ht="18" x14ac:dyDescent="0.3">
      <c r="A277" s="104">
        <v>45990</v>
      </c>
      <c r="B277" s="105" t="s">
        <v>48</v>
      </c>
      <c r="C277" s="106" t="s">
        <v>278</v>
      </c>
      <c r="D277" s="105" t="s">
        <v>267</v>
      </c>
      <c r="E277" s="107">
        <v>1.993055555555556</v>
      </c>
      <c r="F277" s="105" t="s">
        <v>56</v>
      </c>
      <c r="G277" s="108">
        <v>6</v>
      </c>
      <c r="H277" s="105" t="s">
        <v>397</v>
      </c>
    </row>
    <row r="278" spans="1:8" ht="18" x14ac:dyDescent="0.3">
      <c r="A278" s="119">
        <v>45990</v>
      </c>
      <c r="B278" s="120" t="s">
        <v>48</v>
      </c>
      <c r="C278" s="121" t="s">
        <v>283</v>
      </c>
      <c r="D278" s="120" t="s">
        <v>267</v>
      </c>
      <c r="E278" s="122">
        <v>1.836805555555556</v>
      </c>
      <c r="F278" s="120" t="s">
        <v>50</v>
      </c>
      <c r="G278" s="123">
        <v>8</v>
      </c>
      <c r="H278" s="120" t="s">
        <v>395</v>
      </c>
    </row>
    <row r="279" spans="1:8" ht="18" x14ac:dyDescent="0.3">
      <c r="A279" s="104">
        <v>45990</v>
      </c>
      <c r="B279" s="105" t="s">
        <v>48</v>
      </c>
      <c r="C279" s="106" t="s">
        <v>283</v>
      </c>
      <c r="D279" s="105" t="s">
        <v>267</v>
      </c>
      <c r="E279" s="107">
        <v>1.836805555555556</v>
      </c>
      <c r="F279" s="105" t="s">
        <v>53</v>
      </c>
      <c r="G279" s="108">
        <v>8</v>
      </c>
      <c r="H279" s="105" t="s">
        <v>396</v>
      </c>
    </row>
    <row r="280" spans="1:8" ht="18" x14ac:dyDescent="0.3">
      <c r="A280" s="104">
        <v>45990</v>
      </c>
      <c r="B280" s="105" t="s">
        <v>48</v>
      </c>
      <c r="C280" s="106" t="s">
        <v>283</v>
      </c>
      <c r="D280" s="105" t="s">
        <v>267</v>
      </c>
      <c r="E280" s="107">
        <v>1.836805555555556</v>
      </c>
      <c r="F280" s="105" t="s">
        <v>56</v>
      </c>
      <c r="G280" s="108">
        <v>8</v>
      </c>
      <c r="H280" s="105" t="s">
        <v>397</v>
      </c>
    </row>
    <row r="281" spans="1:8" ht="18" x14ac:dyDescent="0.3">
      <c r="A281" s="119">
        <v>45990</v>
      </c>
      <c r="B281" s="120" t="s">
        <v>48</v>
      </c>
      <c r="C281" s="121" t="s">
        <v>285</v>
      </c>
      <c r="D281" s="120" t="s">
        <v>267</v>
      </c>
      <c r="E281" s="122">
        <v>1.944444444444444</v>
      </c>
      <c r="F281" s="120" t="s">
        <v>50</v>
      </c>
      <c r="G281" s="123">
        <v>9</v>
      </c>
      <c r="H281" s="120" t="s">
        <v>395</v>
      </c>
    </row>
    <row r="282" spans="1:8" ht="18" x14ac:dyDescent="0.3">
      <c r="A282" s="104">
        <v>45990</v>
      </c>
      <c r="B282" s="105" t="s">
        <v>48</v>
      </c>
      <c r="C282" s="106" t="s">
        <v>285</v>
      </c>
      <c r="D282" s="105" t="s">
        <v>267</v>
      </c>
      <c r="E282" s="107">
        <v>1.944444444444444</v>
      </c>
      <c r="F282" s="105" t="s">
        <v>53</v>
      </c>
      <c r="G282" s="108">
        <v>9</v>
      </c>
      <c r="H282" s="105" t="s">
        <v>396</v>
      </c>
    </row>
    <row r="283" spans="1:8" ht="18" x14ac:dyDescent="0.3">
      <c r="A283" s="104">
        <v>45990</v>
      </c>
      <c r="B283" s="105" t="s">
        <v>48</v>
      </c>
      <c r="C283" s="106" t="s">
        <v>285</v>
      </c>
      <c r="D283" s="105" t="s">
        <v>267</v>
      </c>
      <c r="E283" s="107">
        <v>1.944444444444444</v>
      </c>
      <c r="F283" s="105" t="s">
        <v>56</v>
      </c>
      <c r="G283" s="108">
        <v>9</v>
      </c>
      <c r="H283" s="105" t="s">
        <v>397</v>
      </c>
    </row>
    <row r="284" spans="1:8" ht="18" x14ac:dyDescent="0.3">
      <c r="A284" s="119">
        <v>45990</v>
      </c>
      <c r="B284" s="120" t="s">
        <v>48</v>
      </c>
      <c r="C284" s="121" t="s">
        <v>286</v>
      </c>
      <c r="D284" s="120" t="s">
        <v>267</v>
      </c>
      <c r="E284" s="122">
        <v>1.4861111111111109</v>
      </c>
      <c r="F284" s="120" t="s">
        <v>50</v>
      </c>
      <c r="G284" s="123">
        <v>1</v>
      </c>
      <c r="H284" s="120" t="s">
        <v>395</v>
      </c>
    </row>
    <row r="285" spans="1:8" ht="18" x14ac:dyDescent="0.3">
      <c r="A285" s="104">
        <v>45990</v>
      </c>
      <c r="B285" s="105" t="s">
        <v>48</v>
      </c>
      <c r="C285" s="106" t="s">
        <v>286</v>
      </c>
      <c r="D285" s="105" t="s">
        <v>267</v>
      </c>
      <c r="E285" s="107">
        <v>1.4861111111111109</v>
      </c>
      <c r="F285" s="105" t="s">
        <v>53</v>
      </c>
      <c r="G285" s="108">
        <v>1</v>
      </c>
      <c r="H285" s="105" t="s">
        <v>396</v>
      </c>
    </row>
    <row r="286" spans="1:8" ht="18" x14ac:dyDescent="0.3">
      <c r="A286" s="104">
        <v>45990</v>
      </c>
      <c r="B286" s="105" t="s">
        <v>48</v>
      </c>
      <c r="C286" s="106" t="s">
        <v>286</v>
      </c>
      <c r="D286" s="105" t="s">
        <v>267</v>
      </c>
      <c r="E286" s="107">
        <v>1.4861111111111109</v>
      </c>
      <c r="F286" s="105" t="s">
        <v>56</v>
      </c>
      <c r="G286" s="108">
        <v>1</v>
      </c>
      <c r="H286" s="105" t="s">
        <v>397</v>
      </c>
    </row>
    <row r="287" spans="1:8" ht="18" x14ac:dyDescent="0.3">
      <c r="A287" s="119">
        <v>45990</v>
      </c>
      <c r="B287" s="120" t="s">
        <v>48</v>
      </c>
      <c r="C287" s="121" t="s">
        <v>289</v>
      </c>
      <c r="D287" s="120" t="s">
        <v>267</v>
      </c>
      <c r="E287" s="122">
        <v>1.8888888888888891</v>
      </c>
      <c r="F287" s="120" t="s">
        <v>50</v>
      </c>
      <c r="G287" s="123">
        <v>4</v>
      </c>
      <c r="H287" s="120" t="s">
        <v>395</v>
      </c>
    </row>
    <row r="288" spans="1:8" ht="18" x14ac:dyDescent="0.3">
      <c r="A288" s="104">
        <v>45990</v>
      </c>
      <c r="B288" s="105" t="s">
        <v>48</v>
      </c>
      <c r="C288" s="106" t="s">
        <v>289</v>
      </c>
      <c r="D288" s="105" t="s">
        <v>267</v>
      </c>
      <c r="E288" s="107">
        <v>1.8888888888888891</v>
      </c>
      <c r="F288" s="105" t="s">
        <v>53</v>
      </c>
      <c r="G288" s="108">
        <v>4</v>
      </c>
      <c r="H288" s="105" t="s">
        <v>396</v>
      </c>
    </row>
    <row r="289" spans="1:8" ht="18" x14ac:dyDescent="0.3">
      <c r="A289" s="104">
        <v>45990</v>
      </c>
      <c r="B289" s="105" t="s">
        <v>48</v>
      </c>
      <c r="C289" s="106" t="s">
        <v>289</v>
      </c>
      <c r="D289" s="105" t="s">
        <v>267</v>
      </c>
      <c r="E289" s="107">
        <v>1.8888888888888891</v>
      </c>
      <c r="F289" s="105" t="s">
        <v>56</v>
      </c>
      <c r="G289" s="108">
        <v>4</v>
      </c>
      <c r="H289" s="105" t="s">
        <v>397</v>
      </c>
    </row>
    <row r="290" spans="1:8" ht="18" x14ac:dyDescent="0.3">
      <c r="A290" s="119">
        <v>45990</v>
      </c>
      <c r="B290" s="120" t="s">
        <v>48</v>
      </c>
      <c r="C290" s="121" t="s">
        <v>282</v>
      </c>
      <c r="D290" s="120" t="s">
        <v>267</v>
      </c>
      <c r="E290" s="122">
        <v>1.75</v>
      </c>
      <c r="F290" s="120" t="s">
        <v>50</v>
      </c>
      <c r="G290" s="123">
        <v>5</v>
      </c>
      <c r="H290" s="120" t="s">
        <v>403</v>
      </c>
    </row>
    <row r="291" spans="1:8" ht="18" x14ac:dyDescent="0.3">
      <c r="A291" s="104">
        <v>45990</v>
      </c>
      <c r="B291" s="105" t="s">
        <v>48</v>
      </c>
      <c r="C291" s="106" t="s">
        <v>282</v>
      </c>
      <c r="D291" s="105" t="s">
        <v>267</v>
      </c>
      <c r="E291" s="107">
        <v>1.75</v>
      </c>
      <c r="F291" s="105" t="s">
        <v>53</v>
      </c>
      <c r="G291" s="108">
        <v>5</v>
      </c>
      <c r="H291" s="105" t="s">
        <v>101</v>
      </c>
    </row>
    <row r="292" spans="1:8" ht="18" x14ac:dyDescent="0.3">
      <c r="A292" s="104">
        <v>45990</v>
      </c>
      <c r="B292" s="105" t="s">
        <v>48</v>
      </c>
      <c r="C292" s="106" t="s">
        <v>282</v>
      </c>
      <c r="D292" s="105" t="s">
        <v>267</v>
      </c>
      <c r="E292" s="107">
        <v>1.75</v>
      </c>
      <c r="F292" s="105" t="s">
        <v>56</v>
      </c>
      <c r="G292" s="108">
        <v>5</v>
      </c>
      <c r="H292" s="105" t="s">
        <v>404</v>
      </c>
    </row>
    <row r="293" spans="1:8" ht="18" x14ac:dyDescent="0.3">
      <c r="A293" s="118">
        <v>45990</v>
      </c>
      <c r="B293" s="99" t="s">
        <v>290</v>
      </c>
      <c r="C293" s="100" t="s">
        <v>291</v>
      </c>
      <c r="D293" s="99" t="s">
        <v>267</v>
      </c>
      <c r="E293" s="101">
        <v>1.055555555555556</v>
      </c>
      <c r="F293" s="99" t="s">
        <v>292</v>
      </c>
      <c r="G293" s="102">
        <v>9</v>
      </c>
      <c r="H293" s="99" t="s">
        <v>406</v>
      </c>
    </row>
    <row r="294" spans="1:8" ht="18" x14ac:dyDescent="0.3">
      <c r="A294" s="104">
        <v>45990</v>
      </c>
      <c r="B294" s="105" t="s">
        <v>290</v>
      </c>
      <c r="C294" s="106" t="s">
        <v>291</v>
      </c>
      <c r="D294" s="105" t="s">
        <v>267</v>
      </c>
      <c r="E294" s="107">
        <v>1.055555555555556</v>
      </c>
      <c r="F294" s="105" t="s">
        <v>30</v>
      </c>
      <c r="G294" s="108">
        <v>9</v>
      </c>
      <c r="H294" s="105" t="s">
        <v>407</v>
      </c>
    </row>
    <row r="295" spans="1:8" ht="18" x14ac:dyDescent="0.3">
      <c r="A295" s="118">
        <v>45990</v>
      </c>
      <c r="B295" s="99" t="s">
        <v>295</v>
      </c>
      <c r="C295" s="100" t="s">
        <v>296</v>
      </c>
      <c r="D295" s="99" t="s">
        <v>267</v>
      </c>
      <c r="E295" s="101">
        <v>1.493055555555556</v>
      </c>
      <c r="F295" s="99" t="s">
        <v>37</v>
      </c>
      <c r="G295" s="102">
        <v>5</v>
      </c>
      <c r="H295" s="99" t="s">
        <v>52</v>
      </c>
    </row>
    <row r="296" spans="1:8" ht="18" x14ac:dyDescent="0.3">
      <c r="A296" s="119">
        <v>45990</v>
      </c>
      <c r="B296" s="120" t="s">
        <v>295</v>
      </c>
      <c r="C296" s="121" t="s">
        <v>298</v>
      </c>
      <c r="D296" s="120" t="s">
        <v>267</v>
      </c>
      <c r="E296" s="122">
        <v>1.041666666666667</v>
      </c>
      <c r="F296" s="120" t="s">
        <v>37</v>
      </c>
      <c r="G296" s="123">
        <v>9</v>
      </c>
      <c r="H296" s="120" t="s">
        <v>52</v>
      </c>
    </row>
    <row r="297" spans="1:8" ht="18" x14ac:dyDescent="0.3">
      <c r="A297" s="118">
        <v>45990</v>
      </c>
      <c r="B297" s="99" t="s">
        <v>300</v>
      </c>
      <c r="C297" s="100" t="s">
        <v>374</v>
      </c>
      <c r="D297" s="99" t="s">
        <v>267</v>
      </c>
      <c r="E297" s="101">
        <v>1.0972222222222221</v>
      </c>
      <c r="F297" s="99" t="s">
        <v>37</v>
      </c>
      <c r="G297" s="102">
        <v>3</v>
      </c>
      <c r="H297" s="99" t="s">
        <v>408</v>
      </c>
    </row>
    <row r="298" spans="1:8" ht="18" x14ac:dyDescent="0.3">
      <c r="A298" s="109">
        <v>45990</v>
      </c>
      <c r="B298" s="110" t="s">
        <v>35</v>
      </c>
      <c r="C298" s="111" t="s">
        <v>358</v>
      </c>
      <c r="D298" s="110" t="s">
        <v>267</v>
      </c>
      <c r="E298" s="112">
        <v>1.90625</v>
      </c>
      <c r="F298" s="110" t="s">
        <v>37</v>
      </c>
      <c r="G298" s="113">
        <v>1</v>
      </c>
      <c r="H298" s="110" t="s">
        <v>409</v>
      </c>
    </row>
    <row r="299" spans="1:8" ht="18" x14ac:dyDescent="0.3">
      <c r="A299" s="114">
        <v>45990</v>
      </c>
      <c r="B299" s="115" t="s">
        <v>35</v>
      </c>
      <c r="C299" s="116" t="s">
        <v>356</v>
      </c>
      <c r="D299" s="115" t="s">
        <v>267</v>
      </c>
      <c r="E299" s="117">
        <v>1.0486111111111109</v>
      </c>
      <c r="F299" s="115" t="s">
        <v>44</v>
      </c>
      <c r="G299" s="115"/>
      <c r="H299" s="115" t="s">
        <v>45</v>
      </c>
    </row>
    <row r="300" spans="1:8" ht="18" x14ac:dyDescent="0.3">
      <c r="A300" s="114">
        <v>45990</v>
      </c>
      <c r="B300" s="115" t="s">
        <v>35</v>
      </c>
      <c r="C300" s="116" t="s">
        <v>333</v>
      </c>
      <c r="D300" s="115" t="s">
        <v>267</v>
      </c>
      <c r="E300" s="117">
        <v>1.15625</v>
      </c>
      <c r="F300" s="115" t="s">
        <v>44</v>
      </c>
      <c r="G300" s="115"/>
      <c r="H300" s="115" t="s">
        <v>45</v>
      </c>
    </row>
    <row r="301" spans="1:8" ht="18" x14ac:dyDescent="0.3">
      <c r="A301" s="114">
        <v>45990</v>
      </c>
      <c r="B301" s="115" t="s">
        <v>35</v>
      </c>
      <c r="C301" s="116" t="s">
        <v>327</v>
      </c>
      <c r="D301" s="115" t="s">
        <v>267</v>
      </c>
      <c r="E301" s="117">
        <v>1.5034722222222221</v>
      </c>
      <c r="F301" s="115" t="s">
        <v>44</v>
      </c>
      <c r="G301" s="115"/>
      <c r="H301" s="115" t="s">
        <v>45</v>
      </c>
    </row>
    <row r="302" spans="1:8" ht="18" x14ac:dyDescent="0.3">
      <c r="A302" s="118">
        <v>45990</v>
      </c>
      <c r="B302" s="99" t="s">
        <v>58</v>
      </c>
      <c r="C302" s="100" t="s">
        <v>347</v>
      </c>
      <c r="D302" s="99" t="s">
        <v>267</v>
      </c>
      <c r="E302" s="101">
        <v>1.118055555555556</v>
      </c>
      <c r="F302" s="99" t="s">
        <v>63</v>
      </c>
      <c r="G302" s="102">
        <v>9</v>
      </c>
      <c r="H302" s="99" t="s">
        <v>309</v>
      </c>
    </row>
    <row r="303" spans="1:8" ht="18" x14ac:dyDescent="0.3">
      <c r="A303" s="119">
        <v>45990</v>
      </c>
      <c r="B303" s="120" t="s">
        <v>58</v>
      </c>
      <c r="C303" s="121" t="s">
        <v>311</v>
      </c>
      <c r="D303" s="120" t="s">
        <v>267</v>
      </c>
      <c r="E303" s="122">
        <v>1.041666666666667</v>
      </c>
      <c r="F303" s="120" t="s">
        <v>63</v>
      </c>
      <c r="G303" s="123">
        <v>9</v>
      </c>
      <c r="H303" s="120" t="s">
        <v>309</v>
      </c>
    </row>
    <row r="304" spans="1:8" ht="18" x14ac:dyDescent="0.3">
      <c r="A304" s="119">
        <v>45990</v>
      </c>
      <c r="B304" s="120" t="s">
        <v>58</v>
      </c>
      <c r="C304" s="121" t="s">
        <v>305</v>
      </c>
      <c r="D304" s="120" t="s">
        <v>267</v>
      </c>
      <c r="E304" s="122">
        <v>1.399305555555556</v>
      </c>
      <c r="F304" s="120" t="s">
        <v>63</v>
      </c>
      <c r="G304" s="123">
        <v>4</v>
      </c>
      <c r="H304" s="120" t="s">
        <v>349</v>
      </c>
    </row>
    <row r="305" spans="1:8" ht="18" x14ac:dyDescent="0.3">
      <c r="A305" s="119">
        <v>45990</v>
      </c>
      <c r="B305" s="120" t="s">
        <v>58</v>
      </c>
      <c r="C305" s="121" t="s">
        <v>315</v>
      </c>
      <c r="D305" s="120" t="s">
        <v>267</v>
      </c>
      <c r="E305" s="122">
        <v>1.7048611111111109</v>
      </c>
      <c r="F305" s="120" t="s">
        <v>63</v>
      </c>
      <c r="G305" s="123">
        <v>3</v>
      </c>
      <c r="H305" s="120" t="s">
        <v>314</v>
      </c>
    </row>
    <row r="306" spans="1:8" ht="18" x14ac:dyDescent="0.3">
      <c r="A306" s="119">
        <v>45990</v>
      </c>
      <c r="B306" s="120" t="s">
        <v>58</v>
      </c>
      <c r="C306" s="121" t="s">
        <v>310</v>
      </c>
      <c r="D306" s="120" t="s">
        <v>267</v>
      </c>
      <c r="E306" s="122">
        <v>1.2534722222222221</v>
      </c>
      <c r="F306" s="120" t="s">
        <v>63</v>
      </c>
      <c r="G306" s="123">
        <v>2</v>
      </c>
      <c r="H306" s="120" t="s">
        <v>314</v>
      </c>
    </row>
    <row r="307" spans="1:8" ht="18" x14ac:dyDescent="0.3">
      <c r="A307" s="119">
        <v>45990</v>
      </c>
      <c r="B307" s="120" t="s">
        <v>58</v>
      </c>
      <c r="C307" s="121" t="s">
        <v>312</v>
      </c>
      <c r="D307" s="120" t="s">
        <v>267</v>
      </c>
      <c r="E307" s="122">
        <v>1.9409722222222221</v>
      </c>
      <c r="F307" s="120" t="s">
        <v>63</v>
      </c>
      <c r="G307" s="123">
        <v>9</v>
      </c>
      <c r="H307" s="120" t="s">
        <v>314</v>
      </c>
    </row>
    <row r="308" spans="1:8" ht="18" x14ac:dyDescent="0.3">
      <c r="A308" s="119">
        <v>45990</v>
      </c>
      <c r="B308" s="120" t="s">
        <v>58</v>
      </c>
      <c r="C308" s="121" t="s">
        <v>346</v>
      </c>
      <c r="D308" s="120" t="s">
        <v>267</v>
      </c>
      <c r="E308" s="122">
        <v>1.8298611111111109</v>
      </c>
      <c r="F308" s="120" t="s">
        <v>63</v>
      </c>
      <c r="G308" s="123">
        <v>3</v>
      </c>
      <c r="H308" s="120" t="s">
        <v>415</v>
      </c>
    </row>
    <row r="309" spans="1:8" ht="18" x14ac:dyDescent="0.3">
      <c r="A309" s="119">
        <v>45990</v>
      </c>
      <c r="B309" s="120" t="s">
        <v>58</v>
      </c>
      <c r="C309" s="121" t="s">
        <v>313</v>
      </c>
      <c r="D309" s="120" t="s">
        <v>267</v>
      </c>
      <c r="E309" s="122">
        <v>1.7222222222222221</v>
      </c>
      <c r="F309" s="120" t="s">
        <v>63</v>
      </c>
      <c r="G309" s="123">
        <v>5</v>
      </c>
      <c r="H309" s="120" t="s">
        <v>415</v>
      </c>
    </row>
    <row r="310" spans="1:8" ht="18" x14ac:dyDescent="0.3">
      <c r="A310" s="119">
        <v>45990</v>
      </c>
      <c r="B310" s="120" t="s">
        <v>58</v>
      </c>
      <c r="C310" s="121" t="s">
        <v>303</v>
      </c>
      <c r="D310" s="120" t="s">
        <v>267</v>
      </c>
      <c r="E310" s="122">
        <v>1.989583333333333</v>
      </c>
      <c r="F310" s="120" t="s">
        <v>63</v>
      </c>
      <c r="G310" s="123">
        <v>4</v>
      </c>
      <c r="H310" s="120" t="s">
        <v>398</v>
      </c>
    </row>
    <row r="311" spans="1:8" ht="18" x14ac:dyDescent="0.3">
      <c r="A311" s="119">
        <v>45990</v>
      </c>
      <c r="B311" s="120" t="s">
        <v>58</v>
      </c>
      <c r="C311" s="121" t="s">
        <v>306</v>
      </c>
      <c r="D311" s="120" t="s">
        <v>267</v>
      </c>
      <c r="E311" s="122">
        <v>1.489583333333333</v>
      </c>
      <c r="F311" s="120" t="s">
        <v>63</v>
      </c>
      <c r="G311" s="123">
        <v>4</v>
      </c>
      <c r="H311" s="120" t="s">
        <v>398</v>
      </c>
    </row>
    <row r="312" spans="1:8" ht="18" x14ac:dyDescent="0.3">
      <c r="A312" s="124">
        <v>45990</v>
      </c>
      <c r="B312" s="125" t="s">
        <v>58</v>
      </c>
      <c r="C312" s="126" t="s">
        <v>307</v>
      </c>
      <c r="D312" s="125" t="s">
        <v>267</v>
      </c>
      <c r="E312" s="127">
        <v>1.8888888888888891</v>
      </c>
      <c r="F312" s="125" t="s">
        <v>63</v>
      </c>
      <c r="G312" s="128">
        <v>4</v>
      </c>
      <c r="H312" s="125" t="s">
        <v>398</v>
      </c>
    </row>
    <row r="313" spans="1:8" ht="18" x14ac:dyDescent="0.3">
      <c r="A313" s="98">
        <v>45991</v>
      </c>
      <c r="B313" s="99" t="s">
        <v>25</v>
      </c>
      <c r="C313" s="100" t="s">
        <v>268</v>
      </c>
      <c r="D313" s="99" t="s">
        <v>267</v>
      </c>
      <c r="E313" s="101">
        <v>1.399305555555556</v>
      </c>
      <c r="F313" s="99" t="s">
        <v>335</v>
      </c>
      <c r="G313" s="102">
        <v>6</v>
      </c>
      <c r="H313" s="103" t="s">
        <v>269</v>
      </c>
    </row>
    <row r="314" spans="1:8" ht="18" x14ac:dyDescent="0.3">
      <c r="A314" s="119">
        <v>45991</v>
      </c>
      <c r="B314" s="120" t="s">
        <v>25</v>
      </c>
      <c r="C314" s="121" t="s">
        <v>271</v>
      </c>
      <c r="D314" s="120" t="s">
        <v>267</v>
      </c>
      <c r="E314" s="122">
        <v>1.489583333333333</v>
      </c>
      <c r="F314" s="120" t="s">
        <v>335</v>
      </c>
      <c r="G314" s="123">
        <v>5</v>
      </c>
      <c r="H314" s="120" t="s">
        <v>269</v>
      </c>
    </row>
    <row r="315" spans="1:8" ht="18" x14ac:dyDescent="0.3">
      <c r="A315" s="119">
        <v>45991</v>
      </c>
      <c r="B315" s="120" t="s">
        <v>25</v>
      </c>
      <c r="C315" s="121" t="s">
        <v>277</v>
      </c>
      <c r="D315" s="120" t="s">
        <v>267</v>
      </c>
      <c r="E315" s="122">
        <v>1.989583333333333</v>
      </c>
      <c r="F315" s="120" t="s">
        <v>335</v>
      </c>
      <c r="G315" s="123">
        <v>4</v>
      </c>
      <c r="H315" s="120" t="s">
        <v>269</v>
      </c>
    </row>
    <row r="316" spans="1:8" ht="18" x14ac:dyDescent="0.3">
      <c r="A316" s="119">
        <v>45991</v>
      </c>
      <c r="B316" s="120" t="s">
        <v>25</v>
      </c>
      <c r="C316" s="121" t="s">
        <v>276</v>
      </c>
      <c r="D316" s="120" t="s">
        <v>267</v>
      </c>
      <c r="E316" s="122">
        <v>1.8888888888888891</v>
      </c>
      <c r="F316" s="120" t="s">
        <v>335</v>
      </c>
      <c r="G316" s="123">
        <v>3</v>
      </c>
      <c r="H316" s="120" t="s">
        <v>32</v>
      </c>
    </row>
    <row r="317" spans="1:8" ht="18" x14ac:dyDescent="0.3">
      <c r="A317" s="109">
        <v>45991</v>
      </c>
      <c r="B317" s="110" t="s">
        <v>35</v>
      </c>
      <c r="C317" s="111" t="s">
        <v>362</v>
      </c>
      <c r="D317" s="110" t="s">
        <v>267</v>
      </c>
      <c r="E317" s="112">
        <v>1.15625</v>
      </c>
      <c r="F317" s="110" t="s">
        <v>37</v>
      </c>
      <c r="G317" s="113">
        <v>1</v>
      </c>
      <c r="H317" s="110" t="s">
        <v>29</v>
      </c>
    </row>
    <row r="318" spans="1:8" ht="18" x14ac:dyDescent="0.3">
      <c r="A318" s="114">
        <v>45991</v>
      </c>
      <c r="B318" s="115" t="s">
        <v>35</v>
      </c>
      <c r="C318" s="116" t="s">
        <v>333</v>
      </c>
      <c r="D318" s="115" t="s">
        <v>267</v>
      </c>
      <c r="E318" s="117">
        <v>1.1423611111111109</v>
      </c>
      <c r="F318" s="115" t="s">
        <v>44</v>
      </c>
      <c r="G318" s="115"/>
      <c r="H318" s="115" t="s">
        <v>45</v>
      </c>
    </row>
    <row r="319" spans="1:8" ht="18" x14ac:dyDescent="0.3">
      <c r="A319" s="114">
        <v>45991</v>
      </c>
      <c r="B319" s="115" t="s">
        <v>35</v>
      </c>
      <c r="C319" s="116" t="s">
        <v>329</v>
      </c>
      <c r="D319" s="115" t="s">
        <v>267</v>
      </c>
      <c r="E319" s="117">
        <v>1.333333333333333</v>
      </c>
      <c r="F319" s="115" t="s">
        <v>44</v>
      </c>
      <c r="G319" s="115"/>
      <c r="H319" s="115" t="s">
        <v>45</v>
      </c>
    </row>
    <row r="320" spans="1:8" ht="18" x14ac:dyDescent="0.3">
      <c r="A320" s="114">
        <v>45991</v>
      </c>
      <c r="B320" s="115" t="s">
        <v>35</v>
      </c>
      <c r="C320" s="116" t="s">
        <v>327</v>
      </c>
      <c r="D320" s="115" t="s">
        <v>267</v>
      </c>
      <c r="E320" s="117">
        <v>1.4548611111111109</v>
      </c>
      <c r="F320" s="115" t="s">
        <v>44</v>
      </c>
      <c r="G320" s="115"/>
      <c r="H320" s="115" t="s">
        <v>45</v>
      </c>
    </row>
    <row r="321" spans="1:8" ht="18" x14ac:dyDescent="0.3">
      <c r="A321" s="114">
        <v>45991</v>
      </c>
      <c r="B321" s="115" t="s">
        <v>35</v>
      </c>
      <c r="C321" s="116" t="s">
        <v>325</v>
      </c>
      <c r="D321" s="115" t="s">
        <v>267</v>
      </c>
      <c r="E321" s="117">
        <v>1.8298611111111109</v>
      </c>
      <c r="F321" s="115" t="s">
        <v>44</v>
      </c>
      <c r="G321" s="115"/>
      <c r="H321" s="115" t="s">
        <v>45</v>
      </c>
    </row>
    <row r="322" spans="1:8" ht="18" x14ac:dyDescent="0.3">
      <c r="A322" s="118">
        <v>45991</v>
      </c>
      <c r="B322" s="99" t="s">
        <v>48</v>
      </c>
      <c r="C322" s="100" t="s">
        <v>278</v>
      </c>
      <c r="D322" s="99" t="s">
        <v>267</v>
      </c>
      <c r="E322" s="101">
        <v>1.993055555555556</v>
      </c>
      <c r="F322" s="99" t="s">
        <v>102</v>
      </c>
      <c r="G322" s="102">
        <v>2</v>
      </c>
      <c r="H322" s="99" t="s">
        <v>29</v>
      </c>
    </row>
    <row r="323" spans="1:8" ht="18" x14ac:dyDescent="0.3">
      <c r="A323" s="119">
        <v>45991</v>
      </c>
      <c r="B323" s="120" t="s">
        <v>48</v>
      </c>
      <c r="C323" s="121" t="s">
        <v>288</v>
      </c>
      <c r="D323" s="120" t="s">
        <v>267</v>
      </c>
      <c r="E323" s="122">
        <v>1.3923611111111109</v>
      </c>
      <c r="F323" s="120" t="s">
        <v>102</v>
      </c>
      <c r="G323" s="123">
        <v>2</v>
      </c>
      <c r="H323" s="120" t="s">
        <v>29</v>
      </c>
    </row>
    <row r="324" spans="1:8" ht="18" x14ac:dyDescent="0.3">
      <c r="A324" s="119">
        <v>45991</v>
      </c>
      <c r="B324" s="120" t="s">
        <v>48</v>
      </c>
      <c r="C324" s="121" t="s">
        <v>279</v>
      </c>
      <c r="D324" s="120" t="s">
        <v>267</v>
      </c>
      <c r="E324" s="122">
        <v>1.3472222222222221</v>
      </c>
      <c r="F324" s="120" t="s">
        <v>102</v>
      </c>
      <c r="G324" s="123">
        <v>5</v>
      </c>
      <c r="H324" s="120" t="s">
        <v>32</v>
      </c>
    </row>
    <row r="325" spans="1:8" ht="18" x14ac:dyDescent="0.3">
      <c r="A325" s="119">
        <v>45991</v>
      </c>
      <c r="B325" s="120" t="s">
        <v>48</v>
      </c>
      <c r="C325" s="121" t="s">
        <v>285</v>
      </c>
      <c r="D325" s="120" t="s">
        <v>267</v>
      </c>
      <c r="E325" s="122">
        <v>1.944444444444444</v>
      </c>
      <c r="F325" s="120" t="s">
        <v>102</v>
      </c>
      <c r="G325" s="123">
        <v>6</v>
      </c>
      <c r="H325" s="120" t="s">
        <v>32</v>
      </c>
    </row>
    <row r="326" spans="1:8" ht="18" x14ac:dyDescent="0.3">
      <c r="A326" s="119">
        <v>45991</v>
      </c>
      <c r="B326" s="120" t="s">
        <v>48</v>
      </c>
      <c r="C326" s="121" t="s">
        <v>289</v>
      </c>
      <c r="D326" s="120" t="s">
        <v>267</v>
      </c>
      <c r="E326" s="122">
        <v>1.8888888888888891</v>
      </c>
      <c r="F326" s="120" t="s">
        <v>102</v>
      </c>
      <c r="G326" s="123">
        <v>9</v>
      </c>
      <c r="H326" s="120" t="s">
        <v>32</v>
      </c>
    </row>
    <row r="327" spans="1:8" ht="18" x14ac:dyDescent="0.3">
      <c r="A327" s="119">
        <v>45991</v>
      </c>
      <c r="B327" s="120" t="s">
        <v>48</v>
      </c>
      <c r="C327" s="121" t="s">
        <v>282</v>
      </c>
      <c r="D327" s="120" t="s">
        <v>267</v>
      </c>
      <c r="E327" s="122">
        <v>1.7361111111111109</v>
      </c>
      <c r="F327" s="120" t="s">
        <v>102</v>
      </c>
      <c r="G327" s="123">
        <v>9</v>
      </c>
      <c r="H327" s="120" t="s">
        <v>275</v>
      </c>
    </row>
    <row r="328" spans="1:8" ht="18" x14ac:dyDescent="0.3">
      <c r="A328" s="119">
        <v>45991</v>
      </c>
      <c r="B328" s="120" t="s">
        <v>48</v>
      </c>
      <c r="C328" s="121" t="s">
        <v>283</v>
      </c>
      <c r="D328" s="120" t="s">
        <v>267</v>
      </c>
      <c r="E328" s="122">
        <v>1.836805555555556</v>
      </c>
      <c r="F328" s="120" t="s">
        <v>102</v>
      </c>
      <c r="G328" s="123">
        <v>9</v>
      </c>
      <c r="H328" s="120" t="s">
        <v>275</v>
      </c>
    </row>
    <row r="329" spans="1:8" ht="18" x14ac:dyDescent="0.3">
      <c r="A329" s="119">
        <v>45991</v>
      </c>
      <c r="B329" s="120" t="s">
        <v>48</v>
      </c>
      <c r="C329" s="121" t="s">
        <v>286</v>
      </c>
      <c r="D329" s="120" t="s">
        <v>267</v>
      </c>
      <c r="E329" s="122">
        <v>1.4861111111111109</v>
      </c>
      <c r="F329" s="120" t="s">
        <v>102</v>
      </c>
      <c r="G329" s="123">
        <v>7</v>
      </c>
      <c r="H329" s="120" t="s">
        <v>275</v>
      </c>
    </row>
    <row r="330" spans="1:8" ht="18" x14ac:dyDescent="0.3">
      <c r="A330" s="118">
        <v>45991</v>
      </c>
      <c r="B330" s="99" t="s">
        <v>75</v>
      </c>
      <c r="C330" s="100" t="s">
        <v>320</v>
      </c>
      <c r="D330" s="99" t="s">
        <v>267</v>
      </c>
      <c r="E330" s="101">
        <v>1.104166666666667</v>
      </c>
      <c r="F330" s="99" t="s">
        <v>60</v>
      </c>
      <c r="G330" s="102">
        <v>9</v>
      </c>
      <c r="H330" s="99" t="s">
        <v>338</v>
      </c>
    </row>
    <row r="331" spans="1:8" ht="18" x14ac:dyDescent="0.3">
      <c r="A331" s="119">
        <v>45991</v>
      </c>
      <c r="B331" s="120" t="s">
        <v>75</v>
      </c>
      <c r="C331" s="121" t="s">
        <v>321</v>
      </c>
      <c r="D331" s="120" t="s">
        <v>267</v>
      </c>
      <c r="E331" s="122">
        <v>1.7847222222222221</v>
      </c>
      <c r="F331" s="120" t="s">
        <v>60</v>
      </c>
      <c r="G331" s="123">
        <v>6</v>
      </c>
      <c r="H331" s="120" t="s">
        <v>338</v>
      </c>
    </row>
    <row r="332" spans="1:8" ht="18" x14ac:dyDescent="0.3">
      <c r="A332" s="119">
        <v>45991</v>
      </c>
      <c r="B332" s="120" t="s">
        <v>75</v>
      </c>
      <c r="C332" s="121" t="s">
        <v>322</v>
      </c>
      <c r="D332" s="120" t="s">
        <v>267</v>
      </c>
      <c r="E332" s="122">
        <v>1.600694444444444</v>
      </c>
      <c r="F332" s="120" t="s">
        <v>60</v>
      </c>
      <c r="G332" s="123">
        <v>9</v>
      </c>
      <c r="H332" s="120" t="s">
        <v>338</v>
      </c>
    </row>
    <row r="333" spans="1:8" ht="18" x14ac:dyDescent="0.3">
      <c r="A333" s="119">
        <v>45991</v>
      </c>
      <c r="B333" s="120" t="s">
        <v>75</v>
      </c>
      <c r="C333" s="121" t="s">
        <v>339</v>
      </c>
      <c r="D333" s="120" t="s">
        <v>267</v>
      </c>
      <c r="E333" s="122">
        <v>1.0486111111111109</v>
      </c>
      <c r="F333" s="120" t="s">
        <v>60</v>
      </c>
      <c r="G333" s="123">
        <v>9</v>
      </c>
      <c r="H333" s="120" t="s">
        <v>386</v>
      </c>
    </row>
    <row r="334" spans="1:8" ht="18" x14ac:dyDescent="0.3">
      <c r="A334" s="119">
        <v>45991</v>
      </c>
      <c r="B334" s="120" t="s">
        <v>75</v>
      </c>
      <c r="C334" s="121" t="s">
        <v>318</v>
      </c>
      <c r="D334" s="120" t="s">
        <v>267</v>
      </c>
      <c r="E334" s="122">
        <v>1.3125</v>
      </c>
      <c r="F334" s="120" t="s">
        <v>60</v>
      </c>
      <c r="G334" s="123">
        <v>4</v>
      </c>
      <c r="H334" s="120" t="s">
        <v>317</v>
      </c>
    </row>
    <row r="335" spans="1:8" ht="18" x14ac:dyDescent="0.3">
      <c r="A335" s="119">
        <v>45991</v>
      </c>
      <c r="B335" s="120" t="s">
        <v>75</v>
      </c>
      <c r="C335" s="121" t="s">
        <v>319</v>
      </c>
      <c r="D335" s="120" t="s">
        <v>267</v>
      </c>
      <c r="E335" s="122">
        <v>1.9722222222222221</v>
      </c>
      <c r="F335" s="120" t="s">
        <v>60</v>
      </c>
      <c r="G335" s="123">
        <v>1</v>
      </c>
      <c r="H335" s="120" t="s">
        <v>317</v>
      </c>
    </row>
    <row r="336" spans="1:8" ht="18" x14ac:dyDescent="0.3">
      <c r="A336" s="118">
        <v>45991</v>
      </c>
      <c r="B336" s="99" t="s">
        <v>290</v>
      </c>
      <c r="C336" s="100" t="s">
        <v>341</v>
      </c>
      <c r="D336" s="99" t="s">
        <v>267</v>
      </c>
      <c r="E336" s="101">
        <v>1.229166666666667</v>
      </c>
      <c r="F336" s="99" t="s">
        <v>421</v>
      </c>
      <c r="G336" s="102">
        <v>9</v>
      </c>
      <c r="H336" s="99" t="s">
        <v>422</v>
      </c>
    </row>
    <row r="337" spans="1:8" ht="18" x14ac:dyDescent="0.3">
      <c r="A337" s="118">
        <v>45991</v>
      </c>
      <c r="B337" s="99" t="s">
        <v>295</v>
      </c>
      <c r="C337" s="100" t="s">
        <v>296</v>
      </c>
      <c r="D337" s="99" t="s">
        <v>267</v>
      </c>
      <c r="E337" s="101">
        <v>1.493055555555556</v>
      </c>
      <c r="F337" s="99" t="s">
        <v>37</v>
      </c>
      <c r="G337" s="102">
        <v>9</v>
      </c>
      <c r="H337" s="99" t="s">
        <v>297</v>
      </c>
    </row>
    <row r="338" spans="1:8" ht="18" x14ac:dyDescent="0.3">
      <c r="A338" s="119">
        <v>45991</v>
      </c>
      <c r="B338" s="120" t="s">
        <v>295</v>
      </c>
      <c r="C338" s="121" t="s">
        <v>298</v>
      </c>
      <c r="D338" s="120" t="s">
        <v>267</v>
      </c>
      <c r="E338" s="122">
        <v>1.2048611111111109</v>
      </c>
      <c r="F338" s="120" t="s">
        <v>37</v>
      </c>
      <c r="G338" s="123">
        <v>9</v>
      </c>
      <c r="H338" s="120" t="s">
        <v>297</v>
      </c>
    </row>
    <row r="339" spans="1:8" ht="18" x14ac:dyDescent="0.3">
      <c r="A339" s="118">
        <v>45991</v>
      </c>
      <c r="B339" s="99" t="s">
        <v>300</v>
      </c>
      <c r="C339" s="100" t="s">
        <v>374</v>
      </c>
      <c r="D339" s="99" t="s">
        <v>267</v>
      </c>
      <c r="E339" s="101">
        <v>1.100694444444444</v>
      </c>
      <c r="F339" s="99" t="s">
        <v>37</v>
      </c>
      <c r="G339" s="102">
        <v>5</v>
      </c>
      <c r="H339" s="99" t="s">
        <v>302</v>
      </c>
    </row>
    <row r="340" spans="1:8" ht="18" x14ac:dyDescent="0.3">
      <c r="A340" s="119">
        <v>45991</v>
      </c>
      <c r="B340" s="120" t="s">
        <v>300</v>
      </c>
      <c r="C340" s="121" t="s">
        <v>423</v>
      </c>
      <c r="D340" s="120" t="s">
        <v>267</v>
      </c>
      <c r="E340" s="122">
        <v>1.1736111111111109</v>
      </c>
      <c r="F340" s="120" t="s">
        <v>37</v>
      </c>
      <c r="G340" s="123">
        <v>5</v>
      </c>
      <c r="H340" s="120" t="s">
        <v>424</v>
      </c>
    </row>
    <row r="341" spans="1:8" ht="18" x14ac:dyDescent="0.3">
      <c r="A341" s="118">
        <v>45991</v>
      </c>
      <c r="B341" s="99" t="s">
        <v>58</v>
      </c>
      <c r="C341" s="100" t="s">
        <v>346</v>
      </c>
      <c r="D341" s="99" t="s">
        <v>267</v>
      </c>
      <c r="E341" s="101">
        <v>1.8298611111111109</v>
      </c>
      <c r="F341" s="99" t="s">
        <v>63</v>
      </c>
      <c r="G341" s="102">
        <v>9</v>
      </c>
      <c r="H341" s="99" t="s">
        <v>345</v>
      </c>
    </row>
    <row r="342" spans="1:8" ht="18" x14ac:dyDescent="0.3">
      <c r="A342" s="119">
        <v>45991</v>
      </c>
      <c r="B342" s="120" t="s">
        <v>58</v>
      </c>
      <c r="C342" s="121" t="s">
        <v>312</v>
      </c>
      <c r="D342" s="120" t="s">
        <v>267</v>
      </c>
      <c r="E342" s="122">
        <v>1.9409722222222221</v>
      </c>
      <c r="F342" s="120" t="s">
        <v>63</v>
      </c>
      <c r="G342" s="123">
        <v>9</v>
      </c>
      <c r="H342" s="120" t="s">
        <v>345</v>
      </c>
    </row>
    <row r="343" spans="1:8" ht="18" x14ac:dyDescent="0.3">
      <c r="A343" s="119">
        <v>45991</v>
      </c>
      <c r="B343" s="120" t="s">
        <v>58</v>
      </c>
      <c r="C343" s="121" t="s">
        <v>303</v>
      </c>
      <c r="D343" s="120" t="s">
        <v>267</v>
      </c>
      <c r="E343" s="122">
        <v>1.989583333333333</v>
      </c>
      <c r="F343" s="120" t="s">
        <v>63</v>
      </c>
      <c r="G343" s="123">
        <v>4</v>
      </c>
      <c r="H343" s="120" t="s">
        <v>425</v>
      </c>
    </row>
    <row r="344" spans="1:8" ht="18" x14ac:dyDescent="0.3">
      <c r="A344" s="119">
        <v>45991</v>
      </c>
      <c r="B344" s="120" t="s">
        <v>58</v>
      </c>
      <c r="C344" s="121" t="s">
        <v>305</v>
      </c>
      <c r="D344" s="120" t="s">
        <v>267</v>
      </c>
      <c r="E344" s="122">
        <v>1.399305555555556</v>
      </c>
      <c r="F344" s="120" t="s">
        <v>63</v>
      </c>
      <c r="G344" s="123">
        <v>4</v>
      </c>
      <c r="H344" s="120" t="s">
        <v>425</v>
      </c>
    </row>
    <row r="345" spans="1:8" ht="18" x14ac:dyDescent="0.3">
      <c r="A345" s="119">
        <v>45991</v>
      </c>
      <c r="B345" s="120" t="s">
        <v>58</v>
      </c>
      <c r="C345" s="121" t="s">
        <v>306</v>
      </c>
      <c r="D345" s="120" t="s">
        <v>267</v>
      </c>
      <c r="E345" s="122">
        <v>1.489583333333333</v>
      </c>
      <c r="F345" s="120" t="s">
        <v>63</v>
      </c>
      <c r="G345" s="123">
        <v>4</v>
      </c>
      <c r="H345" s="120" t="s">
        <v>304</v>
      </c>
    </row>
    <row r="346" spans="1:8" ht="18" x14ac:dyDescent="0.3">
      <c r="A346" s="119">
        <v>45991</v>
      </c>
      <c r="B346" s="120" t="s">
        <v>58</v>
      </c>
      <c r="C346" s="121" t="s">
        <v>308</v>
      </c>
      <c r="D346" s="120" t="s">
        <v>267</v>
      </c>
      <c r="E346" s="122">
        <v>1.489583333333333</v>
      </c>
      <c r="F346" s="120" t="s">
        <v>63</v>
      </c>
      <c r="G346" s="123">
        <v>8</v>
      </c>
      <c r="H346" s="120" t="s">
        <v>309</v>
      </c>
    </row>
    <row r="347" spans="1:8" ht="18" x14ac:dyDescent="0.3">
      <c r="A347" s="119">
        <v>45991</v>
      </c>
      <c r="B347" s="120" t="s">
        <v>58</v>
      </c>
      <c r="C347" s="121" t="s">
        <v>313</v>
      </c>
      <c r="D347" s="120" t="s">
        <v>267</v>
      </c>
      <c r="E347" s="122">
        <v>1.7222222222222221</v>
      </c>
      <c r="F347" s="120" t="s">
        <v>63</v>
      </c>
      <c r="G347" s="123">
        <v>9</v>
      </c>
      <c r="H347" s="120" t="s">
        <v>309</v>
      </c>
    </row>
    <row r="348" spans="1:8" ht="18" x14ac:dyDescent="0.3">
      <c r="A348" s="119">
        <v>45991</v>
      </c>
      <c r="B348" s="120" t="s">
        <v>58</v>
      </c>
      <c r="C348" s="121" t="s">
        <v>315</v>
      </c>
      <c r="D348" s="120" t="s">
        <v>267</v>
      </c>
      <c r="E348" s="122">
        <v>1.7013888888888891</v>
      </c>
      <c r="F348" s="120" t="s">
        <v>63</v>
      </c>
      <c r="G348" s="123">
        <v>5</v>
      </c>
      <c r="H348" s="120" t="s">
        <v>309</v>
      </c>
    </row>
    <row r="349" spans="1:8" ht="18" x14ac:dyDescent="0.3">
      <c r="A349" s="119">
        <v>45991</v>
      </c>
      <c r="B349" s="120" t="s">
        <v>58</v>
      </c>
      <c r="C349" s="121" t="s">
        <v>310</v>
      </c>
      <c r="D349" s="120" t="s">
        <v>267</v>
      </c>
      <c r="E349" s="122">
        <v>1.2534722222222221</v>
      </c>
      <c r="F349" s="120" t="s">
        <v>63</v>
      </c>
      <c r="G349" s="123">
        <v>9</v>
      </c>
      <c r="H349" s="120" t="s">
        <v>309</v>
      </c>
    </row>
    <row r="350" spans="1:8" ht="18" x14ac:dyDescent="0.3">
      <c r="A350" s="119">
        <v>45991</v>
      </c>
      <c r="B350" s="120" t="s">
        <v>58</v>
      </c>
      <c r="C350" s="121" t="s">
        <v>307</v>
      </c>
      <c r="D350" s="120" t="s">
        <v>267</v>
      </c>
      <c r="E350" s="122">
        <v>1.8888888888888891</v>
      </c>
      <c r="F350" s="120" t="s">
        <v>63</v>
      </c>
      <c r="G350" s="123">
        <v>4</v>
      </c>
      <c r="H350" s="120" t="s">
        <v>349</v>
      </c>
    </row>
    <row r="351" spans="1:8" ht="18" x14ac:dyDescent="0.3">
      <c r="A351" s="124">
        <v>45991</v>
      </c>
      <c r="B351" s="125" t="s">
        <v>58</v>
      </c>
      <c r="C351" s="126" t="s">
        <v>347</v>
      </c>
      <c r="D351" s="125" t="s">
        <v>267</v>
      </c>
      <c r="E351" s="127">
        <v>1.118055555555556</v>
      </c>
      <c r="F351" s="125" t="s">
        <v>63</v>
      </c>
      <c r="G351" s="128">
        <v>6</v>
      </c>
      <c r="H351" s="125" t="s">
        <v>314</v>
      </c>
    </row>
  </sheetData>
  <dataValidations count="31">
    <dataValidation type="custom" allowBlank="1" showInputMessage="1" promptTitle="LOAD FACTOR ANALYSIS" prompt="SM471_x000d__x000a_LF 1.0%_x000d__x000a_SOLD 179_x000d__x000a_LST-SOLD 23NOV_x000d__x000a_WEEKLY 62_x000d__x000a_TO-DAY NIL_x000d__x000a_Y-DAY 4_x000d__x000a_LOWEST AVAIL CLOSED_x000d__x000a_CAPACITY 179_x000d__x000a_CLASSES V7 &amp; L12 &amp; G11 &amp; +8 more" sqref="A59 B59 C59 D59 E59 F59 G59 H59" xr:uid="{00000000-0002-0000-0C00-000000000000}">
      <formula1>TRUE</formula1>
    </dataValidation>
    <dataValidation type="custom" allowBlank="1" showInputMessage="1" promptTitle="LOAD FACTOR ANALYSIS" prompt="SM479_x000d__x000a_LF 1.0%_x000d__x000a_SOLD 181_x000d__x000a_LST-SOLD 20NOV_x000d__x000a_WEEKLY 5_x000d__x000a_TO-DAY NIL_x000d__x000a_Y-DAY NIL_x000d__x000a_LOWEST AVAIL CLOSED_x000d__x000a_CAPACITY 180_x000d__x000a_CLASSES S4 &amp; T1 &amp; X9 &amp; +5 more" sqref="A60 B60 C60 D60 E60 F60 G60 H60" xr:uid="{00000000-0002-0000-0C00-000001000000}">
      <formula1>TRUE</formula1>
    </dataValidation>
    <dataValidation type="custom" allowBlank="1" showInputMessage="1" promptTitle="LOAD FACTOR ANALYSIS" prompt="SM477_x000d__x000a_LF 1.0%_x000d__x000a_SOLD 180_x000d__x000a_LST-SOLD 23NOV_x000d__x000a_WEEKLY 19_x000d__x000a_TO-DAY NIL_x000d__x000a_Y-DAY 2_x000d__x000a_LOWEST AVAIL CLOSED_x000d__x000a_CAPACITY 180_x000d__x000a_CLASSES S9 &amp; W12 &amp; T12 &amp; +5 more" sqref="A61 B61 C61 D61 E61 F61 G61 H61" xr:uid="{00000000-0002-0000-0C00-000002000000}">
      <formula1>TRUE</formula1>
    </dataValidation>
    <dataValidation type="custom" allowBlank="1" showInputMessage="1" promptTitle="LOAD FACTOR ANALYSIS" prompt="SM459_x000d__x000a_LF 98.3%_x000d__x000a_SOLD 177_x000d__x000a_LST-SOLD 24NOV_x000d__x000a_WEEKLY 49_x000d__x000a_TO-DAY 1_x000d__x000a_Y-DAY 3_x000d__x000a_LOWEST AVAIL CLOSED_x000d__x000a_CAPACITY 180_x000d__x000a_CLASSES S11 &amp; U22 &amp; O22 &amp; +3 more" sqref="A62 B62 C62 D62 E62 F62 G62 H62" xr:uid="{00000000-0002-0000-0C00-000003000000}">
      <formula1>TRUE</formula1>
    </dataValidation>
    <dataValidation type="custom" allowBlank="1" showInputMessage="1" promptTitle="LOAD FACTOR ANALYSIS" prompt="SM423_x000d__x000a_LF 99.4%_x000d__x000a_SOLD 179_x000d__x000a_LST-SOLD 18NOV_x000d__x000a_WEEKLY 1_x000d__x000a_TO-DAY NIL_x000d__x000a_Y-DAY NIL_x000d__x000a_LOWEST AVAIL CLOSED_x000d__x000a_CAPACITY 180_x000d__x000a_CLASSES S5 &amp; W2 &amp; T11 &amp; +5 more" sqref="A63 B63 C63 D63 E63 F63 G63 H63" xr:uid="{00000000-0002-0000-0C00-000004000000}">
      <formula1>TRUE</formula1>
    </dataValidation>
    <dataValidation type="custom" allowBlank="1" showInputMessage="1" promptTitle="LOAD FACTOR ANALYSIS" prompt="SM475_x000d__x000a_LF 99.4%_x000d__x000a_SOLD 179_x000d__x000a_LST-SOLD 23NOV_x000d__x000a_WEEKLY 103_x000d__x000a_TO-DAY NIL_x000d__x000a_Y-DAY 6_x000d__x000a_LOWEST AVAIL CLOSED_x000d__x000a_CAPACITY 180_x000d__x000a_CLASSES V8 &amp; L12 &amp; G26 &amp; +9 more" sqref="A64 B64 C64 D64 E64 F64 G64 H64" xr:uid="{00000000-0002-0000-0C00-000005000000}">
      <formula1>TRUE</formula1>
    </dataValidation>
    <dataValidation type="custom" allowBlank="1" showInputMessage="1" promptTitle="LOAD FACTOR ANALYSIS" prompt="SM423_x000d__x000a_LF 1.0%_x000d__x000a_SOLD 180_x000d__x000a_LST-SOLD 19NOV_x000d__x000a_WEEKLY 6_x000d__x000a_TO-DAY NIL_x000d__x000a_Y-DAY NIL_x000d__x000a_LOWEST AVAIL CLOSED_x000d__x000a_CAPACITY 180_x000d__x000a_CLASSES S4 &amp; W3 &amp; T11 &amp; +5 more" sqref="A130 B130 C130 D130 E130 F130 G130 H130" xr:uid="{00000000-0002-0000-0C00-000006000000}">
      <formula1>TRUE</formula1>
    </dataValidation>
    <dataValidation type="custom" allowBlank="1" showInputMessage="1" promptTitle="LOAD FACTOR ANALYSIS" prompt="SM475_x000d__x000a_LF 99.4%_x000d__x000a_SOLD 179_x000d__x000a_LST-SOLD 22NOV_x000d__x000a_WEEKLY 50_x000d__x000a_TO-DAY NIL_x000d__x000a_Y-DAY NIL_x000d__x000a_LOWEST AVAIL CLOSED_x000d__x000a_CAPACITY 180_x000d__x000a_CLASSES G2 &amp; S18 &amp; W18 &amp; +6 more" sqref="A131 B131 C131 D131 E131 F131 G131 H131" xr:uid="{00000000-0002-0000-0C00-000007000000}">
      <formula1>TRUE</formula1>
    </dataValidation>
    <dataValidation type="custom" allowBlank="1" showInputMessage="1" promptTitle="LOAD FACTOR ANALYSIS" prompt="SM459_x000d__x000a_LF 99.4%_x000d__x000a_SOLD 179_x000d__x000a_LST-SOLD 19NOV_x000d__x000a_WEEKLY 8_x000d__x000a_TO-DAY NIL_x000d__x000a_Y-DAY NIL_x000d__x000a_LOWEST AVAIL CLOSED_x000d__x000a_CAPACITY 180_x000d__x000a_CLASSES T11 &amp; X21 &amp; U18 &amp; +4 more" sqref="A132 B132 C132 D132 E132 F132 G132 H132" xr:uid="{00000000-0002-0000-0C00-000008000000}">
      <formula1>TRUE</formula1>
    </dataValidation>
    <dataValidation type="custom" allowBlank="1" showInputMessage="1" promptTitle="LOAD FACTOR ANALYSIS" prompt="SM477_x000d__x000a_LF 99.4%_x000d__x000a_SOLD 179_x000d__x000a_LST-SOLD 22NOV_x000d__x000a_WEEKLY 49_x000d__x000a_TO-DAY NIL_x000d__x000a_Y-DAY NIL_x000d__x000a_LOWEST AVAIL CLOSED_x000d__x000a_CAPACITY 180_x000d__x000a_CLASSES S3 &amp; W6 &amp; T11 &amp; +5 more" sqref="A133 B133 C133 D133 E133 F133 G133 H133" xr:uid="{00000000-0002-0000-0C00-000009000000}">
      <formula1>TRUE</formula1>
    </dataValidation>
    <dataValidation type="custom" allowBlank="1" showInputMessage="1" promptTitle="LOAD FACTOR ANALYSIS" prompt="SM471_x000d__x000a_LF 99.4%_x000d__x000a_SOLD 179_x000d__x000a_LST-SOLD 23NOV_x000d__x000a_WEEKLY 81_x000d__x000a_TO-DAY NIL_x000d__x000a_Y-DAY 7_x000d__x000a_LOWEST AVAIL CLOSED_x000d__x000a_CAPACITY 180_x000d__x000a_CLASSES V14 &amp; L17 &amp; G33 &amp; +7 more" sqref="A134 B134 C134 D134 E134 F134 G134 H134" xr:uid="{00000000-0002-0000-0C00-00000A000000}">
      <formula1>TRUE</formula1>
    </dataValidation>
    <dataValidation type="custom" allowBlank="1" showInputMessage="1" promptTitle="LOAD FACTOR ANALYSIS" prompt="SM-449_x000d__x000a_LF 97.8%_x000d__x000a_SOLD 176_x000d__x000a_LST-SOLD 24NOV_x000d__x000a_WEEKLY 60_x000d__x000a_TO-DAY 1_x000d__x000a_Y-DAY 3_x000d__x000a_LOWEST AVAIL G1_x000d__x000a_CAPACITY 180_x000d__x000a_CLASSES V7 &amp; L10 &amp; G24 &amp; +7 more" sqref="A135 B135 C135 D135 E135 F135 G135 H135" xr:uid="{00000000-0002-0000-0C00-00000B000000}">
      <formula1>TRUE</formula1>
    </dataValidation>
    <dataValidation type="custom" allowBlank="1" showInputMessage="1" promptTitle="LOAD FACTOR ANALYSIS" prompt="SM-423_x000d__x000a_LF 97.8%_x000d__x000a_SOLD 176_x000d__x000a_LST-SOLD 23NOV_x000d__x000a_WEEKLY 40_x000d__x000a_TO-DAY NIL_x000d__x000a_Y-DAY 15_x000d__x000a_LOWEST AVAIL V3_x000d__x000a_CAPACITY 180_x000d__x000a_CLASSES K6 &amp; V33 &amp; L25 &amp; +9 more" sqref="A136 B136 C136 D136 E136 F136 G136 H136" xr:uid="{00000000-0002-0000-0C00-00000C000000}">
      <formula1>TRUE</formula1>
    </dataValidation>
    <dataValidation type="custom" allowBlank="1" showInputMessage="1" promptTitle="LOAD FACTOR ANALYSIS" prompt="SM-431_x000d__x000a_LF 98.9%_x000d__x000a_SOLD 178_x000d__x000a_LST-SOLD 24NOV_x000d__x000a_WEEKLY 56_x000d__x000a_TO-DAY 1_x000d__x000a_Y-DAY 2_x000d__x000a_LOWEST AVAIL V1_x000d__x000a_CAPACITY 180_x000d__x000a_CLASSES V3 &amp; L10 &amp; G25 &amp; +8 more" sqref="A137 B137 C137 D137 E137 F137 G137 H137" xr:uid="{00000000-0002-0000-0C00-00000D000000}">
      <formula1>TRUE</formula1>
    </dataValidation>
    <dataValidation type="custom" allowBlank="1" showInputMessage="1" promptTitle="LOAD FACTOR ANALYSIS" prompt="SM-479_x000d__x000a_LF 98.9%_x000d__x000a_SOLD 178_x000d__x000a_LST-SOLD 23NOV_x000d__x000a_WEEKLY 4_x000d__x000a_TO-DAY NIL_x000d__x000a_Y-DAY 4_x000d__x000a_LOWEST AVAIL K1_x000d__x000a_CAPACITY 180_x000d__x000a_CLASSES K5 &amp; L5 &amp; S3 &amp; +7 more" sqref="A138 B138 C138 D138 E138 F138 G138 H138" xr:uid="{00000000-0002-0000-0C00-00000E000000}">
      <formula1>TRUE</formula1>
    </dataValidation>
    <dataValidation type="custom" allowBlank="1" showInputMessage="1" promptTitle="LOAD FACTOR ANALYSIS" prompt="SM475_x000d__x000a_LF 99.4%_x000d__x000a_SOLD 179_x000d__x000a_LST-SOLD 23NOV_x000d__x000a_WEEKLY 23_x000d__x000a_TO-DAY NIL_x000d__x000a_Y-DAY 1_x000d__x000a_LOWEST AVAIL CLOSED_x000d__x000a_CAPACITY 180_x000d__x000a_CLASSES L3 &amp; G11 &amp; S21 &amp; +7 more" sqref="A139 B139 C139 D139 E139 F139 G139 H139" xr:uid="{00000000-0002-0000-0C00-00000F000000}">
      <formula1>TRUE</formula1>
    </dataValidation>
    <dataValidation type="custom" allowBlank="1" showInputMessage="1" promptTitle="LOAD FACTOR ANALYSIS" prompt="SM477_x000d__x000a_LF 1.0%_x000d__x000a_SOLD 180_x000d__x000a_LST-SOLD 30OCT_x000d__x000a_WEEKLY NIL_x000d__x000a_TO-DAY NIL_x000d__x000a_Y-DAY NIL_x000d__x000a_LOWEST AVAIL CLOSED_x000d__x000a_CAPACITY 180_x000d__x000a_CLASSES X1 &amp; U12 &amp; O11 &amp; +2 more" sqref="A140 B140 C140 D140 E140 F140 G140 H140" xr:uid="{00000000-0002-0000-0C00-000010000000}">
      <formula1>TRUE</formula1>
    </dataValidation>
    <dataValidation type="custom" allowBlank="1" showInputMessage="1" promptTitle="LOAD FACTOR ANALYSIS" prompt="SM-479_x000d__x000a_LF 98.9%_x000d__x000a_SOLD 178_x000d__x000a_LST-SOLD 23NOV_x000d__x000a_WEEKLY 28_x000d__x000a_TO-DAY NIL_x000d__x000a_Y-DAY 3_x000d__x000a_LOWEST AVAIL L1_x000d__x000a_CAPACITY 180_x000d__x000a_CLASSES K3 &amp; V22 &amp; L34 &amp; +9 more" sqref="A193 B193 C193 D193 E193 F193 G193 H193" xr:uid="{00000000-0002-0000-0C00-000011000000}">
      <formula1>TRUE</formula1>
    </dataValidation>
    <dataValidation type="custom" allowBlank="1" showInputMessage="1" promptTitle="LOAD FACTOR ANALYSIS" prompt="SM-459_x000d__x000a_LF 98.9%_x000d__x000a_SOLD 178_x000d__x000a_LST-SOLD 23NOV_x000d__x000a_WEEKLY 18_x000d__x000a_TO-DAY NIL_x000d__x000a_Y-DAY 1_x000d__x000a_LOWEST AVAIL K1_x000d__x000a_CAPACITY 180_x000d__x000a_CLASSES K25 &amp; V29 &amp; L26 &amp; +8 more" sqref="A194 B194 C194 D194 E194 F194 G194 H194" xr:uid="{00000000-0002-0000-0C00-000012000000}">
      <formula1>TRUE</formula1>
    </dataValidation>
    <dataValidation type="custom" allowBlank="1" showInputMessage="1" promptTitle="LOAD FACTOR ANALYSIS" prompt="SM-471_x000d__x000a_LF 98.9%_x000d__x000a_SOLD 178_x000d__x000a_LST-SOLD 23NOV_x000d__x000a_WEEKLY 48_x000d__x000a_TO-DAY NIL_x000d__x000a_Y-DAY 8_x000d__x000a_LOWEST AVAIL K1_x000d__x000a_CAPACITY 180_x000d__x000a_CLASSES K14 &amp; V30 &amp; L41 &amp; +8 more" sqref="A195 B195 C195 D195 E195 F195 G195 H195" xr:uid="{00000000-0002-0000-0C00-000013000000}">
      <formula1>TRUE</formula1>
    </dataValidation>
    <dataValidation type="custom" allowBlank="1" showInputMessage="1" promptTitle="LOAD FACTOR ANALYSIS" prompt="SM-477_x000d__x000a_LF 98.3%_x000d__x000a_SOLD 177_x000d__x000a_LST-SOLD 23NOV_x000d__x000a_WEEKLY 52_x000d__x000a_TO-DAY NIL_x000d__x000a_Y-DAY 5_x000d__x000a_LOWEST AVAIL K2_x000d__x000a_CAPACITY 180_x000d__x000a_CLASSES K7 &amp; V10 &amp; L35 &amp; +8 more" sqref="A196 B196 C196 D196 E196 F196 G196 H196" xr:uid="{00000000-0002-0000-0C00-000014000000}">
      <formula1>TRUE</formula1>
    </dataValidation>
    <dataValidation type="custom" allowBlank="1" showInputMessage="1" promptTitle="LOAD FACTOR ANALYSIS" prompt="SM475_x000d__x000a_LF 1.0%_x000d__x000a_SOLD 180_x000d__x000a_LST-SOLD 19NOV_x000d__x000a_WEEKLY 18_x000d__x000a_TO-DAY NIL_x000d__x000a_Y-DAY NIL_x000d__x000a_LOWEST AVAIL CLOSED_x000d__x000a_CAPACITY 180_x000d__x000a_CLASSES K9 &amp; V11 &amp; L24 &amp; +10 more" sqref="A197 B197 C197 D197 E197 F197 G197 H197" xr:uid="{00000000-0002-0000-0C00-000015000000}">
      <formula1>TRUE</formula1>
    </dataValidation>
    <dataValidation type="custom" allowBlank="1" showInputMessage="1" promptTitle="LOAD FACTOR ANALYSIS" prompt="SM-423_x000d__x000a_LF 95.6%_x000d__x000a_SOLD 172_x000d__x000a_LST-SOLD 20NOV_x000d__x000a_WEEKLY 25_x000d__x000a_TO-DAY NIL_x000d__x000a_Y-DAY NIL_x000d__x000a_LOWEST AVAIL M1_x000d__x000a_CAPACITY 180_x000d__x000a_CLASSES H4 &amp; Q10 &amp; K13 &amp; +11 more" sqref="A298 B298 C298 D298 E298 F298 G298 H298" xr:uid="{00000000-0002-0000-0C00-000016000000}">
      <formula1>TRUE</formula1>
    </dataValidation>
    <dataValidation type="custom" allowBlank="1" showInputMessage="1" promptTitle="LOAD FACTOR ANALYSIS" prompt="SM449_x000d__x000a_LF 1.0%_x000d__x000a_SOLD 186_x000d__x000a_LST-SOLD 13NOV_x000d__x000a_WEEKLY NIL_x000d__x000a_TO-DAY NIL_x000d__x000a_Y-DAY NIL_x000d__x000a_LOWEST AVAIL CLOSED_x000d__x000a_CAPACITY 180_x000d__x000a_CLASSES V1 &amp; G15 &amp; S21 &amp; +7 more" sqref="A299 B299 C299 D299 E299 F299 G299 H299" xr:uid="{00000000-0002-0000-0C00-000017000000}">
      <formula1>TRUE</formula1>
    </dataValidation>
    <dataValidation type="custom" allowBlank="1" showInputMessage="1" promptTitle="LOAD FACTOR ANALYSIS" prompt="SM475_x000d__x000a_LF 1.0%_x000d__x000a_SOLD 180_x000d__x000a_LST-SOLD 22NOV_x000d__x000a_WEEKLY 5_x000d__x000a_TO-DAY NIL_x000d__x000a_Y-DAY NIL_x000d__x000a_LOWEST AVAIL CLOSED_x000d__x000a_CAPACITY 180_x000d__x000a_CLASSES G5 &amp; X7 &amp; U11 &amp; +4 more" sqref="A300 B300 C300 D300 E300 F300 G300 H300" xr:uid="{00000000-0002-0000-0C00-000018000000}">
      <formula1>TRUE</formula1>
    </dataValidation>
    <dataValidation type="custom" allowBlank="1" showInputMessage="1" promptTitle="LOAD FACTOR ANALYSIS" prompt="SM477_x000d__x000a_LF 1.0%_x000d__x000a_SOLD 180_x000d__x000a_LST-SOLD 12NOV_x000d__x000a_WEEKLY NIL_x000d__x000a_TO-DAY NIL_x000d__x000a_Y-DAY NIL_x000d__x000a_LOWEST AVAIL CLOSED_x000d__x000a_CAPACITY 180_x000d__x000a_CLASSES Y3 &amp; K8 &amp; V9 &amp; +7 more" sqref="A301 B301 C301 D301 E301 F301 G301 H301" xr:uid="{00000000-0002-0000-0C00-000019000000}">
      <formula1>TRUE</formula1>
    </dataValidation>
    <dataValidation type="custom" allowBlank="1" showInputMessage="1" promptTitle="LOAD FACTOR ANALYSIS" prompt="SM-431_x000d__x000a_LF 99.4%_x000d__x000a_SOLD 179_x000d__x000a_LST-SOLD 21NOV_x000d__x000a_WEEKLY 17_x000d__x000a_TO-DAY NIL_x000d__x000a_Y-DAY NIL_x000d__x000a_LOWEST AVAIL G1_x000d__x000a_CAPACITY 180_x000d__x000a_CLASSES V4 &amp; L11 &amp; G29 &amp; +9 more" sqref="A317 B317 C317 D317 E317 F317 G317 H317" xr:uid="{00000000-0002-0000-0C00-00001A000000}">
      <formula1>TRUE</formula1>
    </dataValidation>
    <dataValidation type="custom" allowBlank="1" showInputMessage="1" promptTitle="LOAD FACTOR ANALYSIS" prompt="SM475_x000d__x000a_LF 1.0%_x000d__x000a_SOLD 180_x000d__x000a_LST-SOLD 05NOV_x000d__x000a_WEEKLY NIL_x000d__x000a_TO-DAY NIL_x000d__x000a_Y-DAY NIL_x000d__x000a_LOWEST AVAIL CLOSED_x000d__x000a_CAPACITY 180_x000d__x000a_CLASSES G2 &amp; S10 &amp; W12 &amp; +6 more" sqref="A318 B318 C318 D318 E318 F318 G318 H318" xr:uid="{00000000-0002-0000-0C00-00001B000000}">
      <formula1>TRUE</formula1>
    </dataValidation>
    <dataValidation type="custom" allowBlank="1" showInputMessage="1" promptTitle="LOAD FACTOR ANALYSIS" prompt="SM459_x000d__x000a_LF 1.0%_x000d__x000a_SOLD 180_x000d__x000a_LST-SOLD 20NOV_x000d__x000a_WEEKLY 4_x000d__x000a_TO-DAY NIL_x000d__x000a_Y-DAY NIL_x000d__x000a_LOWEST AVAIL CLOSED_x000d__x000a_CAPACITY 180_x000d__x000a_CLASSES G7 &amp; S9 &amp; W11 &amp; +6 more" sqref="A319 B319 C319 D319 E319 F319 G319 H319" xr:uid="{00000000-0002-0000-0C00-00001C000000}">
      <formula1>TRUE</formula1>
    </dataValidation>
    <dataValidation type="custom" allowBlank="1" showInputMessage="1" promptTitle="LOAD FACTOR ANALYSIS" prompt="SM477_x000d__x000a_LF 99.4%_x000d__x000a_SOLD 179_x000d__x000a_LST-SOLD 23NOV_x000d__x000a_WEEKLY 24_x000d__x000a_TO-DAY NIL_x000d__x000a_Y-DAY 3_x000d__x000a_LOWEST AVAIL CLOSED_x000d__x000a_CAPACITY 180_x000d__x000a_CLASSES L8 &amp; G21 &amp; S22 &amp; +4 more" sqref="A320 B320 C320 D320 E320 F320 G320 H320" xr:uid="{00000000-0002-0000-0C00-00001D000000}">
      <formula1>TRUE</formula1>
    </dataValidation>
    <dataValidation type="custom" allowBlank="1" showInputMessage="1" promptTitle="LOAD FACTOR ANALYSIS" prompt="SM479_x000d__x000a_LF 99.4%_x000d__x000a_SOLD 179_x000d__x000a_LST-SOLD 24NOV_x000d__x000a_WEEKLY 15_x000d__x000a_TO-DAY 1_x000d__x000a_Y-DAY NIL_x000d__x000a_LOWEST AVAIL CLOSED_x000d__x000a_CAPACITY 180_x000d__x000a_CLASSES V5 &amp; L10 &amp; G23 &amp; +8 more" sqref="A321 B321 C321 D321 E321 F321 G321 H321" xr:uid="{00000000-0002-0000-0C00-00001E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11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4.77734375" bestFit="1" customWidth="1"/>
  </cols>
  <sheetData>
    <row r="1" spans="1:92" ht="28.8" customHeight="1" x14ac:dyDescent="0.3">
      <c r="A1" s="284" t="s">
        <v>0</v>
      </c>
      <c r="B1" s="265"/>
      <c r="C1" s="265"/>
      <c r="D1" s="284" t="s">
        <v>565</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45985.362133337039</v>
      </c>
      <c r="H2" s="272"/>
      <c r="I2" s="272"/>
      <c r="J2" s="272"/>
      <c r="K2" s="282">
        <v>45985.362133337418</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566</v>
      </c>
      <c r="C6" s="9">
        <v>0.3611111111111111</v>
      </c>
      <c r="D6" s="8" t="s">
        <v>567</v>
      </c>
      <c r="E6" s="8" t="s">
        <v>103</v>
      </c>
      <c r="F6" s="8" t="s">
        <v>299</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566</v>
      </c>
      <c r="C7" s="16">
        <v>0.3611111111111111</v>
      </c>
      <c r="D7" s="15" t="s">
        <v>568</v>
      </c>
      <c r="E7" s="15" t="s">
        <v>68</v>
      </c>
      <c r="F7" s="15" t="s">
        <v>569</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566</v>
      </c>
      <c r="C8" s="16">
        <v>0.3611111111111111</v>
      </c>
      <c r="D8" s="15" t="s">
        <v>570</v>
      </c>
      <c r="E8" s="15" t="s">
        <v>68</v>
      </c>
      <c r="F8" s="15" t="s">
        <v>408</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5" t="s">
        <v>25</v>
      </c>
      <c r="B9" s="15" t="s">
        <v>566</v>
      </c>
      <c r="C9" s="16">
        <v>0.3611111111111111</v>
      </c>
      <c r="D9" s="15" t="s">
        <v>571</v>
      </c>
      <c r="E9" s="15" t="s">
        <v>68</v>
      </c>
      <c r="F9" s="15" t="s">
        <v>572</v>
      </c>
      <c r="G9" s="262"/>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6" t="s">
        <v>58</v>
      </c>
      <c r="B10" s="36" t="s">
        <v>573</v>
      </c>
      <c r="C10" s="37">
        <v>0.4513888888888889</v>
      </c>
      <c r="D10" s="36" t="s">
        <v>63</v>
      </c>
      <c r="E10" s="36" t="s">
        <v>61</v>
      </c>
      <c r="F10" s="36" t="s">
        <v>574</v>
      </c>
      <c r="G10" s="26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58</v>
      </c>
      <c r="B11" s="38" t="s">
        <v>575</v>
      </c>
      <c r="C11" s="39">
        <v>0.81944444444444453</v>
      </c>
      <c r="D11" s="38" t="s">
        <v>63</v>
      </c>
      <c r="E11" s="38" t="s">
        <v>70</v>
      </c>
      <c r="F11" s="38" t="s">
        <v>574</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6" t="s">
        <v>75</v>
      </c>
      <c r="B12" s="36" t="s">
        <v>576</v>
      </c>
      <c r="C12" s="37">
        <v>0.4236111111111111</v>
      </c>
      <c r="D12" s="36" t="s">
        <v>60</v>
      </c>
      <c r="E12" s="36" t="s">
        <v>77</v>
      </c>
      <c r="F12" s="36" t="s">
        <v>577</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48" t="s">
        <v>35</v>
      </c>
      <c r="B13" s="148" t="s">
        <v>578</v>
      </c>
      <c r="C13" s="149">
        <v>0.52083333333333337</v>
      </c>
      <c r="D13" s="148" t="s">
        <v>44</v>
      </c>
      <c r="E13" s="150"/>
      <c r="F13" s="148" t="s">
        <v>45</v>
      </c>
      <c r="G13" s="262"/>
      <c r="H13" s="151" t="s">
        <v>578</v>
      </c>
      <c r="I13" s="152">
        <v>1</v>
      </c>
      <c r="J13" s="153">
        <v>180</v>
      </c>
      <c r="K13" s="154">
        <v>45961</v>
      </c>
      <c r="L13" s="153">
        <v>0</v>
      </c>
      <c r="M13" s="153">
        <v>0</v>
      </c>
      <c r="N13" s="153">
        <v>0</v>
      </c>
      <c r="O13" s="155" t="s">
        <v>46</v>
      </c>
      <c r="P13" s="156">
        <v>0.52083333333333337</v>
      </c>
      <c r="Q13" s="153">
        <v>180</v>
      </c>
      <c r="R13" s="157" t="s">
        <v>579</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x14ac:dyDescent="0.3">
      <c r="A14" s="289" t="s">
        <v>580</v>
      </c>
      <c r="B14" s="290"/>
      <c r="C14" s="290"/>
      <c r="D14" s="290"/>
      <c r="E14" s="290"/>
      <c r="F14" s="290"/>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25</v>
      </c>
      <c r="B15" s="38" t="s">
        <v>268</v>
      </c>
      <c r="C15" s="39" t="s">
        <v>581</v>
      </c>
      <c r="D15" s="38" t="s">
        <v>27</v>
      </c>
      <c r="E15" s="38" t="s">
        <v>203</v>
      </c>
      <c r="F15" s="38" t="s">
        <v>269</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25</v>
      </c>
      <c r="B16" s="38" t="s">
        <v>271</v>
      </c>
      <c r="C16" s="39" t="s">
        <v>582</v>
      </c>
      <c r="D16" s="38" t="s">
        <v>27</v>
      </c>
      <c r="E16" s="38" t="s">
        <v>583</v>
      </c>
      <c r="F16" s="38" t="s">
        <v>273</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8" t="s">
        <v>25</v>
      </c>
      <c r="B17" s="38" t="s">
        <v>276</v>
      </c>
      <c r="C17" s="39" t="s">
        <v>584</v>
      </c>
      <c r="D17" s="38" t="s">
        <v>27</v>
      </c>
      <c r="E17" s="38" t="s">
        <v>203</v>
      </c>
      <c r="F17" s="38" t="s">
        <v>273</v>
      </c>
      <c r="G17" s="262"/>
      <c r="H17" s="158"/>
      <c r="I17" s="158"/>
      <c r="J17" s="158"/>
      <c r="K17" s="158"/>
      <c r="L17" s="158"/>
      <c r="M17" s="158"/>
      <c r="N17" s="158"/>
      <c r="O17" s="159"/>
      <c r="P17" s="158"/>
      <c r="Q17" s="160"/>
      <c r="R17" s="16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8" t="s">
        <v>25</v>
      </c>
      <c r="B18" s="38" t="s">
        <v>277</v>
      </c>
      <c r="C18" s="39" t="s">
        <v>585</v>
      </c>
      <c r="D18" s="38" t="s">
        <v>27</v>
      </c>
      <c r="E18" s="38" t="s">
        <v>249</v>
      </c>
      <c r="F18" s="38" t="s">
        <v>273</v>
      </c>
      <c r="G18" s="262"/>
      <c r="H18" s="158"/>
      <c r="I18" s="158"/>
      <c r="J18" s="158"/>
      <c r="K18" s="158"/>
      <c r="L18" s="158"/>
      <c r="M18" s="158"/>
      <c r="N18" s="158"/>
      <c r="O18" s="159"/>
      <c r="P18" s="158"/>
      <c r="Q18" s="160"/>
      <c r="R18" s="16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38" t="s">
        <v>48</v>
      </c>
      <c r="B19" s="38" t="s">
        <v>278</v>
      </c>
      <c r="C19" s="39" t="s">
        <v>586</v>
      </c>
      <c r="D19" s="38" t="s">
        <v>50</v>
      </c>
      <c r="E19" s="38" t="s">
        <v>207</v>
      </c>
      <c r="F19" s="38" t="s">
        <v>273</v>
      </c>
      <c r="G19" s="262"/>
      <c r="H19" s="158"/>
      <c r="I19" s="158"/>
      <c r="J19" s="158"/>
      <c r="K19" s="158"/>
      <c r="L19" s="158"/>
      <c r="M19" s="158"/>
      <c r="N19" s="158"/>
      <c r="O19" s="159"/>
      <c r="P19" s="158"/>
      <c r="Q19" s="160"/>
      <c r="R19" s="16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38" t="s">
        <v>290</v>
      </c>
      <c r="B20" s="38" t="s">
        <v>291</v>
      </c>
      <c r="C20" s="39" t="s">
        <v>587</v>
      </c>
      <c r="D20" s="38" t="s">
        <v>292</v>
      </c>
      <c r="E20" s="38" t="s">
        <v>207</v>
      </c>
      <c r="F20" s="38" t="s">
        <v>293</v>
      </c>
      <c r="G20" s="262"/>
      <c r="H20" s="158"/>
      <c r="I20" s="158"/>
      <c r="J20" s="158"/>
      <c r="K20" s="158"/>
      <c r="L20" s="158"/>
      <c r="M20" s="158"/>
      <c r="N20" s="158"/>
      <c r="O20" s="159"/>
      <c r="P20" s="158"/>
      <c r="Q20" s="160"/>
      <c r="R20" s="16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8" t="s">
        <v>25</v>
      </c>
      <c r="B21" s="38" t="s">
        <v>268</v>
      </c>
      <c r="C21" s="39" t="s">
        <v>581</v>
      </c>
      <c r="D21" s="38" t="s">
        <v>33</v>
      </c>
      <c r="E21" s="38" t="s">
        <v>203</v>
      </c>
      <c r="F21" s="38" t="s">
        <v>270</v>
      </c>
      <c r="G21" s="262"/>
      <c r="H21" s="158"/>
      <c r="I21" s="158"/>
      <c r="J21" s="158"/>
      <c r="K21" s="158"/>
      <c r="L21" s="158"/>
      <c r="M21" s="158"/>
      <c r="N21" s="158"/>
      <c r="O21" s="159"/>
      <c r="P21" s="158"/>
      <c r="Q21" s="160"/>
      <c r="R21" s="16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8" t="s">
        <v>48</v>
      </c>
      <c r="B22" s="38" t="s">
        <v>279</v>
      </c>
      <c r="C22" s="39" t="s">
        <v>588</v>
      </c>
      <c r="D22" s="38" t="s">
        <v>50</v>
      </c>
      <c r="E22" s="38" t="s">
        <v>213</v>
      </c>
      <c r="F22" s="38" t="s">
        <v>270</v>
      </c>
      <c r="G22" s="262"/>
      <c r="H22" s="158"/>
      <c r="I22" s="158"/>
      <c r="J22" s="158"/>
      <c r="K22" s="158"/>
      <c r="L22" s="158"/>
      <c r="M22" s="158"/>
      <c r="N22" s="158"/>
      <c r="O22" s="159"/>
      <c r="P22" s="158"/>
      <c r="Q22" s="160"/>
      <c r="R22" s="16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8" t="s">
        <v>48</v>
      </c>
      <c r="B23" s="38" t="s">
        <v>278</v>
      </c>
      <c r="C23" s="39" t="s">
        <v>586</v>
      </c>
      <c r="D23" s="38" t="s">
        <v>53</v>
      </c>
      <c r="E23" s="38" t="s">
        <v>207</v>
      </c>
      <c r="F23" s="38" t="s">
        <v>270</v>
      </c>
      <c r="G23" s="262"/>
      <c r="H23" s="158"/>
      <c r="I23" s="158"/>
      <c r="J23" s="158"/>
      <c r="K23" s="158"/>
      <c r="L23" s="158"/>
      <c r="M23" s="158"/>
      <c r="N23" s="158"/>
      <c r="O23" s="159"/>
      <c r="P23" s="158"/>
      <c r="Q23" s="160"/>
      <c r="R23" s="16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40" t="s">
        <v>48</v>
      </c>
      <c r="B24" s="40" t="s">
        <v>282</v>
      </c>
      <c r="C24" s="41" t="s">
        <v>589</v>
      </c>
      <c r="D24" s="40" t="s">
        <v>50</v>
      </c>
      <c r="E24" s="40" t="s">
        <v>207</v>
      </c>
      <c r="F24" s="40" t="s">
        <v>270</v>
      </c>
      <c r="G24" s="263"/>
      <c r="H24" s="161"/>
      <c r="I24" s="161"/>
      <c r="J24" s="161"/>
      <c r="K24" s="161"/>
      <c r="L24" s="161"/>
      <c r="M24" s="161"/>
      <c r="N24" s="161"/>
      <c r="O24" s="162"/>
      <c r="P24" s="161"/>
      <c r="Q24" s="163"/>
      <c r="R24" s="16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75"/>
      <c r="B25" s="276"/>
      <c r="C25" s="276"/>
      <c r="D25" s="276"/>
      <c r="E25" s="276"/>
      <c r="F25" s="276"/>
      <c r="G25" s="276"/>
      <c r="H25" s="276"/>
      <c r="I25" s="276"/>
      <c r="J25" s="276"/>
      <c r="K25" s="276"/>
      <c r="L25" s="276"/>
      <c r="M25" s="276"/>
      <c r="N25" s="276"/>
      <c r="O25" s="276"/>
      <c r="P25" s="276"/>
      <c r="Q25" s="276"/>
      <c r="R25" s="27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66" t="s">
        <v>5</v>
      </c>
      <c r="B26" s="267"/>
      <c r="C26" s="267"/>
      <c r="D26" s="267"/>
      <c r="E26" s="267"/>
      <c r="F26" s="267"/>
      <c r="G26" s="5">
        <v>45987</v>
      </c>
      <c r="H26" s="270" t="s">
        <v>6</v>
      </c>
      <c r="I26" s="269"/>
      <c r="J26" s="269"/>
      <c r="K26" s="269"/>
      <c r="L26" s="269"/>
      <c r="M26" s="269"/>
      <c r="N26" s="269"/>
      <c r="O26" s="269"/>
      <c r="P26" s="269"/>
      <c r="Q26" s="269"/>
      <c r="R26" s="26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47" t="s">
        <v>7</v>
      </c>
      <c r="B27" s="47" t="s">
        <v>8</v>
      </c>
      <c r="C27" s="48" t="s">
        <v>9</v>
      </c>
      <c r="D27" s="47" t="s">
        <v>10</v>
      </c>
      <c r="E27" s="47" t="s">
        <v>11</v>
      </c>
      <c r="F27" s="47" t="s">
        <v>12</v>
      </c>
      <c r="G27" s="49" t="s">
        <v>13</v>
      </c>
      <c r="H27" s="47" t="s">
        <v>14</v>
      </c>
      <c r="I27" s="50" t="s">
        <v>15</v>
      </c>
      <c r="J27" s="51" t="s">
        <v>16</v>
      </c>
      <c r="K27" s="52" t="s">
        <v>17</v>
      </c>
      <c r="L27" s="51" t="s">
        <v>18</v>
      </c>
      <c r="M27" s="51" t="s">
        <v>19</v>
      </c>
      <c r="N27" s="51" t="s">
        <v>20</v>
      </c>
      <c r="O27" s="47" t="s">
        <v>21</v>
      </c>
      <c r="P27" s="48" t="s">
        <v>22</v>
      </c>
      <c r="Q27" s="51" t="s">
        <v>23</v>
      </c>
      <c r="R27" s="47"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35</v>
      </c>
      <c r="B28" s="17" t="s">
        <v>578</v>
      </c>
      <c r="C28" s="18">
        <v>0.14583333333333329</v>
      </c>
      <c r="D28" s="17" t="s">
        <v>44</v>
      </c>
      <c r="E28" s="213"/>
      <c r="F28" s="17" t="s">
        <v>45</v>
      </c>
      <c r="G28" s="261"/>
      <c r="H28" s="19" t="s">
        <v>578</v>
      </c>
      <c r="I28" s="20">
        <v>0.99439999999999995</v>
      </c>
      <c r="J28" s="21">
        <v>179</v>
      </c>
      <c r="K28" s="22">
        <v>45984</v>
      </c>
      <c r="L28" s="21">
        <v>10</v>
      </c>
      <c r="M28" s="21">
        <v>0</v>
      </c>
      <c r="N28" s="21">
        <v>2</v>
      </c>
      <c r="O28" s="23" t="s">
        <v>46</v>
      </c>
      <c r="P28" s="24">
        <v>0.14583333333333329</v>
      </c>
      <c r="Q28" s="21">
        <v>180</v>
      </c>
      <c r="R28" s="25" t="s">
        <v>590</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99" t="s">
        <v>35</v>
      </c>
      <c r="B29" s="199" t="s">
        <v>591</v>
      </c>
      <c r="C29" s="200">
        <v>0.53125</v>
      </c>
      <c r="D29" s="199" t="s">
        <v>44</v>
      </c>
      <c r="E29" s="201"/>
      <c r="F29" s="199" t="s">
        <v>45</v>
      </c>
      <c r="G29" s="262"/>
      <c r="H29" s="176" t="s">
        <v>591</v>
      </c>
      <c r="I29" s="202">
        <v>1</v>
      </c>
      <c r="J29" s="178">
        <v>180</v>
      </c>
      <c r="K29" s="179">
        <v>45972</v>
      </c>
      <c r="L29" s="178">
        <v>0</v>
      </c>
      <c r="M29" s="178">
        <v>0</v>
      </c>
      <c r="N29" s="178">
        <v>0</v>
      </c>
      <c r="O29" s="180" t="s">
        <v>46</v>
      </c>
      <c r="P29" s="181">
        <v>0.53125</v>
      </c>
      <c r="Q29" s="178">
        <v>180</v>
      </c>
      <c r="R29" s="182" t="s">
        <v>592</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214" t="s">
        <v>35</v>
      </c>
      <c r="B30" s="214" t="s">
        <v>593</v>
      </c>
      <c r="C30" s="215">
        <v>0.86111111111111116</v>
      </c>
      <c r="D30" s="214" t="s">
        <v>44</v>
      </c>
      <c r="E30" s="216"/>
      <c r="F30" s="214" t="s">
        <v>45</v>
      </c>
      <c r="G30" s="262"/>
      <c r="H30" s="186" t="s">
        <v>593</v>
      </c>
      <c r="I30" s="187">
        <v>1</v>
      </c>
      <c r="J30" s="188">
        <v>180</v>
      </c>
      <c r="K30" s="189">
        <v>45971</v>
      </c>
      <c r="L30" s="188">
        <v>0</v>
      </c>
      <c r="M30" s="188">
        <v>0</v>
      </c>
      <c r="N30" s="188">
        <v>0</v>
      </c>
      <c r="O30" s="190" t="s">
        <v>46</v>
      </c>
      <c r="P30" s="191">
        <v>0.86111111111111116</v>
      </c>
      <c r="Q30" s="188">
        <v>180</v>
      </c>
      <c r="R30" s="192" t="s">
        <v>594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8" x14ac:dyDescent="0.3">
      <c r="A31" s="289" t="s">
        <v>580</v>
      </c>
      <c r="B31" s="290"/>
      <c r="C31" s="290"/>
      <c r="D31" s="290"/>
      <c r="E31" s="290"/>
      <c r="F31" s="290"/>
      <c r="G31" s="262"/>
      <c r="H31" s="158"/>
      <c r="I31" s="158"/>
      <c r="J31" s="158"/>
      <c r="K31" s="158"/>
      <c r="L31" s="158"/>
      <c r="M31" s="158"/>
      <c r="N31" s="158"/>
      <c r="O31" s="159"/>
      <c r="P31" s="158"/>
      <c r="Q31" s="160"/>
      <c r="R31" s="16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8" t="s">
        <v>25</v>
      </c>
      <c r="B32" s="38" t="s">
        <v>268</v>
      </c>
      <c r="C32" s="39" t="s">
        <v>581</v>
      </c>
      <c r="D32" s="38" t="s">
        <v>27</v>
      </c>
      <c r="E32" s="38" t="s">
        <v>203</v>
      </c>
      <c r="F32" s="38" t="s">
        <v>273</v>
      </c>
      <c r="G32" s="262"/>
      <c r="H32" s="158"/>
      <c r="I32" s="158"/>
      <c r="J32" s="158"/>
      <c r="K32" s="158"/>
      <c r="L32" s="158"/>
      <c r="M32" s="158"/>
      <c r="N32" s="158"/>
      <c r="O32" s="159"/>
      <c r="P32" s="158"/>
      <c r="Q32" s="160"/>
      <c r="R32" s="16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25</v>
      </c>
      <c r="B33" s="38" t="s">
        <v>271</v>
      </c>
      <c r="C33" s="39" t="s">
        <v>582</v>
      </c>
      <c r="D33" s="38" t="s">
        <v>27</v>
      </c>
      <c r="E33" s="38" t="s">
        <v>205</v>
      </c>
      <c r="F33" s="38" t="s">
        <v>273</v>
      </c>
      <c r="G33" s="262"/>
      <c r="H33" s="158"/>
      <c r="I33" s="158"/>
      <c r="J33" s="158"/>
      <c r="K33" s="158"/>
      <c r="L33" s="158"/>
      <c r="M33" s="158"/>
      <c r="N33" s="158"/>
      <c r="O33" s="159"/>
      <c r="P33" s="158"/>
      <c r="Q33" s="160"/>
      <c r="R33" s="16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38" t="s">
        <v>48</v>
      </c>
      <c r="B34" s="38" t="s">
        <v>283</v>
      </c>
      <c r="C34" s="39" t="s">
        <v>595</v>
      </c>
      <c r="D34" s="38" t="s">
        <v>102</v>
      </c>
      <c r="E34" s="38" t="s">
        <v>218</v>
      </c>
      <c r="F34" s="38" t="s">
        <v>273</v>
      </c>
      <c r="G34" s="262"/>
      <c r="H34" s="158"/>
      <c r="I34" s="158"/>
      <c r="J34" s="158"/>
      <c r="K34" s="158"/>
      <c r="L34" s="158"/>
      <c r="M34" s="158"/>
      <c r="N34" s="158"/>
      <c r="O34" s="159"/>
      <c r="P34" s="158"/>
      <c r="Q34" s="160"/>
      <c r="R34" s="16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38" t="s">
        <v>48</v>
      </c>
      <c r="B35" s="38" t="s">
        <v>283</v>
      </c>
      <c r="C35" s="39" t="s">
        <v>595</v>
      </c>
      <c r="D35" s="38" t="s">
        <v>50</v>
      </c>
      <c r="E35" s="38" t="s">
        <v>218</v>
      </c>
      <c r="F35" s="38" t="s">
        <v>273</v>
      </c>
      <c r="G35" s="262"/>
      <c r="H35" s="158"/>
      <c r="I35" s="158"/>
      <c r="J35" s="158"/>
      <c r="K35" s="158"/>
      <c r="L35" s="158"/>
      <c r="M35" s="158"/>
      <c r="N35" s="158"/>
      <c r="O35" s="159"/>
      <c r="P35" s="158"/>
      <c r="Q35" s="160"/>
      <c r="R35" s="16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8" t="s">
        <v>75</v>
      </c>
      <c r="B36" s="38" t="s">
        <v>320</v>
      </c>
      <c r="C36" s="39" t="s">
        <v>596</v>
      </c>
      <c r="D36" s="38" t="s">
        <v>60</v>
      </c>
      <c r="E36" s="38" t="s">
        <v>213</v>
      </c>
      <c r="F36" s="38" t="s">
        <v>338</v>
      </c>
      <c r="G36" s="262"/>
      <c r="H36" s="158"/>
      <c r="I36" s="158"/>
      <c r="J36" s="158"/>
      <c r="K36" s="158"/>
      <c r="L36" s="158"/>
      <c r="M36" s="158"/>
      <c r="N36" s="158"/>
      <c r="O36" s="159"/>
      <c r="P36" s="158"/>
      <c r="Q36" s="160"/>
      <c r="R36" s="16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38" t="s">
        <v>75</v>
      </c>
      <c r="B37" s="38" t="s">
        <v>339</v>
      </c>
      <c r="C37" s="39" t="s">
        <v>597</v>
      </c>
      <c r="D37" s="38" t="s">
        <v>60</v>
      </c>
      <c r="E37" s="38" t="s">
        <v>598</v>
      </c>
      <c r="F37" s="38" t="s">
        <v>338</v>
      </c>
      <c r="G37" s="262"/>
      <c r="H37" s="158"/>
      <c r="I37" s="158"/>
      <c r="J37" s="158"/>
      <c r="K37" s="158"/>
      <c r="L37" s="158"/>
      <c r="M37" s="158"/>
      <c r="N37" s="158"/>
      <c r="O37" s="159"/>
      <c r="P37" s="158"/>
      <c r="Q37" s="160"/>
      <c r="R37" s="16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38" t="s">
        <v>25</v>
      </c>
      <c r="B38" s="38" t="s">
        <v>276</v>
      </c>
      <c r="C38" s="39" t="s">
        <v>584</v>
      </c>
      <c r="D38" s="38" t="s">
        <v>335</v>
      </c>
      <c r="E38" s="38" t="s">
        <v>205</v>
      </c>
      <c r="F38" s="38" t="s">
        <v>32</v>
      </c>
      <c r="G38" s="262"/>
      <c r="H38" s="158"/>
      <c r="I38" s="158"/>
      <c r="J38" s="158"/>
      <c r="K38" s="158"/>
      <c r="L38" s="158"/>
      <c r="M38" s="158"/>
      <c r="N38" s="158"/>
      <c r="O38" s="159"/>
      <c r="P38" s="158"/>
      <c r="Q38" s="160"/>
      <c r="R38" s="16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38" t="s">
        <v>25</v>
      </c>
      <c r="B39" s="38" t="s">
        <v>276</v>
      </c>
      <c r="C39" s="39" t="s">
        <v>584</v>
      </c>
      <c r="D39" s="38" t="s">
        <v>27</v>
      </c>
      <c r="E39" s="38" t="s">
        <v>205</v>
      </c>
      <c r="F39" s="38" t="s">
        <v>32</v>
      </c>
      <c r="G39" s="262"/>
      <c r="H39" s="158"/>
      <c r="I39" s="158"/>
      <c r="J39" s="158"/>
      <c r="K39" s="158"/>
      <c r="L39" s="158"/>
      <c r="M39" s="158"/>
      <c r="N39" s="158"/>
      <c r="O39" s="159"/>
      <c r="P39" s="158"/>
      <c r="Q39" s="160"/>
      <c r="R39" s="16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38" t="s">
        <v>25</v>
      </c>
      <c r="B40" s="38" t="s">
        <v>277</v>
      </c>
      <c r="C40" s="39" t="s">
        <v>585</v>
      </c>
      <c r="D40" s="38" t="s">
        <v>27</v>
      </c>
      <c r="E40" s="38" t="s">
        <v>583</v>
      </c>
      <c r="F40" s="38" t="s">
        <v>32</v>
      </c>
      <c r="G40" s="262"/>
      <c r="H40" s="158"/>
      <c r="I40" s="158"/>
      <c r="J40" s="158"/>
      <c r="K40" s="158"/>
      <c r="L40" s="158"/>
      <c r="M40" s="158"/>
      <c r="N40" s="158"/>
      <c r="O40" s="159"/>
      <c r="P40" s="158"/>
      <c r="Q40" s="160"/>
      <c r="R40" s="16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0" t="s">
        <v>290</v>
      </c>
      <c r="B41" s="40" t="s">
        <v>341</v>
      </c>
      <c r="C41" s="41" t="s">
        <v>599</v>
      </c>
      <c r="D41" s="40" t="s">
        <v>292</v>
      </c>
      <c r="E41" s="40" t="s">
        <v>207</v>
      </c>
      <c r="F41" s="40" t="s">
        <v>342</v>
      </c>
      <c r="G41" s="263"/>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285"/>
      <c r="B42" s="286"/>
      <c r="C42" s="286"/>
      <c r="D42" s="286"/>
      <c r="E42" s="286"/>
      <c r="F42" s="286"/>
      <c r="G42" s="276"/>
      <c r="H42" s="287"/>
      <c r="I42" s="287"/>
      <c r="J42" s="287"/>
      <c r="K42" s="287"/>
      <c r="L42" s="287"/>
      <c r="M42" s="287"/>
      <c r="N42" s="287"/>
      <c r="O42" s="288"/>
      <c r="P42" s="287"/>
      <c r="Q42" s="276"/>
      <c r="R42" s="27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66" t="s">
        <v>5</v>
      </c>
      <c r="B43" s="267"/>
      <c r="C43" s="267"/>
      <c r="D43" s="267"/>
      <c r="E43" s="267"/>
      <c r="F43" s="267"/>
      <c r="G43" s="5">
        <v>45988</v>
      </c>
      <c r="H43" s="270" t="s">
        <v>6</v>
      </c>
      <c r="I43" s="269"/>
      <c r="J43" s="269"/>
      <c r="K43" s="269"/>
      <c r="L43" s="269"/>
      <c r="M43" s="269"/>
      <c r="N43" s="269"/>
      <c r="O43" s="269"/>
      <c r="P43" s="269"/>
      <c r="Q43" s="269"/>
      <c r="R43" s="269"/>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47" t="s">
        <v>7</v>
      </c>
      <c r="B44" s="47" t="s">
        <v>8</v>
      </c>
      <c r="C44" s="48" t="s">
        <v>9</v>
      </c>
      <c r="D44" s="47" t="s">
        <v>10</v>
      </c>
      <c r="E44" s="47" t="s">
        <v>11</v>
      </c>
      <c r="F44" s="47" t="s">
        <v>12</v>
      </c>
      <c r="G44" s="49" t="s">
        <v>13</v>
      </c>
      <c r="H44" s="47" t="s">
        <v>14</v>
      </c>
      <c r="I44" s="50" t="s">
        <v>15</v>
      </c>
      <c r="J44" s="51" t="s">
        <v>16</v>
      </c>
      <c r="K44" s="52" t="s">
        <v>17</v>
      </c>
      <c r="L44" s="51" t="s">
        <v>18</v>
      </c>
      <c r="M44" s="51" t="s">
        <v>19</v>
      </c>
      <c r="N44" s="51" t="s">
        <v>20</v>
      </c>
      <c r="O44" s="47" t="s">
        <v>21</v>
      </c>
      <c r="P44" s="48" t="s">
        <v>22</v>
      </c>
      <c r="Q44" s="51" t="s">
        <v>23</v>
      </c>
      <c r="R44" s="47"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8" t="s">
        <v>58</v>
      </c>
      <c r="B45" s="8" t="s">
        <v>573</v>
      </c>
      <c r="C45" s="9">
        <v>0.4513888888888889</v>
      </c>
      <c r="D45" s="8" t="s">
        <v>63</v>
      </c>
      <c r="E45" s="8" t="s">
        <v>61</v>
      </c>
      <c r="F45" s="8" t="s">
        <v>600</v>
      </c>
      <c r="G45" s="261"/>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83" t="s">
        <v>35</v>
      </c>
      <c r="B46" s="183" t="s">
        <v>578</v>
      </c>
      <c r="C46" s="184">
        <v>8.6805555555555566E-2</v>
      </c>
      <c r="D46" s="183" t="s">
        <v>44</v>
      </c>
      <c r="E46" s="185"/>
      <c r="F46" s="183" t="s">
        <v>45</v>
      </c>
      <c r="G46" s="262"/>
      <c r="H46" s="186" t="s">
        <v>578</v>
      </c>
      <c r="I46" s="187">
        <v>0.99439999999999995</v>
      </c>
      <c r="J46" s="188">
        <v>179</v>
      </c>
      <c r="K46" s="189">
        <v>45984</v>
      </c>
      <c r="L46" s="188">
        <v>11</v>
      </c>
      <c r="M46" s="188">
        <v>0</v>
      </c>
      <c r="N46" s="188">
        <v>1</v>
      </c>
      <c r="O46" s="190" t="s">
        <v>46</v>
      </c>
      <c r="P46" s="191">
        <v>8.6805555555555566E-2</v>
      </c>
      <c r="Q46" s="188">
        <v>180</v>
      </c>
      <c r="R46" s="192" t="s">
        <v>601</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8" x14ac:dyDescent="0.3">
      <c r="A47" s="289" t="s">
        <v>580</v>
      </c>
      <c r="B47" s="290"/>
      <c r="C47" s="290"/>
      <c r="D47" s="290"/>
      <c r="E47" s="290"/>
      <c r="F47" s="290"/>
      <c r="G47" s="262"/>
      <c r="H47" s="158"/>
      <c r="I47" s="158"/>
      <c r="J47" s="158"/>
      <c r="K47" s="158"/>
      <c r="L47" s="158"/>
      <c r="M47" s="158"/>
      <c r="N47" s="158"/>
      <c r="O47" s="159"/>
      <c r="P47" s="158"/>
      <c r="Q47" s="160"/>
      <c r="R47" s="16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8" t="s">
        <v>35</v>
      </c>
      <c r="B48" s="38" t="s">
        <v>355</v>
      </c>
      <c r="C48" s="39" t="s">
        <v>224</v>
      </c>
      <c r="D48" s="38" t="s">
        <v>37</v>
      </c>
      <c r="E48" s="38" t="s">
        <v>207</v>
      </c>
      <c r="F48" s="38" t="s">
        <v>29</v>
      </c>
      <c r="G48" s="262"/>
      <c r="H48" s="158"/>
      <c r="I48" s="158"/>
      <c r="J48" s="158"/>
      <c r="K48" s="158"/>
      <c r="L48" s="158"/>
      <c r="M48" s="158"/>
      <c r="N48" s="158"/>
      <c r="O48" s="159"/>
      <c r="P48" s="158"/>
      <c r="Q48" s="160"/>
      <c r="R48" s="16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8" t="s">
        <v>25</v>
      </c>
      <c r="B49" s="38" t="s">
        <v>268</v>
      </c>
      <c r="C49" s="39" t="s">
        <v>581</v>
      </c>
      <c r="D49" s="38" t="s">
        <v>27</v>
      </c>
      <c r="E49" s="38" t="s">
        <v>207</v>
      </c>
      <c r="F49" s="38" t="s">
        <v>273</v>
      </c>
      <c r="G49" s="262"/>
      <c r="H49" s="158"/>
      <c r="I49" s="158"/>
      <c r="J49" s="158"/>
      <c r="K49" s="158"/>
      <c r="L49" s="158"/>
      <c r="M49" s="158"/>
      <c r="N49" s="158"/>
      <c r="O49" s="159"/>
      <c r="P49" s="158"/>
      <c r="Q49" s="160"/>
      <c r="R49" s="16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8" t="s">
        <v>25</v>
      </c>
      <c r="B50" s="38" t="s">
        <v>271</v>
      </c>
      <c r="C50" s="39" t="s">
        <v>582</v>
      </c>
      <c r="D50" s="38" t="s">
        <v>27</v>
      </c>
      <c r="E50" s="38" t="s">
        <v>249</v>
      </c>
      <c r="F50" s="38" t="s">
        <v>32</v>
      </c>
      <c r="G50" s="262"/>
      <c r="H50" s="158"/>
      <c r="I50" s="158"/>
      <c r="J50" s="158"/>
      <c r="K50" s="158"/>
      <c r="L50" s="158"/>
      <c r="M50" s="158"/>
      <c r="N50" s="158"/>
      <c r="O50" s="159"/>
      <c r="P50" s="158"/>
      <c r="Q50" s="160"/>
      <c r="R50" s="16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25</v>
      </c>
      <c r="B51" s="38" t="s">
        <v>277</v>
      </c>
      <c r="C51" s="39" t="s">
        <v>585</v>
      </c>
      <c r="D51" s="38" t="s">
        <v>27</v>
      </c>
      <c r="E51" s="38" t="s">
        <v>602</v>
      </c>
      <c r="F51" s="38" t="s">
        <v>32</v>
      </c>
      <c r="G51" s="262"/>
      <c r="H51" s="158"/>
      <c r="I51" s="158"/>
      <c r="J51" s="158"/>
      <c r="K51" s="158"/>
      <c r="L51" s="158"/>
      <c r="M51" s="158"/>
      <c r="N51" s="158"/>
      <c r="O51" s="159"/>
      <c r="P51" s="158"/>
      <c r="Q51" s="160"/>
      <c r="R51" s="16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38" t="s">
        <v>35</v>
      </c>
      <c r="B52" s="38" t="s">
        <v>358</v>
      </c>
      <c r="C52" s="39" t="s">
        <v>603</v>
      </c>
      <c r="D52" s="38" t="s">
        <v>37</v>
      </c>
      <c r="E52" s="38" t="s">
        <v>205</v>
      </c>
      <c r="F52" s="38" t="s">
        <v>359</v>
      </c>
      <c r="G52" s="262"/>
      <c r="H52" s="158"/>
      <c r="I52" s="158"/>
      <c r="J52" s="158"/>
      <c r="K52" s="158"/>
      <c r="L52" s="158"/>
      <c r="M52" s="158"/>
      <c r="N52" s="158"/>
      <c r="O52" s="159"/>
      <c r="P52" s="158"/>
      <c r="Q52" s="160"/>
      <c r="R52" s="16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8" t="s">
        <v>35</v>
      </c>
      <c r="B53" s="38" t="s">
        <v>362</v>
      </c>
      <c r="C53" s="39" t="s">
        <v>604</v>
      </c>
      <c r="D53" s="38" t="s">
        <v>37</v>
      </c>
      <c r="E53" s="38" t="s">
        <v>207</v>
      </c>
      <c r="F53" s="38" t="s">
        <v>359</v>
      </c>
      <c r="G53" s="262"/>
      <c r="H53" s="158"/>
      <c r="I53" s="158"/>
      <c r="J53" s="158"/>
      <c r="K53" s="158"/>
      <c r="L53" s="158"/>
      <c r="M53" s="158"/>
      <c r="N53" s="158"/>
      <c r="O53" s="159"/>
      <c r="P53" s="158"/>
      <c r="Q53" s="160"/>
      <c r="R53" s="16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25</v>
      </c>
      <c r="B54" s="38" t="s">
        <v>276</v>
      </c>
      <c r="C54" s="39" t="s">
        <v>584</v>
      </c>
      <c r="D54" s="38" t="s">
        <v>27</v>
      </c>
      <c r="E54" s="38" t="s">
        <v>213</v>
      </c>
      <c r="F54" s="38" t="s">
        <v>270</v>
      </c>
      <c r="G54" s="262"/>
      <c r="H54" s="158"/>
      <c r="I54" s="158"/>
      <c r="J54" s="158"/>
      <c r="K54" s="158"/>
      <c r="L54" s="158"/>
      <c r="M54" s="158"/>
      <c r="N54" s="158"/>
      <c r="O54" s="159"/>
      <c r="P54" s="158"/>
      <c r="Q54" s="160"/>
      <c r="R54" s="16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8" t="s">
        <v>48</v>
      </c>
      <c r="B55" s="38" t="s">
        <v>279</v>
      </c>
      <c r="C55" s="39" t="s">
        <v>588</v>
      </c>
      <c r="D55" s="38" t="s">
        <v>50</v>
      </c>
      <c r="E55" s="38" t="s">
        <v>598</v>
      </c>
      <c r="F55" s="38" t="s">
        <v>270</v>
      </c>
      <c r="G55" s="262"/>
      <c r="H55" s="158"/>
      <c r="I55" s="158"/>
      <c r="J55" s="158"/>
      <c r="K55" s="158"/>
      <c r="L55" s="158"/>
      <c r="M55" s="158"/>
      <c r="N55" s="158"/>
      <c r="O55" s="159"/>
      <c r="P55" s="158"/>
      <c r="Q55" s="160"/>
      <c r="R55" s="16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38" t="s">
        <v>48</v>
      </c>
      <c r="B56" s="38" t="s">
        <v>278</v>
      </c>
      <c r="C56" s="39" t="s">
        <v>586</v>
      </c>
      <c r="D56" s="38" t="s">
        <v>50</v>
      </c>
      <c r="E56" s="38" t="s">
        <v>207</v>
      </c>
      <c r="F56" s="38" t="s">
        <v>270</v>
      </c>
      <c r="G56" s="262"/>
      <c r="H56" s="158"/>
      <c r="I56" s="158"/>
      <c r="J56" s="158"/>
      <c r="K56" s="158"/>
      <c r="L56" s="158"/>
      <c r="M56" s="158"/>
      <c r="N56" s="158"/>
      <c r="O56" s="159"/>
      <c r="P56" s="158"/>
      <c r="Q56" s="160"/>
      <c r="R56" s="16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0" t="s">
        <v>48</v>
      </c>
      <c r="B57" s="40" t="s">
        <v>288</v>
      </c>
      <c r="C57" s="41" t="s">
        <v>605</v>
      </c>
      <c r="D57" s="40" t="s">
        <v>50</v>
      </c>
      <c r="E57" s="40" t="s">
        <v>249</v>
      </c>
      <c r="F57" s="40" t="s">
        <v>270</v>
      </c>
      <c r="G57" s="263"/>
      <c r="H57" s="161"/>
      <c r="I57" s="161"/>
      <c r="J57" s="161"/>
      <c r="K57" s="161"/>
      <c r="L57" s="161"/>
      <c r="M57" s="161"/>
      <c r="N57" s="161"/>
      <c r="O57" s="162"/>
      <c r="P57" s="161"/>
      <c r="Q57" s="163"/>
      <c r="R57" s="16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85"/>
      <c r="B58" s="286"/>
      <c r="C58" s="286"/>
      <c r="D58" s="286"/>
      <c r="E58" s="286"/>
      <c r="F58" s="286"/>
      <c r="G58" s="276"/>
      <c r="H58" s="287"/>
      <c r="I58" s="287"/>
      <c r="J58" s="287"/>
      <c r="K58" s="287"/>
      <c r="L58" s="287"/>
      <c r="M58" s="287"/>
      <c r="N58" s="287"/>
      <c r="O58" s="288"/>
      <c r="P58" s="287"/>
      <c r="Q58" s="276"/>
      <c r="R58" s="27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66" t="s">
        <v>5</v>
      </c>
      <c r="B59" s="267"/>
      <c r="C59" s="267"/>
      <c r="D59" s="267"/>
      <c r="E59" s="267"/>
      <c r="F59" s="267"/>
      <c r="G59" s="5">
        <v>45989</v>
      </c>
      <c r="H59" s="270" t="s">
        <v>6</v>
      </c>
      <c r="I59" s="269"/>
      <c r="J59" s="269"/>
      <c r="K59" s="269"/>
      <c r="L59" s="269"/>
      <c r="M59" s="269"/>
      <c r="N59" s="269"/>
      <c r="O59" s="269"/>
      <c r="P59" s="269"/>
      <c r="Q59" s="269"/>
      <c r="R59" s="269"/>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47" t="s">
        <v>7</v>
      </c>
      <c r="B60" s="47" t="s">
        <v>8</v>
      </c>
      <c r="C60" s="48" t="s">
        <v>9</v>
      </c>
      <c r="D60" s="47" t="s">
        <v>10</v>
      </c>
      <c r="E60" s="47" t="s">
        <v>11</v>
      </c>
      <c r="F60" s="47" t="s">
        <v>12</v>
      </c>
      <c r="G60" s="49" t="s">
        <v>13</v>
      </c>
      <c r="H60" s="47" t="s">
        <v>14</v>
      </c>
      <c r="I60" s="50" t="s">
        <v>15</v>
      </c>
      <c r="J60" s="51" t="s">
        <v>16</v>
      </c>
      <c r="K60" s="52" t="s">
        <v>17</v>
      </c>
      <c r="L60" s="51" t="s">
        <v>18</v>
      </c>
      <c r="M60" s="51" t="s">
        <v>19</v>
      </c>
      <c r="N60" s="51" t="s">
        <v>20</v>
      </c>
      <c r="O60" s="47" t="s">
        <v>21</v>
      </c>
      <c r="P60" s="48" t="s">
        <v>22</v>
      </c>
      <c r="Q60" s="51" t="s">
        <v>23</v>
      </c>
      <c r="R60" s="4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58</v>
      </c>
      <c r="B61" s="8" t="s">
        <v>575</v>
      </c>
      <c r="C61" s="9">
        <v>0.81944444444444453</v>
      </c>
      <c r="D61" s="8" t="s">
        <v>63</v>
      </c>
      <c r="E61" s="8" t="s">
        <v>77</v>
      </c>
      <c r="F61" s="8" t="s">
        <v>600</v>
      </c>
      <c r="G61" s="261"/>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35</v>
      </c>
      <c r="B62" s="17" t="s">
        <v>578</v>
      </c>
      <c r="C62" s="18">
        <v>0.22916666666666671</v>
      </c>
      <c r="D62" s="17" t="s">
        <v>44</v>
      </c>
      <c r="E62" s="213"/>
      <c r="F62" s="17" t="s">
        <v>45</v>
      </c>
      <c r="G62" s="262"/>
      <c r="H62" s="19" t="s">
        <v>578</v>
      </c>
      <c r="I62" s="20">
        <v>1</v>
      </c>
      <c r="J62" s="21">
        <v>180</v>
      </c>
      <c r="K62" s="22">
        <v>45984</v>
      </c>
      <c r="L62" s="21">
        <v>62</v>
      </c>
      <c r="M62" s="21">
        <v>0</v>
      </c>
      <c r="N62" s="21">
        <v>2</v>
      </c>
      <c r="O62" s="23" t="s">
        <v>46</v>
      </c>
      <c r="P62" s="24">
        <v>0.22916666666666671</v>
      </c>
      <c r="Q62" s="21">
        <v>180</v>
      </c>
      <c r="R62" s="25" t="s">
        <v>606</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8" x14ac:dyDescent="0.3">
      <c r="A63" s="289" t="s">
        <v>580</v>
      </c>
      <c r="B63" s="290"/>
      <c r="C63" s="290"/>
      <c r="D63" s="290"/>
      <c r="E63" s="290"/>
      <c r="F63" s="290"/>
      <c r="G63" s="262"/>
      <c r="H63" s="158"/>
      <c r="I63" s="158"/>
      <c r="J63" s="158"/>
      <c r="K63" s="158"/>
      <c r="L63" s="158"/>
      <c r="M63" s="158"/>
      <c r="N63" s="158"/>
      <c r="O63" s="159"/>
      <c r="P63" s="158"/>
      <c r="Q63" s="160"/>
      <c r="R63" s="16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38" t="s">
        <v>35</v>
      </c>
      <c r="B64" s="38" t="s">
        <v>365</v>
      </c>
      <c r="C64" s="39" t="s">
        <v>607</v>
      </c>
      <c r="D64" s="38" t="s">
        <v>37</v>
      </c>
      <c r="E64" s="38" t="s">
        <v>207</v>
      </c>
      <c r="F64" s="38" t="s">
        <v>376</v>
      </c>
      <c r="G64" s="262"/>
      <c r="H64" s="158"/>
      <c r="I64" s="158"/>
      <c r="J64" s="158"/>
      <c r="K64" s="158"/>
      <c r="L64" s="158"/>
      <c r="M64" s="158"/>
      <c r="N64" s="158"/>
      <c r="O64" s="159"/>
      <c r="P64" s="158"/>
      <c r="Q64" s="160"/>
      <c r="R64" s="16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38" t="s">
        <v>75</v>
      </c>
      <c r="B65" s="38" t="s">
        <v>318</v>
      </c>
      <c r="C65" s="39" t="s">
        <v>608</v>
      </c>
      <c r="D65" s="38" t="s">
        <v>60</v>
      </c>
      <c r="E65" s="38" t="s">
        <v>209</v>
      </c>
      <c r="F65" s="38" t="s">
        <v>338</v>
      </c>
      <c r="G65" s="262"/>
      <c r="H65" s="158"/>
      <c r="I65" s="158"/>
      <c r="J65" s="158"/>
      <c r="K65" s="158"/>
      <c r="L65" s="158"/>
      <c r="M65" s="158"/>
      <c r="N65" s="158"/>
      <c r="O65" s="159"/>
      <c r="P65" s="158"/>
      <c r="Q65" s="160"/>
      <c r="R65" s="16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8" t="s">
        <v>75</v>
      </c>
      <c r="B66" s="38" t="s">
        <v>320</v>
      </c>
      <c r="C66" s="39" t="s">
        <v>609</v>
      </c>
      <c r="D66" s="38" t="s">
        <v>60</v>
      </c>
      <c r="E66" s="38" t="s">
        <v>209</v>
      </c>
      <c r="F66" s="38" t="s">
        <v>338</v>
      </c>
      <c r="G66" s="262"/>
      <c r="H66" s="158"/>
      <c r="I66" s="158"/>
      <c r="J66" s="158"/>
      <c r="K66" s="158"/>
      <c r="L66" s="158"/>
      <c r="M66" s="158"/>
      <c r="N66" s="158"/>
      <c r="O66" s="159"/>
      <c r="P66" s="158"/>
      <c r="Q66" s="160"/>
      <c r="R66" s="16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8" t="s">
        <v>75</v>
      </c>
      <c r="B67" s="38" t="s">
        <v>321</v>
      </c>
      <c r="C67" s="39" t="s">
        <v>610</v>
      </c>
      <c r="D67" s="38" t="s">
        <v>60</v>
      </c>
      <c r="E67" s="38" t="s">
        <v>611</v>
      </c>
      <c r="F67" s="38" t="s">
        <v>338</v>
      </c>
      <c r="G67" s="262"/>
      <c r="H67" s="158"/>
      <c r="I67" s="158"/>
      <c r="J67" s="158"/>
      <c r="K67" s="158"/>
      <c r="L67" s="158"/>
      <c r="M67" s="158"/>
      <c r="N67" s="158"/>
      <c r="O67" s="159"/>
      <c r="P67" s="158"/>
      <c r="Q67" s="160"/>
      <c r="R67" s="16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8" t="s">
        <v>75</v>
      </c>
      <c r="B68" s="38" t="s">
        <v>322</v>
      </c>
      <c r="C68" s="39" t="s">
        <v>612</v>
      </c>
      <c r="D68" s="38" t="s">
        <v>60</v>
      </c>
      <c r="E68" s="38" t="s">
        <v>209</v>
      </c>
      <c r="F68" s="38" t="s">
        <v>338</v>
      </c>
      <c r="G68" s="262"/>
      <c r="H68" s="158"/>
      <c r="I68" s="158"/>
      <c r="J68" s="158"/>
      <c r="K68" s="158"/>
      <c r="L68" s="158"/>
      <c r="M68" s="158"/>
      <c r="N68" s="158"/>
      <c r="O68" s="159"/>
      <c r="P68" s="158"/>
      <c r="Q68" s="160"/>
      <c r="R68" s="16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8" t="s">
        <v>75</v>
      </c>
      <c r="B69" s="38" t="s">
        <v>339</v>
      </c>
      <c r="C69" s="39" t="s">
        <v>597</v>
      </c>
      <c r="D69" s="38" t="s">
        <v>60</v>
      </c>
      <c r="E69" s="38" t="s">
        <v>209</v>
      </c>
      <c r="F69" s="38" t="s">
        <v>338</v>
      </c>
      <c r="G69" s="262"/>
      <c r="H69" s="158"/>
      <c r="I69" s="158"/>
      <c r="J69" s="158"/>
      <c r="K69" s="158"/>
      <c r="L69" s="158"/>
      <c r="M69" s="158"/>
      <c r="N69" s="158"/>
      <c r="O69" s="159"/>
      <c r="P69" s="158"/>
      <c r="Q69" s="160"/>
      <c r="R69" s="16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8" t="s">
        <v>75</v>
      </c>
      <c r="B70" s="38" t="s">
        <v>316</v>
      </c>
      <c r="C70" s="39" t="s">
        <v>595</v>
      </c>
      <c r="D70" s="38" t="s">
        <v>60</v>
      </c>
      <c r="E70" s="38" t="s">
        <v>209</v>
      </c>
      <c r="F70" s="38" t="s">
        <v>386</v>
      </c>
      <c r="G70" s="262"/>
      <c r="H70" s="158"/>
      <c r="I70" s="158"/>
      <c r="J70" s="158"/>
      <c r="K70" s="158"/>
      <c r="L70" s="158"/>
      <c r="M70" s="158"/>
      <c r="N70" s="158"/>
      <c r="O70" s="159"/>
      <c r="P70" s="158"/>
      <c r="Q70" s="160"/>
      <c r="R70" s="16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8" t="s">
        <v>290</v>
      </c>
      <c r="B71" s="38" t="s">
        <v>341</v>
      </c>
      <c r="C71" s="39" t="s">
        <v>599</v>
      </c>
      <c r="D71" s="38" t="s">
        <v>292</v>
      </c>
      <c r="E71" s="38" t="s">
        <v>201</v>
      </c>
      <c r="F71" s="38" t="s">
        <v>387</v>
      </c>
      <c r="G71" s="262"/>
      <c r="H71" s="158"/>
      <c r="I71" s="158"/>
      <c r="J71" s="158"/>
      <c r="K71" s="158"/>
      <c r="L71" s="158"/>
      <c r="M71" s="158"/>
      <c r="N71" s="158"/>
      <c r="O71" s="159"/>
      <c r="P71" s="158"/>
      <c r="Q71" s="160"/>
      <c r="R71" s="16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38" t="s">
        <v>25</v>
      </c>
      <c r="B72" s="38" t="s">
        <v>268</v>
      </c>
      <c r="C72" s="39" t="s">
        <v>581</v>
      </c>
      <c r="D72" s="38" t="s">
        <v>27</v>
      </c>
      <c r="E72" s="38" t="s">
        <v>201</v>
      </c>
      <c r="F72" s="38" t="s">
        <v>270</v>
      </c>
      <c r="G72" s="262"/>
      <c r="H72" s="158"/>
      <c r="I72" s="158"/>
      <c r="J72" s="158"/>
      <c r="K72" s="158"/>
      <c r="L72" s="158"/>
      <c r="M72" s="158"/>
      <c r="N72" s="158"/>
      <c r="O72" s="159"/>
      <c r="P72" s="158"/>
      <c r="Q72" s="160"/>
      <c r="R72" s="16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40" t="s">
        <v>35</v>
      </c>
      <c r="B73" s="40" t="s">
        <v>378</v>
      </c>
      <c r="C73" s="41" t="s">
        <v>613</v>
      </c>
      <c r="D73" s="40" t="s">
        <v>37</v>
      </c>
      <c r="E73" s="40" t="s">
        <v>207</v>
      </c>
      <c r="F73" s="40" t="s">
        <v>366</v>
      </c>
      <c r="G73" s="263"/>
      <c r="H73" s="161"/>
      <c r="I73" s="161"/>
      <c r="J73" s="161"/>
      <c r="K73" s="161"/>
      <c r="L73" s="161"/>
      <c r="M73" s="161"/>
      <c r="N73" s="161"/>
      <c r="O73" s="162"/>
      <c r="P73" s="161"/>
      <c r="Q73" s="163"/>
      <c r="R73" s="16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275"/>
      <c r="B74" s="276"/>
      <c r="C74" s="276"/>
      <c r="D74" s="276"/>
      <c r="E74" s="276"/>
      <c r="F74" s="276"/>
      <c r="G74" s="276"/>
      <c r="H74" s="276"/>
      <c r="I74" s="276"/>
      <c r="J74" s="276"/>
      <c r="K74" s="276"/>
      <c r="L74" s="276"/>
      <c r="M74" s="276"/>
      <c r="N74" s="276"/>
      <c r="O74" s="276"/>
      <c r="P74" s="276"/>
      <c r="Q74" s="276"/>
      <c r="R74" s="27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266" t="s">
        <v>5</v>
      </c>
      <c r="B75" s="267"/>
      <c r="C75" s="267"/>
      <c r="D75" s="267"/>
      <c r="E75" s="267"/>
      <c r="F75" s="267"/>
      <c r="G75" s="5">
        <v>45990</v>
      </c>
      <c r="H75" s="270" t="s">
        <v>6</v>
      </c>
      <c r="I75" s="269"/>
      <c r="J75" s="269"/>
      <c r="K75" s="269"/>
      <c r="L75" s="269"/>
      <c r="M75" s="269"/>
      <c r="N75" s="269"/>
      <c r="O75" s="269"/>
      <c r="P75" s="269"/>
      <c r="Q75" s="269"/>
      <c r="R75" s="26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47" t="s">
        <v>7</v>
      </c>
      <c r="B76" s="47" t="s">
        <v>8</v>
      </c>
      <c r="C76" s="48" t="s">
        <v>9</v>
      </c>
      <c r="D76" s="47" t="s">
        <v>10</v>
      </c>
      <c r="E76" s="47" t="s">
        <v>11</v>
      </c>
      <c r="F76" s="47" t="s">
        <v>12</v>
      </c>
      <c r="G76" s="49" t="s">
        <v>13</v>
      </c>
      <c r="H76" s="47" t="s">
        <v>14</v>
      </c>
      <c r="I76" s="50" t="s">
        <v>15</v>
      </c>
      <c r="J76" s="51" t="s">
        <v>16</v>
      </c>
      <c r="K76" s="52" t="s">
        <v>17</v>
      </c>
      <c r="L76" s="51" t="s">
        <v>18</v>
      </c>
      <c r="M76" s="51" t="s">
        <v>19</v>
      </c>
      <c r="N76" s="51" t="s">
        <v>20</v>
      </c>
      <c r="O76" s="47" t="s">
        <v>21</v>
      </c>
      <c r="P76" s="48" t="s">
        <v>22</v>
      </c>
      <c r="Q76" s="51" t="s">
        <v>23</v>
      </c>
      <c r="R76" s="47"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8" t="s">
        <v>25</v>
      </c>
      <c r="B77" s="8" t="s">
        <v>566</v>
      </c>
      <c r="C77" s="9">
        <v>0.3611111111111111</v>
      </c>
      <c r="D77" s="8" t="s">
        <v>567</v>
      </c>
      <c r="E77" s="8" t="s">
        <v>38</v>
      </c>
      <c r="F77" s="8" t="s">
        <v>394</v>
      </c>
      <c r="G77" s="261"/>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566</v>
      </c>
      <c r="C78" s="16">
        <v>0.3611111111111111</v>
      </c>
      <c r="D78" s="15" t="s">
        <v>568</v>
      </c>
      <c r="E78" s="15" t="s">
        <v>74</v>
      </c>
      <c r="F78" s="15" t="s">
        <v>614</v>
      </c>
      <c r="G78" s="26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566</v>
      </c>
      <c r="C79" s="16">
        <v>0.3611111111111111</v>
      </c>
      <c r="D79" s="15" t="s">
        <v>570</v>
      </c>
      <c r="E79" s="15" t="s">
        <v>74</v>
      </c>
      <c r="F79" s="15" t="s">
        <v>615</v>
      </c>
      <c r="G79" s="26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25</v>
      </c>
      <c r="B80" s="15" t="s">
        <v>566</v>
      </c>
      <c r="C80" s="16">
        <v>0.3611111111111111</v>
      </c>
      <c r="D80" s="15" t="s">
        <v>571</v>
      </c>
      <c r="E80" s="15" t="s">
        <v>74</v>
      </c>
      <c r="F80" s="15" t="s">
        <v>616</v>
      </c>
      <c r="G80" s="262"/>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36" t="s">
        <v>58</v>
      </c>
      <c r="B81" s="36" t="s">
        <v>573</v>
      </c>
      <c r="C81" s="37">
        <v>0.4513888888888889</v>
      </c>
      <c r="D81" s="36" t="s">
        <v>63</v>
      </c>
      <c r="E81" s="36" t="s">
        <v>77</v>
      </c>
      <c r="F81" s="36" t="s">
        <v>600</v>
      </c>
      <c r="G81" s="262"/>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38" t="s">
        <v>58</v>
      </c>
      <c r="B82" s="38" t="s">
        <v>575</v>
      </c>
      <c r="C82" s="39">
        <v>0.81944444444444453</v>
      </c>
      <c r="D82" s="38" t="s">
        <v>63</v>
      </c>
      <c r="E82" s="38" t="s">
        <v>72</v>
      </c>
      <c r="F82" s="38" t="s">
        <v>600</v>
      </c>
      <c r="G82" s="262"/>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75" t="s">
        <v>35</v>
      </c>
      <c r="B83" s="75" t="s">
        <v>591</v>
      </c>
      <c r="C83" s="76">
        <v>0.27083333333333331</v>
      </c>
      <c r="D83" s="75" t="s">
        <v>44</v>
      </c>
      <c r="E83" s="164"/>
      <c r="F83" s="75" t="s">
        <v>45</v>
      </c>
      <c r="G83" s="262"/>
      <c r="H83" s="29" t="s">
        <v>591</v>
      </c>
      <c r="I83" s="30">
        <v>1</v>
      </c>
      <c r="J83" s="31">
        <v>180</v>
      </c>
      <c r="K83" s="32">
        <v>45985</v>
      </c>
      <c r="L83" s="31">
        <v>1</v>
      </c>
      <c r="M83" s="31">
        <v>1</v>
      </c>
      <c r="N83" s="31">
        <v>0</v>
      </c>
      <c r="O83" s="33" t="s">
        <v>46</v>
      </c>
      <c r="P83" s="34">
        <v>0.27083333333333331</v>
      </c>
      <c r="Q83" s="31">
        <v>180</v>
      </c>
      <c r="R83" s="35" t="s">
        <v>617</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6" t="s">
        <v>35</v>
      </c>
      <c r="B84" s="196" t="s">
        <v>578</v>
      </c>
      <c r="C84" s="197">
        <v>0.60416666666666663</v>
      </c>
      <c r="D84" s="196" t="s">
        <v>44</v>
      </c>
      <c r="E84" s="198"/>
      <c r="F84" s="196" t="s">
        <v>45</v>
      </c>
      <c r="G84" s="262"/>
      <c r="H84" s="151" t="s">
        <v>578</v>
      </c>
      <c r="I84" s="152">
        <v>1</v>
      </c>
      <c r="J84" s="153">
        <v>180</v>
      </c>
      <c r="K84" s="154">
        <v>45984</v>
      </c>
      <c r="L84" s="153">
        <v>17</v>
      </c>
      <c r="M84" s="153">
        <v>0</v>
      </c>
      <c r="N84" s="153">
        <v>2</v>
      </c>
      <c r="O84" s="155" t="s">
        <v>46</v>
      </c>
      <c r="P84" s="156">
        <v>0.60416666666666663</v>
      </c>
      <c r="Q84" s="153">
        <v>180</v>
      </c>
      <c r="R84" s="157" t="s">
        <v>618</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8" x14ac:dyDescent="0.3">
      <c r="A85" s="289" t="s">
        <v>580</v>
      </c>
      <c r="B85" s="290"/>
      <c r="C85" s="290"/>
      <c r="D85" s="290"/>
      <c r="E85" s="290"/>
      <c r="F85" s="290"/>
      <c r="G85" s="262"/>
      <c r="H85" s="158"/>
      <c r="I85" s="158"/>
      <c r="J85" s="158"/>
      <c r="K85" s="158"/>
      <c r="L85" s="158"/>
      <c r="M85" s="158"/>
      <c r="N85" s="158"/>
      <c r="O85" s="159"/>
      <c r="P85" s="158"/>
      <c r="Q85" s="160"/>
      <c r="R85" s="16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38" t="s">
        <v>75</v>
      </c>
      <c r="B86" s="38" t="s">
        <v>318</v>
      </c>
      <c r="C86" s="39" t="s">
        <v>619</v>
      </c>
      <c r="D86" s="38" t="s">
        <v>60</v>
      </c>
      <c r="E86" s="38" t="s">
        <v>209</v>
      </c>
      <c r="F86" s="38" t="s">
        <v>338</v>
      </c>
      <c r="G86" s="262"/>
      <c r="H86" s="158"/>
      <c r="I86" s="158"/>
      <c r="J86" s="158"/>
      <c r="K86" s="158"/>
      <c r="L86" s="158"/>
      <c r="M86" s="158"/>
      <c r="N86" s="158"/>
      <c r="O86" s="159"/>
      <c r="P86" s="158"/>
      <c r="Q86" s="160"/>
      <c r="R86" s="16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38" t="s">
        <v>75</v>
      </c>
      <c r="B87" s="38" t="s">
        <v>319</v>
      </c>
      <c r="C87" s="39" t="s">
        <v>620</v>
      </c>
      <c r="D87" s="38" t="s">
        <v>60</v>
      </c>
      <c r="E87" s="38" t="s">
        <v>209</v>
      </c>
      <c r="F87" s="38" t="s">
        <v>338</v>
      </c>
      <c r="G87" s="262"/>
      <c r="H87" s="158"/>
      <c r="I87" s="158"/>
      <c r="J87" s="158"/>
      <c r="K87" s="158"/>
      <c r="L87" s="158"/>
      <c r="M87" s="158"/>
      <c r="N87" s="158"/>
      <c r="O87" s="159"/>
      <c r="P87" s="158"/>
      <c r="Q87" s="160"/>
      <c r="R87" s="16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38" t="s">
        <v>75</v>
      </c>
      <c r="B88" s="38" t="s">
        <v>321</v>
      </c>
      <c r="C88" s="39" t="s">
        <v>610</v>
      </c>
      <c r="D88" s="38" t="s">
        <v>60</v>
      </c>
      <c r="E88" s="38" t="s">
        <v>203</v>
      </c>
      <c r="F88" s="38" t="s">
        <v>338</v>
      </c>
      <c r="G88" s="262"/>
      <c r="H88" s="158"/>
      <c r="I88" s="158"/>
      <c r="J88" s="158"/>
      <c r="K88" s="158"/>
      <c r="L88" s="158"/>
      <c r="M88" s="158"/>
      <c r="N88" s="158"/>
      <c r="O88" s="159"/>
      <c r="P88" s="158"/>
      <c r="Q88" s="160"/>
      <c r="R88" s="16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38" t="s">
        <v>75</v>
      </c>
      <c r="B89" s="38" t="s">
        <v>316</v>
      </c>
      <c r="C89" s="39" t="s">
        <v>595</v>
      </c>
      <c r="D89" s="38" t="s">
        <v>60</v>
      </c>
      <c r="E89" s="38" t="s">
        <v>209</v>
      </c>
      <c r="F89" s="38" t="s">
        <v>386</v>
      </c>
      <c r="G89" s="262"/>
      <c r="H89" s="158"/>
      <c r="I89" s="158"/>
      <c r="J89" s="158"/>
      <c r="K89" s="158"/>
      <c r="L89" s="158"/>
      <c r="M89" s="158"/>
      <c r="N89" s="158"/>
      <c r="O89" s="159"/>
      <c r="P89" s="158"/>
      <c r="Q89" s="160"/>
      <c r="R89" s="16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38" t="s">
        <v>25</v>
      </c>
      <c r="B90" s="38" t="s">
        <v>268</v>
      </c>
      <c r="C90" s="39" t="s">
        <v>581</v>
      </c>
      <c r="D90" s="38" t="s">
        <v>27</v>
      </c>
      <c r="E90" s="38" t="s">
        <v>201</v>
      </c>
      <c r="F90" s="38" t="s">
        <v>275</v>
      </c>
      <c r="G90" s="262"/>
      <c r="H90" s="158"/>
      <c r="I90" s="158"/>
      <c r="J90" s="158"/>
      <c r="K90" s="158"/>
      <c r="L90" s="158"/>
      <c r="M90" s="158"/>
      <c r="N90" s="158"/>
      <c r="O90" s="159"/>
      <c r="P90" s="158"/>
      <c r="Q90" s="160"/>
      <c r="R90" s="16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38" t="s">
        <v>48</v>
      </c>
      <c r="B91" s="38" t="s">
        <v>279</v>
      </c>
      <c r="C91" s="39" t="s">
        <v>588</v>
      </c>
      <c r="D91" s="38" t="s">
        <v>50</v>
      </c>
      <c r="E91" s="38" t="s">
        <v>207</v>
      </c>
      <c r="F91" s="38" t="s">
        <v>275</v>
      </c>
      <c r="G91" s="262"/>
      <c r="H91" s="158"/>
      <c r="I91" s="158"/>
      <c r="J91" s="158"/>
      <c r="K91" s="158"/>
      <c r="L91" s="158"/>
      <c r="M91" s="158"/>
      <c r="N91" s="158"/>
      <c r="O91" s="159"/>
      <c r="P91" s="158"/>
      <c r="Q91" s="160"/>
      <c r="R91" s="16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8" t="s">
        <v>290</v>
      </c>
      <c r="B92" s="38" t="s">
        <v>291</v>
      </c>
      <c r="C92" s="39" t="s">
        <v>587</v>
      </c>
      <c r="D92" s="38" t="s">
        <v>292</v>
      </c>
      <c r="E92" s="38" t="s">
        <v>249</v>
      </c>
      <c r="F92" s="38" t="s">
        <v>406</v>
      </c>
      <c r="G92" s="262"/>
      <c r="H92" s="158"/>
      <c r="I92" s="158"/>
      <c r="J92" s="158"/>
      <c r="K92" s="158"/>
      <c r="L92" s="158"/>
      <c r="M92" s="158"/>
      <c r="N92" s="158"/>
      <c r="O92" s="159"/>
      <c r="P92" s="158"/>
      <c r="Q92" s="160"/>
      <c r="R92" s="16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8" t="s">
        <v>25</v>
      </c>
      <c r="B93" s="38" t="s">
        <v>277</v>
      </c>
      <c r="C93" s="39" t="s">
        <v>585</v>
      </c>
      <c r="D93" s="38" t="s">
        <v>27</v>
      </c>
      <c r="E93" s="38" t="s">
        <v>598</v>
      </c>
      <c r="F93" s="38" t="s">
        <v>112</v>
      </c>
      <c r="G93" s="262"/>
      <c r="H93" s="158"/>
      <c r="I93" s="158"/>
      <c r="J93" s="158"/>
      <c r="K93" s="158"/>
      <c r="L93" s="158"/>
      <c r="M93" s="158"/>
      <c r="N93" s="158"/>
      <c r="O93" s="159"/>
      <c r="P93" s="158"/>
      <c r="Q93" s="160"/>
      <c r="R93" s="16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38" t="s">
        <v>48</v>
      </c>
      <c r="B94" s="38" t="s">
        <v>279</v>
      </c>
      <c r="C94" s="39" t="s">
        <v>588</v>
      </c>
      <c r="D94" s="38" t="s">
        <v>53</v>
      </c>
      <c r="E94" s="38" t="s">
        <v>207</v>
      </c>
      <c r="F94" s="38" t="s">
        <v>112</v>
      </c>
      <c r="G94" s="262"/>
      <c r="H94" s="158"/>
      <c r="I94" s="158"/>
      <c r="J94" s="158"/>
      <c r="K94" s="158"/>
      <c r="L94" s="158"/>
      <c r="M94" s="158"/>
      <c r="N94" s="158"/>
      <c r="O94" s="159"/>
      <c r="P94" s="158"/>
      <c r="Q94" s="160"/>
      <c r="R94" s="16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40" t="s">
        <v>290</v>
      </c>
      <c r="B95" s="40" t="s">
        <v>291</v>
      </c>
      <c r="C95" s="41" t="s">
        <v>587</v>
      </c>
      <c r="D95" s="40" t="s">
        <v>30</v>
      </c>
      <c r="E95" s="40" t="s">
        <v>249</v>
      </c>
      <c r="F95" s="40" t="s">
        <v>407</v>
      </c>
      <c r="G95" s="263"/>
      <c r="H95" s="161"/>
      <c r="I95" s="161"/>
      <c r="J95" s="161"/>
      <c r="K95" s="161"/>
      <c r="L95" s="161"/>
      <c r="M95" s="161"/>
      <c r="N95" s="161"/>
      <c r="O95" s="162"/>
      <c r="P95" s="161"/>
      <c r="Q95" s="163"/>
      <c r="R95" s="16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285"/>
      <c r="B96" s="286"/>
      <c r="C96" s="286"/>
      <c r="D96" s="286"/>
      <c r="E96" s="286"/>
      <c r="F96" s="286"/>
      <c r="G96" s="276"/>
      <c r="H96" s="287"/>
      <c r="I96" s="287"/>
      <c r="J96" s="287"/>
      <c r="K96" s="287"/>
      <c r="L96" s="287"/>
      <c r="M96" s="287"/>
      <c r="N96" s="287"/>
      <c r="O96" s="288"/>
      <c r="P96" s="287"/>
      <c r="Q96" s="276"/>
      <c r="R96" s="27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266" t="s">
        <v>5</v>
      </c>
      <c r="B97" s="267"/>
      <c r="C97" s="267"/>
      <c r="D97" s="267"/>
      <c r="E97" s="267"/>
      <c r="F97" s="267"/>
      <c r="G97" s="5">
        <v>45991</v>
      </c>
      <c r="H97" s="270" t="s">
        <v>6</v>
      </c>
      <c r="I97" s="269"/>
      <c r="J97" s="269"/>
      <c r="K97" s="269"/>
      <c r="L97" s="269"/>
      <c r="M97" s="269"/>
      <c r="N97" s="269"/>
      <c r="O97" s="269"/>
      <c r="P97" s="269"/>
      <c r="Q97" s="269"/>
      <c r="R97" s="26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47" t="s">
        <v>7</v>
      </c>
      <c r="B98" s="47" t="s">
        <v>8</v>
      </c>
      <c r="C98" s="48" t="s">
        <v>9</v>
      </c>
      <c r="D98" s="47" t="s">
        <v>10</v>
      </c>
      <c r="E98" s="47" t="s">
        <v>11</v>
      </c>
      <c r="F98" s="47" t="s">
        <v>12</v>
      </c>
      <c r="G98" s="49" t="s">
        <v>13</v>
      </c>
      <c r="H98" s="47" t="s">
        <v>14</v>
      </c>
      <c r="I98" s="50" t="s">
        <v>15</v>
      </c>
      <c r="J98" s="51" t="s">
        <v>16</v>
      </c>
      <c r="K98" s="52" t="s">
        <v>17</v>
      </c>
      <c r="L98" s="51" t="s">
        <v>18</v>
      </c>
      <c r="M98" s="51" t="s">
        <v>19</v>
      </c>
      <c r="N98" s="51" t="s">
        <v>20</v>
      </c>
      <c r="O98" s="47" t="s">
        <v>21</v>
      </c>
      <c r="P98" s="48" t="s">
        <v>22</v>
      </c>
      <c r="Q98" s="51" t="s">
        <v>23</v>
      </c>
      <c r="R98" s="47"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8" t="s">
        <v>290</v>
      </c>
      <c r="B99" s="8" t="s">
        <v>621</v>
      </c>
      <c r="C99" s="9">
        <v>0.3611111111111111</v>
      </c>
      <c r="D99" s="8" t="s">
        <v>568</v>
      </c>
      <c r="E99" s="8" t="s">
        <v>405</v>
      </c>
      <c r="F99" s="8" t="s">
        <v>622</v>
      </c>
      <c r="G99" s="261"/>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290</v>
      </c>
      <c r="B100" s="15" t="s">
        <v>621</v>
      </c>
      <c r="C100" s="16">
        <v>0.3611111111111111</v>
      </c>
      <c r="D100" s="15" t="s">
        <v>570</v>
      </c>
      <c r="E100" s="15" t="s">
        <v>119</v>
      </c>
      <c r="F100" s="15" t="s">
        <v>623</v>
      </c>
      <c r="G100" s="26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290</v>
      </c>
      <c r="B101" s="15" t="s">
        <v>621</v>
      </c>
      <c r="C101" s="16">
        <v>0.3611111111111111</v>
      </c>
      <c r="D101" s="15" t="s">
        <v>30</v>
      </c>
      <c r="E101" s="15" t="s">
        <v>119</v>
      </c>
      <c r="F101" s="15" t="s">
        <v>624</v>
      </c>
      <c r="G101" s="262"/>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36" t="s">
        <v>58</v>
      </c>
      <c r="B102" s="36" t="s">
        <v>575</v>
      </c>
      <c r="C102" s="37">
        <v>0.81944444444444453</v>
      </c>
      <c r="D102" s="36" t="s">
        <v>63</v>
      </c>
      <c r="E102" s="36" t="s">
        <v>246</v>
      </c>
      <c r="F102" s="36" t="s">
        <v>625</v>
      </c>
      <c r="G102" s="262"/>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35</v>
      </c>
      <c r="B103" s="17" t="s">
        <v>578</v>
      </c>
      <c r="C103" s="18">
        <v>0.49652777777777768</v>
      </c>
      <c r="D103" s="17" t="s">
        <v>44</v>
      </c>
      <c r="E103" s="213"/>
      <c r="F103" s="17" t="s">
        <v>45</v>
      </c>
      <c r="G103" s="262"/>
      <c r="H103" s="19" t="s">
        <v>578</v>
      </c>
      <c r="I103" s="20">
        <v>0.99439999999999995</v>
      </c>
      <c r="J103" s="21">
        <v>179</v>
      </c>
      <c r="K103" s="22">
        <v>45984</v>
      </c>
      <c r="L103" s="21">
        <v>13</v>
      </c>
      <c r="M103" s="21">
        <v>0</v>
      </c>
      <c r="N103" s="21">
        <v>1</v>
      </c>
      <c r="O103" s="23" t="s">
        <v>46</v>
      </c>
      <c r="P103" s="24">
        <v>0.49652777777777768</v>
      </c>
      <c r="Q103" s="21">
        <v>180</v>
      </c>
      <c r="R103" s="25" t="s">
        <v>626</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6" t="s">
        <v>35</v>
      </c>
      <c r="B104" s="196" t="s">
        <v>591</v>
      </c>
      <c r="C104" s="197">
        <v>0.57986111111111105</v>
      </c>
      <c r="D104" s="196" t="s">
        <v>44</v>
      </c>
      <c r="E104" s="198"/>
      <c r="F104" s="196" t="s">
        <v>45</v>
      </c>
      <c r="G104" s="262"/>
      <c r="H104" s="151" t="s">
        <v>591</v>
      </c>
      <c r="I104" s="152">
        <v>1</v>
      </c>
      <c r="J104" s="153">
        <v>180</v>
      </c>
      <c r="K104" s="154">
        <v>45982</v>
      </c>
      <c r="L104" s="153">
        <v>2</v>
      </c>
      <c r="M104" s="153">
        <v>0</v>
      </c>
      <c r="N104" s="153">
        <v>0</v>
      </c>
      <c r="O104" s="155" t="s">
        <v>46</v>
      </c>
      <c r="P104" s="156">
        <v>0.57986111111111105</v>
      </c>
      <c r="Q104" s="153">
        <v>180</v>
      </c>
      <c r="R104" s="157" t="s">
        <v>627</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8" x14ac:dyDescent="0.3">
      <c r="A105" s="289" t="s">
        <v>580</v>
      </c>
      <c r="B105" s="290"/>
      <c r="C105" s="290"/>
      <c r="D105" s="290"/>
      <c r="E105" s="290"/>
      <c r="F105" s="290"/>
      <c r="G105" s="262"/>
      <c r="H105" s="158"/>
      <c r="I105" s="158"/>
      <c r="J105" s="158"/>
      <c r="K105" s="158"/>
      <c r="L105" s="158"/>
      <c r="M105" s="158"/>
      <c r="N105" s="158"/>
      <c r="O105" s="159"/>
      <c r="P105" s="158"/>
      <c r="Q105" s="160"/>
      <c r="R105" s="16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38" t="s">
        <v>25</v>
      </c>
      <c r="B106" s="38" t="s">
        <v>268</v>
      </c>
      <c r="C106" s="39" t="s">
        <v>581</v>
      </c>
      <c r="D106" s="38" t="s">
        <v>335</v>
      </c>
      <c r="E106" s="38" t="s">
        <v>598</v>
      </c>
      <c r="F106" s="38" t="s">
        <v>269</v>
      </c>
      <c r="G106" s="262"/>
      <c r="H106" s="158"/>
      <c r="I106" s="158"/>
      <c r="J106" s="158"/>
      <c r="K106" s="158"/>
      <c r="L106" s="158"/>
      <c r="M106" s="158"/>
      <c r="N106" s="158"/>
      <c r="O106" s="159"/>
      <c r="P106" s="158"/>
      <c r="Q106" s="160"/>
      <c r="R106" s="16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8" t="s">
        <v>25</v>
      </c>
      <c r="B107" s="38" t="s">
        <v>271</v>
      </c>
      <c r="C107" s="39" t="s">
        <v>582</v>
      </c>
      <c r="D107" s="38" t="s">
        <v>335</v>
      </c>
      <c r="E107" s="38" t="s">
        <v>213</v>
      </c>
      <c r="F107" s="38" t="s">
        <v>269</v>
      </c>
      <c r="G107" s="262"/>
      <c r="H107" s="158"/>
      <c r="I107" s="158"/>
      <c r="J107" s="158"/>
      <c r="K107" s="158"/>
      <c r="L107" s="158"/>
      <c r="M107" s="158"/>
      <c r="N107" s="158"/>
      <c r="O107" s="159"/>
      <c r="P107" s="158"/>
      <c r="Q107" s="160"/>
      <c r="R107" s="16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8" t="s">
        <v>25</v>
      </c>
      <c r="B108" s="38" t="s">
        <v>277</v>
      </c>
      <c r="C108" s="39" t="s">
        <v>585</v>
      </c>
      <c r="D108" s="38" t="s">
        <v>335</v>
      </c>
      <c r="E108" s="38" t="s">
        <v>203</v>
      </c>
      <c r="F108" s="38" t="s">
        <v>269</v>
      </c>
      <c r="G108" s="262"/>
      <c r="H108" s="158"/>
      <c r="I108" s="158"/>
      <c r="J108" s="158"/>
      <c r="K108" s="158"/>
      <c r="L108" s="158"/>
      <c r="M108" s="158"/>
      <c r="N108" s="158"/>
      <c r="O108" s="159"/>
      <c r="P108" s="158"/>
      <c r="Q108" s="160"/>
      <c r="R108" s="16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38" t="s">
        <v>35</v>
      </c>
      <c r="B109" s="38" t="s">
        <v>362</v>
      </c>
      <c r="C109" s="39" t="s">
        <v>628</v>
      </c>
      <c r="D109" s="38" t="s">
        <v>37</v>
      </c>
      <c r="E109" s="38" t="s">
        <v>207</v>
      </c>
      <c r="F109" s="38" t="s">
        <v>29</v>
      </c>
      <c r="G109" s="262"/>
      <c r="H109" s="158"/>
      <c r="I109" s="158"/>
      <c r="J109" s="158"/>
      <c r="K109" s="158"/>
      <c r="L109" s="158"/>
      <c r="M109" s="158"/>
      <c r="N109" s="158"/>
      <c r="O109" s="159"/>
      <c r="P109" s="158"/>
      <c r="Q109" s="160"/>
      <c r="R109" s="16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38" t="s">
        <v>48</v>
      </c>
      <c r="B110" s="38" t="s">
        <v>278</v>
      </c>
      <c r="C110" s="39" t="s">
        <v>586</v>
      </c>
      <c r="D110" s="38" t="s">
        <v>102</v>
      </c>
      <c r="E110" s="38" t="s">
        <v>218</v>
      </c>
      <c r="F110" s="38" t="s">
        <v>29</v>
      </c>
      <c r="G110" s="262"/>
      <c r="H110" s="158"/>
      <c r="I110" s="158"/>
      <c r="J110" s="158"/>
      <c r="K110" s="158"/>
      <c r="L110" s="158"/>
      <c r="M110" s="158"/>
      <c r="N110" s="158"/>
      <c r="O110" s="159"/>
      <c r="P110" s="158"/>
      <c r="Q110" s="160"/>
      <c r="R110" s="16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38" t="s">
        <v>48</v>
      </c>
      <c r="B111" s="38" t="s">
        <v>288</v>
      </c>
      <c r="C111" s="39" t="s">
        <v>605</v>
      </c>
      <c r="D111" s="38" t="s">
        <v>102</v>
      </c>
      <c r="E111" s="38" t="s">
        <v>218</v>
      </c>
      <c r="F111" s="38" t="s">
        <v>29</v>
      </c>
      <c r="G111" s="262"/>
      <c r="H111" s="158"/>
      <c r="I111" s="158"/>
      <c r="J111" s="158"/>
      <c r="K111" s="158"/>
      <c r="L111" s="158"/>
      <c r="M111" s="158"/>
      <c r="N111" s="158"/>
      <c r="O111" s="159"/>
      <c r="P111" s="158"/>
      <c r="Q111" s="160"/>
      <c r="R111" s="16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38" t="s">
        <v>75</v>
      </c>
      <c r="B112" s="38" t="s">
        <v>320</v>
      </c>
      <c r="C112" s="39" t="s">
        <v>609</v>
      </c>
      <c r="D112" s="38" t="s">
        <v>60</v>
      </c>
      <c r="E112" s="38" t="s">
        <v>209</v>
      </c>
      <c r="F112" s="38" t="s">
        <v>338</v>
      </c>
      <c r="G112" s="262"/>
      <c r="H112" s="158"/>
      <c r="I112" s="158"/>
      <c r="J112" s="158"/>
      <c r="K112" s="158"/>
      <c r="L112" s="158"/>
      <c r="M112" s="158"/>
      <c r="N112" s="158"/>
      <c r="O112" s="159"/>
      <c r="P112" s="158"/>
      <c r="Q112" s="160"/>
      <c r="R112" s="160"/>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38" t="s">
        <v>75</v>
      </c>
      <c r="B113" s="38" t="s">
        <v>321</v>
      </c>
      <c r="C113" s="39" t="s">
        <v>610</v>
      </c>
      <c r="D113" s="38" t="s">
        <v>60</v>
      </c>
      <c r="E113" s="38" t="s">
        <v>598</v>
      </c>
      <c r="F113" s="38" t="s">
        <v>338</v>
      </c>
      <c r="G113" s="262"/>
      <c r="H113" s="158"/>
      <c r="I113" s="158"/>
      <c r="J113" s="158"/>
      <c r="K113" s="158"/>
      <c r="L113" s="158"/>
      <c r="M113" s="158"/>
      <c r="N113" s="158"/>
      <c r="O113" s="159"/>
      <c r="P113" s="158"/>
      <c r="Q113" s="160"/>
      <c r="R113" s="16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38" t="s">
        <v>75</v>
      </c>
      <c r="B114" s="38" t="s">
        <v>322</v>
      </c>
      <c r="C114" s="39" t="s">
        <v>629</v>
      </c>
      <c r="D114" s="38" t="s">
        <v>60</v>
      </c>
      <c r="E114" s="38" t="s">
        <v>209</v>
      </c>
      <c r="F114" s="38" t="s">
        <v>338</v>
      </c>
      <c r="G114" s="262"/>
      <c r="H114" s="158"/>
      <c r="I114" s="158"/>
      <c r="J114" s="158"/>
      <c r="K114" s="158"/>
      <c r="L114" s="158"/>
      <c r="M114" s="158"/>
      <c r="N114" s="158"/>
      <c r="O114" s="159"/>
      <c r="P114" s="158"/>
      <c r="Q114" s="160"/>
      <c r="R114" s="16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40" t="s">
        <v>25</v>
      </c>
      <c r="B115" s="40" t="s">
        <v>276</v>
      </c>
      <c r="C115" s="41" t="s">
        <v>584</v>
      </c>
      <c r="D115" s="40" t="s">
        <v>335</v>
      </c>
      <c r="E115" s="40" t="s">
        <v>205</v>
      </c>
      <c r="F115" s="40" t="s">
        <v>32</v>
      </c>
      <c r="G115" s="263"/>
      <c r="H115" s="161"/>
      <c r="I115" s="161"/>
      <c r="J115" s="161"/>
      <c r="K115" s="161"/>
      <c r="L115" s="161"/>
      <c r="M115" s="161"/>
      <c r="N115" s="161"/>
      <c r="O115" s="162"/>
      <c r="P115" s="161"/>
      <c r="Q115" s="163"/>
      <c r="R115" s="16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5"/>
      <c r="B116" s="276"/>
      <c r="C116" s="276"/>
      <c r="D116" s="276"/>
      <c r="E116" s="276"/>
      <c r="F116" s="276"/>
      <c r="G116" s="276"/>
      <c r="H116" s="276"/>
      <c r="I116" s="276"/>
      <c r="J116" s="276"/>
      <c r="K116" s="276"/>
      <c r="L116" s="276"/>
      <c r="M116" s="276"/>
      <c r="N116" s="276"/>
      <c r="O116" s="276"/>
      <c r="P116" s="276"/>
      <c r="Q116" s="276"/>
      <c r="R116" s="27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sheetData>
  <mergeCells count="39">
    <mergeCell ref="A116:R116"/>
    <mergeCell ref="A4:F4"/>
    <mergeCell ref="J1:M1"/>
    <mergeCell ref="A43:F43"/>
    <mergeCell ref="A63:F63"/>
    <mergeCell ref="A96:R96"/>
    <mergeCell ref="G45:G57"/>
    <mergeCell ref="A31:F31"/>
    <mergeCell ref="K2:R2"/>
    <mergeCell ref="G6:G24"/>
    <mergeCell ref="H75:R75"/>
    <mergeCell ref="D1:F1"/>
    <mergeCell ref="A58:R58"/>
    <mergeCell ref="A59:F59"/>
    <mergeCell ref="A1:C1"/>
    <mergeCell ref="G1:H1"/>
    <mergeCell ref="G99:G115"/>
    <mergeCell ref="A75:F75"/>
    <mergeCell ref="H43:R43"/>
    <mergeCell ref="A105:F105"/>
    <mergeCell ref="A26:F26"/>
    <mergeCell ref="G77:G95"/>
    <mergeCell ref="A74:R74"/>
    <mergeCell ref="A47:F47"/>
    <mergeCell ref="A85:F85"/>
    <mergeCell ref="A42:R42"/>
    <mergeCell ref="H59:R59"/>
    <mergeCell ref="A97:F97"/>
    <mergeCell ref="G28:G41"/>
    <mergeCell ref="O1:Q1"/>
    <mergeCell ref="H26:R26"/>
    <mergeCell ref="G61:G73"/>
    <mergeCell ref="A25:R25"/>
    <mergeCell ref="H97:R97"/>
    <mergeCell ref="H4:R4"/>
    <mergeCell ref="A2:F2"/>
    <mergeCell ref="A3:R3"/>
    <mergeCell ref="A14:F14"/>
    <mergeCell ref="G2:J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1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578</v>
      </c>
      <c r="D2" s="81">
        <v>0.52083333333333337</v>
      </c>
      <c r="E2" s="80" t="s">
        <v>565</v>
      </c>
      <c r="F2" s="80" t="s">
        <v>159</v>
      </c>
      <c r="G2" s="82">
        <v>1</v>
      </c>
      <c r="H2" s="83">
        <v>180</v>
      </c>
      <c r="I2" s="83">
        <v>180</v>
      </c>
      <c r="J2" s="83">
        <v>161</v>
      </c>
      <c r="K2" s="79">
        <v>45961</v>
      </c>
      <c r="L2" s="83">
        <v>0</v>
      </c>
      <c r="M2" s="83">
        <v>0</v>
      </c>
      <c r="N2" s="83">
        <v>0</v>
      </c>
      <c r="O2" s="80" t="s">
        <v>46</v>
      </c>
      <c r="P2" s="84"/>
      <c r="Q2" s="84"/>
      <c r="R2" s="84"/>
      <c r="S2" s="84"/>
      <c r="T2" s="84"/>
      <c r="U2" s="84"/>
      <c r="V2" s="84"/>
      <c r="W2" s="84"/>
      <c r="X2" s="84"/>
      <c r="Y2" s="84"/>
      <c r="Z2" s="84"/>
      <c r="AA2" s="84"/>
      <c r="AB2" s="83" t="s">
        <v>495</v>
      </c>
      <c r="AC2" s="83" t="s">
        <v>630</v>
      </c>
      <c r="AD2" s="83" t="s">
        <v>491</v>
      </c>
      <c r="AE2" s="83" t="s">
        <v>437</v>
      </c>
      <c r="AF2" s="84"/>
      <c r="AG2" s="84"/>
      <c r="AH2" s="83" t="s">
        <v>631</v>
      </c>
      <c r="AI2" s="84"/>
    </row>
    <row r="3" spans="1:35" ht="18" x14ac:dyDescent="0.3">
      <c r="A3" s="85" t="s">
        <v>232</v>
      </c>
      <c r="B3" s="86">
        <v>45987</v>
      </c>
      <c r="C3" s="87" t="s">
        <v>578</v>
      </c>
      <c r="D3" s="88">
        <v>0.14583333333333329</v>
      </c>
      <c r="E3" s="87" t="s">
        <v>565</v>
      </c>
      <c r="F3" s="87" t="s">
        <v>159</v>
      </c>
      <c r="G3" s="89">
        <v>0.99439999999999995</v>
      </c>
      <c r="H3" s="90">
        <v>180</v>
      </c>
      <c r="I3" s="90">
        <v>179</v>
      </c>
      <c r="J3" s="90">
        <v>130</v>
      </c>
      <c r="K3" s="86">
        <v>45984</v>
      </c>
      <c r="L3" s="90">
        <v>0</v>
      </c>
      <c r="M3" s="90">
        <v>2</v>
      </c>
      <c r="N3" s="90">
        <v>10</v>
      </c>
      <c r="O3" s="87" t="s">
        <v>46</v>
      </c>
      <c r="P3" s="91"/>
      <c r="Q3" s="91"/>
      <c r="R3" s="91"/>
      <c r="S3" s="91"/>
      <c r="T3" s="91"/>
      <c r="U3" s="90" t="s">
        <v>367</v>
      </c>
      <c r="V3" s="91"/>
      <c r="W3" s="91"/>
      <c r="X3" s="91"/>
      <c r="Y3" s="90" t="s">
        <v>471</v>
      </c>
      <c r="Z3" s="90" t="s">
        <v>488</v>
      </c>
      <c r="AA3" s="90" t="s">
        <v>252</v>
      </c>
      <c r="AB3" s="90" t="s">
        <v>632</v>
      </c>
      <c r="AC3" s="91"/>
      <c r="AD3" s="91"/>
      <c r="AE3" s="91"/>
      <c r="AF3" s="91"/>
      <c r="AG3" s="91"/>
      <c r="AH3" s="90" t="s">
        <v>633</v>
      </c>
      <c r="AI3" s="91"/>
    </row>
    <row r="4" spans="1:35" ht="18" x14ac:dyDescent="0.3">
      <c r="A4" s="78" t="s">
        <v>232</v>
      </c>
      <c r="B4" s="79">
        <v>45987</v>
      </c>
      <c r="C4" s="80" t="s">
        <v>591</v>
      </c>
      <c r="D4" s="81">
        <v>0.53125</v>
      </c>
      <c r="E4" s="80" t="s">
        <v>565</v>
      </c>
      <c r="F4" s="80" t="s">
        <v>159</v>
      </c>
      <c r="G4" s="82">
        <v>1</v>
      </c>
      <c r="H4" s="83">
        <v>180</v>
      </c>
      <c r="I4" s="83">
        <v>180</v>
      </c>
      <c r="J4" s="83">
        <v>135</v>
      </c>
      <c r="K4" s="79">
        <v>45972</v>
      </c>
      <c r="L4" s="83">
        <v>0</v>
      </c>
      <c r="M4" s="83">
        <v>0</v>
      </c>
      <c r="N4" s="83">
        <v>0</v>
      </c>
      <c r="O4" s="80" t="s">
        <v>46</v>
      </c>
      <c r="P4" s="84"/>
      <c r="Q4" s="84"/>
      <c r="R4" s="84"/>
      <c r="S4" s="84"/>
      <c r="T4" s="84"/>
      <c r="U4" s="84"/>
      <c r="V4" s="84"/>
      <c r="W4" s="84"/>
      <c r="X4" s="84"/>
      <c r="Y4" s="84"/>
      <c r="Z4" s="84"/>
      <c r="AA4" s="83" t="s">
        <v>489</v>
      </c>
      <c r="AB4" s="83" t="s">
        <v>436</v>
      </c>
      <c r="AC4" s="83" t="s">
        <v>634</v>
      </c>
      <c r="AD4" s="83" t="s">
        <v>481</v>
      </c>
      <c r="AE4" s="83" t="s">
        <v>265</v>
      </c>
      <c r="AF4" s="84"/>
      <c r="AG4" s="84"/>
      <c r="AH4" s="83" t="s">
        <v>184</v>
      </c>
      <c r="AI4" s="84"/>
    </row>
    <row r="5" spans="1:35" ht="18" x14ac:dyDescent="0.3">
      <c r="A5" s="85" t="s">
        <v>232</v>
      </c>
      <c r="B5" s="86">
        <v>45987</v>
      </c>
      <c r="C5" s="87" t="s">
        <v>593</v>
      </c>
      <c r="D5" s="88">
        <v>0.86111111111111116</v>
      </c>
      <c r="E5" s="87" t="s">
        <v>565</v>
      </c>
      <c r="F5" s="87" t="s">
        <v>159</v>
      </c>
      <c r="G5" s="89">
        <v>1</v>
      </c>
      <c r="H5" s="90">
        <v>180</v>
      </c>
      <c r="I5" s="90">
        <v>180</v>
      </c>
      <c r="J5" s="90">
        <v>166</v>
      </c>
      <c r="K5" s="86">
        <v>45971</v>
      </c>
      <c r="L5" s="90">
        <v>0</v>
      </c>
      <c r="M5" s="90">
        <v>0</v>
      </c>
      <c r="N5" s="90">
        <v>0</v>
      </c>
      <c r="O5" s="87" t="s">
        <v>46</v>
      </c>
      <c r="P5" s="91"/>
      <c r="Q5" s="91"/>
      <c r="R5" s="91"/>
      <c r="S5" s="91"/>
      <c r="T5" s="91"/>
      <c r="U5" s="91"/>
      <c r="V5" s="91"/>
      <c r="W5" s="91"/>
      <c r="X5" s="91"/>
      <c r="Y5" s="90" t="s">
        <v>250</v>
      </c>
      <c r="Z5" s="91"/>
      <c r="AA5" s="90" t="s">
        <v>635</v>
      </c>
      <c r="AB5" s="90" t="s">
        <v>436</v>
      </c>
      <c r="AC5" s="91"/>
      <c r="AD5" s="91"/>
      <c r="AE5" s="91"/>
      <c r="AF5" s="91"/>
      <c r="AG5" s="91"/>
      <c r="AH5" s="90" t="s">
        <v>237</v>
      </c>
      <c r="AI5" s="91"/>
    </row>
    <row r="6" spans="1:35" ht="18" x14ac:dyDescent="0.3">
      <c r="A6" s="78" t="s">
        <v>176</v>
      </c>
      <c r="B6" s="79">
        <v>45988</v>
      </c>
      <c r="C6" s="80" t="s">
        <v>578</v>
      </c>
      <c r="D6" s="81">
        <v>8.6805555555555566E-2</v>
      </c>
      <c r="E6" s="80" t="s">
        <v>565</v>
      </c>
      <c r="F6" s="80" t="s">
        <v>159</v>
      </c>
      <c r="G6" s="82">
        <v>0.99439999999999995</v>
      </c>
      <c r="H6" s="83">
        <v>180</v>
      </c>
      <c r="I6" s="83">
        <v>179</v>
      </c>
      <c r="J6" s="83">
        <v>126</v>
      </c>
      <c r="K6" s="79">
        <v>45984</v>
      </c>
      <c r="L6" s="83">
        <v>0</v>
      </c>
      <c r="M6" s="83">
        <v>1</v>
      </c>
      <c r="N6" s="83">
        <v>11</v>
      </c>
      <c r="O6" s="80" t="s">
        <v>46</v>
      </c>
      <c r="P6" s="84"/>
      <c r="Q6" s="84"/>
      <c r="R6" s="84"/>
      <c r="S6" s="84"/>
      <c r="T6" s="84"/>
      <c r="U6" s="84"/>
      <c r="V6" s="84"/>
      <c r="W6" s="84"/>
      <c r="X6" s="84"/>
      <c r="Y6" s="83" t="s">
        <v>636</v>
      </c>
      <c r="Z6" s="83" t="s">
        <v>561</v>
      </c>
      <c r="AA6" s="83" t="s">
        <v>228</v>
      </c>
      <c r="AB6" s="83" t="s">
        <v>495</v>
      </c>
      <c r="AC6" s="83" t="s">
        <v>263</v>
      </c>
      <c r="AD6" s="83" t="s">
        <v>491</v>
      </c>
      <c r="AE6" s="83" t="s">
        <v>437</v>
      </c>
      <c r="AF6" s="84"/>
      <c r="AG6" s="84"/>
      <c r="AH6" s="83" t="s">
        <v>637</v>
      </c>
      <c r="AI6" s="83" t="s">
        <v>638</v>
      </c>
    </row>
    <row r="7" spans="1:35" ht="18" x14ac:dyDescent="0.3">
      <c r="A7" s="85" t="s">
        <v>510</v>
      </c>
      <c r="B7" s="86">
        <v>45989</v>
      </c>
      <c r="C7" s="87" t="s">
        <v>578</v>
      </c>
      <c r="D7" s="88">
        <v>0.22916666666666671</v>
      </c>
      <c r="E7" s="87" t="s">
        <v>565</v>
      </c>
      <c r="F7" s="87" t="s">
        <v>159</v>
      </c>
      <c r="G7" s="89">
        <v>1</v>
      </c>
      <c r="H7" s="90">
        <v>180</v>
      </c>
      <c r="I7" s="90">
        <v>180</v>
      </c>
      <c r="J7" s="90">
        <v>50</v>
      </c>
      <c r="K7" s="86">
        <v>45984</v>
      </c>
      <c r="L7" s="90">
        <v>0</v>
      </c>
      <c r="M7" s="90">
        <v>2</v>
      </c>
      <c r="N7" s="90">
        <v>62</v>
      </c>
      <c r="O7" s="87" t="s">
        <v>46</v>
      </c>
      <c r="P7" s="91"/>
      <c r="Q7" s="91"/>
      <c r="R7" s="91"/>
      <c r="S7" s="91"/>
      <c r="T7" s="91"/>
      <c r="U7" s="91"/>
      <c r="V7" s="91"/>
      <c r="W7" s="91"/>
      <c r="X7" s="90" t="s">
        <v>557</v>
      </c>
      <c r="Y7" s="90" t="s">
        <v>639</v>
      </c>
      <c r="Z7" s="90" t="s">
        <v>640</v>
      </c>
      <c r="AA7" s="90" t="s">
        <v>641</v>
      </c>
      <c r="AB7" s="90" t="s">
        <v>253</v>
      </c>
      <c r="AC7" s="91"/>
      <c r="AD7" s="91"/>
      <c r="AE7" s="90" t="s">
        <v>642</v>
      </c>
      <c r="AF7" s="91"/>
      <c r="AG7" s="91"/>
      <c r="AH7" s="90" t="s">
        <v>257</v>
      </c>
      <c r="AI7" s="90" t="s">
        <v>175</v>
      </c>
    </row>
    <row r="8" spans="1:35" ht="18" x14ac:dyDescent="0.3">
      <c r="A8" s="78" t="s">
        <v>179</v>
      </c>
      <c r="B8" s="79">
        <v>45990</v>
      </c>
      <c r="C8" s="80" t="s">
        <v>591</v>
      </c>
      <c r="D8" s="81">
        <v>0.27083333333333331</v>
      </c>
      <c r="E8" s="80" t="s">
        <v>565</v>
      </c>
      <c r="F8" s="80" t="s">
        <v>159</v>
      </c>
      <c r="G8" s="82">
        <v>1</v>
      </c>
      <c r="H8" s="83">
        <v>180</v>
      </c>
      <c r="I8" s="83">
        <v>180</v>
      </c>
      <c r="J8" s="83">
        <v>135</v>
      </c>
      <c r="K8" s="79">
        <v>45985</v>
      </c>
      <c r="L8" s="83">
        <v>1</v>
      </c>
      <c r="M8" s="83">
        <v>0</v>
      </c>
      <c r="N8" s="83">
        <v>1</v>
      </c>
      <c r="O8" s="80" t="s">
        <v>46</v>
      </c>
      <c r="P8" s="84"/>
      <c r="Q8" s="84"/>
      <c r="R8" s="84"/>
      <c r="S8" s="84"/>
      <c r="T8" s="84"/>
      <c r="U8" s="84"/>
      <c r="V8" s="84"/>
      <c r="W8" s="83" t="s">
        <v>238</v>
      </c>
      <c r="X8" s="84"/>
      <c r="Y8" s="83" t="s">
        <v>643</v>
      </c>
      <c r="Z8" s="83" t="s">
        <v>644</v>
      </c>
      <c r="AA8" s="83" t="s">
        <v>489</v>
      </c>
      <c r="AB8" s="83" t="s">
        <v>436</v>
      </c>
      <c r="AC8" s="84"/>
      <c r="AD8" s="84"/>
      <c r="AE8" s="84"/>
      <c r="AF8" s="84"/>
      <c r="AG8" s="84"/>
      <c r="AH8" s="83" t="s">
        <v>184</v>
      </c>
      <c r="AI8" s="84"/>
    </row>
    <row r="9" spans="1:35" ht="18" x14ac:dyDescent="0.3">
      <c r="A9" s="85" t="s">
        <v>179</v>
      </c>
      <c r="B9" s="86">
        <v>45990</v>
      </c>
      <c r="C9" s="87" t="s">
        <v>578</v>
      </c>
      <c r="D9" s="88">
        <v>0.60416666666666663</v>
      </c>
      <c r="E9" s="87" t="s">
        <v>565</v>
      </c>
      <c r="F9" s="87" t="s">
        <v>159</v>
      </c>
      <c r="G9" s="89">
        <v>1</v>
      </c>
      <c r="H9" s="90">
        <v>180</v>
      </c>
      <c r="I9" s="90">
        <v>180</v>
      </c>
      <c r="J9" s="90">
        <v>95</v>
      </c>
      <c r="K9" s="86">
        <v>45984</v>
      </c>
      <c r="L9" s="90">
        <v>0</v>
      </c>
      <c r="M9" s="90">
        <v>2</v>
      </c>
      <c r="N9" s="90">
        <v>17</v>
      </c>
      <c r="O9" s="87" t="s">
        <v>46</v>
      </c>
      <c r="P9" s="91"/>
      <c r="Q9" s="91"/>
      <c r="R9" s="91"/>
      <c r="S9" s="91"/>
      <c r="T9" s="91"/>
      <c r="U9" s="90" t="s">
        <v>645</v>
      </c>
      <c r="V9" s="90" t="s">
        <v>545</v>
      </c>
      <c r="W9" s="90" t="s">
        <v>555</v>
      </c>
      <c r="X9" s="90" t="s">
        <v>557</v>
      </c>
      <c r="Y9" s="90" t="s">
        <v>465</v>
      </c>
      <c r="Z9" s="90" t="s">
        <v>466</v>
      </c>
      <c r="AA9" s="90" t="s">
        <v>489</v>
      </c>
      <c r="AB9" s="90" t="s">
        <v>436</v>
      </c>
      <c r="AC9" s="91"/>
      <c r="AD9" s="91"/>
      <c r="AE9" s="91"/>
      <c r="AF9" s="91"/>
      <c r="AG9" s="91"/>
      <c r="AH9" s="90" t="s">
        <v>646</v>
      </c>
      <c r="AI9" s="91"/>
    </row>
    <row r="10" spans="1:35" ht="18" x14ac:dyDescent="0.3">
      <c r="A10" s="78" t="s">
        <v>186</v>
      </c>
      <c r="B10" s="79">
        <v>45991</v>
      </c>
      <c r="C10" s="80" t="s">
        <v>578</v>
      </c>
      <c r="D10" s="81">
        <v>0.49652777777777768</v>
      </c>
      <c r="E10" s="80" t="s">
        <v>565</v>
      </c>
      <c r="F10" s="80" t="s">
        <v>159</v>
      </c>
      <c r="G10" s="82">
        <v>0.99439999999999995</v>
      </c>
      <c r="H10" s="83">
        <v>180</v>
      </c>
      <c r="I10" s="83">
        <v>179</v>
      </c>
      <c r="J10" s="83">
        <v>135</v>
      </c>
      <c r="K10" s="79">
        <v>45984</v>
      </c>
      <c r="L10" s="83">
        <v>0</v>
      </c>
      <c r="M10" s="83">
        <v>1</v>
      </c>
      <c r="N10" s="83">
        <v>13</v>
      </c>
      <c r="O10" s="80" t="s">
        <v>46</v>
      </c>
      <c r="P10" s="84"/>
      <c r="Q10" s="84"/>
      <c r="R10" s="84"/>
      <c r="S10" s="84"/>
      <c r="T10" s="84"/>
      <c r="U10" s="84"/>
      <c r="V10" s="84"/>
      <c r="W10" s="84"/>
      <c r="X10" s="83" t="s">
        <v>542</v>
      </c>
      <c r="Y10" s="83" t="s">
        <v>444</v>
      </c>
      <c r="Z10" s="83" t="s">
        <v>161</v>
      </c>
      <c r="AA10" s="83" t="s">
        <v>228</v>
      </c>
      <c r="AB10" s="83" t="s">
        <v>495</v>
      </c>
      <c r="AC10" s="83" t="s">
        <v>263</v>
      </c>
      <c r="AD10" s="83" t="s">
        <v>491</v>
      </c>
      <c r="AE10" s="83" t="s">
        <v>647</v>
      </c>
      <c r="AF10" s="84"/>
      <c r="AG10" s="84"/>
      <c r="AH10" s="83" t="s">
        <v>184</v>
      </c>
      <c r="AI10" s="84"/>
    </row>
    <row r="11" spans="1:35" ht="18" x14ac:dyDescent="0.3">
      <c r="A11" s="85" t="s">
        <v>186</v>
      </c>
      <c r="B11" s="86">
        <v>45991</v>
      </c>
      <c r="C11" s="87" t="s">
        <v>591</v>
      </c>
      <c r="D11" s="88">
        <v>0.57986111111111105</v>
      </c>
      <c r="E11" s="87" t="s">
        <v>565</v>
      </c>
      <c r="F11" s="87" t="s">
        <v>159</v>
      </c>
      <c r="G11" s="89">
        <v>1</v>
      </c>
      <c r="H11" s="90">
        <v>180</v>
      </c>
      <c r="I11" s="90">
        <v>180</v>
      </c>
      <c r="J11" s="90">
        <v>135</v>
      </c>
      <c r="K11" s="86">
        <v>45982</v>
      </c>
      <c r="L11" s="90">
        <v>0</v>
      </c>
      <c r="M11" s="90">
        <v>0</v>
      </c>
      <c r="N11" s="90">
        <v>2</v>
      </c>
      <c r="O11" s="87" t="s">
        <v>46</v>
      </c>
      <c r="P11" s="91"/>
      <c r="Q11" s="91"/>
      <c r="R11" s="91"/>
      <c r="S11" s="91"/>
      <c r="T11" s="91"/>
      <c r="U11" s="91"/>
      <c r="V11" s="91"/>
      <c r="W11" s="91"/>
      <c r="X11" s="90" t="s">
        <v>160</v>
      </c>
      <c r="Y11" s="90" t="s">
        <v>471</v>
      </c>
      <c r="Z11" s="90" t="s">
        <v>260</v>
      </c>
      <c r="AA11" s="90" t="s">
        <v>467</v>
      </c>
      <c r="AB11" s="90" t="s">
        <v>632</v>
      </c>
      <c r="AC11" s="91"/>
      <c r="AD11" s="91"/>
      <c r="AE11" s="91"/>
      <c r="AF11" s="91"/>
      <c r="AG11" s="91"/>
      <c r="AH11" s="90" t="s">
        <v>184</v>
      </c>
      <c r="AI11" s="91"/>
    </row>
    <row r="12" spans="1:35" ht="18" x14ac:dyDescent="0.3">
      <c r="A12" s="92" t="s">
        <v>189</v>
      </c>
      <c r="B12" s="93"/>
      <c r="C12" s="94">
        <f>COUNTA(C2:C11)</f>
        <v>10</v>
      </c>
      <c r="D12" s="93"/>
      <c r="E12" s="93"/>
      <c r="F12" s="93"/>
      <c r="G12" s="95">
        <f>AVERAGE(G2:G11)</f>
        <v>0.99831999999999999</v>
      </c>
      <c r="H12" s="96">
        <f>SUM(H2:H11)</f>
        <v>1800</v>
      </c>
      <c r="I12" s="96">
        <f>SUM(I2:I11)</f>
        <v>1797</v>
      </c>
      <c r="J12" s="96">
        <f>SUM(J2:J11)</f>
        <v>1268</v>
      </c>
      <c r="K12" s="93"/>
      <c r="L12" s="96">
        <f>SUM(L2:L11)</f>
        <v>1</v>
      </c>
      <c r="M12" s="96">
        <f>SUM(M2:M11)</f>
        <v>8</v>
      </c>
      <c r="N12" s="96">
        <f>SUM(N2:N11)</f>
        <v>116</v>
      </c>
      <c r="O12" s="93"/>
      <c r="P12" s="96">
        <f t="shared" ref="P12:AI12" si="0">SUMPRODUCT(--IFERROR(VALUE(SUBSTITUTE(SUBSTITUTE(SUBSTITUTE(SUBSTITUTE(SUBSTITUTE(SUBSTITUTE(SUBSTITUTE(SUBSTITUTE(SUBSTITUTE(SUBSTITUTE(SUBSTITUTE(SUBSTITUTE(SUBSTITUTE(SUBSTITUTE(SUBSTITUTE(SUBSTITUTE(SUBSTITUTE(SUBSTITUTE(SUBSTITUTE(SUBSTITUTE(P2:P11,"Y",""),"B",""),"M",""),"H",""),"Q",""),"K",""),"V",""),"L",""),"G",""),"S",""),"W",""),"T",""),"X",""),"U",""),"O",""),"I",""),"E",""),"A",""),"P",""),"N","")),0))</f>
        <v>0</v>
      </c>
      <c r="Q12" s="96">
        <f t="shared" si="0"/>
        <v>0</v>
      </c>
      <c r="R12" s="96">
        <f t="shared" si="0"/>
        <v>0</v>
      </c>
      <c r="S12" s="96">
        <f t="shared" si="0"/>
        <v>0</v>
      </c>
      <c r="T12" s="96">
        <f t="shared" si="0"/>
        <v>0</v>
      </c>
      <c r="U12" s="96">
        <f t="shared" si="0"/>
        <v>0</v>
      </c>
      <c r="V12" s="96">
        <f t="shared" si="0"/>
        <v>0</v>
      </c>
      <c r="W12" s="96">
        <f t="shared" si="0"/>
        <v>0</v>
      </c>
      <c r="X12" s="96">
        <f t="shared" si="0"/>
        <v>0</v>
      </c>
      <c r="Y12" s="96">
        <f t="shared" si="0"/>
        <v>0</v>
      </c>
      <c r="Z12" s="96">
        <f t="shared" si="0"/>
        <v>0</v>
      </c>
      <c r="AA12" s="96">
        <f t="shared" si="0"/>
        <v>0</v>
      </c>
      <c r="AB12" s="96">
        <f t="shared" si="0"/>
        <v>0</v>
      </c>
      <c r="AC12" s="96">
        <f t="shared" si="0"/>
        <v>0</v>
      </c>
      <c r="AD12" s="96">
        <f t="shared" si="0"/>
        <v>0</v>
      </c>
      <c r="AE12" s="96">
        <f t="shared" si="0"/>
        <v>0</v>
      </c>
      <c r="AF12" s="96">
        <f t="shared" si="0"/>
        <v>0</v>
      </c>
      <c r="AG12" s="96">
        <f t="shared" si="0"/>
        <v>0</v>
      </c>
      <c r="AH12" s="96">
        <f t="shared" si="0"/>
        <v>0</v>
      </c>
      <c r="AI12" s="96">
        <f t="shared" si="0"/>
        <v>0</v>
      </c>
    </row>
  </sheetData>
  <autoFilter ref="A1:AI11"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6"/>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25</v>
      </c>
      <c r="C2" s="100" t="s">
        <v>566</v>
      </c>
      <c r="D2" s="99" t="s">
        <v>565</v>
      </c>
      <c r="E2" s="101">
        <v>1.3611111111111109</v>
      </c>
      <c r="F2" s="99" t="s">
        <v>567</v>
      </c>
      <c r="G2" s="102">
        <v>2</v>
      </c>
      <c r="H2" s="103" t="s">
        <v>299</v>
      </c>
    </row>
    <row r="3" spans="1:8" ht="18" x14ac:dyDescent="0.3">
      <c r="A3" s="104">
        <v>45986</v>
      </c>
      <c r="B3" s="105" t="s">
        <v>25</v>
      </c>
      <c r="C3" s="106" t="s">
        <v>566</v>
      </c>
      <c r="D3" s="105" t="s">
        <v>565</v>
      </c>
      <c r="E3" s="107">
        <v>1.3611111111111109</v>
      </c>
      <c r="F3" s="105" t="s">
        <v>568</v>
      </c>
      <c r="G3" s="108">
        <v>2</v>
      </c>
      <c r="H3" s="105" t="s">
        <v>569</v>
      </c>
    </row>
    <row r="4" spans="1:8" ht="18" x14ac:dyDescent="0.3">
      <c r="A4" s="104">
        <v>45986</v>
      </c>
      <c r="B4" s="105" t="s">
        <v>25</v>
      </c>
      <c r="C4" s="106" t="s">
        <v>566</v>
      </c>
      <c r="D4" s="105" t="s">
        <v>565</v>
      </c>
      <c r="E4" s="107">
        <v>1.3611111111111109</v>
      </c>
      <c r="F4" s="105" t="s">
        <v>570</v>
      </c>
      <c r="G4" s="108">
        <v>2</v>
      </c>
      <c r="H4" s="105" t="s">
        <v>408</v>
      </c>
    </row>
    <row r="5" spans="1:8" ht="18" x14ac:dyDescent="0.3">
      <c r="A5" s="104">
        <v>45986</v>
      </c>
      <c r="B5" s="105" t="s">
        <v>25</v>
      </c>
      <c r="C5" s="106" t="s">
        <v>566</v>
      </c>
      <c r="D5" s="105" t="s">
        <v>565</v>
      </c>
      <c r="E5" s="107">
        <v>1.3611111111111109</v>
      </c>
      <c r="F5" s="105" t="s">
        <v>571</v>
      </c>
      <c r="G5" s="108">
        <v>2</v>
      </c>
      <c r="H5" s="105" t="s">
        <v>572</v>
      </c>
    </row>
    <row r="6" spans="1:8" ht="18" x14ac:dyDescent="0.3">
      <c r="A6" s="118">
        <v>45986</v>
      </c>
      <c r="B6" s="99" t="s">
        <v>58</v>
      </c>
      <c r="C6" s="100" t="s">
        <v>573</v>
      </c>
      <c r="D6" s="99" t="s">
        <v>565</v>
      </c>
      <c r="E6" s="101">
        <v>1.4513888888888891</v>
      </c>
      <c r="F6" s="99" t="s">
        <v>63</v>
      </c>
      <c r="G6" s="102">
        <v>1</v>
      </c>
      <c r="H6" s="99" t="s">
        <v>574</v>
      </c>
    </row>
    <row r="7" spans="1:8" ht="18" x14ac:dyDescent="0.3">
      <c r="A7" s="119">
        <v>45986</v>
      </c>
      <c r="B7" s="120" t="s">
        <v>58</v>
      </c>
      <c r="C7" s="121" t="s">
        <v>575</v>
      </c>
      <c r="D7" s="120" t="s">
        <v>565</v>
      </c>
      <c r="E7" s="122">
        <v>1.819444444444444</v>
      </c>
      <c r="F7" s="120" t="s">
        <v>63</v>
      </c>
      <c r="G7" s="123">
        <v>3</v>
      </c>
      <c r="H7" s="120" t="s">
        <v>574</v>
      </c>
    </row>
    <row r="8" spans="1:8" ht="18" x14ac:dyDescent="0.3">
      <c r="A8" s="118">
        <v>45986</v>
      </c>
      <c r="B8" s="99" t="s">
        <v>75</v>
      </c>
      <c r="C8" s="100" t="s">
        <v>576</v>
      </c>
      <c r="D8" s="99" t="s">
        <v>565</v>
      </c>
      <c r="E8" s="101">
        <v>1.4236111111111109</v>
      </c>
      <c r="F8" s="99" t="s">
        <v>60</v>
      </c>
      <c r="G8" s="102">
        <v>9</v>
      </c>
      <c r="H8" s="99" t="s">
        <v>577</v>
      </c>
    </row>
    <row r="9" spans="1:8" ht="18" x14ac:dyDescent="0.3">
      <c r="A9" s="109">
        <v>45986</v>
      </c>
      <c r="B9" s="110" t="s">
        <v>35</v>
      </c>
      <c r="C9" s="111" t="s">
        <v>578</v>
      </c>
      <c r="D9" s="110" t="s">
        <v>565</v>
      </c>
      <c r="E9" s="112">
        <v>1.520833333333333</v>
      </c>
      <c r="F9" s="110" t="s">
        <v>44</v>
      </c>
      <c r="G9" s="110"/>
      <c r="H9" s="110" t="s">
        <v>45</v>
      </c>
    </row>
    <row r="10" spans="1:8" ht="15.6" x14ac:dyDescent="0.3">
      <c r="A10" s="167"/>
      <c r="B10" s="167"/>
      <c r="C10" s="167"/>
      <c r="D10" s="167"/>
      <c r="E10" s="168" t="s">
        <v>648</v>
      </c>
      <c r="F10" s="167"/>
      <c r="G10" s="167"/>
      <c r="H10" s="3"/>
    </row>
    <row r="11" spans="1:8" ht="18" x14ac:dyDescent="0.3">
      <c r="A11" s="118">
        <v>45986</v>
      </c>
      <c r="B11" s="99" t="s">
        <v>25</v>
      </c>
      <c r="C11" s="100" t="s">
        <v>268</v>
      </c>
      <c r="D11" s="99" t="s">
        <v>267</v>
      </c>
      <c r="E11" s="101">
        <v>1.399305555555556</v>
      </c>
      <c r="F11" s="99" t="s">
        <v>27</v>
      </c>
      <c r="G11" s="102">
        <v>4</v>
      </c>
      <c r="H11" s="99" t="s">
        <v>269</v>
      </c>
    </row>
    <row r="12" spans="1:8" ht="18" x14ac:dyDescent="0.3">
      <c r="A12" s="104">
        <v>45986</v>
      </c>
      <c r="B12" s="105" t="s">
        <v>25</v>
      </c>
      <c r="C12" s="106" t="s">
        <v>268</v>
      </c>
      <c r="D12" s="105" t="s">
        <v>267</v>
      </c>
      <c r="E12" s="107">
        <v>1.399305555555556</v>
      </c>
      <c r="F12" s="105" t="s">
        <v>33</v>
      </c>
      <c r="G12" s="108">
        <v>4</v>
      </c>
      <c r="H12" s="105" t="s">
        <v>270</v>
      </c>
    </row>
    <row r="13" spans="1:8" ht="18" x14ac:dyDescent="0.3">
      <c r="A13" s="119">
        <v>45986</v>
      </c>
      <c r="B13" s="120" t="s">
        <v>25</v>
      </c>
      <c r="C13" s="121" t="s">
        <v>271</v>
      </c>
      <c r="D13" s="120" t="s">
        <v>267</v>
      </c>
      <c r="E13" s="122">
        <v>1.489583333333333</v>
      </c>
      <c r="F13" s="120" t="s">
        <v>27</v>
      </c>
      <c r="G13" s="123">
        <v>10</v>
      </c>
      <c r="H13" s="120" t="s">
        <v>273</v>
      </c>
    </row>
    <row r="14" spans="1:8" ht="18" x14ac:dyDescent="0.3">
      <c r="A14" s="119">
        <v>45986</v>
      </c>
      <c r="B14" s="120" t="s">
        <v>25</v>
      </c>
      <c r="C14" s="121" t="s">
        <v>276</v>
      </c>
      <c r="D14" s="120" t="s">
        <v>267</v>
      </c>
      <c r="E14" s="122">
        <v>1.8888888888888891</v>
      </c>
      <c r="F14" s="120" t="s">
        <v>27</v>
      </c>
      <c r="G14" s="123">
        <v>4</v>
      </c>
      <c r="H14" s="120" t="s">
        <v>273</v>
      </c>
    </row>
    <row r="15" spans="1:8" ht="18" x14ac:dyDescent="0.3">
      <c r="A15" s="119">
        <v>45986</v>
      </c>
      <c r="B15" s="120" t="s">
        <v>25</v>
      </c>
      <c r="C15" s="121" t="s">
        <v>277</v>
      </c>
      <c r="D15" s="120" t="s">
        <v>267</v>
      </c>
      <c r="E15" s="122">
        <v>1.989583333333333</v>
      </c>
      <c r="F15" s="120" t="s">
        <v>27</v>
      </c>
      <c r="G15" s="123">
        <v>9</v>
      </c>
      <c r="H15" s="120" t="s">
        <v>273</v>
      </c>
    </row>
    <row r="16" spans="1:8" ht="18" x14ac:dyDescent="0.3">
      <c r="A16" s="118">
        <v>45986</v>
      </c>
      <c r="B16" s="99" t="s">
        <v>48</v>
      </c>
      <c r="C16" s="100" t="s">
        <v>278</v>
      </c>
      <c r="D16" s="99" t="s">
        <v>267</v>
      </c>
      <c r="E16" s="101">
        <v>1.993055555555556</v>
      </c>
      <c r="F16" s="99" t="s">
        <v>50</v>
      </c>
      <c r="G16" s="102">
        <v>1</v>
      </c>
      <c r="H16" s="99" t="s">
        <v>273</v>
      </c>
    </row>
    <row r="17" spans="1:8" ht="18" x14ac:dyDescent="0.3">
      <c r="A17" s="104">
        <v>45986</v>
      </c>
      <c r="B17" s="105" t="s">
        <v>48</v>
      </c>
      <c r="C17" s="106" t="s">
        <v>278</v>
      </c>
      <c r="D17" s="105" t="s">
        <v>267</v>
      </c>
      <c r="E17" s="107">
        <v>1.993055555555556</v>
      </c>
      <c r="F17" s="105" t="s">
        <v>53</v>
      </c>
      <c r="G17" s="108">
        <v>1</v>
      </c>
      <c r="H17" s="105" t="s">
        <v>270</v>
      </c>
    </row>
    <row r="18" spans="1:8" ht="18" x14ac:dyDescent="0.3">
      <c r="A18" s="119">
        <v>45986</v>
      </c>
      <c r="B18" s="120" t="s">
        <v>48</v>
      </c>
      <c r="C18" s="121" t="s">
        <v>279</v>
      </c>
      <c r="D18" s="120" t="s">
        <v>267</v>
      </c>
      <c r="E18" s="122">
        <v>1.3472222222222221</v>
      </c>
      <c r="F18" s="120" t="s">
        <v>50</v>
      </c>
      <c r="G18" s="123">
        <v>5</v>
      </c>
      <c r="H18" s="120" t="s">
        <v>270</v>
      </c>
    </row>
    <row r="19" spans="1:8" ht="18" x14ac:dyDescent="0.3">
      <c r="A19" s="119">
        <v>45986</v>
      </c>
      <c r="B19" s="120" t="s">
        <v>48</v>
      </c>
      <c r="C19" s="121" t="s">
        <v>282</v>
      </c>
      <c r="D19" s="120" t="s">
        <v>267</v>
      </c>
      <c r="E19" s="122">
        <v>1.7361111111111109</v>
      </c>
      <c r="F19" s="120" t="s">
        <v>50</v>
      </c>
      <c r="G19" s="123">
        <v>1</v>
      </c>
      <c r="H19" s="120" t="s">
        <v>270</v>
      </c>
    </row>
    <row r="20" spans="1:8" ht="18" x14ac:dyDescent="0.3">
      <c r="A20" s="169">
        <v>45986</v>
      </c>
      <c r="B20" s="170" t="s">
        <v>290</v>
      </c>
      <c r="C20" s="171" t="s">
        <v>291</v>
      </c>
      <c r="D20" s="170" t="s">
        <v>267</v>
      </c>
      <c r="E20" s="172">
        <v>1.055555555555556</v>
      </c>
      <c r="F20" s="170" t="s">
        <v>292</v>
      </c>
      <c r="G20" s="173">
        <v>1</v>
      </c>
      <c r="H20" s="170" t="s">
        <v>293</v>
      </c>
    </row>
    <row r="21" spans="1:8" ht="18" x14ac:dyDescent="0.3">
      <c r="A21" s="165">
        <v>45987</v>
      </c>
      <c r="B21" s="110" t="s">
        <v>35</v>
      </c>
      <c r="C21" s="111" t="s">
        <v>578</v>
      </c>
      <c r="D21" s="110" t="s">
        <v>565</v>
      </c>
      <c r="E21" s="112">
        <v>1.145833333333333</v>
      </c>
      <c r="F21" s="110" t="s">
        <v>44</v>
      </c>
      <c r="G21" s="110"/>
      <c r="H21" s="166" t="s">
        <v>45</v>
      </c>
    </row>
    <row r="22" spans="1:8" ht="18" x14ac:dyDescent="0.3">
      <c r="A22" s="114">
        <v>45987</v>
      </c>
      <c r="B22" s="115" t="s">
        <v>35</v>
      </c>
      <c r="C22" s="116" t="s">
        <v>591</v>
      </c>
      <c r="D22" s="115" t="s">
        <v>565</v>
      </c>
      <c r="E22" s="117">
        <v>1.53125</v>
      </c>
      <c r="F22" s="115" t="s">
        <v>44</v>
      </c>
      <c r="G22" s="115"/>
      <c r="H22" s="115" t="s">
        <v>45</v>
      </c>
    </row>
    <row r="23" spans="1:8" ht="18" x14ac:dyDescent="0.3">
      <c r="A23" s="114">
        <v>45987</v>
      </c>
      <c r="B23" s="115" t="s">
        <v>35</v>
      </c>
      <c r="C23" s="116" t="s">
        <v>593</v>
      </c>
      <c r="D23" s="115" t="s">
        <v>565</v>
      </c>
      <c r="E23" s="117">
        <v>1.8611111111111109</v>
      </c>
      <c r="F23" s="115" t="s">
        <v>44</v>
      </c>
      <c r="G23" s="115"/>
      <c r="H23" s="115" t="s">
        <v>45</v>
      </c>
    </row>
    <row r="24" spans="1:8" ht="15.6" x14ac:dyDescent="0.3">
      <c r="A24" s="167"/>
      <c r="B24" s="167"/>
      <c r="C24" s="167"/>
      <c r="D24" s="167"/>
      <c r="E24" s="168" t="s">
        <v>648</v>
      </c>
      <c r="F24" s="167"/>
      <c r="G24" s="167"/>
      <c r="H24" s="3"/>
    </row>
    <row r="25" spans="1:8" ht="18" x14ac:dyDescent="0.3">
      <c r="A25" s="118">
        <v>45987</v>
      </c>
      <c r="B25" s="99" t="s">
        <v>25</v>
      </c>
      <c r="C25" s="100" t="s">
        <v>268</v>
      </c>
      <c r="D25" s="99" t="s">
        <v>267</v>
      </c>
      <c r="E25" s="101">
        <v>1.399305555555556</v>
      </c>
      <c r="F25" s="99" t="s">
        <v>27</v>
      </c>
      <c r="G25" s="102">
        <v>4</v>
      </c>
      <c r="H25" s="99" t="s">
        <v>273</v>
      </c>
    </row>
    <row r="26" spans="1:8" ht="18" x14ac:dyDescent="0.3">
      <c r="A26" s="119">
        <v>45987</v>
      </c>
      <c r="B26" s="120" t="s">
        <v>25</v>
      </c>
      <c r="C26" s="121" t="s">
        <v>271</v>
      </c>
      <c r="D26" s="120" t="s">
        <v>267</v>
      </c>
      <c r="E26" s="122">
        <v>1.489583333333333</v>
      </c>
      <c r="F26" s="120" t="s">
        <v>27</v>
      </c>
      <c r="G26" s="123">
        <v>3</v>
      </c>
      <c r="H26" s="120" t="s">
        <v>273</v>
      </c>
    </row>
    <row r="27" spans="1:8" ht="18" x14ac:dyDescent="0.3">
      <c r="A27" s="119">
        <v>45987</v>
      </c>
      <c r="B27" s="120" t="s">
        <v>25</v>
      </c>
      <c r="C27" s="121" t="s">
        <v>276</v>
      </c>
      <c r="D27" s="120" t="s">
        <v>267</v>
      </c>
      <c r="E27" s="122">
        <v>1.8888888888888891</v>
      </c>
      <c r="F27" s="120" t="s">
        <v>335</v>
      </c>
      <c r="G27" s="123">
        <v>3</v>
      </c>
      <c r="H27" s="120" t="s">
        <v>32</v>
      </c>
    </row>
    <row r="28" spans="1:8" ht="18" x14ac:dyDescent="0.3">
      <c r="A28" s="104">
        <v>45987</v>
      </c>
      <c r="B28" s="105" t="s">
        <v>25</v>
      </c>
      <c r="C28" s="106" t="s">
        <v>276</v>
      </c>
      <c r="D28" s="105" t="s">
        <v>267</v>
      </c>
      <c r="E28" s="107">
        <v>1.8888888888888891</v>
      </c>
      <c r="F28" s="105" t="s">
        <v>27</v>
      </c>
      <c r="G28" s="108">
        <v>3</v>
      </c>
      <c r="H28" s="105" t="s">
        <v>32</v>
      </c>
    </row>
    <row r="29" spans="1:8" ht="18" x14ac:dyDescent="0.3">
      <c r="A29" s="119">
        <v>45987</v>
      </c>
      <c r="B29" s="120" t="s">
        <v>25</v>
      </c>
      <c r="C29" s="121" t="s">
        <v>277</v>
      </c>
      <c r="D29" s="120" t="s">
        <v>267</v>
      </c>
      <c r="E29" s="122">
        <v>1.989583333333333</v>
      </c>
      <c r="F29" s="120" t="s">
        <v>27</v>
      </c>
      <c r="G29" s="123">
        <v>10</v>
      </c>
      <c r="H29" s="120" t="s">
        <v>32</v>
      </c>
    </row>
    <row r="30" spans="1:8" ht="18" x14ac:dyDescent="0.3">
      <c r="A30" s="118">
        <v>45987</v>
      </c>
      <c r="B30" s="99" t="s">
        <v>48</v>
      </c>
      <c r="C30" s="100" t="s">
        <v>283</v>
      </c>
      <c r="D30" s="99" t="s">
        <v>267</v>
      </c>
      <c r="E30" s="101">
        <v>1.836805555555556</v>
      </c>
      <c r="F30" s="99" t="s">
        <v>102</v>
      </c>
      <c r="G30" s="102">
        <v>2</v>
      </c>
      <c r="H30" s="99" t="s">
        <v>273</v>
      </c>
    </row>
    <row r="31" spans="1:8" ht="18" x14ac:dyDescent="0.3">
      <c r="A31" s="104">
        <v>45987</v>
      </c>
      <c r="B31" s="105" t="s">
        <v>48</v>
      </c>
      <c r="C31" s="106" t="s">
        <v>283</v>
      </c>
      <c r="D31" s="105" t="s">
        <v>267</v>
      </c>
      <c r="E31" s="107">
        <v>1.836805555555556</v>
      </c>
      <c r="F31" s="105" t="s">
        <v>50</v>
      </c>
      <c r="G31" s="108">
        <v>2</v>
      </c>
      <c r="H31" s="105" t="s">
        <v>273</v>
      </c>
    </row>
    <row r="32" spans="1:8" ht="18" x14ac:dyDescent="0.3">
      <c r="A32" s="118">
        <v>45987</v>
      </c>
      <c r="B32" s="99" t="s">
        <v>75</v>
      </c>
      <c r="C32" s="100" t="s">
        <v>320</v>
      </c>
      <c r="D32" s="99" t="s">
        <v>267</v>
      </c>
      <c r="E32" s="101">
        <v>1.100694444444444</v>
      </c>
      <c r="F32" s="99" t="s">
        <v>60</v>
      </c>
      <c r="G32" s="102">
        <v>5</v>
      </c>
      <c r="H32" s="99" t="s">
        <v>338</v>
      </c>
    </row>
    <row r="33" spans="1:8" ht="18" x14ac:dyDescent="0.3">
      <c r="A33" s="119">
        <v>45987</v>
      </c>
      <c r="B33" s="120" t="s">
        <v>75</v>
      </c>
      <c r="C33" s="121" t="s">
        <v>339</v>
      </c>
      <c r="D33" s="120" t="s">
        <v>267</v>
      </c>
      <c r="E33" s="122">
        <v>1.0486111111111109</v>
      </c>
      <c r="F33" s="120" t="s">
        <v>60</v>
      </c>
      <c r="G33" s="123">
        <v>6</v>
      </c>
      <c r="H33" s="120" t="s">
        <v>338</v>
      </c>
    </row>
    <row r="34" spans="1:8" ht="18" x14ac:dyDescent="0.3">
      <c r="A34" s="169">
        <v>45987</v>
      </c>
      <c r="B34" s="170" t="s">
        <v>290</v>
      </c>
      <c r="C34" s="171" t="s">
        <v>341</v>
      </c>
      <c r="D34" s="170" t="s">
        <v>267</v>
      </c>
      <c r="E34" s="172">
        <v>1.225694444444444</v>
      </c>
      <c r="F34" s="170" t="s">
        <v>292</v>
      </c>
      <c r="G34" s="173">
        <v>1</v>
      </c>
      <c r="H34" s="170" t="s">
        <v>342</v>
      </c>
    </row>
    <row r="35" spans="1:8" ht="18" x14ac:dyDescent="0.3">
      <c r="A35" s="98">
        <v>45988</v>
      </c>
      <c r="B35" s="99" t="s">
        <v>58</v>
      </c>
      <c r="C35" s="100" t="s">
        <v>573</v>
      </c>
      <c r="D35" s="99" t="s">
        <v>565</v>
      </c>
      <c r="E35" s="101">
        <v>1.4513888888888891</v>
      </c>
      <c r="F35" s="99" t="s">
        <v>63</v>
      </c>
      <c r="G35" s="102">
        <v>1</v>
      </c>
      <c r="H35" s="103" t="s">
        <v>600</v>
      </c>
    </row>
    <row r="36" spans="1:8" ht="18" x14ac:dyDescent="0.3">
      <c r="A36" s="109">
        <v>45988</v>
      </c>
      <c r="B36" s="110" t="s">
        <v>35</v>
      </c>
      <c r="C36" s="111" t="s">
        <v>578</v>
      </c>
      <c r="D36" s="110" t="s">
        <v>565</v>
      </c>
      <c r="E36" s="112">
        <v>1.086805555555556</v>
      </c>
      <c r="F36" s="110" t="s">
        <v>44</v>
      </c>
      <c r="G36" s="110"/>
      <c r="H36" s="110" t="s">
        <v>45</v>
      </c>
    </row>
    <row r="37" spans="1:8" ht="15.6" x14ac:dyDescent="0.3">
      <c r="A37" s="167"/>
      <c r="B37" s="167"/>
      <c r="C37" s="167"/>
      <c r="D37" s="167"/>
      <c r="E37" s="168" t="s">
        <v>648</v>
      </c>
      <c r="F37" s="167"/>
      <c r="G37" s="167"/>
      <c r="H37" s="3"/>
    </row>
    <row r="38" spans="1:8" ht="18" x14ac:dyDescent="0.3">
      <c r="A38" s="109">
        <v>45988</v>
      </c>
      <c r="B38" s="110" t="s">
        <v>35</v>
      </c>
      <c r="C38" s="111" t="s">
        <v>355</v>
      </c>
      <c r="D38" s="110" t="s">
        <v>267</v>
      </c>
      <c r="E38" s="112">
        <v>1.0659722222222221</v>
      </c>
      <c r="F38" s="110" t="s">
        <v>37</v>
      </c>
      <c r="G38" s="113">
        <v>1</v>
      </c>
      <c r="H38" s="110" t="s">
        <v>29</v>
      </c>
    </row>
    <row r="39" spans="1:8" ht="18" x14ac:dyDescent="0.3">
      <c r="A39" s="114">
        <v>45988</v>
      </c>
      <c r="B39" s="115" t="s">
        <v>35</v>
      </c>
      <c r="C39" s="116" t="s">
        <v>358</v>
      </c>
      <c r="D39" s="115" t="s">
        <v>267</v>
      </c>
      <c r="E39" s="117">
        <v>1.9375</v>
      </c>
      <c r="F39" s="115" t="s">
        <v>37</v>
      </c>
      <c r="G39" s="233">
        <v>3</v>
      </c>
      <c r="H39" s="115" t="s">
        <v>359</v>
      </c>
    </row>
    <row r="40" spans="1:8" ht="18" x14ac:dyDescent="0.3">
      <c r="A40" s="114">
        <v>45988</v>
      </c>
      <c r="B40" s="115" t="s">
        <v>35</v>
      </c>
      <c r="C40" s="116" t="s">
        <v>362</v>
      </c>
      <c r="D40" s="115" t="s">
        <v>267</v>
      </c>
      <c r="E40" s="117">
        <v>1.1875</v>
      </c>
      <c r="F40" s="115" t="s">
        <v>37</v>
      </c>
      <c r="G40" s="233">
        <v>1</v>
      </c>
      <c r="H40" s="115" t="s">
        <v>359</v>
      </c>
    </row>
    <row r="41" spans="1:8" ht="18" x14ac:dyDescent="0.3">
      <c r="A41" s="118">
        <v>45988</v>
      </c>
      <c r="B41" s="99" t="s">
        <v>25</v>
      </c>
      <c r="C41" s="100" t="s">
        <v>268</v>
      </c>
      <c r="D41" s="99" t="s">
        <v>267</v>
      </c>
      <c r="E41" s="101">
        <v>1.399305555555556</v>
      </c>
      <c r="F41" s="99" t="s">
        <v>27</v>
      </c>
      <c r="G41" s="102">
        <v>1</v>
      </c>
      <c r="H41" s="99" t="s">
        <v>273</v>
      </c>
    </row>
    <row r="42" spans="1:8" ht="18" x14ac:dyDescent="0.3">
      <c r="A42" s="119">
        <v>45988</v>
      </c>
      <c r="B42" s="120" t="s">
        <v>25</v>
      </c>
      <c r="C42" s="121" t="s">
        <v>271</v>
      </c>
      <c r="D42" s="120" t="s">
        <v>267</v>
      </c>
      <c r="E42" s="122">
        <v>1.489583333333333</v>
      </c>
      <c r="F42" s="120" t="s">
        <v>27</v>
      </c>
      <c r="G42" s="123">
        <v>9</v>
      </c>
      <c r="H42" s="120" t="s">
        <v>32</v>
      </c>
    </row>
    <row r="43" spans="1:8" ht="18" x14ac:dyDescent="0.3">
      <c r="A43" s="119">
        <v>45988</v>
      </c>
      <c r="B43" s="120" t="s">
        <v>25</v>
      </c>
      <c r="C43" s="121" t="s">
        <v>277</v>
      </c>
      <c r="D43" s="120" t="s">
        <v>267</v>
      </c>
      <c r="E43" s="122">
        <v>1.989583333333333</v>
      </c>
      <c r="F43" s="120" t="s">
        <v>27</v>
      </c>
      <c r="G43" s="123">
        <v>12</v>
      </c>
      <c r="H43" s="120" t="s">
        <v>32</v>
      </c>
    </row>
    <row r="44" spans="1:8" ht="18" x14ac:dyDescent="0.3">
      <c r="A44" s="119">
        <v>45988</v>
      </c>
      <c r="B44" s="120" t="s">
        <v>25</v>
      </c>
      <c r="C44" s="121" t="s">
        <v>276</v>
      </c>
      <c r="D44" s="120" t="s">
        <v>267</v>
      </c>
      <c r="E44" s="122">
        <v>1.8888888888888891</v>
      </c>
      <c r="F44" s="120" t="s">
        <v>27</v>
      </c>
      <c r="G44" s="123">
        <v>5</v>
      </c>
      <c r="H44" s="120" t="s">
        <v>270</v>
      </c>
    </row>
    <row r="45" spans="1:8" ht="18" x14ac:dyDescent="0.3">
      <c r="A45" s="118">
        <v>45988</v>
      </c>
      <c r="B45" s="99" t="s">
        <v>48</v>
      </c>
      <c r="C45" s="100" t="s">
        <v>279</v>
      </c>
      <c r="D45" s="99" t="s">
        <v>267</v>
      </c>
      <c r="E45" s="101">
        <v>1.3472222222222221</v>
      </c>
      <c r="F45" s="99" t="s">
        <v>50</v>
      </c>
      <c r="G45" s="102">
        <v>6</v>
      </c>
      <c r="H45" s="99" t="s">
        <v>270</v>
      </c>
    </row>
    <row r="46" spans="1:8" ht="18" x14ac:dyDescent="0.3">
      <c r="A46" s="119">
        <v>45988</v>
      </c>
      <c r="B46" s="120" t="s">
        <v>48</v>
      </c>
      <c r="C46" s="121" t="s">
        <v>278</v>
      </c>
      <c r="D46" s="120" t="s">
        <v>267</v>
      </c>
      <c r="E46" s="122">
        <v>1.993055555555556</v>
      </c>
      <c r="F46" s="120" t="s">
        <v>50</v>
      </c>
      <c r="G46" s="123">
        <v>1</v>
      </c>
      <c r="H46" s="120" t="s">
        <v>270</v>
      </c>
    </row>
    <row r="47" spans="1:8" ht="18" x14ac:dyDescent="0.3">
      <c r="A47" s="124">
        <v>45988</v>
      </c>
      <c r="B47" s="125" t="s">
        <v>48</v>
      </c>
      <c r="C47" s="126" t="s">
        <v>288</v>
      </c>
      <c r="D47" s="125" t="s">
        <v>267</v>
      </c>
      <c r="E47" s="127">
        <v>1.3923611111111109</v>
      </c>
      <c r="F47" s="125" t="s">
        <v>50</v>
      </c>
      <c r="G47" s="128">
        <v>9</v>
      </c>
      <c r="H47" s="125" t="s">
        <v>270</v>
      </c>
    </row>
    <row r="48" spans="1:8" ht="18" x14ac:dyDescent="0.3">
      <c r="A48" s="98">
        <v>45989</v>
      </c>
      <c r="B48" s="99" t="s">
        <v>58</v>
      </c>
      <c r="C48" s="100" t="s">
        <v>575</v>
      </c>
      <c r="D48" s="99" t="s">
        <v>565</v>
      </c>
      <c r="E48" s="101">
        <v>1.819444444444444</v>
      </c>
      <c r="F48" s="99" t="s">
        <v>63</v>
      </c>
      <c r="G48" s="102">
        <v>9</v>
      </c>
      <c r="H48" s="103" t="s">
        <v>600</v>
      </c>
    </row>
    <row r="49" spans="1:8" ht="18" x14ac:dyDescent="0.3">
      <c r="A49" s="109">
        <v>45989</v>
      </c>
      <c r="B49" s="110" t="s">
        <v>35</v>
      </c>
      <c r="C49" s="111" t="s">
        <v>578</v>
      </c>
      <c r="D49" s="110" t="s">
        <v>565</v>
      </c>
      <c r="E49" s="112">
        <v>1.229166666666667</v>
      </c>
      <c r="F49" s="110" t="s">
        <v>44</v>
      </c>
      <c r="G49" s="110"/>
      <c r="H49" s="110" t="s">
        <v>45</v>
      </c>
    </row>
    <row r="50" spans="1:8" ht="15.6" x14ac:dyDescent="0.3">
      <c r="A50" s="167"/>
      <c r="B50" s="167"/>
      <c r="C50" s="167"/>
      <c r="D50" s="167"/>
      <c r="E50" s="168" t="s">
        <v>648</v>
      </c>
      <c r="F50" s="167"/>
      <c r="G50" s="167"/>
      <c r="H50" s="3"/>
    </row>
    <row r="51" spans="1:8" ht="18" x14ac:dyDescent="0.3">
      <c r="A51" s="109">
        <v>45989</v>
      </c>
      <c r="B51" s="110" t="s">
        <v>35</v>
      </c>
      <c r="C51" s="111" t="s">
        <v>365</v>
      </c>
      <c r="D51" s="110" t="s">
        <v>267</v>
      </c>
      <c r="E51" s="112">
        <v>1.4375</v>
      </c>
      <c r="F51" s="110" t="s">
        <v>37</v>
      </c>
      <c r="G51" s="113">
        <v>1</v>
      </c>
      <c r="H51" s="110" t="s">
        <v>376</v>
      </c>
    </row>
    <row r="52" spans="1:8" ht="18" x14ac:dyDescent="0.3">
      <c r="A52" s="114">
        <v>45989</v>
      </c>
      <c r="B52" s="115" t="s">
        <v>35</v>
      </c>
      <c r="C52" s="116" t="s">
        <v>378</v>
      </c>
      <c r="D52" s="115" t="s">
        <v>267</v>
      </c>
      <c r="E52" s="117">
        <v>1.760416666666667</v>
      </c>
      <c r="F52" s="115" t="s">
        <v>37</v>
      </c>
      <c r="G52" s="233">
        <v>1</v>
      </c>
      <c r="H52" s="115" t="s">
        <v>366</v>
      </c>
    </row>
    <row r="53" spans="1:8" ht="18" x14ac:dyDescent="0.3">
      <c r="A53" s="118">
        <v>45989</v>
      </c>
      <c r="B53" s="99" t="s">
        <v>75</v>
      </c>
      <c r="C53" s="100" t="s">
        <v>318</v>
      </c>
      <c r="D53" s="99" t="s">
        <v>267</v>
      </c>
      <c r="E53" s="101">
        <v>1.2986111111111109</v>
      </c>
      <c r="F53" s="99" t="s">
        <v>60</v>
      </c>
      <c r="G53" s="102">
        <v>9</v>
      </c>
      <c r="H53" s="99" t="s">
        <v>338</v>
      </c>
    </row>
    <row r="54" spans="1:8" ht="18" x14ac:dyDescent="0.3">
      <c r="A54" s="119">
        <v>45989</v>
      </c>
      <c r="B54" s="120" t="s">
        <v>75</v>
      </c>
      <c r="C54" s="121" t="s">
        <v>320</v>
      </c>
      <c r="D54" s="120" t="s">
        <v>267</v>
      </c>
      <c r="E54" s="122">
        <v>1.104166666666667</v>
      </c>
      <c r="F54" s="120" t="s">
        <v>60</v>
      </c>
      <c r="G54" s="123">
        <v>9</v>
      </c>
      <c r="H54" s="120" t="s">
        <v>338</v>
      </c>
    </row>
    <row r="55" spans="1:8" ht="18" x14ac:dyDescent="0.3">
      <c r="A55" s="119">
        <v>45989</v>
      </c>
      <c r="B55" s="120" t="s">
        <v>75</v>
      </c>
      <c r="C55" s="121" t="s">
        <v>321</v>
      </c>
      <c r="D55" s="120" t="s">
        <v>267</v>
      </c>
      <c r="E55" s="122">
        <v>1.7847222222222221</v>
      </c>
      <c r="F55" s="120" t="s">
        <v>60</v>
      </c>
      <c r="G55" s="123">
        <v>7</v>
      </c>
      <c r="H55" s="120" t="s">
        <v>338</v>
      </c>
    </row>
    <row r="56" spans="1:8" ht="18" x14ac:dyDescent="0.3">
      <c r="A56" s="119">
        <v>45989</v>
      </c>
      <c r="B56" s="120" t="s">
        <v>75</v>
      </c>
      <c r="C56" s="121" t="s">
        <v>322</v>
      </c>
      <c r="D56" s="120" t="s">
        <v>267</v>
      </c>
      <c r="E56" s="122">
        <v>1.5972222222222221</v>
      </c>
      <c r="F56" s="120" t="s">
        <v>60</v>
      </c>
      <c r="G56" s="123">
        <v>9</v>
      </c>
      <c r="H56" s="120" t="s">
        <v>338</v>
      </c>
    </row>
    <row r="57" spans="1:8" ht="18" x14ac:dyDescent="0.3">
      <c r="A57" s="119">
        <v>45989</v>
      </c>
      <c r="B57" s="120" t="s">
        <v>75</v>
      </c>
      <c r="C57" s="121" t="s">
        <v>339</v>
      </c>
      <c r="D57" s="120" t="s">
        <v>267</v>
      </c>
      <c r="E57" s="122">
        <v>1.0486111111111109</v>
      </c>
      <c r="F57" s="120" t="s">
        <v>60</v>
      </c>
      <c r="G57" s="123">
        <v>9</v>
      </c>
      <c r="H57" s="120" t="s">
        <v>338</v>
      </c>
    </row>
    <row r="58" spans="1:8" ht="18" x14ac:dyDescent="0.3">
      <c r="A58" s="119">
        <v>45989</v>
      </c>
      <c r="B58" s="120" t="s">
        <v>75</v>
      </c>
      <c r="C58" s="121" t="s">
        <v>316</v>
      </c>
      <c r="D58" s="120" t="s">
        <v>267</v>
      </c>
      <c r="E58" s="122">
        <v>1.836805555555556</v>
      </c>
      <c r="F58" s="120" t="s">
        <v>60</v>
      </c>
      <c r="G58" s="123">
        <v>9</v>
      </c>
      <c r="H58" s="120" t="s">
        <v>386</v>
      </c>
    </row>
    <row r="59" spans="1:8" ht="18" x14ac:dyDescent="0.3">
      <c r="A59" s="118">
        <v>45989</v>
      </c>
      <c r="B59" s="99" t="s">
        <v>290</v>
      </c>
      <c r="C59" s="100" t="s">
        <v>341</v>
      </c>
      <c r="D59" s="99" t="s">
        <v>267</v>
      </c>
      <c r="E59" s="101">
        <v>1.225694444444444</v>
      </c>
      <c r="F59" s="99" t="s">
        <v>292</v>
      </c>
      <c r="G59" s="102">
        <v>8</v>
      </c>
      <c r="H59" s="99" t="s">
        <v>387</v>
      </c>
    </row>
    <row r="60" spans="1:8" ht="18" x14ac:dyDescent="0.3">
      <c r="A60" s="169">
        <v>45989</v>
      </c>
      <c r="B60" s="170" t="s">
        <v>25</v>
      </c>
      <c r="C60" s="171" t="s">
        <v>268</v>
      </c>
      <c r="D60" s="170" t="s">
        <v>267</v>
      </c>
      <c r="E60" s="172">
        <v>1.399305555555556</v>
      </c>
      <c r="F60" s="170" t="s">
        <v>27</v>
      </c>
      <c r="G60" s="173">
        <v>8</v>
      </c>
      <c r="H60" s="170" t="s">
        <v>270</v>
      </c>
    </row>
    <row r="61" spans="1:8" ht="18" x14ac:dyDescent="0.3">
      <c r="A61" s="98">
        <v>45990</v>
      </c>
      <c r="B61" s="99" t="s">
        <v>25</v>
      </c>
      <c r="C61" s="100" t="s">
        <v>566</v>
      </c>
      <c r="D61" s="99" t="s">
        <v>565</v>
      </c>
      <c r="E61" s="101">
        <v>1.3611111111111109</v>
      </c>
      <c r="F61" s="99" t="s">
        <v>567</v>
      </c>
      <c r="G61" s="102">
        <v>4</v>
      </c>
      <c r="H61" s="103" t="s">
        <v>394</v>
      </c>
    </row>
    <row r="62" spans="1:8" ht="18" x14ac:dyDescent="0.3">
      <c r="A62" s="104">
        <v>45990</v>
      </c>
      <c r="B62" s="105" t="s">
        <v>25</v>
      </c>
      <c r="C62" s="106" t="s">
        <v>566</v>
      </c>
      <c r="D62" s="105" t="s">
        <v>565</v>
      </c>
      <c r="E62" s="107">
        <v>1.3611111111111109</v>
      </c>
      <c r="F62" s="105" t="s">
        <v>568</v>
      </c>
      <c r="G62" s="108">
        <v>4</v>
      </c>
      <c r="H62" s="105" t="s">
        <v>614</v>
      </c>
    </row>
    <row r="63" spans="1:8" ht="18" x14ac:dyDescent="0.3">
      <c r="A63" s="104">
        <v>45990</v>
      </c>
      <c r="B63" s="105" t="s">
        <v>25</v>
      </c>
      <c r="C63" s="106" t="s">
        <v>566</v>
      </c>
      <c r="D63" s="105" t="s">
        <v>565</v>
      </c>
      <c r="E63" s="107">
        <v>1.3611111111111109</v>
      </c>
      <c r="F63" s="105" t="s">
        <v>570</v>
      </c>
      <c r="G63" s="108">
        <v>4</v>
      </c>
      <c r="H63" s="105" t="s">
        <v>615</v>
      </c>
    </row>
    <row r="64" spans="1:8" ht="18" x14ac:dyDescent="0.3">
      <c r="A64" s="104">
        <v>45990</v>
      </c>
      <c r="B64" s="105" t="s">
        <v>25</v>
      </c>
      <c r="C64" s="106" t="s">
        <v>566</v>
      </c>
      <c r="D64" s="105" t="s">
        <v>565</v>
      </c>
      <c r="E64" s="107">
        <v>1.3611111111111109</v>
      </c>
      <c r="F64" s="105" t="s">
        <v>571</v>
      </c>
      <c r="G64" s="108">
        <v>4</v>
      </c>
      <c r="H64" s="105" t="s">
        <v>616</v>
      </c>
    </row>
    <row r="65" spans="1:8" ht="18" x14ac:dyDescent="0.3">
      <c r="A65" s="118">
        <v>45990</v>
      </c>
      <c r="B65" s="99" t="s">
        <v>58</v>
      </c>
      <c r="C65" s="100" t="s">
        <v>573</v>
      </c>
      <c r="D65" s="99" t="s">
        <v>565</v>
      </c>
      <c r="E65" s="101">
        <v>1.4513888888888891</v>
      </c>
      <c r="F65" s="99" t="s">
        <v>63</v>
      </c>
      <c r="G65" s="102">
        <v>9</v>
      </c>
      <c r="H65" s="99" t="s">
        <v>600</v>
      </c>
    </row>
    <row r="66" spans="1:8" ht="18" x14ac:dyDescent="0.3">
      <c r="A66" s="119">
        <v>45990</v>
      </c>
      <c r="B66" s="120" t="s">
        <v>58</v>
      </c>
      <c r="C66" s="121" t="s">
        <v>575</v>
      </c>
      <c r="D66" s="120" t="s">
        <v>565</v>
      </c>
      <c r="E66" s="122">
        <v>1.819444444444444</v>
      </c>
      <c r="F66" s="120" t="s">
        <v>63</v>
      </c>
      <c r="G66" s="123">
        <v>4</v>
      </c>
      <c r="H66" s="120" t="s">
        <v>600</v>
      </c>
    </row>
    <row r="67" spans="1:8" ht="18" x14ac:dyDescent="0.3">
      <c r="A67" s="109">
        <v>45990</v>
      </c>
      <c r="B67" s="110" t="s">
        <v>35</v>
      </c>
      <c r="C67" s="111" t="s">
        <v>591</v>
      </c>
      <c r="D67" s="110" t="s">
        <v>565</v>
      </c>
      <c r="E67" s="112">
        <v>1.270833333333333</v>
      </c>
      <c r="F67" s="110" t="s">
        <v>44</v>
      </c>
      <c r="G67" s="110"/>
      <c r="H67" s="110" t="s">
        <v>45</v>
      </c>
    </row>
    <row r="68" spans="1:8" ht="18" x14ac:dyDescent="0.3">
      <c r="A68" s="114">
        <v>45990</v>
      </c>
      <c r="B68" s="115" t="s">
        <v>35</v>
      </c>
      <c r="C68" s="116" t="s">
        <v>578</v>
      </c>
      <c r="D68" s="115" t="s">
        <v>565</v>
      </c>
      <c r="E68" s="117">
        <v>1.604166666666667</v>
      </c>
      <c r="F68" s="115" t="s">
        <v>44</v>
      </c>
      <c r="G68" s="115"/>
      <c r="H68" s="115" t="s">
        <v>45</v>
      </c>
    </row>
    <row r="69" spans="1:8" ht="15.6" x14ac:dyDescent="0.3">
      <c r="A69" s="167"/>
      <c r="B69" s="167"/>
      <c r="C69" s="167"/>
      <c r="D69" s="167"/>
      <c r="E69" s="168" t="s">
        <v>648</v>
      </c>
      <c r="F69" s="167"/>
      <c r="G69" s="167"/>
      <c r="H69" s="3"/>
    </row>
    <row r="70" spans="1:8" ht="18" x14ac:dyDescent="0.3">
      <c r="A70" s="118">
        <v>45990</v>
      </c>
      <c r="B70" s="99" t="s">
        <v>75</v>
      </c>
      <c r="C70" s="100" t="s">
        <v>318</v>
      </c>
      <c r="D70" s="99" t="s">
        <v>267</v>
      </c>
      <c r="E70" s="101">
        <v>1.3125</v>
      </c>
      <c r="F70" s="99" t="s">
        <v>60</v>
      </c>
      <c r="G70" s="102">
        <v>9</v>
      </c>
      <c r="H70" s="99" t="s">
        <v>338</v>
      </c>
    </row>
    <row r="71" spans="1:8" ht="18" x14ac:dyDescent="0.3">
      <c r="A71" s="119">
        <v>45990</v>
      </c>
      <c r="B71" s="120" t="s">
        <v>75</v>
      </c>
      <c r="C71" s="121" t="s">
        <v>319</v>
      </c>
      <c r="D71" s="120" t="s">
        <v>267</v>
      </c>
      <c r="E71" s="122">
        <v>1.9722222222222221</v>
      </c>
      <c r="F71" s="120" t="s">
        <v>60</v>
      </c>
      <c r="G71" s="123">
        <v>9</v>
      </c>
      <c r="H71" s="120" t="s">
        <v>338</v>
      </c>
    </row>
    <row r="72" spans="1:8" ht="18" x14ac:dyDescent="0.3">
      <c r="A72" s="119">
        <v>45990</v>
      </c>
      <c r="B72" s="120" t="s">
        <v>75</v>
      </c>
      <c r="C72" s="121" t="s">
        <v>321</v>
      </c>
      <c r="D72" s="120" t="s">
        <v>267</v>
      </c>
      <c r="E72" s="122">
        <v>1.7847222222222221</v>
      </c>
      <c r="F72" s="120" t="s">
        <v>60</v>
      </c>
      <c r="G72" s="123">
        <v>4</v>
      </c>
      <c r="H72" s="120" t="s">
        <v>338</v>
      </c>
    </row>
    <row r="73" spans="1:8" ht="18" x14ac:dyDescent="0.3">
      <c r="A73" s="119">
        <v>45990</v>
      </c>
      <c r="B73" s="120" t="s">
        <v>75</v>
      </c>
      <c r="C73" s="121" t="s">
        <v>316</v>
      </c>
      <c r="D73" s="120" t="s">
        <v>267</v>
      </c>
      <c r="E73" s="122">
        <v>1.836805555555556</v>
      </c>
      <c r="F73" s="120" t="s">
        <v>60</v>
      </c>
      <c r="G73" s="123">
        <v>9</v>
      </c>
      <c r="H73" s="120" t="s">
        <v>386</v>
      </c>
    </row>
    <row r="74" spans="1:8" ht="18" x14ac:dyDescent="0.3">
      <c r="A74" s="118">
        <v>45990</v>
      </c>
      <c r="B74" s="99" t="s">
        <v>25</v>
      </c>
      <c r="C74" s="100" t="s">
        <v>268</v>
      </c>
      <c r="D74" s="99" t="s">
        <v>267</v>
      </c>
      <c r="E74" s="101">
        <v>1.399305555555556</v>
      </c>
      <c r="F74" s="99" t="s">
        <v>27</v>
      </c>
      <c r="G74" s="102">
        <v>8</v>
      </c>
      <c r="H74" s="99" t="s">
        <v>275</v>
      </c>
    </row>
    <row r="75" spans="1:8" ht="18" x14ac:dyDescent="0.3">
      <c r="A75" s="119">
        <v>45990</v>
      </c>
      <c r="B75" s="120" t="s">
        <v>25</v>
      </c>
      <c r="C75" s="121" t="s">
        <v>277</v>
      </c>
      <c r="D75" s="120" t="s">
        <v>267</v>
      </c>
      <c r="E75" s="122">
        <v>1.989583333333333</v>
      </c>
      <c r="F75" s="120" t="s">
        <v>27</v>
      </c>
      <c r="G75" s="123">
        <v>6</v>
      </c>
      <c r="H75" s="120" t="s">
        <v>112</v>
      </c>
    </row>
    <row r="76" spans="1:8" ht="18" x14ac:dyDescent="0.3">
      <c r="A76" s="118">
        <v>45990</v>
      </c>
      <c r="B76" s="99" t="s">
        <v>48</v>
      </c>
      <c r="C76" s="100" t="s">
        <v>279</v>
      </c>
      <c r="D76" s="99" t="s">
        <v>267</v>
      </c>
      <c r="E76" s="101">
        <v>1.3472222222222221</v>
      </c>
      <c r="F76" s="99" t="s">
        <v>50</v>
      </c>
      <c r="G76" s="102">
        <v>1</v>
      </c>
      <c r="H76" s="99" t="s">
        <v>275</v>
      </c>
    </row>
    <row r="77" spans="1:8" ht="18" x14ac:dyDescent="0.3">
      <c r="A77" s="104">
        <v>45990</v>
      </c>
      <c r="B77" s="105" t="s">
        <v>48</v>
      </c>
      <c r="C77" s="106" t="s">
        <v>279</v>
      </c>
      <c r="D77" s="105" t="s">
        <v>267</v>
      </c>
      <c r="E77" s="107">
        <v>1.3472222222222221</v>
      </c>
      <c r="F77" s="105" t="s">
        <v>53</v>
      </c>
      <c r="G77" s="108">
        <v>1</v>
      </c>
      <c r="H77" s="105" t="s">
        <v>112</v>
      </c>
    </row>
    <row r="78" spans="1:8" ht="18" x14ac:dyDescent="0.3">
      <c r="A78" s="118">
        <v>45990</v>
      </c>
      <c r="B78" s="99" t="s">
        <v>290</v>
      </c>
      <c r="C78" s="100" t="s">
        <v>291</v>
      </c>
      <c r="D78" s="99" t="s">
        <v>267</v>
      </c>
      <c r="E78" s="101">
        <v>1.055555555555556</v>
      </c>
      <c r="F78" s="99" t="s">
        <v>292</v>
      </c>
      <c r="G78" s="102">
        <v>9</v>
      </c>
      <c r="H78" s="99" t="s">
        <v>406</v>
      </c>
    </row>
    <row r="79" spans="1:8" ht="18" x14ac:dyDescent="0.3">
      <c r="A79" s="129">
        <v>45990</v>
      </c>
      <c r="B79" s="130" t="s">
        <v>290</v>
      </c>
      <c r="C79" s="131" t="s">
        <v>291</v>
      </c>
      <c r="D79" s="130" t="s">
        <v>267</v>
      </c>
      <c r="E79" s="132">
        <v>1.055555555555556</v>
      </c>
      <c r="F79" s="130" t="s">
        <v>30</v>
      </c>
      <c r="G79" s="133">
        <v>9</v>
      </c>
      <c r="H79" s="130" t="s">
        <v>407</v>
      </c>
    </row>
    <row r="80" spans="1:8" ht="18" x14ac:dyDescent="0.3">
      <c r="A80" s="98">
        <v>45991</v>
      </c>
      <c r="B80" s="99" t="s">
        <v>290</v>
      </c>
      <c r="C80" s="100" t="s">
        <v>621</v>
      </c>
      <c r="D80" s="99" t="s">
        <v>565</v>
      </c>
      <c r="E80" s="101">
        <v>1.3611111111111109</v>
      </c>
      <c r="F80" s="99" t="s">
        <v>568</v>
      </c>
      <c r="G80" s="102">
        <v>9</v>
      </c>
      <c r="H80" s="103" t="s">
        <v>622</v>
      </c>
    </row>
    <row r="81" spans="1:8" ht="18" x14ac:dyDescent="0.3">
      <c r="A81" s="104">
        <v>45991</v>
      </c>
      <c r="B81" s="105" t="s">
        <v>290</v>
      </c>
      <c r="C81" s="106" t="s">
        <v>621</v>
      </c>
      <c r="D81" s="105" t="s">
        <v>565</v>
      </c>
      <c r="E81" s="107">
        <v>1.3611111111111109</v>
      </c>
      <c r="F81" s="105" t="s">
        <v>570</v>
      </c>
      <c r="G81" s="108">
        <v>9</v>
      </c>
      <c r="H81" s="105" t="s">
        <v>623</v>
      </c>
    </row>
    <row r="82" spans="1:8" ht="18" x14ac:dyDescent="0.3">
      <c r="A82" s="104">
        <v>45991</v>
      </c>
      <c r="B82" s="105" t="s">
        <v>290</v>
      </c>
      <c r="C82" s="106" t="s">
        <v>621</v>
      </c>
      <c r="D82" s="105" t="s">
        <v>565</v>
      </c>
      <c r="E82" s="107">
        <v>1.3611111111111109</v>
      </c>
      <c r="F82" s="105" t="s">
        <v>30</v>
      </c>
      <c r="G82" s="108">
        <v>9</v>
      </c>
      <c r="H82" s="105" t="s">
        <v>624</v>
      </c>
    </row>
    <row r="83" spans="1:8" ht="18" x14ac:dyDescent="0.3">
      <c r="A83" s="118">
        <v>45991</v>
      </c>
      <c r="B83" s="99" t="s">
        <v>58</v>
      </c>
      <c r="C83" s="100" t="s">
        <v>575</v>
      </c>
      <c r="D83" s="99" t="s">
        <v>565</v>
      </c>
      <c r="E83" s="101">
        <v>1.819444444444444</v>
      </c>
      <c r="F83" s="99" t="s">
        <v>63</v>
      </c>
      <c r="G83" s="102">
        <v>6</v>
      </c>
      <c r="H83" s="99" t="s">
        <v>625</v>
      </c>
    </row>
    <row r="84" spans="1:8" ht="18" x14ac:dyDescent="0.3">
      <c r="A84" s="109">
        <v>45991</v>
      </c>
      <c r="B84" s="110" t="s">
        <v>35</v>
      </c>
      <c r="C84" s="111" t="s">
        <v>578</v>
      </c>
      <c r="D84" s="110" t="s">
        <v>565</v>
      </c>
      <c r="E84" s="112">
        <v>1.4965277777777779</v>
      </c>
      <c r="F84" s="110" t="s">
        <v>44</v>
      </c>
      <c r="G84" s="110"/>
      <c r="H84" s="110" t="s">
        <v>45</v>
      </c>
    </row>
    <row r="85" spans="1:8" ht="18" x14ac:dyDescent="0.3">
      <c r="A85" s="114">
        <v>45991</v>
      </c>
      <c r="B85" s="115" t="s">
        <v>35</v>
      </c>
      <c r="C85" s="116" t="s">
        <v>591</v>
      </c>
      <c r="D85" s="115" t="s">
        <v>565</v>
      </c>
      <c r="E85" s="117">
        <v>1.5798611111111109</v>
      </c>
      <c r="F85" s="115" t="s">
        <v>44</v>
      </c>
      <c r="G85" s="115"/>
      <c r="H85" s="115" t="s">
        <v>45</v>
      </c>
    </row>
    <row r="86" spans="1:8" ht="15.6" x14ac:dyDescent="0.3">
      <c r="A86" s="167"/>
      <c r="B86" s="167"/>
      <c r="C86" s="167"/>
      <c r="D86" s="167"/>
      <c r="E86" s="168" t="s">
        <v>648</v>
      </c>
      <c r="F86" s="167"/>
      <c r="G86" s="167"/>
      <c r="H86" s="3"/>
    </row>
    <row r="87" spans="1:8" ht="18" x14ac:dyDescent="0.3">
      <c r="A87" s="118">
        <v>45991</v>
      </c>
      <c r="B87" s="99" t="s">
        <v>25</v>
      </c>
      <c r="C87" s="100" t="s">
        <v>268</v>
      </c>
      <c r="D87" s="99" t="s">
        <v>267</v>
      </c>
      <c r="E87" s="101">
        <v>1.399305555555556</v>
      </c>
      <c r="F87" s="99" t="s">
        <v>335</v>
      </c>
      <c r="G87" s="102">
        <v>6</v>
      </c>
      <c r="H87" s="99" t="s">
        <v>269</v>
      </c>
    </row>
    <row r="88" spans="1:8" ht="18" x14ac:dyDescent="0.3">
      <c r="A88" s="119">
        <v>45991</v>
      </c>
      <c r="B88" s="120" t="s">
        <v>25</v>
      </c>
      <c r="C88" s="121" t="s">
        <v>271</v>
      </c>
      <c r="D88" s="120" t="s">
        <v>267</v>
      </c>
      <c r="E88" s="122">
        <v>1.489583333333333</v>
      </c>
      <c r="F88" s="120" t="s">
        <v>335</v>
      </c>
      <c r="G88" s="123">
        <v>5</v>
      </c>
      <c r="H88" s="120" t="s">
        <v>269</v>
      </c>
    </row>
    <row r="89" spans="1:8" ht="18" x14ac:dyDescent="0.3">
      <c r="A89" s="119">
        <v>45991</v>
      </c>
      <c r="B89" s="120" t="s">
        <v>25</v>
      </c>
      <c r="C89" s="121" t="s">
        <v>277</v>
      </c>
      <c r="D89" s="120" t="s">
        <v>267</v>
      </c>
      <c r="E89" s="122">
        <v>1.989583333333333</v>
      </c>
      <c r="F89" s="120" t="s">
        <v>335</v>
      </c>
      <c r="G89" s="123">
        <v>4</v>
      </c>
      <c r="H89" s="120" t="s">
        <v>269</v>
      </c>
    </row>
    <row r="90" spans="1:8" ht="18" x14ac:dyDescent="0.3">
      <c r="A90" s="119">
        <v>45991</v>
      </c>
      <c r="B90" s="120" t="s">
        <v>25</v>
      </c>
      <c r="C90" s="121" t="s">
        <v>276</v>
      </c>
      <c r="D90" s="120" t="s">
        <v>267</v>
      </c>
      <c r="E90" s="122">
        <v>1.8888888888888891</v>
      </c>
      <c r="F90" s="120" t="s">
        <v>335</v>
      </c>
      <c r="G90" s="123">
        <v>3</v>
      </c>
      <c r="H90" s="120" t="s">
        <v>32</v>
      </c>
    </row>
    <row r="91" spans="1:8" ht="18" x14ac:dyDescent="0.3">
      <c r="A91" s="109">
        <v>45991</v>
      </c>
      <c r="B91" s="110" t="s">
        <v>35</v>
      </c>
      <c r="C91" s="111" t="s">
        <v>362</v>
      </c>
      <c r="D91" s="110" t="s">
        <v>267</v>
      </c>
      <c r="E91" s="112">
        <v>1.15625</v>
      </c>
      <c r="F91" s="110" t="s">
        <v>37</v>
      </c>
      <c r="G91" s="113">
        <v>1</v>
      </c>
      <c r="H91" s="110" t="s">
        <v>29</v>
      </c>
    </row>
    <row r="92" spans="1:8" ht="18" x14ac:dyDescent="0.3">
      <c r="A92" s="118">
        <v>45991</v>
      </c>
      <c r="B92" s="99" t="s">
        <v>48</v>
      </c>
      <c r="C92" s="100" t="s">
        <v>278</v>
      </c>
      <c r="D92" s="99" t="s">
        <v>267</v>
      </c>
      <c r="E92" s="101">
        <v>1.993055555555556</v>
      </c>
      <c r="F92" s="99" t="s">
        <v>102</v>
      </c>
      <c r="G92" s="102">
        <v>2</v>
      </c>
      <c r="H92" s="99" t="s">
        <v>29</v>
      </c>
    </row>
    <row r="93" spans="1:8" ht="18" x14ac:dyDescent="0.3">
      <c r="A93" s="119">
        <v>45991</v>
      </c>
      <c r="B93" s="120" t="s">
        <v>48</v>
      </c>
      <c r="C93" s="121" t="s">
        <v>288</v>
      </c>
      <c r="D93" s="120" t="s">
        <v>267</v>
      </c>
      <c r="E93" s="122">
        <v>1.3923611111111109</v>
      </c>
      <c r="F93" s="120" t="s">
        <v>102</v>
      </c>
      <c r="G93" s="123">
        <v>2</v>
      </c>
      <c r="H93" s="120" t="s">
        <v>29</v>
      </c>
    </row>
    <row r="94" spans="1:8" ht="18" x14ac:dyDescent="0.3">
      <c r="A94" s="118">
        <v>45991</v>
      </c>
      <c r="B94" s="99" t="s">
        <v>75</v>
      </c>
      <c r="C94" s="100" t="s">
        <v>320</v>
      </c>
      <c r="D94" s="99" t="s">
        <v>267</v>
      </c>
      <c r="E94" s="101">
        <v>1.104166666666667</v>
      </c>
      <c r="F94" s="99" t="s">
        <v>60</v>
      </c>
      <c r="G94" s="102">
        <v>9</v>
      </c>
      <c r="H94" s="99" t="s">
        <v>338</v>
      </c>
    </row>
    <row r="95" spans="1:8" ht="18" x14ac:dyDescent="0.3">
      <c r="A95" s="119">
        <v>45991</v>
      </c>
      <c r="B95" s="120" t="s">
        <v>75</v>
      </c>
      <c r="C95" s="121" t="s">
        <v>321</v>
      </c>
      <c r="D95" s="120" t="s">
        <v>267</v>
      </c>
      <c r="E95" s="122">
        <v>1.7847222222222221</v>
      </c>
      <c r="F95" s="120" t="s">
        <v>60</v>
      </c>
      <c r="G95" s="123">
        <v>6</v>
      </c>
      <c r="H95" s="120" t="s">
        <v>338</v>
      </c>
    </row>
    <row r="96" spans="1:8" ht="18" x14ac:dyDescent="0.3">
      <c r="A96" s="124">
        <v>45991</v>
      </c>
      <c r="B96" s="125" t="s">
        <v>75</v>
      </c>
      <c r="C96" s="126" t="s">
        <v>322</v>
      </c>
      <c r="D96" s="125" t="s">
        <v>267</v>
      </c>
      <c r="E96" s="127">
        <v>1.600694444444444</v>
      </c>
      <c r="F96" s="125" t="s">
        <v>60</v>
      </c>
      <c r="G96" s="128">
        <v>9</v>
      </c>
      <c r="H96" s="125" t="s">
        <v>338</v>
      </c>
    </row>
  </sheetData>
  <dataValidations count="15">
    <dataValidation type="custom" allowBlank="1" showInputMessage="1" promptTitle="LOAD FACTOR ANALYSIS" prompt="SM451_x000d__x000a_LF 1.0%_x000d__x000a_SOLD 180_x000d__x000a_LST-SOLD 31OCT_x000d__x000a_WEEKLY NIL_x000d__x000a_TO-DAY NIL_x000d__x000a_Y-DAY NIL_x000d__x000a_LOWEST AVAIL CLOSED_x000d__x000a_CAPACITY 180_x000d__x000a_CLASSES X5 &amp; U4 &amp; O5 &amp; +2 more" sqref="A9 B9 C9 D9 E9 F9 G9 H9" xr:uid="{00000000-0002-0000-0F00-000000000000}">
      <formula1>TRUE</formula1>
    </dataValidation>
    <dataValidation type="custom" allowBlank="1" showInputMessage="1" promptTitle="LOAD FACTOR ANALYSIS" prompt="SM451_x000d__x000a_LF 99.4%_x000d__x000a_SOLD 179_x000d__x000a_LST-SOLD 23NOV_x000d__x000a_WEEKLY 10_x000d__x000a_TO-DAY NIL_x000d__x000a_Y-DAY 2_x000d__x000a_LOWEST AVAIL CLOSED_x000d__x000a_CAPACITY 180_x000d__x000a_CLASSES K1 &amp; S3 &amp; W9 &amp; +3 more" sqref="A21 B21 C21 D21 E21 F21 G21 H21" xr:uid="{00000000-0002-0000-0F00-000001000000}">
      <formula1>TRUE</formula1>
    </dataValidation>
    <dataValidation type="custom" allowBlank="1" showInputMessage="1" promptTitle="LOAD FACTOR ANALYSIS" prompt="SM457_x000d__x000a_LF 1.0%_x000d__x000a_SOLD 180_x000d__x000a_LST-SOLD 11NOV_x000d__x000a_WEEKLY NIL_x000d__x000a_TO-DAY NIL_x000d__x000a_Y-DAY NIL_x000d__x000a_LOWEST AVAIL CLOSED_x000d__x000a_CAPACITY 180_x000d__x000a_CLASSES T9 &amp; X9 &amp; U9 &amp; +3 more" sqref="A22 B22 C22 D22 E22 F22 G22 H22" xr:uid="{00000000-0002-0000-0F00-000002000000}">
      <formula1>TRUE</formula1>
    </dataValidation>
    <dataValidation type="custom" allowBlank="1" showInputMessage="1" promptTitle="LOAD FACTOR ANALYSIS" prompt="SM473_x000d__x000a_LF 1.0%_x000d__x000a_SOLD 180_x000d__x000a_LST-SOLD 10NOV_x000d__x000a_WEEKLY NIL_x000d__x000a_TO-DAY NIL_x000d__x000a_Y-DAY NIL_x000d__x000a_LOWEST AVAIL CLOSED_x000d__x000a_CAPACITY 180_x000d__x000a_CLASSES S1 &amp; T4 &amp; X9 &amp; +1 more" sqref="A23 B23 C23 D23 E23 F23 G23 H23" xr:uid="{00000000-0002-0000-0F00-000003000000}">
      <formula1>TRUE</formula1>
    </dataValidation>
    <dataValidation type="custom" allowBlank="1" showInputMessage="1" promptTitle="LOAD FACTOR ANALYSIS" prompt="SM451_x000d__x000a_LF 99.4%_x000d__x000a_SOLD 179_x000d__x000a_LST-SOLD 23NOV_x000d__x000a_WEEKLY 11_x000d__x000a_TO-DAY NIL_x000d__x000a_Y-DAY 1_x000d__x000a_LOWEST AVAIL CLOSED_x000d__x000a_CAPACITY 180_x000d__x000a_CLASSES S13 &amp; W10 &amp; T5 &amp; +6 more" sqref="A36 B36 C36 D36 E36 F36 G36 H36" xr:uid="{00000000-0002-0000-0F00-000004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38 B38 C38 D38 E38 F38 G38 H38" xr:uid="{00000000-0002-0000-0F00-000005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9 B39 C39 D39 E39 F39 G39 H39" xr:uid="{00000000-0002-0000-0F00-000006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40 A91 B40 B91 C40 C91 D40 D91 E40 E91 F40 F91 G40 G91 H40 H91" xr:uid="{00000000-0002-0000-0F00-000007000000}">
      <formula1>TRUE</formula1>
    </dataValidation>
    <dataValidation type="custom" allowBlank="1" showInputMessage="1" promptTitle="LOAD FACTOR ANALYSIS" prompt="SM451_x000d__x000a_LF 1.0%_x000d__x000a_SOLD 180_x000d__x000a_LST-SOLD 23NOV_x000d__x000a_WEEKLY 62_x000d__x000a_TO-DAY NIL_x000d__x000a_Y-DAY 2_x000d__x000a_LOWEST AVAIL CLOSED_x000d__x000a_CAPACITY 180_x000d__x000a_CLASSES G7 &amp; S40 &amp; W28 &amp; +5 more" sqref="A49 B49 C49 D49 E49 F49 G49 H49" xr:uid="{00000000-0002-0000-0F00-000008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51 B51 C51 D51 E51 F51 G51 H51" xr:uid="{00000000-0002-0000-0F00-000009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52 B52 C52 D52 E52 F52 G52 H52" xr:uid="{00000000-0002-0000-0F00-00000A000000}">
      <formula1>TRUE</formula1>
    </dataValidation>
    <dataValidation type="custom" allowBlank="1" showInputMessage="1" promptTitle="LOAD FACTOR ANALYSIS" prompt="SM457_x000d__x000a_LF 1.0%_x000d__x000a_SOLD 180_x000d__x000a_LST-SOLD 24NOV_x000d__x000a_WEEKLY 1_x000d__x000a_TO-DAY 1_x000d__x000a_Y-DAY NIL_x000d__x000a_LOWEST AVAIL CLOSED_x000d__x000a_CAPACITY 180_x000d__x000a_CLASSES L3 &amp; S8 &amp; W16 &amp; +3 more" sqref="A67 B67 C67 D67 E67 F67 G67 H67" xr:uid="{00000000-0002-0000-0F00-00000B000000}">
      <formula1>TRUE</formula1>
    </dataValidation>
    <dataValidation type="custom" allowBlank="1" showInputMessage="1" promptTitle="LOAD FACTOR ANALYSIS" prompt="SM451_x000d__x000a_LF 1.0%_x000d__x000a_SOLD 180_x000d__x000a_LST-SOLD 23NOV_x000d__x000a_WEEKLY 17_x000d__x000a_TO-DAY NIL_x000d__x000a_Y-DAY 2_x000d__x000a_LOWEST AVAIL CLOSED_x000d__x000a_CAPACITY 180_x000d__x000a_CLASSES K4 &amp; V9 &amp; L11 &amp; +6 more" sqref="A68 B68 C68 D68 E68 F68 G68 H68" xr:uid="{00000000-0002-0000-0F00-00000C000000}">
      <formula1>TRUE</formula1>
    </dataValidation>
    <dataValidation type="custom" allowBlank="1" showInputMessage="1" promptTitle="LOAD FACTOR ANALYSIS" prompt="SM451_x000d__x000a_LF 99.4%_x000d__x000a_SOLD 179_x000d__x000a_LST-SOLD 23NOV_x000d__x000a_WEEKLY 13_x000d__x000a_TO-DAY NIL_x000d__x000a_Y-DAY 1_x000d__x000a_LOWEST AVAIL CLOSED_x000d__x000a_CAPACITY 180_x000d__x000a_CLASSES G5 &amp; S11 &amp; W4 &amp; +6 more" sqref="A84 B84 C84 D84 E84 F84 G84 H84" xr:uid="{00000000-0002-0000-0F00-00000D000000}">
      <formula1>TRUE</formula1>
    </dataValidation>
    <dataValidation type="custom" allowBlank="1" showInputMessage="1" promptTitle="LOAD FACTOR ANALYSIS" prompt="SM457_x000d__x000a_LF 1.0%_x000d__x000a_SOLD 180_x000d__x000a_LST-SOLD 21NOV_x000d__x000a_WEEKLY 2_x000d__x000a_TO-DAY NIL_x000d__x000a_Y-DAY NIL_x000d__x000a_LOWEST AVAIL CLOSED_x000d__x000a_CAPACITY 180_x000d__x000a_CLASSES G6 &amp; S3 &amp; W1 &amp; +3 more" sqref="A85 B85 C85 D85 E85 F85 G85 H85" xr:uid="{00000000-0002-0000-0F00-00000E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0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7.21875" bestFit="1" customWidth="1"/>
  </cols>
  <sheetData>
    <row r="1" spans="1:92" ht="28.8" customHeight="1" x14ac:dyDescent="0.3">
      <c r="A1" s="284" t="s">
        <v>0</v>
      </c>
      <c r="B1" s="265"/>
      <c r="C1" s="265"/>
      <c r="D1" s="284" t="s">
        <v>649</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45985.362138540513</v>
      </c>
      <c r="H2" s="272"/>
      <c r="I2" s="272"/>
      <c r="J2" s="272"/>
      <c r="K2" s="282">
        <v>45985.362138541037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7" t="s">
        <v>35</v>
      </c>
      <c r="B6" s="17" t="s">
        <v>650</v>
      </c>
      <c r="C6" s="18">
        <v>0.16666666666666671</v>
      </c>
      <c r="D6" s="17" t="s">
        <v>37</v>
      </c>
      <c r="E6" s="17" t="s">
        <v>77</v>
      </c>
      <c r="F6" s="17" t="s">
        <v>651</v>
      </c>
      <c r="G6" s="261"/>
      <c r="H6" s="19" t="s">
        <v>652</v>
      </c>
      <c r="I6" s="234">
        <v>0.82779999999999998</v>
      </c>
      <c r="J6" s="21">
        <v>149</v>
      </c>
      <c r="K6" s="22">
        <v>45984</v>
      </c>
      <c r="L6" s="21">
        <v>54</v>
      </c>
      <c r="M6" s="21">
        <v>0</v>
      </c>
      <c r="N6" s="21">
        <v>10</v>
      </c>
      <c r="O6" s="23" t="s">
        <v>488</v>
      </c>
      <c r="P6" s="24">
        <v>0.16666666666666671</v>
      </c>
      <c r="Q6" s="21">
        <v>180</v>
      </c>
      <c r="R6" s="25" t="s">
        <v>653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96" t="s">
        <v>35</v>
      </c>
      <c r="B7" s="196" t="s">
        <v>654</v>
      </c>
      <c r="C7" s="197">
        <v>0.52777777777777779</v>
      </c>
      <c r="D7" s="196" t="s">
        <v>37</v>
      </c>
      <c r="E7" s="196" t="s">
        <v>72</v>
      </c>
      <c r="F7" s="196" t="s">
        <v>123</v>
      </c>
      <c r="G7" s="262"/>
      <c r="H7" s="151" t="s">
        <v>655</v>
      </c>
      <c r="I7" s="152">
        <v>0.9778</v>
      </c>
      <c r="J7" s="153">
        <v>176</v>
      </c>
      <c r="K7" s="154">
        <v>45984</v>
      </c>
      <c r="L7" s="153">
        <v>56</v>
      </c>
      <c r="M7" s="153">
        <v>0</v>
      </c>
      <c r="N7" s="153">
        <v>4</v>
      </c>
      <c r="O7" s="155" t="s">
        <v>187</v>
      </c>
      <c r="P7" s="156">
        <v>0.52777777777777779</v>
      </c>
      <c r="Q7" s="153">
        <v>180</v>
      </c>
      <c r="R7" s="157" t="s">
        <v>656</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36" t="s">
        <v>75</v>
      </c>
      <c r="B8" s="36" t="s">
        <v>657</v>
      </c>
      <c r="C8" s="37">
        <v>0.16666666666666671</v>
      </c>
      <c r="D8" s="36" t="s">
        <v>60</v>
      </c>
      <c r="E8" s="36" t="s">
        <v>38</v>
      </c>
      <c r="F8" s="36" t="s">
        <v>658</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8" x14ac:dyDescent="0.3">
      <c r="A9" s="289" t="s">
        <v>580</v>
      </c>
      <c r="B9" s="290"/>
      <c r="C9" s="290"/>
      <c r="D9" s="290"/>
      <c r="E9" s="290"/>
      <c r="F9" s="290"/>
      <c r="G9" s="262"/>
      <c r="H9" s="158"/>
      <c r="I9" s="158"/>
      <c r="J9" s="158"/>
      <c r="K9" s="158"/>
      <c r="L9" s="158"/>
      <c r="M9" s="158"/>
      <c r="N9" s="158"/>
      <c r="O9" s="159"/>
      <c r="P9" s="158"/>
      <c r="Q9" s="160"/>
      <c r="R9" s="16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8" t="s">
        <v>25</v>
      </c>
      <c r="B10" s="38" t="s">
        <v>268</v>
      </c>
      <c r="C10" s="39" t="s">
        <v>581</v>
      </c>
      <c r="D10" s="38" t="s">
        <v>27</v>
      </c>
      <c r="E10" s="38" t="s">
        <v>203</v>
      </c>
      <c r="F10" s="38" t="s">
        <v>269</v>
      </c>
      <c r="G10" s="262"/>
      <c r="H10" s="158"/>
      <c r="I10" s="158"/>
      <c r="J10" s="158"/>
      <c r="K10" s="158"/>
      <c r="L10" s="158"/>
      <c r="M10" s="158"/>
      <c r="N10" s="158"/>
      <c r="O10" s="159"/>
      <c r="P10" s="158"/>
      <c r="Q10" s="160"/>
      <c r="R10" s="16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25</v>
      </c>
      <c r="B11" s="38" t="s">
        <v>271</v>
      </c>
      <c r="C11" s="39" t="s">
        <v>582</v>
      </c>
      <c r="D11" s="38" t="s">
        <v>27</v>
      </c>
      <c r="E11" s="38" t="s">
        <v>583</v>
      </c>
      <c r="F11" s="38" t="s">
        <v>273</v>
      </c>
      <c r="G11" s="262"/>
      <c r="H11" s="158"/>
      <c r="I11" s="158"/>
      <c r="J11" s="158"/>
      <c r="K11" s="158"/>
      <c r="L11" s="158"/>
      <c r="M11" s="158"/>
      <c r="N11" s="158"/>
      <c r="O11" s="159"/>
      <c r="P11" s="158"/>
      <c r="Q11" s="160"/>
      <c r="R11" s="16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25</v>
      </c>
      <c r="B12" s="38" t="s">
        <v>276</v>
      </c>
      <c r="C12" s="39" t="s">
        <v>584</v>
      </c>
      <c r="D12" s="38" t="s">
        <v>27</v>
      </c>
      <c r="E12" s="38" t="s">
        <v>203</v>
      </c>
      <c r="F12" s="38" t="s">
        <v>273</v>
      </c>
      <c r="G12" s="262"/>
      <c r="H12" s="158"/>
      <c r="I12" s="158"/>
      <c r="J12" s="158"/>
      <c r="K12" s="158"/>
      <c r="L12" s="158"/>
      <c r="M12" s="158"/>
      <c r="N12" s="158"/>
      <c r="O12" s="159"/>
      <c r="P12" s="158"/>
      <c r="Q12" s="160"/>
      <c r="R12" s="16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25</v>
      </c>
      <c r="B13" s="38" t="s">
        <v>277</v>
      </c>
      <c r="C13" s="39" t="s">
        <v>585</v>
      </c>
      <c r="D13" s="38" t="s">
        <v>27</v>
      </c>
      <c r="E13" s="38" t="s">
        <v>249</v>
      </c>
      <c r="F13" s="38" t="s">
        <v>273</v>
      </c>
      <c r="G13" s="262"/>
      <c r="H13" s="158"/>
      <c r="I13" s="158"/>
      <c r="J13" s="158"/>
      <c r="K13" s="158"/>
      <c r="L13" s="158"/>
      <c r="M13" s="158"/>
      <c r="N13" s="158"/>
      <c r="O13" s="159"/>
      <c r="P13" s="158"/>
      <c r="Q13" s="160"/>
      <c r="R13" s="16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48</v>
      </c>
      <c r="B14" s="38" t="s">
        <v>278</v>
      </c>
      <c r="C14" s="39" t="s">
        <v>586</v>
      </c>
      <c r="D14" s="38" t="s">
        <v>50</v>
      </c>
      <c r="E14" s="38" t="s">
        <v>207</v>
      </c>
      <c r="F14" s="38" t="s">
        <v>273</v>
      </c>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290</v>
      </c>
      <c r="B15" s="38" t="s">
        <v>291</v>
      </c>
      <c r="C15" s="39" t="s">
        <v>587</v>
      </c>
      <c r="D15" s="38" t="s">
        <v>292</v>
      </c>
      <c r="E15" s="38" t="s">
        <v>207</v>
      </c>
      <c r="F15" s="38" t="s">
        <v>293</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25</v>
      </c>
      <c r="B16" s="38" t="s">
        <v>268</v>
      </c>
      <c r="C16" s="39" t="s">
        <v>581</v>
      </c>
      <c r="D16" s="38" t="s">
        <v>33</v>
      </c>
      <c r="E16" s="38" t="s">
        <v>203</v>
      </c>
      <c r="F16" s="38" t="s">
        <v>270</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8" t="s">
        <v>48</v>
      </c>
      <c r="B17" s="38" t="s">
        <v>279</v>
      </c>
      <c r="C17" s="39" t="s">
        <v>588</v>
      </c>
      <c r="D17" s="38" t="s">
        <v>50</v>
      </c>
      <c r="E17" s="38" t="s">
        <v>213</v>
      </c>
      <c r="F17" s="38" t="s">
        <v>270</v>
      </c>
      <c r="G17" s="262"/>
      <c r="H17" s="158"/>
      <c r="I17" s="158"/>
      <c r="J17" s="158"/>
      <c r="K17" s="158"/>
      <c r="L17" s="158"/>
      <c r="M17" s="158"/>
      <c r="N17" s="158"/>
      <c r="O17" s="159"/>
      <c r="P17" s="158"/>
      <c r="Q17" s="160"/>
      <c r="R17" s="16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8" t="s">
        <v>48</v>
      </c>
      <c r="B18" s="38" t="s">
        <v>278</v>
      </c>
      <c r="C18" s="39" t="s">
        <v>586</v>
      </c>
      <c r="D18" s="38" t="s">
        <v>53</v>
      </c>
      <c r="E18" s="38" t="s">
        <v>207</v>
      </c>
      <c r="F18" s="38" t="s">
        <v>270</v>
      </c>
      <c r="G18" s="262"/>
      <c r="H18" s="158"/>
      <c r="I18" s="158"/>
      <c r="J18" s="158"/>
      <c r="K18" s="158"/>
      <c r="L18" s="158"/>
      <c r="M18" s="158"/>
      <c r="N18" s="158"/>
      <c r="O18" s="159"/>
      <c r="P18" s="158"/>
      <c r="Q18" s="160"/>
      <c r="R18" s="16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40" t="s">
        <v>48</v>
      </c>
      <c r="B19" s="40" t="s">
        <v>282</v>
      </c>
      <c r="C19" s="41" t="s">
        <v>589</v>
      </c>
      <c r="D19" s="40" t="s">
        <v>50</v>
      </c>
      <c r="E19" s="40" t="s">
        <v>207</v>
      </c>
      <c r="F19" s="40" t="s">
        <v>270</v>
      </c>
      <c r="G19" s="263"/>
      <c r="H19" s="161"/>
      <c r="I19" s="161"/>
      <c r="J19" s="161"/>
      <c r="K19" s="161"/>
      <c r="L19" s="161"/>
      <c r="M19" s="161"/>
      <c r="N19" s="161"/>
      <c r="O19" s="162"/>
      <c r="P19" s="161"/>
      <c r="Q19" s="163"/>
      <c r="R19" s="1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85"/>
      <c r="B20" s="286"/>
      <c r="C20" s="286"/>
      <c r="D20" s="286"/>
      <c r="E20" s="286"/>
      <c r="F20" s="286"/>
      <c r="G20" s="276"/>
      <c r="H20" s="287"/>
      <c r="I20" s="287"/>
      <c r="J20" s="287"/>
      <c r="K20" s="287"/>
      <c r="L20" s="287"/>
      <c r="M20" s="287"/>
      <c r="N20" s="287"/>
      <c r="O20" s="288"/>
      <c r="P20" s="287"/>
      <c r="Q20" s="276"/>
      <c r="R20" s="27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66" t="s">
        <v>5</v>
      </c>
      <c r="B21" s="267"/>
      <c r="C21" s="267"/>
      <c r="D21" s="267"/>
      <c r="E21" s="267"/>
      <c r="F21" s="267"/>
      <c r="G21" s="5">
        <v>45987</v>
      </c>
      <c r="H21" s="270" t="s">
        <v>6</v>
      </c>
      <c r="I21" s="269"/>
      <c r="J21" s="269"/>
      <c r="K21" s="269"/>
      <c r="L21" s="269"/>
      <c r="M21" s="269"/>
      <c r="N21" s="269"/>
      <c r="O21" s="269"/>
      <c r="P21" s="269"/>
      <c r="Q21" s="269"/>
      <c r="R21" s="26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47" t="s">
        <v>7</v>
      </c>
      <c r="B22" s="47" t="s">
        <v>8</v>
      </c>
      <c r="C22" s="48" t="s">
        <v>9</v>
      </c>
      <c r="D22" s="47" t="s">
        <v>10</v>
      </c>
      <c r="E22" s="47" t="s">
        <v>11</v>
      </c>
      <c r="F22" s="47" t="s">
        <v>12</v>
      </c>
      <c r="G22" s="49" t="s">
        <v>13</v>
      </c>
      <c r="H22" s="47" t="s">
        <v>14</v>
      </c>
      <c r="I22" s="50" t="s">
        <v>15</v>
      </c>
      <c r="J22" s="51" t="s">
        <v>16</v>
      </c>
      <c r="K22" s="52" t="s">
        <v>17</v>
      </c>
      <c r="L22" s="51" t="s">
        <v>18</v>
      </c>
      <c r="M22" s="51" t="s">
        <v>19</v>
      </c>
      <c r="N22" s="51" t="s">
        <v>20</v>
      </c>
      <c r="O22" s="47" t="s">
        <v>21</v>
      </c>
      <c r="P22" s="48" t="s">
        <v>22</v>
      </c>
      <c r="Q22" s="51" t="s">
        <v>23</v>
      </c>
      <c r="R22" s="47"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8" t="s">
        <v>25</v>
      </c>
      <c r="B23" s="8" t="s">
        <v>659</v>
      </c>
      <c r="C23" s="9">
        <v>0.36458333333333331</v>
      </c>
      <c r="D23" s="8" t="s">
        <v>567</v>
      </c>
      <c r="E23" s="8" t="s">
        <v>97</v>
      </c>
      <c r="F23" s="8" t="s">
        <v>660</v>
      </c>
      <c r="G23" s="261"/>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25</v>
      </c>
      <c r="B24" s="15" t="s">
        <v>659</v>
      </c>
      <c r="C24" s="16">
        <v>0.36458333333333331</v>
      </c>
      <c r="D24" s="15" t="s">
        <v>568</v>
      </c>
      <c r="E24" s="15" t="s">
        <v>99</v>
      </c>
      <c r="F24" s="15" t="s">
        <v>661</v>
      </c>
      <c r="G24" s="262"/>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659</v>
      </c>
      <c r="C25" s="16">
        <v>0.36458333333333331</v>
      </c>
      <c r="D25" s="15" t="s">
        <v>570</v>
      </c>
      <c r="E25" s="15" t="s">
        <v>99</v>
      </c>
      <c r="F25" s="15" t="s">
        <v>662</v>
      </c>
      <c r="G25" s="262"/>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659</v>
      </c>
      <c r="C26" s="16">
        <v>0.36458333333333331</v>
      </c>
      <c r="D26" s="15" t="s">
        <v>571</v>
      </c>
      <c r="E26" s="15" t="s">
        <v>99</v>
      </c>
      <c r="F26" s="15" t="s">
        <v>273</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6" t="s">
        <v>75</v>
      </c>
      <c r="B27" s="36" t="s">
        <v>663</v>
      </c>
      <c r="C27" s="37">
        <v>0.92361111111111116</v>
      </c>
      <c r="D27" s="36" t="s">
        <v>87</v>
      </c>
      <c r="E27" s="36" t="s">
        <v>38</v>
      </c>
      <c r="F27" s="36" t="s">
        <v>664</v>
      </c>
      <c r="G27" s="26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35</v>
      </c>
      <c r="B28" s="17" t="s">
        <v>652</v>
      </c>
      <c r="C28" s="18">
        <v>0.1076388888888889</v>
      </c>
      <c r="D28" s="17" t="s">
        <v>44</v>
      </c>
      <c r="E28" s="213"/>
      <c r="F28" s="17" t="s">
        <v>45</v>
      </c>
      <c r="G28" s="262"/>
      <c r="H28" s="19" t="s">
        <v>652</v>
      </c>
      <c r="I28" s="20">
        <v>1</v>
      </c>
      <c r="J28" s="21">
        <v>180</v>
      </c>
      <c r="K28" s="22">
        <v>45984</v>
      </c>
      <c r="L28" s="21">
        <v>3</v>
      </c>
      <c r="M28" s="21">
        <v>0</v>
      </c>
      <c r="N28" s="21">
        <v>3</v>
      </c>
      <c r="O28" s="23" t="s">
        <v>46</v>
      </c>
      <c r="P28" s="24">
        <v>0.1076388888888889</v>
      </c>
      <c r="Q28" s="21">
        <v>180</v>
      </c>
      <c r="R28" s="25" t="s">
        <v>665</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26" t="s">
        <v>35</v>
      </c>
      <c r="B29" s="26" t="s">
        <v>666</v>
      </c>
      <c r="C29" s="27">
        <v>0.5</v>
      </c>
      <c r="D29" s="26" t="s">
        <v>44</v>
      </c>
      <c r="E29" s="28"/>
      <c r="F29" s="26" t="s">
        <v>45</v>
      </c>
      <c r="G29" s="262"/>
      <c r="H29" s="29" t="s">
        <v>666</v>
      </c>
      <c r="I29" s="30">
        <v>1</v>
      </c>
      <c r="J29" s="31">
        <v>180</v>
      </c>
      <c r="K29" s="32">
        <v>45984</v>
      </c>
      <c r="L29" s="31">
        <v>8</v>
      </c>
      <c r="M29" s="31">
        <v>0</v>
      </c>
      <c r="N29" s="31">
        <v>5</v>
      </c>
      <c r="O29" s="33" t="s">
        <v>46</v>
      </c>
      <c r="P29" s="34">
        <v>0.5</v>
      </c>
      <c r="Q29" s="31">
        <v>180</v>
      </c>
      <c r="R29" s="35" t="s">
        <v>667</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6" t="s">
        <v>35</v>
      </c>
      <c r="B30" s="196" t="s">
        <v>668</v>
      </c>
      <c r="C30" s="197">
        <v>0.92361111111111116</v>
      </c>
      <c r="D30" s="196" t="s">
        <v>44</v>
      </c>
      <c r="E30" s="198"/>
      <c r="F30" s="196" t="s">
        <v>45</v>
      </c>
      <c r="G30" s="262"/>
      <c r="H30" s="151" t="s">
        <v>668</v>
      </c>
      <c r="I30" s="152">
        <v>0.99439999999999995</v>
      </c>
      <c r="J30" s="153">
        <v>179</v>
      </c>
      <c r="K30" s="154">
        <v>45984</v>
      </c>
      <c r="L30" s="153">
        <v>12</v>
      </c>
      <c r="M30" s="153">
        <v>0</v>
      </c>
      <c r="N30" s="153">
        <v>2</v>
      </c>
      <c r="O30" s="155" t="s">
        <v>46</v>
      </c>
      <c r="P30" s="156">
        <v>0.92361111111111116</v>
      </c>
      <c r="Q30" s="153">
        <v>180</v>
      </c>
      <c r="R30" s="157" t="s">
        <v>669</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8" x14ac:dyDescent="0.3">
      <c r="A31" s="289" t="s">
        <v>580</v>
      </c>
      <c r="B31" s="290"/>
      <c r="C31" s="290"/>
      <c r="D31" s="290"/>
      <c r="E31" s="290"/>
      <c r="F31" s="290"/>
      <c r="G31" s="262"/>
      <c r="H31" s="158"/>
      <c r="I31" s="158"/>
      <c r="J31" s="158"/>
      <c r="K31" s="158"/>
      <c r="L31" s="158"/>
      <c r="M31" s="158"/>
      <c r="N31" s="158"/>
      <c r="O31" s="159"/>
      <c r="P31" s="158"/>
      <c r="Q31" s="160"/>
      <c r="R31" s="16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8" t="s">
        <v>25</v>
      </c>
      <c r="B32" s="38" t="s">
        <v>268</v>
      </c>
      <c r="C32" s="39" t="s">
        <v>581</v>
      </c>
      <c r="D32" s="38" t="s">
        <v>27</v>
      </c>
      <c r="E32" s="38" t="s">
        <v>203</v>
      </c>
      <c r="F32" s="38" t="s">
        <v>273</v>
      </c>
      <c r="G32" s="262"/>
      <c r="H32" s="158"/>
      <c r="I32" s="158"/>
      <c r="J32" s="158"/>
      <c r="K32" s="158"/>
      <c r="L32" s="158"/>
      <c r="M32" s="158"/>
      <c r="N32" s="158"/>
      <c r="O32" s="159"/>
      <c r="P32" s="158"/>
      <c r="Q32" s="160"/>
      <c r="R32" s="16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25</v>
      </c>
      <c r="B33" s="38" t="s">
        <v>271</v>
      </c>
      <c r="C33" s="39" t="s">
        <v>582</v>
      </c>
      <c r="D33" s="38" t="s">
        <v>27</v>
      </c>
      <c r="E33" s="38" t="s">
        <v>205</v>
      </c>
      <c r="F33" s="38" t="s">
        <v>273</v>
      </c>
      <c r="G33" s="262"/>
      <c r="H33" s="158"/>
      <c r="I33" s="158"/>
      <c r="J33" s="158"/>
      <c r="K33" s="158"/>
      <c r="L33" s="158"/>
      <c r="M33" s="158"/>
      <c r="N33" s="158"/>
      <c r="O33" s="159"/>
      <c r="P33" s="158"/>
      <c r="Q33" s="160"/>
      <c r="R33" s="16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38" t="s">
        <v>48</v>
      </c>
      <c r="B34" s="38" t="s">
        <v>283</v>
      </c>
      <c r="C34" s="39" t="s">
        <v>595</v>
      </c>
      <c r="D34" s="38" t="s">
        <v>102</v>
      </c>
      <c r="E34" s="38" t="s">
        <v>218</v>
      </c>
      <c r="F34" s="38" t="s">
        <v>273</v>
      </c>
      <c r="G34" s="262"/>
      <c r="H34" s="158"/>
      <c r="I34" s="158"/>
      <c r="J34" s="158"/>
      <c r="K34" s="158"/>
      <c r="L34" s="158"/>
      <c r="M34" s="158"/>
      <c r="N34" s="158"/>
      <c r="O34" s="159"/>
      <c r="P34" s="158"/>
      <c r="Q34" s="160"/>
      <c r="R34" s="16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38" t="s">
        <v>48</v>
      </c>
      <c r="B35" s="38" t="s">
        <v>283</v>
      </c>
      <c r="C35" s="39" t="s">
        <v>595</v>
      </c>
      <c r="D35" s="38" t="s">
        <v>50</v>
      </c>
      <c r="E35" s="38" t="s">
        <v>218</v>
      </c>
      <c r="F35" s="38" t="s">
        <v>273</v>
      </c>
      <c r="G35" s="262"/>
      <c r="H35" s="158"/>
      <c r="I35" s="158"/>
      <c r="J35" s="158"/>
      <c r="K35" s="158"/>
      <c r="L35" s="158"/>
      <c r="M35" s="158"/>
      <c r="N35" s="158"/>
      <c r="O35" s="159"/>
      <c r="P35" s="158"/>
      <c r="Q35" s="160"/>
      <c r="R35" s="16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8" t="s">
        <v>75</v>
      </c>
      <c r="B36" s="38" t="s">
        <v>320</v>
      </c>
      <c r="C36" s="39" t="s">
        <v>596</v>
      </c>
      <c r="D36" s="38" t="s">
        <v>60</v>
      </c>
      <c r="E36" s="38" t="s">
        <v>213</v>
      </c>
      <c r="F36" s="38" t="s">
        <v>338</v>
      </c>
      <c r="G36" s="262"/>
      <c r="H36" s="158"/>
      <c r="I36" s="158"/>
      <c r="J36" s="158"/>
      <c r="K36" s="158"/>
      <c r="L36" s="158"/>
      <c r="M36" s="158"/>
      <c r="N36" s="158"/>
      <c r="O36" s="159"/>
      <c r="P36" s="158"/>
      <c r="Q36" s="160"/>
      <c r="R36" s="16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38" t="s">
        <v>75</v>
      </c>
      <c r="B37" s="38" t="s">
        <v>339</v>
      </c>
      <c r="C37" s="39" t="s">
        <v>597</v>
      </c>
      <c r="D37" s="38" t="s">
        <v>60</v>
      </c>
      <c r="E37" s="38" t="s">
        <v>598</v>
      </c>
      <c r="F37" s="38" t="s">
        <v>338</v>
      </c>
      <c r="G37" s="262"/>
      <c r="H37" s="158"/>
      <c r="I37" s="158"/>
      <c r="J37" s="158"/>
      <c r="K37" s="158"/>
      <c r="L37" s="158"/>
      <c r="M37" s="158"/>
      <c r="N37" s="158"/>
      <c r="O37" s="159"/>
      <c r="P37" s="158"/>
      <c r="Q37" s="160"/>
      <c r="R37" s="16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38" t="s">
        <v>25</v>
      </c>
      <c r="B38" s="38" t="s">
        <v>276</v>
      </c>
      <c r="C38" s="39" t="s">
        <v>584</v>
      </c>
      <c r="D38" s="38" t="s">
        <v>335</v>
      </c>
      <c r="E38" s="38" t="s">
        <v>205</v>
      </c>
      <c r="F38" s="38" t="s">
        <v>32</v>
      </c>
      <c r="G38" s="262"/>
      <c r="H38" s="158"/>
      <c r="I38" s="158"/>
      <c r="J38" s="158"/>
      <c r="K38" s="158"/>
      <c r="L38" s="158"/>
      <c r="M38" s="158"/>
      <c r="N38" s="158"/>
      <c r="O38" s="159"/>
      <c r="P38" s="158"/>
      <c r="Q38" s="160"/>
      <c r="R38" s="16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38" t="s">
        <v>25</v>
      </c>
      <c r="B39" s="38" t="s">
        <v>276</v>
      </c>
      <c r="C39" s="39" t="s">
        <v>584</v>
      </c>
      <c r="D39" s="38" t="s">
        <v>27</v>
      </c>
      <c r="E39" s="38" t="s">
        <v>205</v>
      </c>
      <c r="F39" s="38" t="s">
        <v>32</v>
      </c>
      <c r="G39" s="262"/>
      <c r="H39" s="158"/>
      <c r="I39" s="158"/>
      <c r="J39" s="158"/>
      <c r="K39" s="158"/>
      <c r="L39" s="158"/>
      <c r="M39" s="158"/>
      <c r="N39" s="158"/>
      <c r="O39" s="159"/>
      <c r="P39" s="158"/>
      <c r="Q39" s="160"/>
      <c r="R39" s="16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38" t="s">
        <v>25</v>
      </c>
      <c r="B40" s="38" t="s">
        <v>277</v>
      </c>
      <c r="C40" s="39" t="s">
        <v>585</v>
      </c>
      <c r="D40" s="38" t="s">
        <v>27</v>
      </c>
      <c r="E40" s="38" t="s">
        <v>583</v>
      </c>
      <c r="F40" s="38" t="s">
        <v>32</v>
      </c>
      <c r="G40" s="262"/>
      <c r="H40" s="158"/>
      <c r="I40" s="158"/>
      <c r="J40" s="158"/>
      <c r="K40" s="158"/>
      <c r="L40" s="158"/>
      <c r="M40" s="158"/>
      <c r="N40" s="158"/>
      <c r="O40" s="159"/>
      <c r="P40" s="158"/>
      <c r="Q40" s="160"/>
      <c r="R40" s="16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40" t="s">
        <v>290</v>
      </c>
      <c r="B41" s="40" t="s">
        <v>341</v>
      </c>
      <c r="C41" s="41" t="s">
        <v>599</v>
      </c>
      <c r="D41" s="40" t="s">
        <v>292</v>
      </c>
      <c r="E41" s="40" t="s">
        <v>207</v>
      </c>
      <c r="F41" s="40" t="s">
        <v>342</v>
      </c>
      <c r="G41" s="263"/>
      <c r="H41" s="161"/>
      <c r="I41" s="161"/>
      <c r="J41" s="161"/>
      <c r="K41" s="161"/>
      <c r="L41" s="161"/>
      <c r="M41" s="161"/>
      <c r="N41" s="161"/>
      <c r="O41" s="162"/>
      <c r="P41" s="161"/>
      <c r="Q41" s="163"/>
      <c r="R41" s="1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285"/>
      <c r="B42" s="286"/>
      <c r="C42" s="286"/>
      <c r="D42" s="286"/>
      <c r="E42" s="286"/>
      <c r="F42" s="286"/>
      <c r="G42" s="276"/>
      <c r="H42" s="287"/>
      <c r="I42" s="287"/>
      <c r="J42" s="287"/>
      <c r="K42" s="287"/>
      <c r="L42" s="287"/>
      <c r="M42" s="287"/>
      <c r="N42" s="287"/>
      <c r="O42" s="288"/>
      <c r="P42" s="287"/>
      <c r="Q42" s="276"/>
      <c r="R42" s="27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66" t="s">
        <v>5</v>
      </c>
      <c r="B43" s="267"/>
      <c r="C43" s="267"/>
      <c r="D43" s="267"/>
      <c r="E43" s="267"/>
      <c r="F43" s="267"/>
      <c r="G43" s="5">
        <v>45988</v>
      </c>
      <c r="H43" s="270" t="s">
        <v>6</v>
      </c>
      <c r="I43" s="269"/>
      <c r="J43" s="269"/>
      <c r="K43" s="269"/>
      <c r="L43" s="269"/>
      <c r="M43" s="269"/>
      <c r="N43" s="269"/>
      <c r="O43" s="269"/>
      <c r="P43" s="269"/>
      <c r="Q43" s="269"/>
      <c r="R43" s="269"/>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47" t="s">
        <v>7</v>
      </c>
      <c r="B44" s="47" t="s">
        <v>8</v>
      </c>
      <c r="C44" s="48" t="s">
        <v>9</v>
      </c>
      <c r="D44" s="47" t="s">
        <v>10</v>
      </c>
      <c r="E44" s="47" t="s">
        <v>11</v>
      </c>
      <c r="F44" s="47" t="s">
        <v>12</v>
      </c>
      <c r="G44" s="49" t="s">
        <v>13</v>
      </c>
      <c r="H44" s="47" t="s">
        <v>14</v>
      </c>
      <c r="I44" s="50" t="s">
        <v>15</v>
      </c>
      <c r="J44" s="51" t="s">
        <v>16</v>
      </c>
      <c r="K44" s="52" t="s">
        <v>17</v>
      </c>
      <c r="L44" s="51" t="s">
        <v>18</v>
      </c>
      <c r="M44" s="51" t="s">
        <v>19</v>
      </c>
      <c r="N44" s="51" t="s">
        <v>20</v>
      </c>
      <c r="O44" s="47" t="s">
        <v>21</v>
      </c>
      <c r="P44" s="48" t="s">
        <v>22</v>
      </c>
      <c r="Q44" s="51" t="s">
        <v>23</v>
      </c>
      <c r="R44" s="47"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48" t="s">
        <v>35</v>
      </c>
      <c r="B45" s="148" t="s">
        <v>652</v>
      </c>
      <c r="C45" s="149">
        <v>0.3298611111111111</v>
      </c>
      <c r="D45" s="148" t="s">
        <v>44</v>
      </c>
      <c r="E45" s="150"/>
      <c r="F45" s="148" t="s">
        <v>45</v>
      </c>
      <c r="G45" s="261"/>
      <c r="H45" s="151" t="s">
        <v>652</v>
      </c>
      <c r="I45" s="152">
        <v>1</v>
      </c>
      <c r="J45" s="153">
        <v>180</v>
      </c>
      <c r="K45" s="154">
        <v>45983</v>
      </c>
      <c r="L45" s="153">
        <v>14</v>
      </c>
      <c r="M45" s="153">
        <v>0</v>
      </c>
      <c r="N45" s="153">
        <v>0</v>
      </c>
      <c r="O45" s="155" t="s">
        <v>46</v>
      </c>
      <c r="P45" s="156">
        <v>0.3298611111111111</v>
      </c>
      <c r="Q45" s="153">
        <v>180</v>
      </c>
      <c r="R45" s="157" t="s">
        <v>670</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214" t="s">
        <v>35</v>
      </c>
      <c r="B46" s="214" t="s">
        <v>655</v>
      </c>
      <c r="C46" s="215">
        <v>0.54861111111111105</v>
      </c>
      <c r="D46" s="214" t="s">
        <v>44</v>
      </c>
      <c r="E46" s="216"/>
      <c r="F46" s="214" t="s">
        <v>45</v>
      </c>
      <c r="G46" s="262"/>
      <c r="H46" s="186" t="s">
        <v>655</v>
      </c>
      <c r="I46" s="187">
        <v>1</v>
      </c>
      <c r="J46" s="188">
        <v>180</v>
      </c>
      <c r="K46" s="189">
        <v>45985</v>
      </c>
      <c r="L46" s="188">
        <v>67</v>
      </c>
      <c r="M46" s="188">
        <v>4</v>
      </c>
      <c r="N46" s="188">
        <v>1</v>
      </c>
      <c r="O46" s="190" t="s">
        <v>46</v>
      </c>
      <c r="P46" s="191">
        <v>0.54861111111111105</v>
      </c>
      <c r="Q46" s="188">
        <v>180</v>
      </c>
      <c r="R46" s="192" t="s">
        <v>671</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8" x14ac:dyDescent="0.3">
      <c r="A47" s="289" t="s">
        <v>580</v>
      </c>
      <c r="B47" s="290"/>
      <c r="C47" s="290"/>
      <c r="D47" s="290"/>
      <c r="E47" s="290"/>
      <c r="F47" s="290"/>
      <c r="G47" s="262"/>
      <c r="H47" s="158"/>
      <c r="I47" s="158"/>
      <c r="J47" s="158"/>
      <c r="K47" s="158"/>
      <c r="L47" s="158"/>
      <c r="M47" s="158"/>
      <c r="N47" s="158"/>
      <c r="O47" s="159"/>
      <c r="P47" s="158"/>
      <c r="Q47" s="160"/>
      <c r="R47" s="16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8" t="s">
        <v>35</v>
      </c>
      <c r="B48" s="38" t="s">
        <v>355</v>
      </c>
      <c r="C48" s="39" t="s">
        <v>224</v>
      </c>
      <c r="D48" s="38" t="s">
        <v>37</v>
      </c>
      <c r="E48" s="38" t="s">
        <v>207</v>
      </c>
      <c r="F48" s="38" t="s">
        <v>29</v>
      </c>
      <c r="G48" s="262"/>
      <c r="H48" s="158"/>
      <c r="I48" s="158"/>
      <c r="J48" s="158"/>
      <c r="K48" s="158"/>
      <c r="L48" s="158"/>
      <c r="M48" s="158"/>
      <c r="N48" s="158"/>
      <c r="O48" s="159"/>
      <c r="P48" s="158"/>
      <c r="Q48" s="160"/>
      <c r="R48" s="16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8" t="s">
        <v>25</v>
      </c>
      <c r="B49" s="38" t="s">
        <v>268</v>
      </c>
      <c r="C49" s="39" t="s">
        <v>581</v>
      </c>
      <c r="D49" s="38" t="s">
        <v>27</v>
      </c>
      <c r="E49" s="38" t="s">
        <v>207</v>
      </c>
      <c r="F49" s="38" t="s">
        <v>273</v>
      </c>
      <c r="G49" s="262"/>
      <c r="H49" s="158"/>
      <c r="I49" s="158"/>
      <c r="J49" s="158"/>
      <c r="K49" s="158"/>
      <c r="L49" s="158"/>
      <c r="M49" s="158"/>
      <c r="N49" s="158"/>
      <c r="O49" s="159"/>
      <c r="P49" s="158"/>
      <c r="Q49" s="160"/>
      <c r="R49" s="16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8" t="s">
        <v>25</v>
      </c>
      <c r="B50" s="38" t="s">
        <v>271</v>
      </c>
      <c r="C50" s="39" t="s">
        <v>582</v>
      </c>
      <c r="D50" s="38" t="s">
        <v>27</v>
      </c>
      <c r="E50" s="38" t="s">
        <v>249</v>
      </c>
      <c r="F50" s="38" t="s">
        <v>32</v>
      </c>
      <c r="G50" s="262"/>
      <c r="H50" s="158"/>
      <c r="I50" s="158"/>
      <c r="J50" s="158"/>
      <c r="K50" s="158"/>
      <c r="L50" s="158"/>
      <c r="M50" s="158"/>
      <c r="N50" s="158"/>
      <c r="O50" s="159"/>
      <c r="P50" s="158"/>
      <c r="Q50" s="160"/>
      <c r="R50" s="16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25</v>
      </c>
      <c r="B51" s="38" t="s">
        <v>277</v>
      </c>
      <c r="C51" s="39" t="s">
        <v>585</v>
      </c>
      <c r="D51" s="38" t="s">
        <v>27</v>
      </c>
      <c r="E51" s="38" t="s">
        <v>602</v>
      </c>
      <c r="F51" s="38" t="s">
        <v>32</v>
      </c>
      <c r="G51" s="262"/>
      <c r="H51" s="158"/>
      <c r="I51" s="158"/>
      <c r="J51" s="158"/>
      <c r="K51" s="158"/>
      <c r="L51" s="158"/>
      <c r="M51" s="158"/>
      <c r="N51" s="158"/>
      <c r="O51" s="159"/>
      <c r="P51" s="158"/>
      <c r="Q51" s="160"/>
      <c r="R51" s="16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38" t="s">
        <v>35</v>
      </c>
      <c r="B52" s="38" t="s">
        <v>358</v>
      </c>
      <c r="C52" s="39" t="s">
        <v>603</v>
      </c>
      <c r="D52" s="38" t="s">
        <v>37</v>
      </c>
      <c r="E52" s="38" t="s">
        <v>205</v>
      </c>
      <c r="F52" s="38" t="s">
        <v>359</v>
      </c>
      <c r="G52" s="262"/>
      <c r="H52" s="158"/>
      <c r="I52" s="158"/>
      <c r="J52" s="158"/>
      <c r="K52" s="158"/>
      <c r="L52" s="158"/>
      <c r="M52" s="158"/>
      <c r="N52" s="158"/>
      <c r="O52" s="159"/>
      <c r="P52" s="158"/>
      <c r="Q52" s="160"/>
      <c r="R52" s="16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8" t="s">
        <v>35</v>
      </c>
      <c r="B53" s="38" t="s">
        <v>362</v>
      </c>
      <c r="C53" s="39" t="s">
        <v>604</v>
      </c>
      <c r="D53" s="38" t="s">
        <v>37</v>
      </c>
      <c r="E53" s="38" t="s">
        <v>207</v>
      </c>
      <c r="F53" s="38" t="s">
        <v>359</v>
      </c>
      <c r="G53" s="262"/>
      <c r="H53" s="158"/>
      <c r="I53" s="158"/>
      <c r="J53" s="158"/>
      <c r="K53" s="158"/>
      <c r="L53" s="158"/>
      <c r="M53" s="158"/>
      <c r="N53" s="158"/>
      <c r="O53" s="159"/>
      <c r="P53" s="158"/>
      <c r="Q53" s="160"/>
      <c r="R53" s="16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25</v>
      </c>
      <c r="B54" s="38" t="s">
        <v>276</v>
      </c>
      <c r="C54" s="39" t="s">
        <v>584</v>
      </c>
      <c r="D54" s="38" t="s">
        <v>27</v>
      </c>
      <c r="E54" s="38" t="s">
        <v>213</v>
      </c>
      <c r="F54" s="38" t="s">
        <v>270</v>
      </c>
      <c r="G54" s="262"/>
      <c r="H54" s="158"/>
      <c r="I54" s="158"/>
      <c r="J54" s="158"/>
      <c r="K54" s="158"/>
      <c r="L54" s="158"/>
      <c r="M54" s="158"/>
      <c r="N54" s="158"/>
      <c r="O54" s="159"/>
      <c r="P54" s="158"/>
      <c r="Q54" s="160"/>
      <c r="R54" s="16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8" t="s">
        <v>48</v>
      </c>
      <c r="B55" s="38" t="s">
        <v>279</v>
      </c>
      <c r="C55" s="39" t="s">
        <v>588</v>
      </c>
      <c r="D55" s="38" t="s">
        <v>50</v>
      </c>
      <c r="E55" s="38" t="s">
        <v>598</v>
      </c>
      <c r="F55" s="38" t="s">
        <v>270</v>
      </c>
      <c r="G55" s="262"/>
      <c r="H55" s="158"/>
      <c r="I55" s="158"/>
      <c r="J55" s="158"/>
      <c r="K55" s="158"/>
      <c r="L55" s="158"/>
      <c r="M55" s="158"/>
      <c r="N55" s="158"/>
      <c r="O55" s="159"/>
      <c r="P55" s="158"/>
      <c r="Q55" s="160"/>
      <c r="R55" s="16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38" t="s">
        <v>48</v>
      </c>
      <c r="B56" s="38" t="s">
        <v>278</v>
      </c>
      <c r="C56" s="39" t="s">
        <v>586</v>
      </c>
      <c r="D56" s="38" t="s">
        <v>50</v>
      </c>
      <c r="E56" s="38" t="s">
        <v>207</v>
      </c>
      <c r="F56" s="38" t="s">
        <v>270</v>
      </c>
      <c r="G56" s="262"/>
      <c r="H56" s="158"/>
      <c r="I56" s="158"/>
      <c r="J56" s="158"/>
      <c r="K56" s="158"/>
      <c r="L56" s="158"/>
      <c r="M56" s="158"/>
      <c r="N56" s="158"/>
      <c r="O56" s="159"/>
      <c r="P56" s="158"/>
      <c r="Q56" s="160"/>
      <c r="R56" s="16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40" t="s">
        <v>48</v>
      </c>
      <c r="B57" s="40" t="s">
        <v>288</v>
      </c>
      <c r="C57" s="41" t="s">
        <v>605</v>
      </c>
      <c r="D57" s="40" t="s">
        <v>50</v>
      </c>
      <c r="E57" s="40" t="s">
        <v>249</v>
      </c>
      <c r="F57" s="40" t="s">
        <v>270</v>
      </c>
      <c r="G57" s="263"/>
      <c r="H57" s="161"/>
      <c r="I57" s="161"/>
      <c r="J57" s="161"/>
      <c r="K57" s="161"/>
      <c r="L57" s="161"/>
      <c r="M57" s="161"/>
      <c r="N57" s="161"/>
      <c r="O57" s="162"/>
      <c r="P57" s="161"/>
      <c r="Q57" s="163"/>
      <c r="R57" s="16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85"/>
      <c r="B58" s="286"/>
      <c r="C58" s="286"/>
      <c r="D58" s="286"/>
      <c r="E58" s="286"/>
      <c r="F58" s="286"/>
      <c r="G58" s="276"/>
      <c r="H58" s="287"/>
      <c r="I58" s="287"/>
      <c r="J58" s="287"/>
      <c r="K58" s="287"/>
      <c r="L58" s="287"/>
      <c r="M58" s="287"/>
      <c r="N58" s="287"/>
      <c r="O58" s="288"/>
      <c r="P58" s="287"/>
      <c r="Q58" s="276"/>
      <c r="R58" s="27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66" t="s">
        <v>5</v>
      </c>
      <c r="B59" s="267"/>
      <c r="C59" s="267"/>
      <c r="D59" s="267"/>
      <c r="E59" s="267"/>
      <c r="F59" s="267"/>
      <c r="G59" s="5">
        <v>45989</v>
      </c>
      <c r="H59" s="270" t="s">
        <v>6</v>
      </c>
      <c r="I59" s="269"/>
      <c r="J59" s="269"/>
      <c r="K59" s="269"/>
      <c r="L59" s="269"/>
      <c r="M59" s="269"/>
      <c r="N59" s="269"/>
      <c r="O59" s="269"/>
      <c r="P59" s="269"/>
      <c r="Q59" s="269"/>
      <c r="R59" s="269"/>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47" t="s">
        <v>7</v>
      </c>
      <c r="B60" s="47" t="s">
        <v>8</v>
      </c>
      <c r="C60" s="48" t="s">
        <v>9</v>
      </c>
      <c r="D60" s="47" t="s">
        <v>10</v>
      </c>
      <c r="E60" s="47" t="s">
        <v>11</v>
      </c>
      <c r="F60" s="47" t="s">
        <v>12</v>
      </c>
      <c r="G60" s="49" t="s">
        <v>13</v>
      </c>
      <c r="H60" s="47" t="s">
        <v>14</v>
      </c>
      <c r="I60" s="50" t="s">
        <v>15</v>
      </c>
      <c r="J60" s="51" t="s">
        <v>16</v>
      </c>
      <c r="K60" s="52" t="s">
        <v>17</v>
      </c>
      <c r="L60" s="51" t="s">
        <v>18</v>
      </c>
      <c r="M60" s="51" t="s">
        <v>19</v>
      </c>
      <c r="N60" s="51" t="s">
        <v>20</v>
      </c>
      <c r="O60" s="47" t="s">
        <v>21</v>
      </c>
      <c r="P60" s="48" t="s">
        <v>22</v>
      </c>
      <c r="Q60" s="51" t="s">
        <v>23</v>
      </c>
      <c r="R60" s="4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75" t="s">
        <v>35</v>
      </c>
      <c r="B61" s="75" t="s">
        <v>672</v>
      </c>
      <c r="C61" s="76">
        <v>0.13541666666666671</v>
      </c>
      <c r="D61" s="75" t="s">
        <v>37</v>
      </c>
      <c r="E61" s="75" t="s">
        <v>51</v>
      </c>
      <c r="F61" s="75" t="s">
        <v>673</v>
      </c>
      <c r="G61" s="261"/>
      <c r="H61" s="29" t="s">
        <v>666</v>
      </c>
      <c r="I61" s="235">
        <v>0.61109999999999998</v>
      </c>
      <c r="J61" s="31">
        <v>110</v>
      </c>
      <c r="K61" s="32">
        <v>45985</v>
      </c>
      <c r="L61" s="31">
        <v>66</v>
      </c>
      <c r="M61" s="31">
        <v>1</v>
      </c>
      <c r="N61" s="31">
        <v>12</v>
      </c>
      <c r="O61" s="33" t="s">
        <v>471</v>
      </c>
      <c r="P61" s="34">
        <v>0.13541666666666671</v>
      </c>
      <c r="Q61" s="31">
        <v>180</v>
      </c>
      <c r="R61" s="35" t="s">
        <v>674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x14ac:dyDescent="0.3">
      <c r="A62" s="289" t="s">
        <v>580</v>
      </c>
      <c r="B62" s="290"/>
      <c r="C62" s="290"/>
      <c r="D62" s="290"/>
      <c r="E62" s="290"/>
      <c r="F62" s="290"/>
      <c r="G62" s="262"/>
      <c r="H62" s="158"/>
      <c r="I62" s="158"/>
      <c r="J62" s="158"/>
      <c r="K62" s="158"/>
      <c r="L62" s="158"/>
      <c r="M62" s="158"/>
      <c r="N62" s="158"/>
      <c r="O62" s="159"/>
      <c r="P62" s="158"/>
      <c r="Q62" s="160"/>
      <c r="R62" s="16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8" t="s">
        <v>35</v>
      </c>
      <c r="B63" s="38" t="s">
        <v>365</v>
      </c>
      <c r="C63" s="39" t="s">
        <v>607</v>
      </c>
      <c r="D63" s="38" t="s">
        <v>37</v>
      </c>
      <c r="E63" s="38" t="s">
        <v>207</v>
      </c>
      <c r="F63" s="38" t="s">
        <v>376</v>
      </c>
      <c r="G63" s="262"/>
      <c r="H63" s="158"/>
      <c r="I63" s="158"/>
      <c r="J63" s="158"/>
      <c r="K63" s="158"/>
      <c r="L63" s="158"/>
      <c r="M63" s="158"/>
      <c r="N63" s="158"/>
      <c r="O63" s="159"/>
      <c r="P63" s="158"/>
      <c r="Q63" s="160"/>
      <c r="R63" s="16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38" t="s">
        <v>75</v>
      </c>
      <c r="B64" s="38" t="s">
        <v>318</v>
      </c>
      <c r="C64" s="39" t="s">
        <v>608</v>
      </c>
      <c r="D64" s="38" t="s">
        <v>60</v>
      </c>
      <c r="E64" s="38" t="s">
        <v>209</v>
      </c>
      <c r="F64" s="38" t="s">
        <v>338</v>
      </c>
      <c r="G64" s="262"/>
      <c r="H64" s="158"/>
      <c r="I64" s="158"/>
      <c r="J64" s="158"/>
      <c r="K64" s="158"/>
      <c r="L64" s="158"/>
      <c r="M64" s="158"/>
      <c r="N64" s="158"/>
      <c r="O64" s="159"/>
      <c r="P64" s="158"/>
      <c r="Q64" s="160"/>
      <c r="R64" s="16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38" t="s">
        <v>75</v>
      </c>
      <c r="B65" s="38" t="s">
        <v>320</v>
      </c>
      <c r="C65" s="39" t="s">
        <v>609</v>
      </c>
      <c r="D65" s="38" t="s">
        <v>60</v>
      </c>
      <c r="E65" s="38" t="s">
        <v>209</v>
      </c>
      <c r="F65" s="38" t="s">
        <v>338</v>
      </c>
      <c r="G65" s="262"/>
      <c r="H65" s="158"/>
      <c r="I65" s="158"/>
      <c r="J65" s="158"/>
      <c r="K65" s="158"/>
      <c r="L65" s="158"/>
      <c r="M65" s="158"/>
      <c r="N65" s="158"/>
      <c r="O65" s="159"/>
      <c r="P65" s="158"/>
      <c r="Q65" s="160"/>
      <c r="R65" s="16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8" t="s">
        <v>75</v>
      </c>
      <c r="B66" s="38" t="s">
        <v>321</v>
      </c>
      <c r="C66" s="39" t="s">
        <v>610</v>
      </c>
      <c r="D66" s="38" t="s">
        <v>60</v>
      </c>
      <c r="E66" s="38" t="s">
        <v>611</v>
      </c>
      <c r="F66" s="38" t="s">
        <v>338</v>
      </c>
      <c r="G66" s="262"/>
      <c r="H66" s="158"/>
      <c r="I66" s="158"/>
      <c r="J66" s="158"/>
      <c r="K66" s="158"/>
      <c r="L66" s="158"/>
      <c r="M66" s="158"/>
      <c r="N66" s="158"/>
      <c r="O66" s="159"/>
      <c r="P66" s="158"/>
      <c r="Q66" s="160"/>
      <c r="R66" s="16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8" t="s">
        <v>75</v>
      </c>
      <c r="B67" s="38" t="s">
        <v>322</v>
      </c>
      <c r="C67" s="39" t="s">
        <v>612</v>
      </c>
      <c r="D67" s="38" t="s">
        <v>60</v>
      </c>
      <c r="E67" s="38" t="s">
        <v>209</v>
      </c>
      <c r="F67" s="38" t="s">
        <v>338</v>
      </c>
      <c r="G67" s="262"/>
      <c r="H67" s="158"/>
      <c r="I67" s="158"/>
      <c r="J67" s="158"/>
      <c r="K67" s="158"/>
      <c r="L67" s="158"/>
      <c r="M67" s="158"/>
      <c r="N67" s="158"/>
      <c r="O67" s="159"/>
      <c r="P67" s="158"/>
      <c r="Q67" s="160"/>
      <c r="R67" s="16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8" t="s">
        <v>75</v>
      </c>
      <c r="B68" s="38" t="s">
        <v>339</v>
      </c>
      <c r="C68" s="39" t="s">
        <v>597</v>
      </c>
      <c r="D68" s="38" t="s">
        <v>60</v>
      </c>
      <c r="E68" s="38" t="s">
        <v>209</v>
      </c>
      <c r="F68" s="38" t="s">
        <v>338</v>
      </c>
      <c r="G68" s="262"/>
      <c r="H68" s="158"/>
      <c r="I68" s="158"/>
      <c r="J68" s="158"/>
      <c r="K68" s="158"/>
      <c r="L68" s="158"/>
      <c r="M68" s="158"/>
      <c r="N68" s="158"/>
      <c r="O68" s="159"/>
      <c r="P68" s="158"/>
      <c r="Q68" s="160"/>
      <c r="R68" s="16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8" t="s">
        <v>75</v>
      </c>
      <c r="B69" s="38" t="s">
        <v>316</v>
      </c>
      <c r="C69" s="39" t="s">
        <v>595</v>
      </c>
      <c r="D69" s="38" t="s">
        <v>60</v>
      </c>
      <c r="E69" s="38" t="s">
        <v>209</v>
      </c>
      <c r="F69" s="38" t="s">
        <v>386</v>
      </c>
      <c r="G69" s="262"/>
      <c r="H69" s="158"/>
      <c r="I69" s="158"/>
      <c r="J69" s="158"/>
      <c r="K69" s="158"/>
      <c r="L69" s="158"/>
      <c r="M69" s="158"/>
      <c r="N69" s="158"/>
      <c r="O69" s="159"/>
      <c r="P69" s="158"/>
      <c r="Q69" s="160"/>
      <c r="R69" s="16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8" t="s">
        <v>290</v>
      </c>
      <c r="B70" s="38" t="s">
        <v>341</v>
      </c>
      <c r="C70" s="39" t="s">
        <v>599</v>
      </c>
      <c r="D70" s="38" t="s">
        <v>292</v>
      </c>
      <c r="E70" s="38" t="s">
        <v>201</v>
      </c>
      <c r="F70" s="38" t="s">
        <v>387</v>
      </c>
      <c r="G70" s="262"/>
      <c r="H70" s="158"/>
      <c r="I70" s="158"/>
      <c r="J70" s="158"/>
      <c r="K70" s="158"/>
      <c r="L70" s="158"/>
      <c r="M70" s="158"/>
      <c r="N70" s="158"/>
      <c r="O70" s="159"/>
      <c r="P70" s="158"/>
      <c r="Q70" s="160"/>
      <c r="R70" s="16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8" t="s">
        <v>25</v>
      </c>
      <c r="B71" s="38" t="s">
        <v>268</v>
      </c>
      <c r="C71" s="39" t="s">
        <v>581</v>
      </c>
      <c r="D71" s="38" t="s">
        <v>27</v>
      </c>
      <c r="E71" s="38" t="s">
        <v>201</v>
      </c>
      <c r="F71" s="38" t="s">
        <v>270</v>
      </c>
      <c r="G71" s="262"/>
      <c r="H71" s="158"/>
      <c r="I71" s="158"/>
      <c r="J71" s="158"/>
      <c r="K71" s="158"/>
      <c r="L71" s="158"/>
      <c r="M71" s="158"/>
      <c r="N71" s="158"/>
      <c r="O71" s="159"/>
      <c r="P71" s="158"/>
      <c r="Q71" s="160"/>
      <c r="R71" s="16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0" t="s">
        <v>35</v>
      </c>
      <c r="B72" s="40" t="s">
        <v>378</v>
      </c>
      <c r="C72" s="41" t="s">
        <v>613</v>
      </c>
      <c r="D72" s="40" t="s">
        <v>37</v>
      </c>
      <c r="E72" s="40" t="s">
        <v>207</v>
      </c>
      <c r="F72" s="40" t="s">
        <v>366</v>
      </c>
      <c r="G72" s="263"/>
      <c r="H72" s="161"/>
      <c r="I72" s="161"/>
      <c r="J72" s="161"/>
      <c r="K72" s="161"/>
      <c r="L72" s="161"/>
      <c r="M72" s="161"/>
      <c r="N72" s="161"/>
      <c r="O72" s="162"/>
      <c r="P72" s="161"/>
      <c r="Q72" s="163"/>
      <c r="R72" s="16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85"/>
      <c r="B73" s="286"/>
      <c r="C73" s="286"/>
      <c r="D73" s="286"/>
      <c r="E73" s="286"/>
      <c r="F73" s="286"/>
      <c r="G73" s="276"/>
      <c r="H73" s="287"/>
      <c r="I73" s="287"/>
      <c r="J73" s="287"/>
      <c r="K73" s="287"/>
      <c r="L73" s="287"/>
      <c r="M73" s="287"/>
      <c r="N73" s="287"/>
      <c r="O73" s="288"/>
      <c r="P73" s="287"/>
      <c r="Q73" s="276"/>
      <c r="R73" s="27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66" t="s">
        <v>5</v>
      </c>
      <c r="B74" s="267"/>
      <c r="C74" s="267"/>
      <c r="D74" s="267"/>
      <c r="E74" s="267"/>
      <c r="F74" s="267"/>
      <c r="G74" s="5">
        <v>45990</v>
      </c>
      <c r="H74" s="270" t="s">
        <v>6</v>
      </c>
      <c r="I74" s="269"/>
      <c r="J74" s="269"/>
      <c r="K74" s="269"/>
      <c r="L74" s="269"/>
      <c r="M74" s="269"/>
      <c r="N74" s="269"/>
      <c r="O74" s="269"/>
      <c r="P74" s="269"/>
      <c r="Q74" s="269"/>
      <c r="R74" s="26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47" t="s">
        <v>7</v>
      </c>
      <c r="B75" s="47" t="s">
        <v>8</v>
      </c>
      <c r="C75" s="48" t="s">
        <v>9</v>
      </c>
      <c r="D75" s="47" t="s">
        <v>10</v>
      </c>
      <c r="E75" s="47" t="s">
        <v>11</v>
      </c>
      <c r="F75" s="47" t="s">
        <v>12</v>
      </c>
      <c r="G75" s="49" t="s">
        <v>13</v>
      </c>
      <c r="H75" s="47" t="s">
        <v>14</v>
      </c>
      <c r="I75" s="50" t="s">
        <v>15</v>
      </c>
      <c r="J75" s="51" t="s">
        <v>16</v>
      </c>
      <c r="K75" s="52" t="s">
        <v>17</v>
      </c>
      <c r="L75" s="51" t="s">
        <v>18</v>
      </c>
      <c r="M75" s="51" t="s">
        <v>19</v>
      </c>
      <c r="N75" s="51" t="s">
        <v>20</v>
      </c>
      <c r="O75" s="47" t="s">
        <v>21</v>
      </c>
      <c r="P75" s="48" t="s">
        <v>22</v>
      </c>
      <c r="Q75" s="51" t="s">
        <v>23</v>
      </c>
      <c r="R75" s="4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75" t="s">
        <v>35</v>
      </c>
      <c r="B76" s="75" t="s">
        <v>672</v>
      </c>
      <c r="C76" s="76">
        <v>0.1423611111111111</v>
      </c>
      <c r="D76" s="75" t="s">
        <v>37</v>
      </c>
      <c r="E76" s="75" t="s">
        <v>38</v>
      </c>
      <c r="F76" s="75" t="s">
        <v>673</v>
      </c>
      <c r="G76" s="261"/>
      <c r="H76" s="29" t="s">
        <v>666</v>
      </c>
      <c r="I76" s="235">
        <v>0.68889999999999996</v>
      </c>
      <c r="J76" s="31">
        <v>124</v>
      </c>
      <c r="K76" s="32">
        <v>45985</v>
      </c>
      <c r="L76" s="31">
        <v>15</v>
      </c>
      <c r="M76" s="31">
        <v>1</v>
      </c>
      <c r="N76" s="31">
        <v>1</v>
      </c>
      <c r="O76" s="33" t="s">
        <v>435</v>
      </c>
      <c r="P76" s="34">
        <v>0.1423611111111111</v>
      </c>
      <c r="Q76" s="31">
        <v>180</v>
      </c>
      <c r="R76" s="35" t="s">
        <v>675</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214" t="s">
        <v>35</v>
      </c>
      <c r="B77" s="214" t="s">
        <v>654</v>
      </c>
      <c r="C77" s="215">
        <v>0.52777777777777779</v>
      </c>
      <c r="D77" s="214" t="s">
        <v>37</v>
      </c>
      <c r="E77" s="214" t="s">
        <v>80</v>
      </c>
      <c r="F77" s="214" t="s">
        <v>664</v>
      </c>
      <c r="G77" s="262"/>
      <c r="H77" s="186" t="s">
        <v>655</v>
      </c>
      <c r="I77" s="187">
        <v>0.95</v>
      </c>
      <c r="J77" s="188">
        <v>171</v>
      </c>
      <c r="K77" s="189">
        <v>45984</v>
      </c>
      <c r="L77" s="188">
        <v>18</v>
      </c>
      <c r="M77" s="188">
        <v>0</v>
      </c>
      <c r="N77" s="188">
        <v>2</v>
      </c>
      <c r="O77" s="190" t="s">
        <v>169</v>
      </c>
      <c r="P77" s="191">
        <v>0.52777777777777779</v>
      </c>
      <c r="Q77" s="188">
        <v>180</v>
      </c>
      <c r="R77" s="192" t="s">
        <v>676</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8" x14ac:dyDescent="0.3">
      <c r="A78" s="289" t="s">
        <v>580</v>
      </c>
      <c r="B78" s="290"/>
      <c r="C78" s="290"/>
      <c r="D78" s="290"/>
      <c r="E78" s="290"/>
      <c r="F78" s="290"/>
      <c r="G78" s="262"/>
      <c r="H78" s="158"/>
      <c r="I78" s="158"/>
      <c r="J78" s="158"/>
      <c r="K78" s="158"/>
      <c r="L78" s="158"/>
      <c r="M78" s="158"/>
      <c r="N78" s="158"/>
      <c r="O78" s="159"/>
      <c r="P78" s="158"/>
      <c r="Q78" s="160"/>
      <c r="R78" s="16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38" t="s">
        <v>75</v>
      </c>
      <c r="B79" s="38" t="s">
        <v>318</v>
      </c>
      <c r="C79" s="39" t="s">
        <v>619</v>
      </c>
      <c r="D79" s="38" t="s">
        <v>60</v>
      </c>
      <c r="E79" s="38" t="s">
        <v>209</v>
      </c>
      <c r="F79" s="38" t="s">
        <v>338</v>
      </c>
      <c r="G79" s="262"/>
      <c r="H79" s="158"/>
      <c r="I79" s="158"/>
      <c r="J79" s="158"/>
      <c r="K79" s="158"/>
      <c r="L79" s="158"/>
      <c r="M79" s="158"/>
      <c r="N79" s="158"/>
      <c r="O79" s="159"/>
      <c r="P79" s="158"/>
      <c r="Q79" s="160"/>
      <c r="R79" s="16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38" t="s">
        <v>75</v>
      </c>
      <c r="B80" s="38" t="s">
        <v>319</v>
      </c>
      <c r="C80" s="39" t="s">
        <v>620</v>
      </c>
      <c r="D80" s="38" t="s">
        <v>60</v>
      </c>
      <c r="E80" s="38" t="s">
        <v>209</v>
      </c>
      <c r="F80" s="38" t="s">
        <v>338</v>
      </c>
      <c r="G80" s="262"/>
      <c r="H80" s="158"/>
      <c r="I80" s="158"/>
      <c r="J80" s="158"/>
      <c r="K80" s="158"/>
      <c r="L80" s="158"/>
      <c r="M80" s="158"/>
      <c r="N80" s="158"/>
      <c r="O80" s="159"/>
      <c r="P80" s="158"/>
      <c r="Q80" s="160"/>
      <c r="R80" s="16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38" t="s">
        <v>75</v>
      </c>
      <c r="B81" s="38" t="s">
        <v>321</v>
      </c>
      <c r="C81" s="39" t="s">
        <v>610</v>
      </c>
      <c r="D81" s="38" t="s">
        <v>60</v>
      </c>
      <c r="E81" s="38" t="s">
        <v>203</v>
      </c>
      <c r="F81" s="38" t="s">
        <v>338</v>
      </c>
      <c r="G81" s="262"/>
      <c r="H81" s="158"/>
      <c r="I81" s="158"/>
      <c r="J81" s="158"/>
      <c r="K81" s="158"/>
      <c r="L81" s="158"/>
      <c r="M81" s="158"/>
      <c r="N81" s="158"/>
      <c r="O81" s="159"/>
      <c r="P81" s="158"/>
      <c r="Q81" s="160"/>
      <c r="R81" s="16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38" t="s">
        <v>75</v>
      </c>
      <c r="B82" s="38" t="s">
        <v>316</v>
      </c>
      <c r="C82" s="39" t="s">
        <v>595</v>
      </c>
      <c r="D82" s="38" t="s">
        <v>60</v>
      </c>
      <c r="E82" s="38" t="s">
        <v>209</v>
      </c>
      <c r="F82" s="38" t="s">
        <v>386</v>
      </c>
      <c r="G82" s="262"/>
      <c r="H82" s="158"/>
      <c r="I82" s="158"/>
      <c r="J82" s="158"/>
      <c r="K82" s="158"/>
      <c r="L82" s="158"/>
      <c r="M82" s="158"/>
      <c r="N82" s="158"/>
      <c r="O82" s="159"/>
      <c r="P82" s="158"/>
      <c r="Q82" s="160"/>
      <c r="R82" s="16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38" t="s">
        <v>25</v>
      </c>
      <c r="B83" s="38" t="s">
        <v>268</v>
      </c>
      <c r="C83" s="39" t="s">
        <v>581</v>
      </c>
      <c r="D83" s="38" t="s">
        <v>27</v>
      </c>
      <c r="E83" s="38" t="s">
        <v>201</v>
      </c>
      <c r="F83" s="38" t="s">
        <v>275</v>
      </c>
      <c r="G83" s="262"/>
      <c r="H83" s="158"/>
      <c r="I83" s="158"/>
      <c r="J83" s="158"/>
      <c r="K83" s="158"/>
      <c r="L83" s="158"/>
      <c r="M83" s="158"/>
      <c r="N83" s="158"/>
      <c r="O83" s="159"/>
      <c r="P83" s="158"/>
      <c r="Q83" s="160"/>
      <c r="R83" s="16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38" t="s">
        <v>48</v>
      </c>
      <c r="B84" s="38" t="s">
        <v>279</v>
      </c>
      <c r="C84" s="39" t="s">
        <v>588</v>
      </c>
      <c r="D84" s="38" t="s">
        <v>50</v>
      </c>
      <c r="E84" s="38" t="s">
        <v>207</v>
      </c>
      <c r="F84" s="38" t="s">
        <v>275</v>
      </c>
      <c r="G84" s="262"/>
      <c r="H84" s="158"/>
      <c r="I84" s="158"/>
      <c r="J84" s="158"/>
      <c r="K84" s="158"/>
      <c r="L84" s="158"/>
      <c r="M84" s="158"/>
      <c r="N84" s="158"/>
      <c r="O84" s="159"/>
      <c r="P84" s="158"/>
      <c r="Q84" s="160"/>
      <c r="R84" s="16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38" t="s">
        <v>290</v>
      </c>
      <c r="B85" s="38" t="s">
        <v>291</v>
      </c>
      <c r="C85" s="39" t="s">
        <v>587</v>
      </c>
      <c r="D85" s="38" t="s">
        <v>292</v>
      </c>
      <c r="E85" s="38" t="s">
        <v>249</v>
      </c>
      <c r="F85" s="38" t="s">
        <v>406</v>
      </c>
      <c r="G85" s="262"/>
      <c r="H85" s="158"/>
      <c r="I85" s="158"/>
      <c r="J85" s="158"/>
      <c r="K85" s="158"/>
      <c r="L85" s="158"/>
      <c r="M85" s="158"/>
      <c r="N85" s="158"/>
      <c r="O85" s="159"/>
      <c r="P85" s="158"/>
      <c r="Q85" s="160"/>
      <c r="R85" s="16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38" t="s">
        <v>25</v>
      </c>
      <c r="B86" s="38" t="s">
        <v>277</v>
      </c>
      <c r="C86" s="39" t="s">
        <v>585</v>
      </c>
      <c r="D86" s="38" t="s">
        <v>27</v>
      </c>
      <c r="E86" s="38" t="s">
        <v>598</v>
      </c>
      <c r="F86" s="38" t="s">
        <v>112</v>
      </c>
      <c r="G86" s="262"/>
      <c r="H86" s="158"/>
      <c r="I86" s="158"/>
      <c r="J86" s="158"/>
      <c r="K86" s="158"/>
      <c r="L86" s="158"/>
      <c r="M86" s="158"/>
      <c r="N86" s="158"/>
      <c r="O86" s="159"/>
      <c r="P86" s="158"/>
      <c r="Q86" s="160"/>
      <c r="R86" s="16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38" t="s">
        <v>48</v>
      </c>
      <c r="B87" s="38" t="s">
        <v>279</v>
      </c>
      <c r="C87" s="39" t="s">
        <v>588</v>
      </c>
      <c r="D87" s="38" t="s">
        <v>53</v>
      </c>
      <c r="E87" s="38" t="s">
        <v>207</v>
      </c>
      <c r="F87" s="38" t="s">
        <v>112</v>
      </c>
      <c r="G87" s="262"/>
      <c r="H87" s="158"/>
      <c r="I87" s="158"/>
      <c r="J87" s="158"/>
      <c r="K87" s="158"/>
      <c r="L87" s="158"/>
      <c r="M87" s="158"/>
      <c r="N87" s="158"/>
      <c r="O87" s="159"/>
      <c r="P87" s="158"/>
      <c r="Q87" s="160"/>
      <c r="R87" s="16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40" t="s">
        <v>290</v>
      </c>
      <c r="B88" s="40" t="s">
        <v>291</v>
      </c>
      <c r="C88" s="41" t="s">
        <v>587</v>
      </c>
      <c r="D88" s="40" t="s">
        <v>30</v>
      </c>
      <c r="E88" s="40" t="s">
        <v>249</v>
      </c>
      <c r="F88" s="40" t="s">
        <v>407</v>
      </c>
      <c r="G88" s="263"/>
      <c r="H88" s="161"/>
      <c r="I88" s="161"/>
      <c r="J88" s="161"/>
      <c r="K88" s="161"/>
      <c r="L88" s="161"/>
      <c r="M88" s="161"/>
      <c r="N88" s="161"/>
      <c r="O88" s="162"/>
      <c r="P88" s="161"/>
      <c r="Q88" s="163"/>
      <c r="R88" s="1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275"/>
      <c r="B89" s="276"/>
      <c r="C89" s="276"/>
      <c r="D89" s="276"/>
      <c r="E89" s="276"/>
      <c r="F89" s="276"/>
      <c r="G89" s="276"/>
      <c r="H89" s="276"/>
      <c r="I89" s="276"/>
      <c r="J89" s="276"/>
      <c r="K89" s="276"/>
      <c r="L89" s="276"/>
      <c r="M89" s="276"/>
      <c r="N89" s="276"/>
      <c r="O89" s="276"/>
      <c r="P89" s="276"/>
      <c r="Q89" s="276"/>
      <c r="R89" s="27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266" t="s">
        <v>5</v>
      </c>
      <c r="B90" s="267"/>
      <c r="C90" s="267"/>
      <c r="D90" s="267"/>
      <c r="E90" s="267"/>
      <c r="F90" s="267"/>
      <c r="G90" s="5">
        <v>45991</v>
      </c>
      <c r="H90" s="270" t="s">
        <v>6</v>
      </c>
      <c r="I90" s="269"/>
      <c r="J90" s="269"/>
      <c r="K90" s="269"/>
      <c r="L90" s="269"/>
      <c r="M90" s="269"/>
      <c r="N90" s="269"/>
      <c r="O90" s="269"/>
      <c r="P90" s="269"/>
      <c r="Q90" s="269"/>
      <c r="R90" s="26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47" t="s">
        <v>7</v>
      </c>
      <c r="B91" s="47" t="s">
        <v>8</v>
      </c>
      <c r="C91" s="48" t="s">
        <v>9</v>
      </c>
      <c r="D91" s="47" t="s">
        <v>10</v>
      </c>
      <c r="E91" s="47" t="s">
        <v>11</v>
      </c>
      <c r="F91" s="47" t="s">
        <v>12</v>
      </c>
      <c r="G91" s="49" t="s">
        <v>13</v>
      </c>
      <c r="H91" s="47" t="s">
        <v>14</v>
      </c>
      <c r="I91" s="50" t="s">
        <v>15</v>
      </c>
      <c r="J91" s="51" t="s">
        <v>16</v>
      </c>
      <c r="K91" s="52" t="s">
        <v>17</v>
      </c>
      <c r="L91" s="51" t="s">
        <v>18</v>
      </c>
      <c r="M91" s="51" t="s">
        <v>19</v>
      </c>
      <c r="N91" s="51" t="s">
        <v>20</v>
      </c>
      <c r="O91" s="47" t="s">
        <v>21</v>
      </c>
      <c r="P91" s="48" t="s">
        <v>22</v>
      </c>
      <c r="Q91" s="51" t="s">
        <v>23</v>
      </c>
      <c r="R91" s="47"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8" t="s">
        <v>25</v>
      </c>
      <c r="B92" s="8" t="s">
        <v>659</v>
      </c>
      <c r="C92" s="9">
        <v>0.36458333333333331</v>
      </c>
      <c r="D92" s="8" t="s">
        <v>567</v>
      </c>
      <c r="E92" s="8" t="s">
        <v>677</v>
      </c>
      <c r="F92" s="8" t="s">
        <v>678</v>
      </c>
      <c r="G92" s="261"/>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659</v>
      </c>
      <c r="C93" s="16">
        <v>0.36458333333333331</v>
      </c>
      <c r="D93" s="15" t="s">
        <v>568</v>
      </c>
      <c r="E93" s="15" t="s">
        <v>679</v>
      </c>
      <c r="F93" s="15" t="s">
        <v>680</v>
      </c>
      <c r="G93" s="262"/>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659</v>
      </c>
      <c r="C94" s="16">
        <v>0.36458333333333331</v>
      </c>
      <c r="D94" s="15" t="s">
        <v>570</v>
      </c>
      <c r="E94" s="15" t="s">
        <v>679</v>
      </c>
      <c r="F94" s="15" t="s">
        <v>681</v>
      </c>
      <c r="G94" s="262"/>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25</v>
      </c>
      <c r="B95" s="15" t="s">
        <v>659</v>
      </c>
      <c r="C95" s="16">
        <v>0.36458333333333331</v>
      </c>
      <c r="D95" s="15" t="s">
        <v>571</v>
      </c>
      <c r="E95" s="15" t="s">
        <v>679</v>
      </c>
      <c r="F95" s="15" t="s">
        <v>682</v>
      </c>
      <c r="G95" s="262"/>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35</v>
      </c>
      <c r="B96" s="17" t="s">
        <v>654</v>
      </c>
      <c r="C96" s="18">
        <v>0.69097222222222221</v>
      </c>
      <c r="D96" s="17" t="s">
        <v>37</v>
      </c>
      <c r="E96" s="17" t="s">
        <v>61</v>
      </c>
      <c r="F96" s="17" t="s">
        <v>651</v>
      </c>
      <c r="G96" s="262"/>
      <c r="H96" s="19" t="s">
        <v>655</v>
      </c>
      <c r="I96" s="234">
        <v>0.7278</v>
      </c>
      <c r="J96" s="21">
        <v>131</v>
      </c>
      <c r="K96" s="22">
        <v>45985</v>
      </c>
      <c r="L96" s="21">
        <v>65</v>
      </c>
      <c r="M96" s="21">
        <v>3</v>
      </c>
      <c r="N96" s="21">
        <v>14</v>
      </c>
      <c r="O96" s="23" t="s">
        <v>260</v>
      </c>
      <c r="P96" s="24">
        <v>0.69097222222222221</v>
      </c>
      <c r="Q96" s="21">
        <v>180</v>
      </c>
      <c r="R96" s="25" t="s">
        <v>683</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214" t="s">
        <v>35</v>
      </c>
      <c r="B97" s="214" t="s">
        <v>672</v>
      </c>
      <c r="C97" s="215">
        <v>0.3298611111111111</v>
      </c>
      <c r="D97" s="214" t="s">
        <v>37</v>
      </c>
      <c r="E97" s="214" t="s">
        <v>121</v>
      </c>
      <c r="F97" s="214" t="s">
        <v>651</v>
      </c>
      <c r="G97" s="262"/>
      <c r="H97" s="186" t="s">
        <v>666</v>
      </c>
      <c r="I97" s="187">
        <v>0.91669999999999996</v>
      </c>
      <c r="J97" s="188">
        <v>165</v>
      </c>
      <c r="K97" s="189">
        <v>45985</v>
      </c>
      <c r="L97" s="188">
        <v>54</v>
      </c>
      <c r="M97" s="188">
        <v>2</v>
      </c>
      <c r="N97" s="188">
        <v>8</v>
      </c>
      <c r="O97" s="190" t="s">
        <v>472</v>
      </c>
      <c r="P97" s="191">
        <v>0.3298611111111111</v>
      </c>
      <c r="Q97" s="188">
        <v>180</v>
      </c>
      <c r="R97" s="192" t="s">
        <v>684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8" x14ac:dyDescent="0.3">
      <c r="A98" s="289" t="s">
        <v>580</v>
      </c>
      <c r="B98" s="290"/>
      <c r="C98" s="290"/>
      <c r="D98" s="290"/>
      <c r="E98" s="290"/>
      <c r="F98" s="290"/>
      <c r="G98" s="262"/>
      <c r="H98" s="158"/>
      <c r="I98" s="158"/>
      <c r="J98" s="158"/>
      <c r="K98" s="158"/>
      <c r="L98" s="158"/>
      <c r="M98" s="158"/>
      <c r="N98" s="158"/>
      <c r="O98" s="159"/>
      <c r="P98" s="158"/>
      <c r="Q98" s="160"/>
      <c r="R98" s="160"/>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38" t="s">
        <v>25</v>
      </c>
      <c r="B99" s="38" t="s">
        <v>268</v>
      </c>
      <c r="C99" s="39" t="s">
        <v>581</v>
      </c>
      <c r="D99" s="38" t="s">
        <v>335</v>
      </c>
      <c r="E99" s="38" t="s">
        <v>598</v>
      </c>
      <c r="F99" s="38" t="s">
        <v>269</v>
      </c>
      <c r="G99" s="262"/>
      <c r="H99" s="158"/>
      <c r="I99" s="158"/>
      <c r="J99" s="158"/>
      <c r="K99" s="158"/>
      <c r="L99" s="158"/>
      <c r="M99" s="158"/>
      <c r="N99" s="158"/>
      <c r="O99" s="159"/>
      <c r="P99" s="158"/>
      <c r="Q99" s="160"/>
      <c r="R99" s="16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38" t="s">
        <v>25</v>
      </c>
      <c r="B100" s="38" t="s">
        <v>271</v>
      </c>
      <c r="C100" s="39" t="s">
        <v>582</v>
      </c>
      <c r="D100" s="38" t="s">
        <v>335</v>
      </c>
      <c r="E100" s="38" t="s">
        <v>213</v>
      </c>
      <c r="F100" s="38" t="s">
        <v>269</v>
      </c>
      <c r="G100" s="262"/>
      <c r="H100" s="158"/>
      <c r="I100" s="158"/>
      <c r="J100" s="158"/>
      <c r="K100" s="158"/>
      <c r="L100" s="158"/>
      <c r="M100" s="158"/>
      <c r="N100" s="158"/>
      <c r="O100" s="159"/>
      <c r="P100" s="158"/>
      <c r="Q100" s="160"/>
      <c r="R100" s="16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38" t="s">
        <v>25</v>
      </c>
      <c r="B101" s="38" t="s">
        <v>277</v>
      </c>
      <c r="C101" s="39" t="s">
        <v>585</v>
      </c>
      <c r="D101" s="38" t="s">
        <v>335</v>
      </c>
      <c r="E101" s="38" t="s">
        <v>203</v>
      </c>
      <c r="F101" s="38" t="s">
        <v>269</v>
      </c>
      <c r="G101" s="262"/>
      <c r="H101" s="158"/>
      <c r="I101" s="158"/>
      <c r="J101" s="158"/>
      <c r="K101" s="158"/>
      <c r="L101" s="158"/>
      <c r="M101" s="158"/>
      <c r="N101" s="158"/>
      <c r="O101" s="159"/>
      <c r="P101" s="158"/>
      <c r="Q101" s="160"/>
      <c r="R101" s="16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38" t="s">
        <v>35</v>
      </c>
      <c r="B102" s="38" t="s">
        <v>362</v>
      </c>
      <c r="C102" s="39" t="s">
        <v>628</v>
      </c>
      <c r="D102" s="38" t="s">
        <v>37</v>
      </c>
      <c r="E102" s="38" t="s">
        <v>207</v>
      </c>
      <c r="F102" s="38" t="s">
        <v>29</v>
      </c>
      <c r="G102" s="262"/>
      <c r="H102" s="158"/>
      <c r="I102" s="158"/>
      <c r="J102" s="158"/>
      <c r="K102" s="158"/>
      <c r="L102" s="158"/>
      <c r="M102" s="158"/>
      <c r="N102" s="158"/>
      <c r="O102" s="159"/>
      <c r="P102" s="158"/>
      <c r="Q102" s="160"/>
      <c r="R102" s="16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38" t="s">
        <v>48</v>
      </c>
      <c r="B103" s="38" t="s">
        <v>278</v>
      </c>
      <c r="C103" s="39" t="s">
        <v>586</v>
      </c>
      <c r="D103" s="38" t="s">
        <v>102</v>
      </c>
      <c r="E103" s="38" t="s">
        <v>218</v>
      </c>
      <c r="F103" s="38" t="s">
        <v>29</v>
      </c>
      <c r="G103" s="262"/>
      <c r="H103" s="158"/>
      <c r="I103" s="158"/>
      <c r="J103" s="158"/>
      <c r="K103" s="158"/>
      <c r="L103" s="158"/>
      <c r="M103" s="158"/>
      <c r="N103" s="158"/>
      <c r="O103" s="159"/>
      <c r="P103" s="158"/>
      <c r="Q103" s="160"/>
      <c r="R103" s="16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38" t="s">
        <v>48</v>
      </c>
      <c r="B104" s="38" t="s">
        <v>288</v>
      </c>
      <c r="C104" s="39" t="s">
        <v>605</v>
      </c>
      <c r="D104" s="38" t="s">
        <v>102</v>
      </c>
      <c r="E104" s="38" t="s">
        <v>218</v>
      </c>
      <c r="F104" s="38" t="s">
        <v>29</v>
      </c>
      <c r="G104" s="262"/>
      <c r="H104" s="158"/>
      <c r="I104" s="158"/>
      <c r="J104" s="158"/>
      <c r="K104" s="158"/>
      <c r="L104" s="158"/>
      <c r="M104" s="158"/>
      <c r="N104" s="158"/>
      <c r="O104" s="159"/>
      <c r="P104" s="158"/>
      <c r="Q104" s="160"/>
      <c r="R104" s="16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38" t="s">
        <v>75</v>
      </c>
      <c r="B105" s="38" t="s">
        <v>320</v>
      </c>
      <c r="C105" s="39" t="s">
        <v>609</v>
      </c>
      <c r="D105" s="38" t="s">
        <v>60</v>
      </c>
      <c r="E105" s="38" t="s">
        <v>209</v>
      </c>
      <c r="F105" s="38" t="s">
        <v>338</v>
      </c>
      <c r="G105" s="262"/>
      <c r="H105" s="158"/>
      <c r="I105" s="158"/>
      <c r="J105" s="158"/>
      <c r="K105" s="158"/>
      <c r="L105" s="158"/>
      <c r="M105" s="158"/>
      <c r="N105" s="158"/>
      <c r="O105" s="159"/>
      <c r="P105" s="158"/>
      <c r="Q105" s="160"/>
      <c r="R105" s="16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38" t="s">
        <v>75</v>
      </c>
      <c r="B106" s="38" t="s">
        <v>321</v>
      </c>
      <c r="C106" s="39" t="s">
        <v>610</v>
      </c>
      <c r="D106" s="38" t="s">
        <v>60</v>
      </c>
      <c r="E106" s="38" t="s">
        <v>598</v>
      </c>
      <c r="F106" s="38" t="s">
        <v>338</v>
      </c>
      <c r="G106" s="262"/>
      <c r="H106" s="158"/>
      <c r="I106" s="158"/>
      <c r="J106" s="158"/>
      <c r="K106" s="158"/>
      <c r="L106" s="158"/>
      <c r="M106" s="158"/>
      <c r="N106" s="158"/>
      <c r="O106" s="159"/>
      <c r="P106" s="158"/>
      <c r="Q106" s="160"/>
      <c r="R106" s="16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8" t="s">
        <v>75</v>
      </c>
      <c r="B107" s="38" t="s">
        <v>322</v>
      </c>
      <c r="C107" s="39" t="s">
        <v>629</v>
      </c>
      <c r="D107" s="38" t="s">
        <v>60</v>
      </c>
      <c r="E107" s="38" t="s">
        <v>209</v>
      </c>
      <c r="F107" s="38" t="s">
        <v>338</v>
      </c>
      <c r="G107" s="262"/>
      <c r="H107" s="158"/>
      <c r="I107" s="158"/>
      <c r="J107" s="158"/>
      <c r="K107" s="158"/>
      <c r="L107" s="158"/>
      <c r="M107" s="158"/>
      <c r="N107" s="158"/>
      <c r="O107" s="159"/>
      <c r="P107" s="158"/>
      <c r="Q107" s="160"/>
      <c r="R107" s="16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40" t="s">
        <v>25</v>
      </c>
      <c r="B108" s="40" t="s">
        <v>276</v>
      </c>
      <c r="C108" s="41" t="s">
        <v>584</v>
      </c>
      <c r="D108" s="40" t="s">
        <v>335</v>
      </c>
      <c r="E108" s="40" t="s">
        <v>205</v>
      </c>
      <c r="F108" s="40" t="s">
        <v>32</v>
      </c>
      <c r="G108" s="263"/>
      <c r="H108" s="161"/>
      <c r="I108" s="161"/>
      <c r="J108" s="161"/>
      <c r="K108" s="161"/>
      <c r="L108" s="161"/>
      <c r="M108" s="161"/>
      <c r="N108" s="161"/>
      <c r="O108" s="162"/>
      <c r="P108" s="161"/>
      <c r="Q108" s="163"/>
      <c r="R108" s="16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275"/>
      <c r="B109" s="276"/>
      <c r="C109" s="276"/>
      <c r="D109" s="276"/>
      <c r="E109" s="276"/>
      <c r="F109" s="276"/>
      <c r="G109" s="276"/>
      <c r="H109" s="276"/>
      <c r="I109" s="276"/>
      <c r="J109" s="276"/>
      <c r="K109" s="276"/>
      <c r="L109" s="276"/>
      <c r="M109" s="276"/>
      <c r="N109" s="276"/>
      <c r="O109" s="276"/>
      <c r="P109" s="276"/>
      <c r="Q109" s="276"/>
      <c r="R109" s="27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sheetData>
  <mergeCells count="39">
    <mergeCell ref="A109:R109"/>
    <mergeCell ref="G45:G57"/>
    <mergeCell ref="A9:F9"/>
    <mergeCell ref="A31:F31"/>
    <mergeCell ref="K2:R2"/>
    <mergeCell ref="H90:R90"/>
    <mergeCell ref="G76:G88"/>
    <mergeCell ref="A58:R58"/>
    <mergeCell ref="A59:F59"/>
    <mergeCell ref="G92:G108"/>
    <mergeCell ref="A98:F98"/>
    <mergeCell ref="A73:R73"/>
    <mergeCell ref="G6:G19"/>
    <mergeCell ref="A78:F78"/>
    <mergeCell ref="A4:F4"/>
    <mergeCell ref="A62:F62"/>
    <mergeCell ref="G23:G41"/>
    <mergeCell ref="J1:M1"/>
    <mergeCell ref="A43:F43"/>
    <mergeCell ref="A20:R20"/>
    <mergeCell ref="D1:F1"/>
    <mergeCell ref="A1:C1"/>
    <mergeCell ref="G1:H1"/>
    <mergeCell ref="O1:Q1"/>
    <mergeCell ref="A90:F90"/>
    <mergeCell ref="H43:R43"/>
    <mergeCell ref="A74:F74"/>
    <mergeCell ref="A21:F21"/>
    <mergeCell ref="A89:R89"/>
    <mergeCell ref="H4:R4"/>
    <mergeCell ref="A2:F2"/>
    <mergeCell ref="A3:R3"/>
    <mergeCell ref="A47:F47"/>
    <mergeCell ref="H74:R74"/>
    <mergeCell ref="G61:G72"/>
    <mergeCell ref="A42:R42"/>
    <mergeCell ref="H21:R21"/>
    <mergeCell ref="H59:R59"/>
    <mergeCell ref="G2:J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1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652</v>
      </c>
      <c r="D2" s="81">
        <v>0.16666666666666671</v>
      </c>
      <c r="E2" s="80" t="s">
        <v>649</v>
      </c>
      <c r="F2" s="80" t="s">
        <v>159</v>
      </c>
      <c r="G2" s="82">
        <v>0.82779999999999998</v>
      </c>
      <c r="H2" s="83">
        <v>180</v>
      </c>
      <c r="I2" s="83">
        <v>149</v>
      </c>
      <c r="J2" s="83">
        <v>47</v>
      </c>
      <c r="K2" s="79">
        <v>45984</v>
      </c>
      <c r="L2" s="83">
        <v>0</v>
      </c>
      <c r="M2" s="83">
        <v>10</v>
      </c>
      <c r="N2" s="83">
        <v>54</v>
      </c>
      <c r="O2" s="80" t="s">
        <v>488</v>
      </c>
      <c r="P2" s="84"/>
      <c r="Q2" s="84"/>
      <c r="R2" s="84"/>
      <c r="S2" s="84"/>
      <c r="T2" s="84"/>
      <c r="U2" s="84"/>
      <c r="V2" s="84"/>
      <c r="W2" s="84"/>
      <c r="X2" s="83" t="s">
        <v>542</v>
      </c>
      <c r="Y2" s="83" t="s">
        <v>685</v>
      </c>
      <c r="Z2" s="83" t="s">
        <v>540</v>
      </c>
      <c r="AA2" s="83" t="s">
        <v>635</v>
      </c>
      <c r="AB2" s="83" t="s">
        <v>163</v>
      </c>
      <c r="AC2" s="83" t="s">
        <v>451</v>
      </c>
      <c r="AD2" s="83" t="s">
        <v>686</v>
      </c>
      <c r="AE2" s="83" t="s">
        <v>166</v>
      </c>
      <c r="AF2" s="84"/>
      <c r="AG2" s="84"/>
      <c r="AH2" s="83" t="s">
        <v>687</v>
      </c>
      <c r="AI2" s="84"/>
    </row>
    <row r="3" spans="1:35" ht="18" x14ac:dyDescent="0.3">
      <c r="A3" s="85" t="s">
        <v>158</v>
      </c>
      <c r="B3" s="86">
        <v>45986</v>
      </c>
      <c r="C3" s="87" t="s">
        <v>655</v>
      </c>
      <c r="D3" s="88">
        <v>0.52777777777777779</v>
      </c>
      <c r="E3" s="87" t="s">
        <v>649</v>
      </c>
      <c r="F3" s="87" t="s">
        <v>159</v>
      </c>
      <c r="G3" s="89">
        <v>0.9778</v>
      </c>
      <c r="H3" s="90">
        <v>180</v>
      </c>
      <c r="I3" s="90">
        <v>176</v>
      </c>
      <c r="J3" s="90">
        <v>69</v>
      </c>
      <c r="K3" s="86">
        <v>45984</v>
      </c>
      <c r="L3" s="90">
        <v>0</v>
      </c>
      <c r="M3" s="90">
        <v>4</v>
      </c>
      <c r="N3" s="90">
        <v>56</v>
      </c>
      <c r="O3" s="87" t="s">
        <v>187</v>
      </c>
      <c r="P3" s="91"/>
      <c r="Q3" s="91"/>
      <c r="R3" s="91"/>
      <c r="S3" s="91"/>
      <c r="T3" s="91"/>
      <c r="U3" s="91"/>
      <c r="V3" s="91"/>
      <c r="W3" s="91"/>
      <c r="X3" s="90" t="s">
        <v>160</v>
      </c>
      <c r="Y3" s="90" t="s">
        <v>688</v>
      </c>
      <c r="Z3" s="90" t="s">
        <v>430</v>
      </c>
      <c r="AA3" s="90" t="s">
        <v>162</v>
      </c>
      <c r="AB3" s="90" t="s">
        <v>436</v>
      </c>
      <c r="AC3" s="90" t="s">
        <v>689</v>
      </c>
      <c r="AD3" s="90" t="s">
        <v>165</v>
      </c>
      <c r="AE3" s="90" t="s">
        <v>642</v>
      </c>
      <c r="AF3" s="91"/>
      <c r="AG3" s="91"/>
      <c r="AH3" s="90" t="s">
        <v>257</v>
      </c>
      <c r="AI3" s="91"/>
    </row>
    <row r="4" spans="1:35" ht="18" x14ac:dyDescent="0.3">
      <c r="A4" s="78" t="s">
        <v>232</v>
      </c>
      <c r="B4" s="79">
        <v>45987</v>
      </c>
      <c r="C4" s="80" t="s">
        <v>652</v>
      </c>
      <c r="D4" s="81">
        <v>0.1076388888888889</v>
      </c>
      <c r="E4" s="80" t="s">
        <v>649</v>
      </c>
      <c r="F4" s="80" t="s">
        <v>159</v>
      </c>
      <c r="G4" s="82">
        <v>1</v>
      </c>
      <c r="H4" s="83">
        <v>180</v>
      </c>
      <c r="I4" s="83">
        <v>180</v>
      </c>
      <c r="J4" s="83">
        <v>180</v>
      </c>
      <c r="K4" s="79">
        <v>45984</v>
      </c>
      <c r="L4" s="83">
        <v>0</v>
      </c>
      <c r="M4" s="83">
        <v>3</v>
      </c>
      <c r="N4" s="83">
        <v>3</v>
      </c>
      <c r="O4" s="80" t="s">
        <v>46</v>
      </c>
      <c r="P4" s="84"/>
      <c r="Q4" s="84"/>
      <c r="R4" s="84"/>
      <c r="S4" s="84"/>
      <c r="T4" s="84"/>
      <c r="U4" s="84"/>
      <c r="V4" s="84"/>
      <c r="W4" s="84"/>
      <c r="X4" s="84"/>
      <c r="Y4" s="84"/>
      <c r="Z4" s="84"/>
      <c r="AA4" s="84"/>
      <c r="AB4" s="84"/>
      <c r="AC4" s="84"/>
      <c r="AD4" s="84"/>
      <c r="AE4" s="84"/>
      <c r="AF4" s="83" t="s">
        <v>690</v>
      </c>
      <c r="AG4" s="84"/>
      <c r="AH4" s="83" t="s">
        <v>184</v>
      </c>
      <c r="AI4" s="84"/>
    </row>
    <row r="5" spans="1:35" ht="18" x14ac:dyDescent="0.3">
      <c r="A5" s="85" t="s">
        <v>232</v>
      </c>
      <c r="B5" s="86">
        <v>45987</v>
      </c>
      <c r="C5" s="87" t="s">
        <v>666</v>
      </c>
      <c r="D5" s="88">
        <v>0.5</v>
      </c>
      <c r="E5" s="87" t="s">
        <v>649</v>
      </c>
      <c r="F5" s="87" t="s">
        <v>159</v>
      </c>
      <c r="G5" s="89">
        <v>1</v>
      </c>
      <c r="H5" s="90">
        <v>180</v>
      </c>
      <c r="I5" s="90">
        <v>180</v>
      </c>
      <c r="J5" s="90">
        <v>136</v>
      </c>
      <c r="K5" s="86">
        <v>45984</v>
      </c>
      <c r="L5" s="90">
        <v>0</v>
      </c>
      <c r="M5" s="90">
        <v>5</v>
      </c>
      <c r="N5" s="90">
        <v>8</v>
      </c>
      <c r="O5" s="87" t="s">
        <v>46</v>
      </c>
      <c r="P5" s="91"/>
      <c r="Q5" s="91"/>
      <c r="R5" s="91"/>
      <c r="S5" s="91"/>
      <c r="T5" s="91"/>
      <c r="U5" s="91"/>
      <c r="V5" s="91"/>
      <c r="W5" s="90" t="s">
        <v>126</v>
      </c>
      <c r="X5" s="90" t="s">
        <v>41</v>
      </c>
      <c r="Y5" s="91"/>
      <c r="Z5" s="91"/>
      <c r="AA5" s="91"/>
      <c r="AB5" s="90" t="s">
        <v>236</v>
      </c>
      <c r="AC5" s="90" t="s">
        <v>691</v>
      </c>
      <c r="AD5" s="90" t="s">
        <v>165</v>
      </c>
      <c r="AE5" s="90" t="s">
        <v>692</v>
      </c>
      <c r="AF5" s="91"/>
      <c r="AG5" s="91"/>
      <c r="AH5" s="90" t="s">
        <v>693</v>
      </c>
      <c r="AI5" s="91"/>
    </row>
    <row r="6" spans="1:35" ht="18" x14ac:dyDescent="0.3">
      <c r="A6" s="78" t="s">
        <v>232</v>
      </c>
      <c r="B6" s="79">
        <v>45987</v>
      </c>
      <c r="C6" s="80" t="s">
        <v>668</v>
      </c>
      <c r="D6" s="81">
        <v>0.92361111111111116</v>
      </c>
      <c r="E6" s="80" t="s">
        <v>649</v>
      </c>
      <c r="F6" s="80" t="s">
        <v>159</v>
      </c>
      <c r="G6" s="82">
        <v>0.99439999999999995</v>
      </c>
      <c r="H6" s="83">
        <v>180</v>
      </c>
      <c r="I6" s="83">
        <v>179</v>
      </c>
      <c r="J6" s="83">
        <v>109</v>
      </c>
      <c r="K6" s="79">
        <v>45984</v>
      </c>
      <c r="L6" s="83">
        <v>0</v>
      </c>
      <c r="M6" s="83">
        <v>2</v>
      </c>
      <c r="N6" s="83">
        <v>12</v>
      </c>
      <c r="O6" s="80" t="s">
        <v>46</v>
      </c>
      <c r="P6" s="84"/>
      <c r="Q6" s="84"/>
      <c r="R6" s="84"/>
      <c r="S6" s="84"/>
      <c r="T6" s="84"/>
      <c r="U6" s="84"/>
      <c r="V6" s="84"/>
      <c r="W6" s="84"/>
      <c r="X6" s="84"/>
      <c r="Y6" s="83" t="s">
        <v>250</v>
      </c>
      <c r="Z6" s="83" t="s">
        <v>251</v>
      </c>
      <c r="AA6" s="84"/>
      <c r="AB6" s="83" t="s">
        <v>473</v>
      </c>
      <c r="AC6" s="83" t="s">
        <v>508</v>
      </c>
      <c r="AD6" s="83" t="s">
        <v>463</v>
      </c>
      <c r="AE6" s="83" t="s">
        <v>694</v>
      </c>
      <c r="AF6" s="84"/>
      <c r="AG6" s="84"/>
      <c r="AH6" s="83" t="s">
        <v>695</v>
      </c>
      <c r="AI6" s="84"/>
    </row>
    <row r="7" spans="1:35" ht="18" x14ac:dyDescent="0.3">
      <c r="A7" s="85" t="s">
        <v>176</v>
      </c>
      <c r="B7" s="86">
        <v>45988</v>
      </c>
      <c r="C7" s="87" t="s">
        <v>652</v>
      </c>
      <c r="D7" s="88">
        <v>0.3298611111111111</v>
      </c>
      <c r="E7" s="87" t="s">
        <v>649</v>
      </c>
      <c r="F7" s="87" t="s">
        <v>159</v>
      </c>
      <c r="G7" s="89">
        <v>1</v>
      </c>
      <c r="H7" s="90">
        <v>180</v>
      </c>
      <c r="I7" s="90">
        <v>180</v>
      </c>
      <c r="J7" s="90">
        <v>135</v>
      </c>
      <c r="K7" s="86">
        <v>45983</v>
      </c>
      <c r="L7" s="90">
        <v>0</v>
      </c>
      <c r="M7" s="90">
        <v>0</v>
      </c>
      <c r="N7" s="90">
        <v>14</v>
      </c>
      <c r="O7" s="87" t="s">
        <v>46</v>
      </c>
      <c r="P7" s="91"/>
      <c r="Q7" s="91"/>
      <c r="R7" s="91"/>
      <c r="S7" s="91"/>
      <c r="T7" s="91"/>
      <c r="U7" s="91"/>
      <c r="V7" s="91"/>
      <c r="W7" s="91"/>
      <c r="X7" s="91"/>
      <c r="Y7" s="90" t="s">
        <v>259</v>
      </c>
      <c r="Z7" s="90" t="s">
        <v>260</v>
      </c>
      <c r="AA7" s="90" t="s">
        <v>489</v>
      </c>
      <c r="AB7" s="90" t="s">
        <v>490</v>
      </c>
      <c r="AC7" s="90" t="s">
        <v>263</v>
      </c>
      <c r="AD7" s="90" t="s">
        <v>177</v>
      </c>
      <c r="AE7" s="90" t="s">
        <v>642</v>
      </c>
      <c r="AF7" s="91"/>
      <c r="AG7" s="91"/>
      <c r="AH7" s="90" t="s">
        <v>184</v>
      </c>
      <c r="AI7" s="91"/>
    </row>
    <row r="8" spans="1:35" ht="18" x14ac:dyDescent="0.3">
      <c r="A8" s="78" t="s">
        <v>176</v>
      </c>
      <c r="B8" s="79">
        <v>45988</v>
      </c>
      <c r="C8" s="80" t="s">
        <v>655</v>
      </c>
      <c r="D8" s="81">
        <v>0.54861111111111105</v>
      </c>
      <c r="E8" s="80" t="s">
        <v>649</v>
      </c>
      <c r="F8" s="80" t="s">
        <v>159</v>
      </c>
      <c r="G8" s="82">
        <v>1</v>
      </c>
      <c r="H8" s="83">
        <v>180</v>
      </c>
      <c r="I8" s="83">
        <v>180</v>
      </c>
      <c r="J8" s="83">
        <v>95</v>
      </c>
      <c r="K8" s="79">
        <v>45985</v>
      </c>
      <c r="L8" s="83">
        <v>4</v>
      </c>
      <c r="M8" s="83">
        <v>1</v>
      </c>
      <c r="N8" s="83">
        <v>67</v>
      </c>
      <c r="O8" s="80" t="s">
        <v>46</v>
      </c>
      <c r="P8" s="84"/>
      <c r="Q8" s="84"/>
      <c r="R8" s="84"/>
      <c r="S8" s="84"/>
      <c r="T8" s="84"/>
      <c r="U8" s="84"/>
      <c r="V8" s="84"/>
      <c r="W8" s="84"/>
      <c r="X8" s="84"/>
      <c r="Y8" s="83" t="s">
        <v>514</v>
      </c>
      <c r="Z8" s="83" t="s">
        <v>640</v>
      </c>
      <c r="AA8" s="83" t="s">
        <v>696</v>
      </c>
      <c r="AB8" s="83" t="s">
        <v>697</v>
      </c>
      <c r="AC8" s="84"/>
      <c r="AD8" s="83" t="s">
        <v>698</v>
      </c>
      <c r="AE8" s="83" t="s">
        <v>699</v>
      </c>
      <c r="AF8" s="84"/>
      <c r="AG8" s="84"/>
      <c r="AH8" s="83" t="s">
        <v>646</v>
      </c>
      <c r="AI8" s="84"/>
    </row>
    <row r="9" spans="1:35" ht="18" x14ac:dyDescent="0.3">
      <c r="A9" s="85" t="s">
        <v>510</v>
      </c>
      <c r="B9" s="86">
        <v>45989</v>
      </c>
      <c r="C9" s="87" t="s">
        <v>666</v>
      </c>
      <c r="D9" s="88">
        <v>0.13541666666666671</v>
      </c>
      <c r="E9" s="87" t="s">
        <v>649</v>
      </c>
      <c r="F9" s="87" t="s">
        <v>159</v>
      </c>
      <c r="G9" s="89">
        <v>0.61109999999999998</v>
      </c>
      <c r="H9" s="90">
        <v>180</v>
      </c>
      <c r="I9" s="90">
        <v>110</v>
      </c>
      <c r="J9" s="90">
        <v>0</v>
      </c>
      <c r="K9" s="86">
        <v>45985</v>
      </c>
      <c r="L9" s="90">
        <v>1</v>
      </c>
      <c r="M9" s="90">
        <v>12</v>
      </c>
      <c r="N9" s="90">
        <v>66</v>
      </c>
      <c r="O9" s="87" t="s">
        <v>471</v>
      </c>
      <c r="P9" s="91"/>
      <c r="Q9" s="91"/>
      <c r="R9" s="91"/>
      <c r="S9" s="91"/>
      <c r="T9" s="91"/>
      <c r="U9" s="91"/>
      <c r="V9" s="91"/>
      <c r="W9" s="91"/>
      <c r="X9" s="90" t="s">
        <v>235</v>
      </c>
      <c r="Y9" s="90" t="s">
        <v>700</v>
      </c>
      <c r="Z9" s="90" t="s">
        <v>540</v>
      </c>
      <c r="AA9" s="90" t="s">
        <v>701</v>
      </c>
      <c r="AB9" s="90" t="s">
        <v>702</v>
      </c>
      <c r="AC9" s="90" t="s">
        <v>703</v>
      </c>
      <c r="AD9" s="90" t="s">
        <v>704</v>
      </c>
      <c r="AE9" s="91"/>
      <c r="AF9" s="91"/>
      <c r="AG9" s="91"/>
      <c r="AH9" s="91"/>
      <c r="AI9" s="91"/>
    </row>
    <row r="10" spans="1:35" ht="18" x14ac:dyDescent="0.3">
      <c r="A10" s="78" t="s">
        <v>179</v>
      </c>
      <c r="B10" s="79">
        <v>45990</v>
      </c>
      <c r="C10" s="80" t="s">
        <v>666</v>
      </c>
      <c r="D10" s="81">
        <v>0.1423611111111111</v>
      </c>
      <c r="E10" s="80" t="s">
        <v>649</v>
      </c>
      <c r="F10" s="80" t="s">
        <v>159</v>
      </c>
      <c r="G10" s="82">
        <v>0.68889999999999996</v>
      </c>
      <c r="H10" s="83">
        <v>180</v>
      </c>
      <c r="I10" s="83">
        <v>124</v>
      </c>
      <c r="J10" s="83">
        <v>85</v>
      </c>
      <c r="K10" s="79">
        <v>45985</v>
      </c>
      <c r="L10" s="83">
        <v>1</v>
      </c>
      <c r="M10" s="83">
        <v>1</v>
      </c>
      <c r="N10" s="83">
        <v>15</v>
      </c>
      <c r="O10" s="80" t="s">
        <v>435</v>
      </c>
      <c r="P10" s="83" t="s">
        <v>258</v>
      </c>
      <c r="Q10" s="84"/>
      <c r="R10" s="84"/>
      <c r="S10" s="84"/>
      <c r="T10" s="84"/>
      <c r="U10" s="84"/>
      <c r="V10" s="84"/>
      <c r="W10" s="84"/>
      <c r="X10" s="83" t="s">
        <v>180</v>
      </c>
      <c r="Y10" s="83" t="s">
        <v>705</v>
      </c>
      <c r="Z10" s="83" t="s">
        <v>515</v>
      </c>
      <c r="AA10" s="83" t="s">
        <v>228</v>
      </c>
      <c r="AB10" s="83" t="s">
        <v>229</v>
      </c>
      <c r="AC10" s="84"/>
      <c r="AD10" s="84"/>
      <c r="AE10" s="84"/>
      <c r="AF10" s="84"/>
      <c r="AG10" s="84"/>
      <c r="AH10" s="83" t="s">
        <v>706</v>
      </c>
      <c r="AI10" s="84"/>
    </row>
    <row r="11" spans="1:35" ht="18" x14ac:dyDescent="0.3">
      <c r="A11" s="85" t="s">
        <v>179</v>
      </c>
      <c r="B11" s="86">
        <v>45990</v>
      </c>
      <c r="C11" s="87" t="s">
        <v>655</v>
      </c>
      <c r="D11" s="88">
        <v>0.52777777777777779</v>
      </c>
      <c r="E11" s="87" t="s">
        <v>649</v>
      </c>
      <c r="F11" s="87" t="s">
        <v>159</v>
      </c>
      <c r="G11" s="89">
        <v>0.95</v>
      </c>
      <c r="H11" s="90">
        <v>180</v>
      </c>
      <c r="I11" s="90">
        <v>171</v>
      </c>
      <c r="J11" s="90">
        <v>90</v>
      </c>
      <c r="K11" s="86">
        <v>45984</v>
      </c>
      <c r="L11" s="90">
        <v>0</v>
      </c>
      <c r="M11" s="90">
        <v>2</v>
      </c>
      <c r="N11" s="90">
        <v>18</v>
      </c>
      <c r="O11" s="87" t="s">
        <v>169</v>
      </c>
      <c r="P11" s="90" t="s">
        <v>707</v>
      </c>
      <c r="Q11" s="91"/>
      <c r="R11" s="91"/>
      <c r="S11" s="91"/>
      <c r="T11" s="91"/>
      <c r="U11" s="91"/>
      <c r="V11" s="91"/>
      <c r="W11" s="91"/>
      <c r="X11" s="90" t="s">
        <v>708</v>
      </c>
      <c r="Y11" s="90" t="s">
        <v>709</v>
      </c>
      <c r="Z11" s="90" t="s">
        <v>710</v>
      </c>
      <c r="AA11" s="90" t="s">
        <v>711</v>
      </c>
      <c r="AB11" s="90" t="s">
        <v>450</v>
      </c>
      <c r="AC11" s="91"/>
      <c r="AD11" s="91"/>
      <c r="AE11" s="91"/>
      <c r="AF11" s="91"/>
      <c r="AG11" s="91"/>
      <c r="AH11" s="90" t="s">
        <v>454</v>
      </c>
      <c r="AI11" s="91"/>
    </row>
    <row r="12" spans="1:35" ht="18" x14ac:dyDescent="0.3">
      <c r="A12" s="78" t="s">
        <v>186</v>
      </c>
      <c r="B12" s="79">
        <v>45991</v>
      </c>
      <c r="C12" s="80" t="s">
        <v>666</v>
      </c>
      <c r="D12" s="81">
        <v>0.3298611111111111</v>
      </c>
      <c r="E12" s="80" t="s">
        <v>649</v>
      </c>
      <c r="F12" s="80" t="s">
        <v>159</v>
      </c>
      <c r="G12" s="82">
        <v>0.91669999999999996</v>
      </c>
      <c r="H12" s="83">
        <v>180</v>
      </c>
      <c r="I12" s="83">
        <v>165</v>
      </c>
      <c r="J12" s="83">
        <v>82</v>
      </c>
      <c r="K12" s="79">
        <v>45985</v>
      </c>
      <c r="L12" s="83">
        <v>2</v>
      </c>
      <c r="M12" s="83">
        <v>8</v>
      </c>
      <c r="N12" s="83">
        <v>54</v>
      </c>
      <c r="O12" s="80" t="s">
        <v>472</v>
      </c>
      <c r="P12" s="84"/>
      <c r="Q12" s="84"/>
      <c r="R12" s="84"/>
      <c r="S12" s="84"/>
      <c r="T12" s="84"/>
      <c r="U12" s="84"/>
      <c r="V12" s="84"/>
      <c r="W12" s="84"/>
      <c r="X12" s="84"/>
      <c r="Y12" s="84"/>
      <c r="Z12" s="83" t="s">
        <v>712</v>
      </c>
      <c r="AA12" s="83" t="s">
        <v>713</v>
      </c>
      <c r="AB12" s="83" t="s">
        <v>632</v>
      </c>
      <c r="AC12" s="83" t="s">
        <v>445</v>
      </c>
      <c r="AD12" s="83" t="s">
        <v>177</v>
      </c>
      <c r="AE12" s="83" t="s">
        <v>642</v>
      </c>
      <c r="AF12" s="83" t="s">
        <v>714</v>
      </c>
      <c r="AG12" s="84"/>
      <c r="AH12" s="83" t="s">
        <v>496</v>
      </c>
      <c r="AI12" s="84"/>
    </row>
    <row r="13" spans="1:35" ht="18" x14ac:dyDescent="0.3">
      <c r="A13" s="85" t="s">
        <v>186</v>
      </c>
      <c r="B13" s="86">
        <v>45991</v>
      </c>
      <c r="C13" s="87" t="s">
        <v>655</v>
      </c>
      <c r="D13" s="88">
        <v>0.69097222222222221</v>
      </c>
      <c r="E13" s="87" t="s">
        <v>649</v>
      </c>
      <c r="F13" s="87" t="s">
        <v>159</v>
      </c>
      <c r="G13" s="89">
        <v>0.7278</v>
      </c>
      <c r="H13" s="90">
        <v>180</v>
      </c>
      <c r="I13" s="90">
        <v>131</v>
      </c>
      <c r="J13" s="90">
        <v>45</v>
      </c>
      <c r="K13" s="86">
        <v>45985</v>
      </c>
      <c r="L13" s="90">
        <v>3</v>
      </c>
      <c r="M13" s="90">
        <v>14</v>
      </c>
      <c r="N13" s="90">
        <v>65</v>
      </c>
      <c r="O13" s="87" t="s">
        <v>260</v>
      </c>
      <c r="P13" s="90" t="s">
        <v>258</v>
      </c>
      <c r="Q13" s="91"/>
      <c r="R13" s="91"/>
      <c r="S13" s="91"/>
      <c r="T13" s="91"/>
      <c r="U13" s="91"/>
      <c r="V13" s="91"/>
      <c r="W13" s="91"/>
      <c r="X13" s="91"/>
      <c r="Y13" s="90" t="s">
        <v>444</v>
      </c>
      <c r="Z13" s="90" t="s">
        <v>715</v>
      </c>
      <c r="AA13" s="90" t="s">
        <v>716</v>
      </c>
      <c r="AB13" s="90" t="s">
        <v>473</v>
      </c>
      <c r="AC13" s="90" t="s">
        <v>717</v>
      </c>
      <c r="AD13" s="91"/>
      <c r="AE13" s="91"/>
      <c r="AF13" s="91"/>
      <c r="AG13" s="91"/>
      <c r="AH13" s="90" t="s">
        <v>496</v>
      </c>
      <c r="AI13" s="91"/>
    </row>
    <row r="14" spans="1:35" ht="18" x14ac:dyDescent="0.3">
      <c r="A14" s="92" t="s">
        <v>189</v>
      </c>
      <c r="B14" s="93"/>
      <c r="C14" s="94">
        <f>COUNTA(C2:C13)</f>
        <v>12</v>
      </c>
      <c r="D14" s="93"/>
      <c r="E14" s="93"/>
      <c r="F14" s="93"/>
      <c r="G14" s="95">
        <f>AVERAGE(G2:G13)</f>
        <v>0.89120833333333327</v>
      </c>
      <c r="H14" s="96">
        <f>SUM(H2:H13)</f>
        <v>2160</v>
      </c>
      <c r="I14" s="96">
        <f>SUM(I2:I13)</f>
        <v>1925</v>
      </c>
      <c r="J14" s="96">
        <f>SUM(J2:J13)</f>
        <v>1073</v>
      </c>
      <c r="K14" s="93"/>
      <c r="L14" s="96">
        <f>SUM(L2:L13)</f>
        <v>11</v>
      </c>
      <c r="M14" s="96">
        <f>SUM(M2:M13)</f>
        <v>62</v>
      </c>
      <c r="N14" s="96">
        <f>SUM(N2:N13)</f>
        <v>432</v>
      </c>
      <c r="O14" s="93"/>
      <c r="P14" s="96">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96">
        <f t="shared" si="0"/>
        <v>0</v>
      </c>
      <c r="R14" s="96">
        <f t="shared" si="0"/>
        <v>0</v>
      </c>
      <c r="S14" s="96">
        <f t="shared" si="0"/>
        <v>0</v>
      </c>
      <c r="T14" s="96">
        <f t="shared" si="0"/>
        <v>0</v>
      </c>
      <c r="U14" s="96">
        <f t="shared" si="0"/>
        <v>0</v>
      </c>
      <c r="V14" s="96">
        <f t="shared" si="0"/>
        <v>0</v>
      </c>
      <c r="W14" s="96">
        <f t="shared" si="0"/>
        <v>0</v>
      </c>
      <c r="X14" s="96">
        <f t="shared" si="0"/>
        <v>0</v>
      </c>
      <c r="Y14" s="96">
        <f t="shared" si="0"/>
        <v>0</v>
      </c>
      <c r="Z14" s="96">
        <f t="shared" si="0"/>
        <v>0</v>
      </c>
      <c r="AA14" s="96">
        <f t="shared" si="0"/>
        <v>0</v>
      </c>
      <c r="AB14" s="96">
        <f t="shared" si="0"/>
        <v>0</v>
      </c>
      <c r="AC14" s="96">
        <f t="shared" si="0"/>
        <v>0</v>
      </c>
      <c r="AD14" s="96">
        <f t="shared" si="0"/>
        <v>0</v>
      </c>
      <c r="AE14" s="96">
        <f t="shared" si="0"/>
        <v>0</v>
      </c>
      <c r="AF14" s="96">
        <f t="shared" si="0"/>
        <v>0</v>
      </c>
      <c r="AG14" s="96">
        <f t="shared" si="0"/>
        <v>0</v>
      </c>
      <c r="AH14" s="96">
        <f t="shared" si="0"/>
        <v>0</v>
      </c>
      <c r="AI14" s="96">
        <f t="shared" si="0"/>
        <v>0</v>
      </c>
    </row>
  </sheetData>
  <autoFilter ref="A1:AI1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89"/>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650</v>
      </c>
      <c r="D2" s="110" t="s">
        <v>649</v>
      </c>
      <c r="E2" s="112">
        <v>1.166666666666667</v>
      </c>
      <c r="F2" s="110" t="s">
        <v>37</v>
      </c>
      <c r="G2" s="113">
        <v>9</v>
      </c>
      <c r="H2" s="166" t="s">
        <v>651</v>
      </c>
    </row>
    <row r="3" spans="1:8" ht="18" x14ac:dyDescent="0.3">
      <c r="A3" s="114">
        <v>45986</v>
      </c>
      <c r="B3" s="115" t="s">
        <v>35</v>
      </c>
      <c r="C3" s="116" t="s">
        <v>654</v>
      </c>
      <c r="D3" s="115" t="s">
        <v>649</v>
      </c>
      <c r="E3" s="117">
        <v>1.5277777777777779</v>
      </c>
      <c r="F3" s="115" t="s">
        <v>37</v>
      </c>
      <c r="G3" s="233">
        <v>4</v>
      </c>
      <c r="H3" s="115" t="s">
        <v>123</v>
      </c>
    </row>
    <row r="4" spans="1:8" ht="18" x14ac:dyDescent="0.3">
      <c r="A4" s="118">
        <v>45986</v>
      </c>
      <c r="B4" s="99" t="s">
        <v>75</v>
      </c>
      <c r="C4" s="100" t="s">
        <v>657</v>
      </c>
      <c r="D4" s="99" t="s">
        <v>649</v>
      </c>
      <c r="E4" s="101">
        <v>1.166666666666667</v>
      </c>
      <c r="F4" s="99" t="s">
        <v>60</v>
      </c>
      <c r="G4" s="102">
        <v>4</v>
      </c>
      <c r="H4" s="99" t="s">
        <v>658</v>
      </c>
    </row>
    <row r="5" spans="1:8" ht="15.6" x14ac:dyDescent="0.3">
      <c r="A5" s="167"/>
      <c r="B5" s="167"/>
      <c r="C5" s="167"/>
      <c r="D5" s="167"/>
      <c r="E5" s="168" t="s">
        <v>648</v>
      </c>
      <c r="F5" s="167"/>
      <c r="G5" s="167"/>
      <c r="H5" s="3"/>
    </row>
    <row r="6" spans="1:8" ht="18" x14ac:dyDescent="0.3">
      <c r="A6" s="118">
        <v>45986</v>
      </c>
      <c r="B6" s="99" t="s">
        <v>25</v>
      </c>
      <c r="C6" s="100" t="s">
        <v>268</v>
      </c>
      <c r="D6" s="99" t="s">
        <v>267</v>
      </c>
      <c r="E6" s="101">
        <v>1.399305555555556</v>
      </c>
      <c r="F6" s="99" t="s">
        <v>27</v>
      </c>
      <c r="G6" s="102">
        <v>4</v>
      </c>
      <c r="H6" s="99" t="s">
        <v>269</v>
      </c>
    </row>
    <row r="7" spans="1:8" ht="18" x14ac:dyDescent="0.3">
      <c r="A7" s="104">
        <v>45986</v>
      </c>
      <c r="B7" s="105" t="s">
        <v>25</v>
      </c>
      <c r="C7" s="106" t="s">
        <v>268</v>
      </c>
      <c r="D7" s="105" t="s">
        <v>267</v>
      </c>
      <c r="E7" s="107">
        <v>1.399305555555556</v>
      </c>
      <c r="F7" s="105" t="s">
        <v>33</v>
      </c>
      <c r="G7" s="108">
        <v>4</v>
      </c>
      <c r="H7" s="105" t="s">
        <v>270</v>
      </c>
    </row>
    <row r="8" spans="1:8" ht="18" x14ac:dyDescent="0.3">
      <c r="A8" s="119">
        <v>45986</v>
      </c>
      <c r="B8" s="120" t="s">
        <v>25</v>
      </c>
      <c r="C8" s="121" t="s">
        <v>271</v>
      </c>
      <c r="D8" s="120" t="s">
        <v>267</v>
      </c>
      <c r="E8" s="122">
        <v>1.489583333333333</v>
      </c>
      <c r="F8" s="120" t="s">
        <v>27</v>
      </c>
      <c r="G8" s="123">
        <v>10</v>
      </c>
      <c r="H8" s="120" t="s">
        <v>273</v>
      </c>
    </row>
    <row r="9" spans="1:8" ht="18" x14ac:dyDescent="0.3">
      <c r="A9" s="119">
        <v>45986</v>
      </c>
      <c r="B9" s="120" t="s">
        <v>25</v>
      </c>
      <c r="C9" s="121" t="s">
        <v>276</v>
      </c>
      <c r="D9" s="120" t="s">
        <v>267</v>
      </c>
      <c r="E9" s="122">
        <v>1.8888888888888891</v>
      </c>
      <c r="F9" s="120" t="s">
        <v>27</v>
      </c>
      <c r="G9" s="123">
        <v>4</v>
      </c>
      <c r="H9" s="120" t="s">
        <v>273</v>
      </c>
    </row>
    <row r="10" spans="1:8" ht="18" x14ac:dyDescent="0.3">
      <c r="A10" s="119">
        <v>45986</v>
      </c>
      <c r="B10" s="120" t="s">
        <v>25</v>
      </c>
      <c r="C10" s="121" t="s">
        <v>277</v>
      </c>
      <c r="D10" s="120" t="s">
        <v>267</v>
      </c>
      <c r="E10" s="122">
        <v>1.989583333333333</v>
      </c>
      <c r="F10" s="120" t="s">
        <v>27</v>
      </c>
      <c r="G10" s="123">
        <v>9</v>
      </c>
      <c r="H10" s="120" t="s">
        <v>273</v>
      </c>
    </row>
    <row r="11" spans="1:8" ht="18" x14ac:dyDescent="0.3">
      <c r="A11" s="118">
        <v>45986</v>
      </c>
      <c r="B11" s="99" t="s">
        <v>48</v>
      </c>
      <c r="C11" s="100" t="s">
        <v>278</v>
      </c>
      <c r="D11" s="99" t="s">
        <v>267</v>
      </c>
      <c r="E11" s="101">
        <v>1.993055555555556</v>
      </c>
      <c r="F11" s="99" t="s">
        <v>50</v>
      </c>
      <c r="G11" s="102">
        <v>1</v>
      </c>
      <c r="H11" s="99" t="s">
        <v>273</v>
      </c>
    </row>
    <row r="12" spans="1:8" ht="18" x14ac:dyDescent="0.3">
      <c r="A12" s="104">
        <v>45986</v>
      </c>
      <c r="B12" s="105" t="s">
        <v>48</v>
      </c>
      <c r="C12" s="106" t="s">
        <v>278</v>
      </c>
      <c r="D12" s="105" t="s">
        <v>267</v>
      </c>
      <c r="E12" s="107">
        <v>1.993055555555556</v>
      </c>
      <c r="F12" s="105" t="s">
        <v>53</v>
      </c>
      <c r="G12" s="108">
        <v>1</v>
      </c>
      <c r="H12" s="105" t="s">
        <v>270</v>
      </c>
    </row>
    <row r="13" spans="1:8" ht="18" x14ac:dyDescent="0.3">
      <c r="A13" s="119">
        <v>45986</v>
      </c>
      <c r="B13" s="120" t="s">
        <v>48</v>
      </c>
      <c r="C13" s="121" t="s">
        <v>279</v>
      </c>
      <c r="D13" s="120" t="s">
        <v>267</v>
      </c>
      <c r="E13" s="122">
        <v>1.3472222222222221</v>
      </c>
      <c r="F13" s="120" t="s">
        <v>50</v>
      </c>
      <c r="G13" s="123">
        <v>5</v>
      </c>
      <c r="H13" s="120" t="s">
        <v>270</v>
      </c>
    </row>
    <row r="14" spans="1:8" ht="18" x14ac:dyDescent="0.3">
      <c r="A14" s="119">
        <v>45986</v>
      </c>
      <c r="B14" s="120" t="s">
        <v>48</v>
      </c>
      <c r="C14" s="121" t="s">
        <v>282</v>
      </c>
      <c r="D14" s="120" t="s">
        <v>267</v>
      </c>
      <c r="E14" s="122">
        <v>1.7361111111111109</v>
      </c>
      <c r="F14" s="120" t="s">
        <v>50</v>
      </c>
      <c r="G14" s="123">
        <v>1</v>
      </c>
      <c r="H14" s="120" t="s">
        <v>270</v>
      </c>
    </row>
    <row r="15" spans="1:8" ht="18" x14ac:dyDescent="0.3">
      <c r="A15" s="169">
        <v>45986</v>
      </c>
      <c r="B15" s="170" t="s">
        <v>290</v>
      </c>
      <c r="C15" s="171" t="s">
        <v>291</v>
      </c>
      <c r="D15" s="170" t="s">
        <v>267</v>
      </c>
      <c r="E15" s="172">
        <v>1.055555555555556</v>
      </c>
      <c r="F15" s="170" t="s">
        <v>292</v>
      </c>
      <c r="G15" s="173">
        <v>1</v>
      </c>
      <c r="H15" s="170" t="s">
        <v>293</v>
      </c>
    </row>
    <row r="16" spans="1:8" ht="18" x14ac:dyDescent="0.3">
      <c r="A16" s="98">
        <v>45987</v>
      </c>
      <c r="B16" s="99" t="s">
        <v>25</v>
      </c>
      <c r="C16" s="100" t="s">
        <v>659</v>
      </c>
      <c r="D16" s="99" t="s">
        <v>649</v>
      </c>
      <c r="E16" s="101">
        <v>1.364583333333333</v>
      </c>
      <c r="F16" s="99" t="s">
        <v>567</v>
      </c>
      <c r="G16" s="102">
        <v>5</v>
      </c>
      <c r="H16" s="103" t="s">
        <v>660</v>
      </c>
    </row>
    <row r="17" spans="1:8" ht="18" x14ac:dyDescent="0.3">
      <c r="A17" s="104">
        <v>45987</v>
      </c>
      <c r="B17" s="105" t="s">
        <v>25</v>
      </c>
      <c r="C17" s="106" t="s">
        <v>659</v>
      </c>
      <c r="D17" s="105" t="s">
        <v>649</v>
      </c>
      <c r="E17" s="107">
        <v>1.364583333333333</v>
      </c>
      <c r="F17" s="105" t="s">
        <v>568</v>
      </c>
      <c r="G17" s="108">
        <v>5</v>
      </c>
      <c r="H17" s="105" t="s">
        <v>661</v>
      </c>
    </row>
    <row r="18" spans="1:8" ht="18" x14ac:dyDescent="0.3">
      <c r="A18" s="104">
        <v>45987</v>
      </c>
      <c r="B18" s="105" t="s">
        <v>25</v>
      </c>
      <c r="C18" s="106" t="s">
        <v>659</v>
      </c>
      <c r="D18" s="105" t="s">
        <v>649</v>
      </c>
      <c r="E18" s="107">
        <v>1.364583333333333</v>
      </c>
      <c r="F18" s="105" t="s">
        <v>570</v>
      </c>
      <c r="G18" s="108">
        <v>5</v>
      </c>
      <c r="H18" s="105" t="s">
        <v>662</v>
      </c>
    </row>
    <row r="19" spans="1:8" ht="18" x14ac:dyDescent="0.3">
      <c r="A19" s="104">
        <v>45987</v>
      </c>
      <c r="B19" s="105" t="s">
        <v>25</v>
      </c>
      <c r="C19" s="106" t="s">
        <v>659</v>
      </c>
      <c r="D19" s="105" t="s">
        <v>649</v>
      </c>
      <c r="E19" s="107">
        <v>1.364583333333333</v>
      </c>
      <c r="F19" s="105" t="s">
        <v>571</v>
      </c>
      <c r="G19" s="108">
        <v>5</v>
      </c>
      <c r="H19" s="105" t="s">
        <v>273</v>
      </c>
    </row>
    <row r="20" spans="1:8" ht="18" x14ac:dyDescent="0.3">
      <c r="A20" s="118">
        <v>45987</v>
      </c>
      <c r="B20" s="99" t="s">
        <v>75</v>
      </c>
      <c r="C20" s="100" t="s">
        <v>663</v>
      </c>
      <c r="D20" s="99" t="s">
        <v>649</v>
      </c>
      <c r="E20" s="101">
        <v>1.9236111111111109</v>
      </c>
      <c r="F20" s="99" t="s">
        <v>87</v>
      </c>
      <c r="G20" s="102">
        <v>4</v>
      </c>
      <c r="H20" s="99" t="s">
        <v>664</v>
      </c>
    </row>
    <row r="21" spans="1:8" ht="18" x14ac:dyDescent="0.3">
      <c r="A21" s="109">
        <v>45987</v>
      </c>
      <c r="B21" s="110" t="s">
        <v>35</v>
      </c>
      <c r="C21" s="111" t="s">
        <v>652</v>
      </c>
      <c r="D21" s="110" t="s">
        <v>649</v>
      </c>
      <c r="E21" s="112">
        <v>1.1076388888888891</v>
      </c>
      <c r="F21" s="110" t="s">
        <v>44</v>
      </c>
      <c r="G21" s="110"/>
      <c r="H21" s="110" t="s">
        <v>45</v>
      </c>
    </row>
    <row r="22" spans="1:8" ht="18" x14ac:dyDescent="0.3">
      <c r="A22" s="114">
        <v>45987</v>
      </c>
      <c r="B22" s="115" t="s">
        <v>35</v>
      </c>
      <c r="C22" s="116" t="s">
        <v>666</v>
      </c>
      <c r="D22" s="115" t="s">
        <v>649</v>
      </c>
      <c r="E22" s="117">
        <v>1.5</v>
      </c>
      <c r="F22" s="115" t="s">
        <v>44</v>
      </c>
      <c r="G22" s="115"/>
      <c r="H22" s="115" t="s">
        <v>45</v>
      </c>
    </row>
    <row r="23" spans="1:8" ht="18" x14ac:dyDescent="0.3">
      <c r="A23" s="114">
        <v>45987</v>
      </c>
      <c r="B23" s="115" t="s">
        <v>35</v>
      </c>
      <c r="C23" s="116" t="s">
        <v>668</v>
      </c>
      <c r="D23" s="115" t="s">
        <v>649</v>
      </c>
      <c r="E23" s="117">
        <v>1.9236111111111109</v>
      </c>
      <c r="F23" s="115" t="s">
        <v>44</v>
      </c>
      <c r="G23" s="115"/>
      <c r="H23" s="115" t="s">
        <v>45</v>
      </c>
    </row>
    <row r="24" spans="1:8" ht="15.6" x14ac:dyDescent="0.3">
      <c r="A24" s="167"/>
      <c r="B24" s="167"/>
      <c r="C24" s="167"/>
      <c r="D24" s="167"/>
      <c r="E24" s="168" t="s">
        <v>648</v>
      </c>
      <c r="F24" s="167"/>
      <c r="G24" s="167"/>
      <c r="H24" s="3"/>
    </row>
    <row r="25" spans="1:8" ht="18" x14ac:dyDescent="0.3">
      <c r="A25" s="118">
        <v>45987</v>
      </c>
      <c r="B25" s="99" t="s">
        <v>25</v>
      </c>
      <c r="C25" s="100" t="s">
        <v>268</v>
      </c>
      <c r="D25" s="99" t="s">
        <v>267</v>
      </c>
      <c r="E25" s="101">
        <v>1.399305555555556</v>
      </c>
      <c r="F25" s="99" t="s">
        <v>27</v>
      </c>
      <c r="G25" s="102">
        <v>4</v>
      </c>
      <c r="H25" s="99" t="s">
        <v>273</v>
      </c>
    </row>
    <row r="26" spans="1:8" ht="18" x14ac:dyDescent="0.3">
      <c r="A26" s="119">
        <v>45987</v>
      </c>
      <c r="B26" s="120" t="s">
        <v>25</v>
      </c>
      <c r="C26" s="121" t="s">
        <v>271</v>
      </c>
      <c r="D26" s="120" t="s">
        <v>267</v>
      </c>
      <c r="E26" s="122">
        <v>1.489583333333333</v>
      </c>
      <c r="F26" s="120" t="s">
        <v>27</v>
      </c>
      <c r="G26" s="123">
        <v>3</v>
      </c>
      <c r="H26" s="120" t="s">
        <v>273</v>
      </c>
    </row>
    <row r="27" spans="1:8" ht="18" x14ac:dyDescent="0.3">
      <c r="A27" s="119">
        <v>45987</v>
      </c>
      <c r="B27" s="120" t="s">
        <v>25</v>
      </c>
      <c r="C27" s="121" t="s">
        <v>276</v>
      </c>
      <c r="D27" s="120" t="s">
        <v>267</v>
      </c>
      <c r="E27" s="122">
        <v>1.8888888888888891</v>
      </c>
      <c r="F27" s="120" t="s">
        <v>335</v>
      </c>
      <c r="G27" s="123">
        <v>3</v>
      </c>
      <c r="H27" s="120" t="s">
        <v>32</v>
      </c>
    </row>
    <row r="28" spans="1:8" ht="18" x14ac:dyDescent="0.3">
      <c r="A28" s="104">
        <v>45987</v>
      </c>
      <c r="B28" s="105" t="s">
        <v>25</v>
      </c>
      <c r="C28" s="106" t="s">
        <v>276</v>
      </c>
      <c r="D28" s="105" t="s">
        <v>267</v>
      </c>
      <c r="E28" s="107">
        <v>1.8888888888888891</v>
      </c>
      <c r="F28" s="105" t="s">
        <v>27</v>
      </c>
      <c r="G28" s="108">
        <v>3</v>
      </c>
      <c r="H28" s="105" t="s">
        <v>32</v>
      </c>
    </row>
    <row r="29" spans="1:8" ht="18" x14ac:dyDescent="0.3">
      <c r="A29" s="119">
        <v>45987</v>
      </c>
      <c r="B29" s="120" t="s">
        <v>25</v>
      </c>
      <c r="C29" s="121" t="s">
        <v>277</v>
      </c>
      <c r="D29" s="120" t="s">
        <v>267</v>
      </c>
      <c r="E29" s="122">
        <v>1.989583333333333</v>
      </c>
      <c r="F29" s="120" t="s">
        <v>27</v>
      </c>
      <c r="G29" s="123">
        <v>10</v>
      </c>
      <c r="H29" s="120" t="s">
        <v>32</v>
      </c>
    </row>
    <row r="30" spans="1:8" ht="18" x14ac:dyDescent="0.3">
      <c r="A30" s="118">
        <v>45987</v>
      </c>
      <c r="B30" s="99" t="s">
        <v>48</v>
      </c>
      <c r="C30" s="100" t="s">
        <v>283</v>
      </c>
      <c r="D30" s="99" t="s">
        <v>267</v>
      </c>
      <c r="E30" s="101">
        <v>1.836805555555556</v>
      </c>
      <c r="F30" s="99" t="s">
        <v>102</v>
      </c>
      <c r="G30" s="102">
        <v>2</v>
      </c>
      <c r="H30" s="99" t="s">
        <v>273</v>
      </c>
    </row>
    <row r="31" spans="1:8" ht="18" x14ac:dyDescent="0.3">
      <c r="A31" s="104">
        <v>45987</v>
      </c>
      <c r="B31" s="105" t="s">
        <v>48</v>
      </c>
      <c r="C31" s="106" t="s">
        <v>283</v>
      </c>
      <c r="D31" s="105" t="s">
        <v>267</v>
      </c>
      <c r="E31" s="107">
        <v>1.836805555555556</v>
      </c>
      <c r="F31" s="105" t="s">
        <v>50</v>
      </c>
      <c r="G31" s="108">
        <v>2</v>
      </c>
      <c r="H31" s="105" t="s">
        <v>273</v>
      </c>
    </row>
    <row r="32" spans="1:8" ht="18" x14ac:dyDescent="0.3">
      <c r="A32" s="118">
        <v>45987</v>
      </c>
      <c r="B32" s="99" t="s">
        <v>75</v>
      </c>
      <c r="C32" s="100" t="s">
        <v>320</v>
      </c>
      <c r="D32" s="99" t="s">
        <v>267</v>
      </c>
      <c r="E32" s="101">
        <v>1.100694444444444</v>
      </c>
      <c r="F32" s="99" t="s">
        <v>60</v>
      </c>
      <c r="G32" s="102">
        <v>5</v>
      </c>
      <c r="H32" s="99" t="s">
        <v>338</v>
      </c>
    </row>
    <row r="33" spans="1:8" ht="18" x14ac:dyDescent="0.3">
      <c r="A33" s="119">
        <v>45987</v>
      </c>
      <c r="B33" s="120" t="s">
        <v>75</v>
      </c>
      <c r="C33" s="121" t="s">
        <v>339</v>
      </c>
      <c r="D33" s="120" t="s">
        <v>267</v>
      </c>
      <c r="E33" s="122">
        <v>1.0486111111111109</v>
      </c>
      <c r="F33" s="120" t="s">
        <v>60</v>
      </c>
      <c r="G33" s="123">
        <v>6</v>
      </c>
      <c r="H33" s="120" t="s">
        <v>338</v>
      </c>
    </row>
    <row r="34" spans="1:8" ht="18" x14ac:dyDescent="0.3">
      <c r="A34" s="169">
        <v>45987</v>
      </c>
      <c r="B34" s="170" t="s">
        <v>290</v>
      </c>
      <c r="C34" s="171" t="s">
        <v>341</v>
      </c>
      <c r="D34" s="170" t="s">
        <v>267</v>
      </c>
      <c r="E34" s="172">
        <v>1.225694444444444</v>
      </c>
      <c r="F34" s="170" t="s">
        <v>292</v>
      </c>
      <c r="G34" s="173">
        <v>1</v>
      </c>
      <c r="H34" s="170" t="s">
        <v>342</v>
      </c>
    </row>
    <row r="35" spans="1:8" ht="18" x14ac:dyDescent="0.3">
      <c r="A35" s="165">
        <v>45988</v>
      </c>
      <c r="B35" s="110" t="s">
        <v>35</v>
      </c>
      <c r="C35" s="111" t="s">
        <v>652</v>
      </c>
      <c r="D35" s="110" t="s">
        <v>649</v>
      </c>
      <c r="E35" s="112">
        <v>1.3298611111111109</v>
      </c>
      <c r="F35" s="110" t="s">
        <v>44</v>
      </c>
      <c r="G35" s="110"/>
      <c r="H35" s="166" t="s">
        <v>45</v>
      </c>
    </row>
    <row r="36" spans="1:8" ht="18" x14ac:dyDescent="0.3">
      <c r="A36" s="114">
        <v>45988</v>
      </c>
      <c r="B36" s="115" t="s">
        <v>35</v>
      </c>
      <c r="C36" s="116" t="s">
        <v>655</v>
      </c>
      <c r="D36" s="115" t="s">
        <v>649</v>
      </c>
      <c r="E36" s="117">
        <v>1.5486111111111109</v>
      </c>
      <c r="F36" s="115" t="s">
        <v>44</v>
      </c>
      <c r="G36" s="115"/>
      <c r="H36" s="115" t="s">
        <v>45</v>
      </c>
    </row>
    <row r="37" spans="1:8" ht="15.6" x14ac:dyDescent="0.3">
      <c r="A37" s="167"/>
      <c r="B37" s="167"/>
      <c r="C37" s="167"/>
      <c r="D37" s="167"/>
      <c r="E37" s="168" t="s">
        <v>648</v>
      </c>
      <c r="F37" s="167"/>
      <c r="G37" s="167"/>
      <c r="H37" s="3"/>
    </row>
    <row r="38" spans="1:8" ht="18" x14ac:dyDescent="0.3">
      <c r="A38" s="109">
        <v>45988</v>
      </c>
      <c r="B38" s="110" t="s">
        <v>35</v>
      </c>
      <c r="C38" s="111" t="s">
        <v>355</v>
      </c>
      <c r="D38" s="110" t="s">
        <v>267</v>
      </c>
      <c r="E38" s="112">
        <v>1.0659722222222221</v>
      </c>
      <c r="F38" s="110" t="s">
        <v>37</v>
      </c>
      <c r="G38" s="113">
        <v>1</v>
      </c>
      <c r="H38" s="110" t="s">
        <v>29</v>
      </c>
    </row>
    <row r="39" spans="1:8" ht="18" x14ac:dyDescent="0.3">
      <c r="A39" s="114">
        <v>45988</v>
      </c>
      <c r="B39" s="115" t="s">
        <v>35</v>
      </c>
      <c r="C39" s="116" t="s">
        <v>358</v>
      </c>
      <c r="D39" s="115" t="s">
        <v>267</v>
      </c>
      <c r="E39" s="117">
        <v>1.9375</v>
      </c>
      <c r="F39" s="115" t="s">
        <v>37</v>
      </c>
      <c r="G39" s="233">
        <v>3</v>
      </c>
      <c r="H39" s="115" t="s">
        <v>359</v>
      </c>
    </row>
    <row r="40" spans="1:8" ht="18" x14ac:dyDescent="0.3">
      <c r="A40" s="114">
        <v>45988</v>
      </c>
      <c r="B40" s="115" t="s">
        <v>35</v>
      </c>
      <c r="C40" s="116" t="s">
        <v>362</v>
      </c>
      <c r="D40" s="115" t="s">
        <v>267</v>
      </c>
      <c r="E40" s="117">
        <v>1.1875</v>
      </c>
      <c r="F40" s="115" t="s">
        <v>37</v>
      </c>
      <c r="G40" s="233">
        <v>1</v>
      </c>
      <c r="H40" s="115" t="s">
        <v>359</v>
      </c>
    </row>
    <row r="41" spans="1:8" ht="18" x14ac:dyDescent="0.3">
      <c r="A41" s="118">
        <v>45988</v>
      </c>
      <c r="B41" s="99" t="s">
        <v>25</v>
      </c>
      <c r="C41" s="100" t="s">
        <v>268</v>
      </c>
      <c r="D41" s="99" t="s">
        <v>267</v>
      </c>
      <c r="E41" s="101">
        <v>1.399305555555556</v>
      </c>
      <c r="F41" s="99" t="s">
        <v>27</v>
      </c>
      <c r="G41" s="102">
        <v>1</v>
      </c>
      <c r="H41" s="99" t="s">
        <v>273</v>
      </c>
    </row>
    <row r="42" spans="1:8" ht="18" x14ac:dyDescent="0.3">
      <c r="A42" s="119">
        <v>45988</v>
      </c>
      <c r="B42" s="120" t="s">
        <v>25</v>
      </c>
      <c r="C42" s="121" t="s">
        <v>271</v>
      </c>
      <c r="D42" s="120" t="s">
        <v>267</v>
      </c>
      <c r="E42" s="122">
        <v>1.489583333333333</v>
      </c>
      <c r="F42" s="120" t="s">
        <v>27</v>
      </c>
      <c r="G42" s="123">
        <v>9</v>
      </c>
      <c r="H42" s="120" t="s">
        <v>32</v>
      </c>
    </row>
    <row r="43" spans="1:8" ht="18" x14ac:dyDescent="0.3">
      <c r="A43" s="119">
        <v>45988</v>
      </c>
      <c r="B43" s="120" t="s">
        <v>25</v>
      </c>
      <c r="C43" s="121" t="s">
        <v>277</v>
      </c>
      <c r="D43" s="120" t="s">
        <v>267</v>
      </c>
      <c r="E43" s="122">
        <v>1.989583333333333</v>
      </c>
      <c r="F43" s="120" t="s">
        <v>27</v>
      </c>
      <c r="G43" s="123">
        <v>12</v>
      </c>
      <c r="H43" s="120" t="s">
        <v>32</v>
      </c>
    </row>
    <row r="44" spans="1:8" ht="18" x14ac:dyDescent="0.3">
      <c r="A44" s="119">
        <v>45988</v>
      </c>
      <c r="B44" s="120" t="s">
        <v>25</v>
      </c>
      <c r="C44" s="121" t="s">
        <v>276</v>
      </c>
      <c r="D44" s="120" t="s">
        <v>267</v>
      </c>
      <c r="E44" s="122">
        <v>1.8888888888888891</v>
      </c>
      <c r="F44" s="120" t="s">
        <v>27</v>
      </c>
      <c r="G44" s="123">
        <v>5</v>
      </c>
      <c r="H44" s="120" t="s">
        <v>270</v>
      </c>
    </row>
    <row r="45" spans="1:8" ht="18" x14ac:dyDescent="0.3">
      <c r="A45" s="118">
        <v>45988</v>
      </c>
      <c r="B45" s="99" t="s">
        <v>48</v>
      </c>
      <c r="C45" s="100" t="s">
        <v>279</v>
      </c>
      <c r="D45" s="99" t="s">
        <v>267</v>
      </c>
      <c r="E45" s="101">
        <v>1.3472222222222221</v>
      </c>
      <c r="F45" s="99" t="s">
        <v>50</v>
      </c>
      <c r="G45" s="102">
        <v>6</v>
      </c>
      <c r="H45" s="99" t="s">
        <v>270</v>
      </c>
    </row>
    <row r="46" spans="1:8" ht="18" x14ac:dyDescent="0.3">
      <c r="A46" s="119">
        <v>45988</v>
      </c>
      <c r="B46" s="120" t="s">
        <v>48</v>
      </c>
      <c r="C46" s="121" t="s">
        <v>278</v>
      </c>
      <c r="D46" s="120" t="s">
        <v>267</v>
      </c>
      <c r="E46" s="122">
        <v>1.993055555555556</v>
      </c>
      <c r="F46" s="120" t="s">
        <v>50</v>
      </c>
      <c r="G46" s="123">
        <v>1</v>
      </c>
      <c r="H46" s="120" t="s">
        <v>270</v>
      </c>
    </row>
    <row r="47" spans="1:8" ht="18" x14ac:dyDescent="0.3">
      <c r="A47" s="124">
        <v>45988</v>
      </c>
      <c r="B47" s="125" t="s">
        <v>48</v>
      </c>
      <c r="C47" s="126" t="s">
        <v>288</v>
      </c>
      <c r="D47" s="125" t="s">
        <v>267</v>
      </c>
      <c r="E47" s="127">
        <v>1.3923611111111109</v>
      </c>
      <c r="F47" s="125" t="s">
        <v>50</v>
      </c>
      <c r="G47" s="128">
        <v>9</v>
      </c>
      <c r="H47" s="125" t="s">
        <v>270</v>
      </c>
    </row>
    <row r="48" spans="1:8" ht="18" x14ac:dyDescent="0.3">
      <c r="A48" s="165">
        <v>45989</v>
      </c>
      <c r="B48" s="110" t="s">
        <v>35</v>
      </c>
      <c r="C48" s="111" t="s">
        <v>672</v>
      </c>
      <c r="D48" s="110" t="s">
        <v>649</v>
      </c>
      <c r="E48" s="112">
        <v>1.135416666666667</v>
      </c>
      <c r="F48" s="110" t="s">
        <v>37</v>
      </c>
      <c r="G48" s="113">
        <v>3</v>
      </c>
      <c r="H48" s="166" t="s">
        <v>673</v>
      </c>
    </row>
    <row r="49" spans="1:8" ht="15.6" x14ac:dyDescent="0.3">
      <c r="A49" s="167"/>
      <c r="B49" s="167"/>
      <c r="C49" s="167"/>
      <c r="D49" s="167"/>
      <c r="E49" s="168" t="s">
        <v>648</v>
      </c>
      <c r="F49" s="167"/>
      <c r="G49" s="167"/>
      <c r="H49" s="3"/>
    </row>
    <row r="50" spans="1:8" ht="18" x14ac:dyDescent="0.3">
      <c r="A50" s="109">
        <v>45989</v>
      </c>
      <c r="B50" s="110" t="s">
        <v>35</v>
      </c>
      <c r="C50" s="111" t="s">
        <v>365</v>
      </c>
      <c r="D50" s="110" t="s">
        <v>267</v>
      </c>
      <c r="E50" s="112">
        <v>1.4375</v>
      </c>
      <c r="F50" s="110" t="s">
        <v>37</v>
      </c>
      <c r="G50" s="113">
        <v>1</v>
      </c>
      <c r="H50" s="110" t="s">
        <v>376</v>
      </c>
    </row>
    <row r="51" spans="1:8" ht="18" x14ac:dyDescent="0.3">
      <c r="A51" s="114">
        <v>45989</v>
      </c>
      <c r="B51" s="115" t="s">
        <v>35</v>
      </c>
      <c r="C51" s="116" t="s">
        <v>378</v>
      </c>
      <c r="D51" s="115" t="s">
        <v>267</v>
      </c>
      <c r="E51" s="117">
        <v>1.760416666666667</v>
      </c>
      <c r="F51" s="115" t="s">
        <v>37</v>
      </c>
      <c r="G51" s="233">
        <v>1</v>
      </c>
      <c r="H51" s="115" t="s">
        <v>366</v>
      </c>
    </row>
    <row r="52" spans="1:8" ht="18" x14ac:dyDescent="0.3">
      <c r="A52" s="118">
        <v>45989</v>
      </c>
      <c r="B52" s="99" t="s">
        <v>75</v>
      </c>
      <c r="C52" s="100" t="s">
        <v>318</v>
      </c>
      <c r="D52" s="99" t="s">
        <v>267</v>
      </c>
      <c r="E52" s="101">
        <v>1.2986111111111109</v>
      </c>
      <c r="F52" s="99" t="s">
        <v>60</v>
      </c>
      <c r="G52" s="102">
        <v>9</v>
      </c>
      <c r="H52" s="99" t="s">
        <v>338</v>
      </c>
    </row>
    <row r="53" spans="1:8" ht="18" x14ac:dyDescent="0.3">
      <c r="A53" s="119">
        <v>45989</v>
      </c>
      <c r="B53" s="120" t="s">
        <v>75</v>
      </c>
      <c r="C53" s="121" t="s">
        <v>320</v>
      </c>
      <c r="D53" s="120" t="s">
        <v>267</v>
      </c>
      <c r="E53" s="122">
        <v>1.104166666666667</v>
      </c>
      <c r="F53" s="120" t="s">
        <v>60</v>
      </c>
      <c r="G53" s="123">
        <v>9</v>
      </c>
      <c r="H53" s="120" t="s">
        <v>338</v>
      </c>
    </row>
    <row r="54" spans="1:8" ht="18" x14ac:dyDescent="0.3">
      <c r="A54" s="119">
        <v>45989</v>
      </c>
      <c r="B54" s="120" t="s">
        <v>75</v>
      </c>
      <c r="C54" s="121" t="s">
        <v>321</v>
      </c>
      <c r="D54" s="120" t="s">
        <v>267</v>
      </c>
      <c r="E54" s="122">
        <v>1.7847222222222221</v>
      </c>
      <c r="F54" s="120" t="s">
        <v>60</v>
      </c>
      <c r="G54" s="123">
        <v>7</v>
      </c>
      <c r="H54" s="120" t="s">
        <v>338</v>
      </c>
    </row>
    <row r="55" spans="1:8" ht="18" x14ac:dyDescent="0.3">
      <c r="A55" s="119">
        <v>45989</v>
      </c>
      <c r="B55" s="120" t="s">
        <v>75</v>
      </c>
      <c r="C55" s="121" t="s">
        <v>322</v>
      </c>
      <c r="D55" s="120" t="s">
        <v>267</v>
      </c>
      <c r="E55" s="122">
        <v>1.5972222222222221</v>
      </c>
      <c r="F55" s="120" t="s">
        <v>60</v>
      </c>
      <c r="G55" s="123">
        <v>9</v>
      </c>
      <c r="H55" s="120" t="s">
        <v>338</v>
      </c>
    </row>
    <row r="56" spans="1:8" ht="18" x14ac:dyDescent="0.3">
      <c r="A56" s="119">
        <v>45989</v>
      </c>
      <c r="B56" s="120" t="s">
        <v>75</v>
      </c>
      <c r="C56" s="121" t="s">
        <v>339</v>
      </c>
      <c r="D56" s="120" t="s">
        <v>267</v>
      </c>
      <c r="E56" s="122">
        <v>1.0486111111111109</v>
      </c>
      <c r="F56" s="120" t="s">
        <v>60</v>
      </c>
      <c r="G56" s="123">
        <v>9</v>
      </c>
      <c r="H56" s="120" t="s">
        <v>338</v>
      </c>
    </row>
    <row r="57" spans="1:8" ht="18" x14ac:dyDescent="0.3">
      <c r="A57" s="119">
        <v>45989</v>
      </c>
      <c r="B57" s="120" t="s">
        <v>75</v>
      </c>
      <c r="C57" s="121" t="s">
        <v>316</v>
      </c>
      <c r="D57" s="120" t="s">
        <v>267</v>
      </c>
      <c r="E57" s="122">
        <v>1.836805555555556</v>
      </c>
      <c r="F57" s="120" t="s">
        <v>60</v>
      </c>
      <c r="G57" s="123">
        <v>9</v>
      </c>
      <c r="H57" s="120" t="s">
        <v>386</v>
      </c>
    </row>
    <row r="58" spans="1:8" ht="18" x14ac:dyDescent="0.3">
      <c r="A58" s="118">
        <v>45989</v>
      </c>
      <c r="B58" s="99" t="s">
        <v>290</v>
      </c>
      <c r="C58" s="100" t="s">
        <v>341</v>
      </c>
      <c r="D58" s="99" t="s">
        <v>267</v>
      </c>
      <c r="E58" s="101">
        <v>1.225694444444444</v>
      </c>
      <c r="F58" s="99" t="s">
        <v>292</v>
      </c>
      <c r="G58" s="102">
        <v>8</v>
      </c>
      <c r="H58" s="99" t="s">
        <v>387</v>
      </c>
    </row>
    <row r="59" spans="1:8" ht="18" x14ac:dyDescent="0.3">
      <c r="A59" s="169">
        <v>45989</v>
      </c>
      <c r="B59" s="170" t="s">
        <v>25</v>
      </c>
      <c r="C59" s="171" t="s">
        <v>268</v>
      </c>
      <c r="D59" s="170" t="s">
        <v>267</v>
      </c>
      <c r="E59" s="172">
        <v>1.399305555555556</v>
      </c>
      <c r="F59" s="170" t="s">
        <v>27</v>
      </c>
      <c r="G59" s="173">
        <v>8</v>
      </c>
      <c r="H59" s="170" t="s">
        <v>270</v>
      </c>
    </row>
    <row r="60" spans="1:8" ht="18" x14ac:dyDescent="0.3">
      <c r="A60" s="165">
        <v>45990</v>
      </c>
      <c r="B60" s="110" t="s">
        <v>35</v>
      </c>
      <c r="C60" s="111" t="s">
        <v>672</v>
      </c>
      <c r="D60" s="110" t="s">
        <v>649</v>
      </c>
      <c r="E60" s="112">
        <v>1.1423611111111109</v>
      </c>
      <c r="F60" s="110" t="s">
        <v>37</v>
      </c>
      <c r="G60" s="113">
        <v>4</v>
      </c>
      <c r="H60" s="166" t="s">
        <v>673</v>
      </c>
    </row>
    <row r="61" spans="1:8" ht="18" x14ac:dyDescent="0.3">
      <c r="A61" s="114">
        <v>45990</v>
      </c>
      <c r="B61" s="115" t="s">
        <v>35</v>
      </c>
      <c r="C61" s="116" t="s">
        <v>654</v>
      </c>
      <c r="D61" s="115" t="s">
        <v>649</v>
      </c>
      <c r="E61" s="117">
        <v>1.5277777777777779</v>
      </c>
      <c r="F61" s="115" t="s">
        <v>37</v>
      </c>
      <c r="G61" s="233">
        <v>1</v>
      </c>
      <c r="H61" s="115" t="s">
        <v>664</v>
      </c>
    </row>
    <row r="62" spans="1:8" ht="15.6" x14ac:dyDescent="0.3">
      <c r="A62" s="167"/>
      <c r="B62" s="167"/>
      <c r="C62" s="167"/>
      <c r="D62" s="167"/>
      <c r="E62" s="168" t="s">
        <v>648</v>
      </c>
      <c r="F62" s="167"/>
      <c r="G62" s="167"/>
      <c r="H62" s="3"/>
    </row>
    <row r="63" spans="1:8" ht="18" x14ac:dyDescent="0.3">
      <c r="A63" s="118">
        <v>45990</v>
      </c>
      <c r="B63" s="99" t="s">
        <v>75</v>
      </c>
      <c r="C63" s="100" t="s">
        <v>318</v>
      </c>
      <c r="D63" s="99" t="s">
        <v>267</v>
      </c>
      <c r="E63" s="101">
        <v>1.3125</v>
      </c>
      <c r="F63" s="99" t="s">
        <v>60</v>
      </c>
      <c r="G63" s="102">
        <v>9</v>
      </c>
      <c r="H63" s="99" t="s">
        <v>338</v>
      </c>
    </row>
    <row r="64" spans="1:8" ht="18" x14ac:dyDescent="0.3">
      <c r="A64" s="119">
        <v>45990</v>
      </c>
      <c r="B64" s="120" t="s">
        <v>75</v>
      </c>
      <c r="C64" s="121" t="s">
        <v>319</v>
      </c>
      <c r="D64" s="120" t="s">
        <v>267</v>
      </c>
      <c r="E64" s="122">
        <v>1.9722222222222221</v>
      </c>
      <c r="F64" s="120" t="s">
        <v>60</v>
      </c>
      <c r="G64" s="123">
        <v>9</v>
      </c>
      <c r="H64" s="120" t="s">
        <v>338</v>
      </c>
    </row>
    <row r="65" spans="1:8" ht="18" x14ac:dyDescent="0.3">
      <c r="A65" s="119">
        <v>45990</v>
      </c>
      <c r="B65" s="120" t="s">
        <v>75</v>
      </c>
      <c r="C65" s="121" t="s">
        <v>321</v>
      </c>
      <c r="D65" s="120" t="s">
        <v>267</v>
      </c>
      <c r="E65" s="122">
        <v>1.7847222222222221</v>
      </c>
      <c r="F65" s="120" t="s">
        <v>60</v>
      </c>
      <c r="G65" s="123">
        <v>4</v>
      </c>
      <c r="H65" s="120" t="s">
        <v>338</v>
      </c>
    </row>
    <row r="66" spans="1:8" ht="18" x14ac:dyDescent="0.3">
      <c r="A66" s="119">
        <v>45990</v>
      </c>
      <c r="B66" s="120" t="s">
        <v>75</v>
      </c>
      <c r="C66" s="121" t="s">
        <v>316</v>
      </c>
      <c r="D66" s="120" t="s">
        <v>267</v>
      </c>
      <c r="E66" s="122">
        <v>1.836805555555556</v>
      </c>
      <c r="F66" s="120" t="s">
        <v>60</v>
      </c>
      <c r="G66" s="123">
        <v>9</v>
      </c>
      <c r="H66" s="120" t="s">
        <v>386</v>
      </c>
    </row>
    <row r="67" spans="1:8" ht="18" x14ac:dyDescent="0.3">
      <c r="A67" s="118">
        <v>45990</v>
      </c>
      <c r="B67" s="99" t="s">
        <v>25</v>
      </c>
      <c r="C67" s="100" t="s">
        <v>268</v>
      </c>
      <c r="D67" s="99" t="s">
        <v>267</v>
      </c>
      <c r="E67" s="101">
        <v>1.399305555555556</v>
      </c>
      <c r="F67" s="99" t="s">
        <v>27</v>
      </c>
      <c r="G67" s="102">
        <v>8</v>
      </c>
      <c r="H67" s="99" t="s">
        <v>275</v>
      </c>
    </row>
    <row r="68" spans="1:8" ht="18" x14ac:dyDescent="0.3">
      <c r="A68" s="119">
        <v>45990</v>
      </c>
      <c r="B68" s="120" t="s">
        <v>25</v>
      </c>
      <c r="C68" s="121" t="s">
        <v>277</v>
      </c>
      <c r="D68" s="120" t="s">
        <v>267</v>
      </c>
      <c r="E68" s="122">
        <v>1.989583333333333</v>
      </c>
      <c r="F68" s="120" t="s">
        <v>27</v>
      </c>
      <c r="G68" s="123">
        <v>6</v>
      </c>
      <c r="H68" s="120" t="s">
        <v>112</v>
      </c>
    </row>
    <row r="69" spans="1:8" ht="18" x14ac:dyDescent="0.3">
      <c r="A69" s="118">
        <v>45990</v>
      </c>
      <c r="B69" s="99" t="s">
        <v>48</v>
      </c>
      <c r="C69" s="100" t="s">
        <v>279</v>
      </c>
      <c r="D69" s="99" t="s">
        <v>267</v>
      </c>
      <c r="E69" s="101">
        <v>1.3472222222222221</v>
      </c>
      <c r="F69" s="99" t="s">
        <v>50</v>
      </c>
      <c r="G69" s="102">
        <v>1</v>
      </c>
      <c r="H69" s="99" t="s">
        <v>275</v>
      </c>
    </row>
    <row r="70" spans="1:8" ht="18" x14ac:dyDescent="0.3">
      <c r="A70" s="104">
        <v>45990</v>
      </c>
      <c r="B70" s="105" t="s">
        <v>48</v>
      </c>
      <c r="C70" s="106" t="s">
        <v>279</v>
      </c>
      <c r="D70" s="105" t="s">
        <v>267</v>
      </c>
      <c r="E70" s="107">
        <v>1.3472222222222221</v>
      </c>
      <c r="F70" s="105" t="s">
        <v>53</v>
      </c>
      <c r="G70" s="108">
        <v>1</v>
      </c>
      <c r="H70" s="105" t="s">
        <v>112</v>
      </c>
    </row>
    <row r="71" spans="1:8" ht="18" x14ac:dyDescent="0.3">
      <c r="A71" s="118">
        <v>45990</v>
      </c>
      <c r="B71" s="99" t="s">
        <v>290</v>
      </c>
      <c r="C71" s="100" t="s">
        <v>291</v>
      </c>
      <c r="D71" s="99" t="s">
        <v>267</v>
      </c>
      <c r="E71" s="101">
        <v>1.055555555555556</v>
      </c>
      <c r="F71" s="99" t="s">
        <v>292</v>
      </c>
      <c r="G71" s="102">
        <v>9</v>
      </c>
      <c r="H71" s="99" t="s">
        <v>406</v>
      </c>
    </row>
    <row r="72" spans="1:8" ht="18" x14ac:dyDescent="0.3">
      <c r="A72" s="129">
        <v>45990</v>
      </c>
      <c r="B72" s="130" t="s">
        <v>290</v>
      </c>
      <c r="C72" s="131" t="s">
        <v>291</v>
      </c>
      <c r="D72" s="130" t="s">
        <v>267</v>
      </c>
      <c r="E72" s="132">
        <v>1.055555555555556</v>
      </c>
      <c r="F72" s="130" t="s">
        <v>30</v>
      </c>
      <c r="G72" s="133">
        <v>9</v>
      </c>
      <c r="H72" s="130" t="s">
        <v>407</v>
      </c>
    </row>
    <row r="73" spans="1:8" ht="18" x14ac:dyDescent="0.3">
      <c r="A73" s="98">
        <v>45991</v>
      </c>
      <c r="B73" s="99" t="s">
        <v>25</v>
      </c>
      <c r="C73" s="100" t="s">
        <v>659</v>
      </c>
      <c r="D73" s="99" t="s">
        <v>649</v>
      </c>
      <c r="E73" s="101">
        <v>1.364583333333333</v>
      </c>
      <c r="F73" s="99" t="s">
        <v>567</v>
      </c>
      <c r="G73" s="102">
        <v>11</v>
      </c>
      <c r="H73" s="103" t="s">
        <v>678</v>
      </c>
    </row>
    <row r="74" spans="1:8" ht="18" x14ac:dyDescent="0.3">
      <c r="A74" s="104">
        <v>45991</v>
      </c>
      <c r="B74" s="105" t="s">
        <v>25</v>
      </c>
      <c r="C74" s="106" t="s">
        <v>659</v>
      </c>
      <c r="D74" s="105" t="s">
        <v>649</v>
      </c>
      <c r="E74" s="107">
        <v>1.364583333333333</v>
      </c>
      <c r="F74" s="105" t="s">
        <v>568</v>
      </c>
      <c r="G74" s="108">
        <v>11</v>
      </c>
      <c r="H74" s="105" t="s">
        <v>680</v>
      </c>
    </row>
    <row r="75" spans="1:8" ht="18" x14ac:dyDescent="0.3">
      <c r="A75" s="104">
        <v>45991</v>
      </c>
      <c r="B75" s="105" t="s">
        <v>25</v>
      </c>
      <c r="C75" s="106" t="s">
        <v>659</v>
      </c>
      <c r="D75" s="105" t="s">
        <v>649</v>
      </c>
      <c r="E75" s="107">
        <v>1.364583333333333</v>
      </c>
      <c r="F75" s="105" t="s">
        <v>570</v>
      </c>
      <c r="G75" s="108">
        <v>11</v>
      </c>
      <c r="H75" s="105" t="s">
        <v>681</v>
      </c>
    </row>
    <row r="76" spans="1:8" ht="18" x14ac:dyDescent="0.3">
      <c r="A76" s="104">
        <v>45991</v>
      </c>
      <c r="B76" s="105" t="s">
        <v>25</v>
      </c>
      <c r="C76" s="106" t="s">
        <v>659</v>
      </c>
      <c r="D76" s="105" t="s">
        <v>649</v>
      </c>
      <c r="E76" s="107">
        <v>1.364583333333333</v>
      </c>
      <c r="F76" s="105" t="s">
        <v>571</v>
      </c>
      <c r="G76" s="108">
        <v>11</v>
      </c>
      <c r="H76" s="105" t="s">
        <v>682</v>
      </c>
    </row>
    <row r="77" spans="1:8" ht="18" x14ac:dyDescent="0.3">
      <c r="A77" s="109">
        <v>45991</v>
      </c>
      <c r="B77" s="110" t="s">
        <v>35</v>
      </c>
      <c r="C77" s="111" t="s">
        <v>654</v>
      </c>
      <c r="D77" s="110" t="s">
        <v>649</v>
      </c>
      <c r="E77" s="112">
        <v>1.6909722222222221</v>
      </c>
      <c r="F77" s="110" t="s">
        <v>37</v>
      </c>
      <c r="G77" s="113">
        <v>1</v>
      </c>
      <c r="H77" s="110" t="s">
        <v>651</v>
      </c>
    </row>
    <row r="78" spans="1:8" ht="18" x14ac:dyDescent="0.3">
      <c r="A78" s="114">
        <v>45991</v>
      </c>
      <c r="B78" s="115" t="s">
        <v>35</v>
      </c>
      <c r="C78" s="116" t="s">
        <v>672</v>
      </c>
      <c r="D78" s="115" t="s">
        <v>649</v>
      </c>
      <c r="E78" s="117">
        <v>1.3298611111111109</v>
      </c>
      <c r="F78" s="115" t="s">
        <v>37</v>
      </c>
      <c r="G78" s="233">
        <v>6</v>
      </c>
      <c r="H78" s="115" t="s">
        <v>651</v>
      </c>
    </row>
    <row r="79" spans="1:8" ht="15.6" x14ac:dyDescent="0.3">
      <c r="A79" s="167"/>
      <c r="B79" s="167"/>
      <c r="C79" s="167"/>
      <c r="D79" s="167"/>
      <c r="E79" s="168" t="s">
        <v>648</v>
      </c>
      <c r="F79" s="167"/>
      <c r="G79" s="167"/>
      <c r="H79" s="3"/>
    </row>
    <row r="80" spans="1:8" ht="18" x14ac:dyDescent="0.3">
      <c r="A80" s="118">
        <v>45991</v>
      </c>
      <c r="B80" s="99" t="s">
        <v>25</v>
      </c>
      <c r="C80" s="100" t="s">
        <v>268</v>
      </c>
      <c r="D80" s="99" t="s">
        <v>267</v>
      </c>
      <c r="E80" s="101">
        <v>1.399305555555556</v>
      </c>
      <c r="F80" s="99" t="s">
        <v>335</v>
      </c>
      <c r="G80" s="102">
        <v>6</v>
      </c>
      <c r="H80" s="99" t="s">
        <v>269</v>
      </c>
    </row>
    <row r="81" spans="1:8" ht="18" x14ac:dyDescent="0.3">
      <c r="A81" s="119">
        <v>45991</v>
      </c>
      <c r="B81" s="120" t="s">
        <v>25</v>
      </c>
      <c r="C81" s="121" t="s">
        <v>271</v>
      </c>
      <c r="D81" s="120" t="s">
        <v>267</v>
      </c>
      <c r="E81" s="122">
        <v>1.489583333333333</v>
      </c>
      <c r="F81" s="120" t="s">
        <v>335</v>
      </c>
      <c r="G81" s="123">
        <v>5</v>
      </c>
      <c r="H81" s="120" t="s">
        <v>269</v>
      </c>
    </row>
    <row r="82" spans="1:8" ht="18" x14ac:dyDescent="0.3">
      <c r="A82" s="119">
        <v>45991</v>
      </c>
      <c r="B82" s="120" t="s">
        <v>25</v>
      </c>
      <c r="C82" s="121" t="s">
        <v>277</v>
      </c>
      <c r="D82" s="120" t="s">
        <v>267</v>
      </c>
      <c r="E82" s="122">
        <v>1.989583333333333</v>
      </c>
      <c r="F82" s="120" t="s">
        <v>335</v>
      </c>
      <c r="G82" s="123">
        <v>4</v>
      </c>
      <c r="H82" s="120" t="s">
        <v>269</v>
      </c>
    </row>
    <row r="83" spans="1:8" ht="18" x14ac:dyDescent="0.3">
      <c r="A83" s="119">
        <v>45991</v>
      </c>
      <c r="B83" s="120" t="s">
        <v>25</v>
      </c>
      <c r="C83" s="121" t="s">
        <v>276</v>
      </c>
      <c r="D83" s="120" t="s">
        <v>267</v>
      </c>
      <c r="E83" s="122">
        <v>1.8888888888888891</v>
      </c>
      <c r="F83" s="120" t="s">
        <v>335</v>
      </c>
      <c r="G83" s="123">
        <v>3</v>
      </c>
      <c r="H83" s="120" t="s">
        <v>32</v>
      </c>
    </row>
    <row r="84" spans="1:8" ht="18" x14ac:dyDescent="0.3">
      <c r="A84" s="109">
        <v>45991</v>
      </c>
      <c r="B84" s="110" t="s">
        <v>35</v>
      </c>
      <c r="C84" s="111" t="s">
        <v>362</v>
      </c>
      <c r="D84" s="110" t="s">
        <v>267</v>
      </c>
      <c r="E84" s="112">
        <v>1.15625</v>
      </c>
      <c r="F84" s="110" t="s">
        <v>37</v>
      </c>
      <c r="G84" s="113">
        <v>1</v>
      </c>
      <c r="H84" s="110" t="s">
        <v>29</v>
      </c>
    </row>
    <row r="85" spans="1:8" ht="18" x14ac:dyDescent="0.3">
      <c r="A85" s="118">
        <v>45991</v>
      </c>
      <c r="B85" s="99" t="s">
        <v>48</v>
      </c>
      <c r="C85" s="100" t="s">
        <v>278</v>
      </c>
      <c r="D85" s="99" t="s">
        <v>267</v>
      </c>
      <c r="E85" s="101">
        <v>1.993055555555556</v>
      </c>
      <c r="F85" s="99" t="s">
        <v>102</v>
      </c>
      <c r="G85" s="102">
        <v>2</v>
      </c>
      <c r="H85" s="99" t="s">
        <v>29</v>
      </c>
    </row>
    <row r="86" spans="1:8" ht="18" x14ac:dyDescent="0.3">
      <c r="A86" s="119">
        <v>45991</v>
      </c>
      <c r="B86" s="120" t="s">
        <v>48</v>
      </c>
      <c r="C86" s="121" t="s">
        <v>288</v>
      </c>
      <c r="D86" s="120" t="s">
        <v>267</v>
      </c>
      <c r="E86" s="122">
        <v>1.3923611111111109</v>
      </c>
      <c r="F86" s="120" t="s">
        <v>102</v>
      </c>
      <c r="G86" s="123">
        <v>2</v>
      </c>
      <c r="H86" s="120" t="s">
        <v>29</v>
      </c>
    </row>
    <row r="87" spans="1:8" ht="18" x14ac:dyDescent="0.3">
      <c r="A87" s="118">
        <v>45991</v>
      </c>
      <c r="B87" s="99" t="s">
        <v>75</v>
      </c>
      <c r="C87" s="100" t="s">
        <v>320</v>
      </c>
      <c r="D87" s="99" t="s">
        <v>267</v>
      </c>
      <c r="E87" s="101">
        <v>1.104166666666667</v>
      </c>
      <c r="F87" s="99" t="s">
        <v>60</v>
      </c>
      <c r="G87" s="102">
        <v>9</v>
      </c>
      <c r="H87" s="99" t="s">
        <v>338</v>
      </c>
    </row>
    <row r="88" spans="1:8" ht="18" x14ac:dyDescent="0.3">
      <c r="A88" s="119">
        <v>45991</v>
      </c>
      <c r="B88" s="120" t="s">
        <v>75</v>
      </c>
      <c r="C88" s="121" t="s">
        <v>321</v>
      </c>
      <c r="D88" s="120" t="s">
        <v>267</v>
      </c>
      <c r="E88" s="122">
        <v>1.7847222222222221</v>
      </c>
      <c r="F88" s="120" t="s">
        <v>60</v>
      </c>
      <c r="G88" s="123">
        <v>6</v>
      </c>
      <c r="H88" s="120" t="s">
        <v>338</v>
      </c>
    </row>
    <row r="89" spans="1:8" ht="18" x14ac:dyDescent="0.3">
      <c r="A89" s="124">
        <v>45991</v>
      </c>
      <c r="B89" s="125" t="s">
        <v>75</v>
      </c>
      <c r="C89" s="126" t="s">
        <v>322</v>
      </c>
      <c r="D89" s="125" t="s">
        <v>267</v>
      </c>
      <c r="E89" s="127">
        <v>1.600694444444444</v>
      </c>
      <c r="F89" s="125" t="s">
        <v>60</v>
      </c>
      <c r="G89" s="128">
        <v>9</v>
      </c>
      <c r="H89" s="125" t="s">
        <v>338</v>
      </c>
    </row>
  </sheetData>
  <dataValidations count="17">
    <dataValidation type="custom" allowBlank="1" showInputMessage="1" promptTitle="LOAD FACTOR ANALYSIS" prompt="SM-453_x000d__x000a_LF 82.8%_x000d__x000a_SOLD 149_x000d__x000a_LST-SOLD 23NOV_x000d__x000a_WEEKLY 54_x000d__x000a_TO-DAY NIL_x000d__x000a_Y-DAY 10_x000d__x000a_LOWEST AVAIL W9_x000d__x000a_CAPACITY 180_x000d__x000a_CLASSES G5 &amp; S6 &amp; W20 &amp; +6 more" sqref="A2 B2 C2 D2 E2 F2 G2 H2" xr:uid="{00000000-0002-0000-1200-000000000000}">
      <formula1>TRUE</formula1>
    </dataValidation>
    <dataValidation type="custom" allowBlank="1" showInputMessage="1" promptTitle="LOAD FACTOR ANALYSIS" prompt="SM-455_x000d__x000a_LF 97.8%_x000d__x000a_SOLD 176_x000d__x000a_LST-SOLD 23NOV_x000d__x000a_WEEKLY 56_x000d__x000a_TO-DAY NIL_x000d__x000a_Y-DAY 4_x000d__x000a_LOWEST AVAIL L4_x000d__x000a_CAPACITY 180_x000d__x000a_CLASSES G6 &amp; S36 &amp; W12 &amp; +6 more" sqref="A3 B3 C3 D3 E3 F3 G3 H3" xr:uid="{00000000-0002-0000-1200-000001000000}">
      <formula1>TRUE</formula1>
    </dataValidation>
    <dataValidation type="custom" allowBlank="1" showInputMessage="1" promptTitle="LOAD FACTOR ANALYSIS" prompt="SM453_x000d__x000a_LF 1.0%_x000d__x000a_SOLD 180_x000d__x000a_LST-SOLD 23NOV_x000d__x000a_WEEKLY 3_x000d__x000a_TO-DAY NIL_x000d__x000a_Y-DAY 3_x000d__x000a_LOWEST AVAIL CLOSED_x000d__x000a_CAPACITY 180_x000d__x000a_CLASSES E45 &amp; P135" sqref="A21 B21 C21 D21 E21 F21 G21 H21" xr:uid="{00000000-0002-0000-1200-000002000000}">
      <formula1>TRUE</formula1>
    </dataValidation>
    <dataValidation type="custom" allowBlank="1" showInputMessage="1" promptTitle="LOAD FACTOR ANALYSIS" prompt="SM491_x000d__x000a_LF 1.0%_x000d__x000a_SOLD 180_x000d__x000a_LST-SOLD 23NOV_x000d__x000a_WEEKLY 8_x000d__x000a_TO-DAY NIL_x000d__x000a_Y-DAY 5_x000d__x000a_LOWEST AVAIL CLOSED_x000d__x000a_CAPACITY 180_x000d__x000a_CLASSES L1 &amp; G4 &amp; X3 &amp; +4 more" sqref="A22 B22 C22 D22 E22 F22 G22 H22" xr:uid="{00000000-0002-0000-1200-000003000000}">
      <formula1>TRUE</formula1>
    </dataValidation>
    <dataValidation type="custom" allowBlank="1" showInputMessage="1" promptTitle="LOAD FACTOR ANALYSIS" prompt="SM421_x000d__x000a_LF 99.4%_x000d__x000a_SOLD 179_x000d__x000a_LST-SOLD 23NOV_x000d__x000a_WEEKLY 12_x000d__x000a_TO-DAY NIL_x000d__x000a_Y-DAY 2_x000d__x000a_LOWEST AVAIL CLOSED_x000d__x000a_CAPACITY 180_x000d__x000a_CLASSES S1 &amp; W2 &amp; X12 &amp; +4 more" sqref="A23 B23 C23 D23 E23 F23 G23 H23" xr:uid="{00000000-0002-0000-1200-000004000000}">
      <formula1>TRUE</formula1>
    </dataValidation>
    <dataValidation type="custom" allowBlank="1" showInputMessage="1" promptTitle="LOAD FACTOR ANALYSIS" prompt="SM453_x000d__x000a_LF 1.0%_x000d__x000a_SOLD 180_x000d__x000a_LST-SOLD 22NOV_x000d__x000a_WEEKLY 14_x000d__x000a_TO-DAY NIL_x000d__x000a_Y-DAY NIL_x000d__x000a_LOWEST AVAIL CLOSED_x000d__x000a_CAPACITY 180_x000d__x000a_CLASSES S2 &amp; W1 &amp; T9 &amp; +5 more" sqref="A35 B35 C35 D35 E35 F35 G35 H35" xr:uid="{00000000-0002-0000-1200-000005000000}">
      <formula1>TRUE</formula1>
    </dataValidation>
    <dataValidation type="custom" allowBlank="1" showInputMessage="1" promptTitle="LOAD FACTOR ANALYSIS" prompt="SM455_x000d__x000a_LF 1.0%_x000d__x000a_SOLD 180_x000d__x000a_LST-SOLD 24NOV_x000d__x000a_WEEKLY 67_x000d__x000a_TO-DAY 4_x000d__x000a_Y-DAY 1_x000d__x000a_LOWEST AVAIL CLOSED_x000d__x000a_CAPACITY 180_x000d__x000a_CLASSES S14 &amp; W28 &amp; T15 &amp; +4 more" sqref="A36 B36 C36 D36 E36 F36 G36 H36" xr:uid="{00000000-0002-0000-1200-000006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38 B38 C38 D38 E38 F38 G38 H38" xr:uid="{00000000-0002-0000-1200-000007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9 B39 C39 D39 E39 F39 G39 H39" xr:uid="{00000000-0002-0000-1200-000008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40 A84 B40 B84 C40 C84 D40 D84 E40 E84 F40 F84 G40 G84 H40 H84" xr:uid="{00000000-0002-0000-1200-000009000000}">
      <formula1>TRUE</formula1>
    </dataValidation>
    <dataValidation type="custom" allowBlank="1" showInputMessage="1" promptTitle="LOAD FACTOR ANALYSIS" prompt="SM-491_x000d__x000a_LF 61.1%_x000d__x000a_SOLD 110_x000d__x000a_LST-SOLD 24NOV_x000d__x000a_WEEKLY 66_x000d__x000a_TO-DAY 1_x000d__x000a_Y-DAY 12_x000d__x000a_LOWEST AVAIL S3_x000d__x000a_CAPACITY 180_x000d__x000a_CLASSES G3 &amp; S17 &amp; W20 &amp; +4 more" sqref="A48 B48 C48 D48 E48 F48 G48 H48" xr:uid="{00000000-0002-0000-1200-00000A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50 B50 C50 D50 E50 F50 G50 H50" xr:uid="{00000000-0002-0000-1200-00000B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51 B51 C51 D51 E51 F51 G51 H51" xr:uid="{00000000-0002-0000-1200-00000C000000}">
      <formula1>TRUE</formula1>
    </dataValidation>
    <dataValidation type="custom" allowBlank="1" showInputMessage="1" promptTitle="LOAD FACTOR ANALYSIS" prompt="SM-491_x000d__x000a_LF 68.9%_x000d__x000a_SOLD 124_x000d__x000a_LST-SOLD 24NOV_x000d__x000a_WEEKLY 15_x000d__x000a_TO-DAY 1_x000d__x000a_Y-DAY 1_x000d__x000a_LOWEST AVAIL S4_x000d__x000a_CAPACITY 180_x000d__x000a_CLASSES Y1 &amp; G2 &amp; S16 &amp; +4 more" sqref="A60 B60 C60 D60 E60 F60 G60 H60" xr:uid="{00000000-0002-0000-1200-00000D000000}">
      <formula1>TRUE</formula1>
    </dataValidation>
    <dataValidation type="custom" allowBlank="1" showInputMessage="1" promptTitle="LOAD FACTOR ANALYSIS" prompt="SM-455_x000d__x000a_LF 95.0%_x000d__x000a_SOLD 171_x000d__x000a_LST-SOLD 23NOV_x000d__x000a_WEEKLY 18_x000d__x000a_TO-DAY NIL_x000d__x000a_Y-DAY 2_x000d__x000a_LOWEST AVAIL G1_x000d__x000a_CAPACITY 180_x000d__x000a_CLASSES Y2 &amp; G22 &amp; S19 &amp; +4 more" sqref="A61 B61 C61 D61 E61 F61 G61 H61" xr:uid="{00000000-0002-0000-1200-00000E000000}">
      <formula1>TRUE</formula1>
    </dataValidation>
    <dataValidation type="custom" allowBlank="1" showInputMessage="1" promptTitle="LOAD FACTOR ANALYSIS" prompt="SM-455_x000d__x000a_LF 72.8%_x000d__x000a_SOLD 131_x000d__x000a_LST-SOLD 24NOV_x000d__x000a_WEEKLY 65_x000d__x000a_TO-DAY 3_x000d__x000a_Y-DAY 14_x000d__x000a_LOWEST AVAIL W1_x000d__x000a_CAPACITY 180_x000d__x000a_CLASSES Y1 &amp; S11 &amp; W19 &amp; +4 more" sqref="A77 B77 C77 D77 E77 F77 G77 H77" xr:uid="{00000000-0002-0000-1200-00000F000000}">
      <formula1>TRUE</formula1>
    </dataValidation>
    <dataValidation type="custom" allowBlank="1" showInputMessage="1" promptTitle="LOAD FACTOR ANALYSIS" prompt="SM-491_x000d__x000a_LF 91.7%_x000d__x000a_SOLD 165_x000d__x000a_LST-SOLD 24NOV_x000d__x000a_WEEKLY 54_x000d__x000a_TO-DAY 2_x000d__x000a_Y-DAY 8_x000d__x000a_LOWEST AVAIL W6_x000d__x000a_CAPACITY 180_x000d__x000a_CLASSES W8 &amp; T31 &amp; X17 &amp; +5 more" sqref="A78 B78 C78 D78 E78 F78 G78 H78" xr:uid="{00000000-0002-0000-1200-000010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1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84" t="s">
        <v>0</v>
      </c>
      <c r="B1" s="265"/>
      <c r="C1" s="265"/>
      <c r="D1" s="284" t="s">
        <v>718</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45985.362142930528</v>
      </c>
      <c r="H2" s="272"/>
      <c r="I2" s="272"/>
      <c r="J2" s="272"/>
      <c r="K2" s="282">
        <v>45985.362142930913</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75" t="s">
        <v>35</v>
      </c>
      <c r="B6" s="75" t="s">
        <v>719</v>
      </c>
      <c r="C6" s="76">
        <v>0.2638888888888889</v>
      </c>
      <c r="D6" s="75" t="s">
        <v>44</v>
      </c>
      <c r="E6" s="164"/>
      <c r="F6" s="75" t="s">
        <v>45</v>
      </c>
      <c r="G6" s="261"/>
      <c r="H6" s="29" t="s">
        <v>719</v>
      </c>
      <c r="I6" s="30">
        <v>1</v>
      </c>
      <c r="J6" s="31">
        <v>180</v>
      </c>
      <c r="K6" s="32">
        <v>45984</v>
      </c>
      <c r="L6" s="31">
        <v>99</v>
      </c>
      <c r="M6" s="31">
        <v>0</v>
      </c>
      <c r="N6" s="31">
        <v>99</v>
      </c>
      <c r="O6" s="33" t="s">
        <v>46</v>
      </c>
      <c r="P6" s="34">
        <v>0.2638888888888889</v>
      </c>
      <c r="Q6" s="31">
        <v>180</v>
      </c>
      <c r="R6" s="35" t="s">
        <v>720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93" t="s">
        <v>35</v>
      </c>
      <c r="B7" s="193" t="s">
        <v>721</v>
      </c>
      <c r="C7" s="194">
        <v>0.63888888888888895</v>
      </c>
      <c r="D7" s="193" t="s">
        <v>44</v>
      </c>
      <c r="E7" s="195"/>
      <c r="F7" s="193" t="s">
        <v>45</v>
      </c>
      <c r="G7" s="262"/>
      <c r="H7" s="19" t="s">
        <v>721</v>
      </c>
      <c r="I7" s="236">
        <v>0</v>
      </c>
      <c r="J7" s="21">
        <v>0</v>
      </c>
      <c r="K7" s="22" t="s">
        <v>722</v>
      </c>
      <c r="L7" s="21">
        <v>0</v>
      </c>
      <c r="M7" s="21">
        <v>0</v>
      </c>
      <c r="N7" s="21">
        <v>0</v>
      </c>
      <c r="O7" s="23" t="s">
        <v>46</v>
      </c>
      <c r="P7" s="24">
        <v>0.63888888888888895</v>
      </c>
      <c r="Q7" s="21">
        <v>180</v>
      </c>
      <c r="R7" s="25" t="s">
        <v>722</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03" t="s">
        <v>35</v>
      </c>
      <c r="B8" s="203" t="s">
        <v>723</v>
      </c>
      <c r="C8" s="204">
        <v>0.79166666666666663</v>
      </c>
      <c r="D8" s="203" t="s">
        <v>44</v>
      </c>
      <c r="E8" s="205"/>
      <c r="F8" s="203" t="s">
        <v>45</v>
      </c>
      <c r="G8" s="263"/>
      <c r="H8" s="206" t="s">
        <v>723</v>
      </c>
      <c r="I8" s="237">
        <v>0</v>
      </c>
      <c r="J8" s="208">
        <v>0</v>
      </c>
      <c r="K8" s="209" t="s">
        <v>722</v>
      </c>
      <c r="L8" s="208">
        <v>0</v>
      </c>
      <c r="M8" s="208">
        <v>0</v>
      </c>
      <c r="N8" s="208">
        <v>0</v>
      </c>
      <c r="O8" s="210" t="s">
        <v>46</v>
      </c>
      <c r="P8" s="211">
        <v>0.79166666666666663</v>
      </c>
      <c r="Q8" s="208">
        <v>180</v>
      </c>
      <c r="R8" s="212" t="s">
        <v>722</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5"/>
      <c r="B9" s="286"/>
      <c r="C9" s="286"/>
      <c r="D9" s="286"/>
      <c r="E9" s="286"/>
      <c r="F9" s="286"/>
      <c r="G9" s="276"/>
      <c r="H9" s="287"/>
      <c r="I9" s="287"/>
      <c r="J9" s="287"/>
      <c r="K9" s="287"/>
      <c r="L9" s="287"/>
      <c r="M9" s="287"/>
      <c r="N9" s="287"/>
      <c r="O9" s="288"/>
      <c r="P9" s="287"/>
      <c r="Q9" s="276"/>
      <c r="R9" s="27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66" t="s">
        <v>5</v>
      </c>
      <c r="B10" s="267"/>
      <c r="C10" s="267"/>
      <c r="D10" s="267"/>
      <c r="E10" s="267"/>
      <c r="F10" s="267"/>
      <c r="G10" s="5">
        <v>45987</v>
      </c>
      <c r="H10" s="270" t="s">
        <v>6</v>
      </c>
      <c r="I10" s="269"/>
      <c r="J10" s="269"/>
      <c r="K10" s="269"/>
      <c r="L10" s="269"/>
      <c r="M10" s="269"/>
      <c r="N10" s="269"/>
      <c r="O10" s="269"/>
      <c r="P10" s="269"/>
      <c r="Q10" s="269"/>
      <c r="R10" s="26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47" t="s">
        <v>7</v>
      </c>
      <c r="B11" s="47" t="s">
        <v>8</v>
      </c>
      <c r="C11" s="48" t="s">
        <v>9</v>
      </c>
      <c r="D11" s="47" t="s">
        <v>10</v>
      </c>
      <c r="E11" s="47" t="s">
        <v>11</v>
      </c>
      <c r="F11" s="47" t="s">
        <v>12</v>
      </c>
      <c r="G11" s="49" t="s">
        <v>13</v>
      </c>
      <c r="H11" s="47" t="s">
        <v>14</v>
      </c>
      <c r="I11" s="50" t="s">
        <v>15</v>
      </c>
      <c r="J11" s="51" t="s">
        <v>16</v>
      </c>
      <c r="K11" s="52" t="s">
        <v>17</v>
      </c>
      <c r="L11" s="51" t="s">
        <v>18</v>
      </c>
      <c r="M11" s="51" t="s">
        <v>19</v>
      </c>
      <c r="N11" s="51" t="s">
        <v>20</v>
      </c>
      <c r="O11" s="47" t="s">
        <v>21</v>
      </c>
      <c r="P11" s="48" t="s">
        <v>22</v>
      </c>
      <c r="Q11" s="51" t="s">
        <v>23</v>
      </c>
      <c r="R11" s="47"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 t="s">
        <v>295</v>
      </c>
      <c r="B12" s="8" t="s">
        <v>724</v>
      </c>
      <c r="C12" s="9">
        <v>0.77777777777777779</v>
      </c>
      <c r="D12" s="8" t="s">
        <v>37</v>
      </c>
      <c r="E12" s="8" t="s">
        <v>28</v>
      </c>
      <c r="F12" s="8" t="s">
        <v>725</v>
      </c>
      <c r="G12" s="261"/>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27" t="s">
        <v>300</v>
      </c>
      <c r="B13" s="227" t="s">
        <v>726</v>
      </c>
      <c r="C13" s="228">
        <v>0.71180555555555547</v>
      </c>
      <c r="D13" s="227" t="s">
        <v>37</v>
      </c>
      <c r="E13" s="227" t="s">
        <v>51</v>
      </c>
      <c r="F13" s="227" t="s">
        <v>727</v>
      </c>
      <c r="G13" s="263"/>
      <c r="H13" s="42"/>
      <c r="I13" s="43"/>
      <c r="J13" s="43"/>
      <c r="K13" s="43"/>
      <c r="L13" s="43"/>
      <c r="M13" s="43"/>
      <c r="N13" s="43"/>
      <c r="O13" s="44"/>
      <c r="P13" s="43"/>
      <c r="Q13" s="45"/>
      <c r="R13" s="4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85"/>
      <c r="B14" s="286"/>
      <c r="C14" s="286"/>
      <c r="D14" s="286"/>
      <c r="E14" s="286"/>
      <c r="F14" s="286"/>
      <c r="G14" s="276"/>
      <c r="H14" s="287"/>
      <c r="I14" s="287"/>
      <c r="J14" s="287"/>
      <c r="K14" s="287"/>
      <c r="L14" s="287"/>
      <c r="M14" s="287"/>
      <c r="N14" s="287"/>
      <c r="O14" s="288"/>
      <c r="P14" s="287"/>
      <c r="Q14" s="276"/>
      <c r="R14" s="27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66" t="s">
        <v>5</v>
      </c>
      <c r="B15" s="267"/>
      <c r="C15" s="267"/>
      <c r="D15" s="267"/>
      <c r="E15" s="267"/>
      <c r="F15" s="267"/>
      <c r="G15" s="5">
        <v>45991</v>
      </c>
      <c r="H15" s="270" t="s">
        <v>6</v>
      </c>
      <c r="I15" s="269"/>
      <c r="J15" s="269"/>
      <c r="K15" s="269"/>
      <c r="L15" s="269"/>
      <c r="M15" s="269"/>
      <c r="N15" s="269"/>
      <c r="O15" s="269"/>
      <c r="P15" s="269"/>
      <c r="Q15" s="269"/>
      <c r="R15" s="26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47" t="s">
        <v>7</v>
      </c>
      <c r="B16" s="47" t="s">
        <v>8</v>
      </c>
      <c r="C16" s="48" t="s">
        <v>9</v>
      </c>
      <c r="D16" s="47" t="s">
        <v>10</v>
      </c>
      <c r="E16" s="47" t="s">
        <v>11</v>
      </c>
      <c r="F16" s="47" t="s">
        <v>12</v>
      </c>
      <c r="G16" s="49" t="s">
        <v>13</v>
      </c>
      <c r="H16" s="47" t="s">
        <v>14</v>
      </c>
      <c r="I16" s="50" t="s">
        <v>15</v>
      </c>
      <c r="J16" s="51" t="s">
        <v>16</v>
      </c>
      <c r="K16" s="52" t="s">
        <v>17</v>
      </c>
      <c r="L16" s="51" t="s">
        <v>18</v>
      </c>
      <c r="M16" s="51" t="s">
        <v>19</v>
      </c>
      <c r="N16" s="51" t="s">
        <v>20</v>
      </c>
      <c r="O16" s="47" t="s">
        <v>21</v>
      </c>
      <c r="P16" s="48" t="s">
        <v>22</v>
      </c>
      <c r="Q16" s="51" t="s">
        <v>23</v>
      </c>
      <c r="R16" s="47"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238" t="s">
        <v>300</v>
      </c>
      <c r="B17" s="238" t="s">
        <v>726</v>
      </c>
      <c r="C17" s="239">
        <v>3.8194444444444441E-2</v>
      </c>
      <c r="D17" s="238" t="s">
        <v>37</v>
      </c>
      <c r="E17" s="238" t="s">
        <v>38</v>
      </c>
      <c r="F17" s="238" t="s">
        <v>728</v>
      </c>
      <c r="G17" s="291"/>
      <c r="H17" s="42"/>
      <c r="I17" s="43"/>
      <c r="J17" s="43"/>
      <c r="K17" s="43"/>
      <c r="L17" s="43"/>
      <c r="M17" s="43"/>
      <c r="N17" s="43"/>
      <c r="O17" s="44"/>
      <c r="P17" s="43"/>
      <c r="Q17" s="45"/>
      <c r="R17" s="4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21">
    <mergeCell ref="A1:C1"/>
    <mergeCell ref="G1:H1"/>
    <mergeCell ref="G12:G13"/>
    <mergeCell ref="H15:R15"/>
    <mergeCell ref="G6:G8"/>
    <mergeCell ref="O1:Q1"/>
    <mergeCell ref="H10:R10"/>
    <mergeCell ref="H4:R4"/>
    <mergeCell ref="A18:R18"/>
    <mergeCell ref="A2:F2"/>
    <mergeCell ref="A3:R3"/>
    <mergeCell ref="A14:R14"/>
    <mergeCell ref="G2:J2"/>
    <mergeCell ref="A4:F4"/>
    <mergeCell ref="J1:M1"/>
    <mergeCell ref="G17"/>
    <mergeCell ref="A10:F10"/>
    <mergeCell ref="K2:R2"/>
    <mergeCell ref="A9:R9"/>
    <mergeCell ref="D1:F1"/>
    <mergeCell ref="A15:F1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5"/>
  <sheetViews>
    <sheetView workbookViewId="0">
      <pane ySplit="1" topLeftCell="A2" activePane="bottomLeft" state="frozen"/>
      <selection pane="bottomLeft"/>
    </sheetView>
  </sheetViews>
  <sheetFormatPr defaultRowHeight="14.4" x14ac:dyDescent="0.3"/>
  <cols>
    <col min="1" max="1" width="11.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719</v>
      </c>
      <c r="D2" s="81">
        <v>0.2638888888888889</v>
      </c>
      <c r="E2" s="80" t="s">
        <v>718</v>
      </c>
      <c r="F2" s="80" t="s">
        <v>159</v>
      </c>
      <c r="G2" s="82">
        <v>1</v>
      </c>
      <c r="H2" s="83">
        <v>180</v>
      </c>
      <c r="I2" s="83">
        <v>180</v>
      </c>
      <c r="J2" s="83">
        <v>180</v>
      </c>
      <c r="K2" s="79">
        <v>45984</v>
      </c>
      <c r="L2" s="83">
        <v>0</v>
      </c>
      <c r="M2" s="83">
        <v>99</v>
      </c>
      <c r="N2" s="83">
        <v>99</v>
      </c>
      <c r="O2" s="80" t="s">
        <v>46</v>
      </c>
      <c r="P2" s="84"/>
      <c r="Q2" s="84"/>
      <c r="R2" s="84"/>
      <c r="S2" s="84"/>
      <c r="T2" s="84"/>
      <c r="U2" s="84"/>
      <c r="V2" s="84"/>
      <c r="W2" s="84"/>
      <c r="X2" s="84"/>
      <c r="Y2" s="84"/>
      <c r="Z2" s="84"/>
      <c r="AA2" s="84"/>
      <c r="AB2" s="84"/>
      <c r="AC2" s="84"/>
      <c r="AD2" s="84"/>
      <c r="AE2" s="84"/>
      <c r="AF2" s="84"/>
      <c r="AG2" s="84"/>
      <c r="AH2" s="83" t="s">
        <v>720</v>
      </c>
      <c r="AI2" s="84"/>
    </row>
    <row r="3" spans="1:35" ht="18" x14ac:dyDescent="0.3">
      <c r="A3" s="85" t="s">
        <v>158</v>
      </c>
      <c r="B3" s="86">
        <v>45986</v>
      </c>
      <c r="C3" s="87" t="s">
        <v>721</v>
      </c>
      <c r="D3" s="88">
        <v>0.63888888888888895</v>
      </c>
      <c r="E3" s="87" t="s">
        <v>718</v>
      </c>
      <c r="F3" s="87" t="s">
        <v>159</v>
      </c>
      <c r="G3" s="89">
        <v>0</v>
      </c>
      <c r="H3" s="90">
        <v>180</v>
      </c>
      <c r="I3" s="90">
        <v>0</v>
      </c>
      <c r="J3" s="90">
        <v>0</v>
      </c>
      <c r="K3" s="86" t="s">
        <v>722</v>
      </c>
      <c r="L3" s="90">
        <v>0</v>
      </c>
      <c r="M3" s="90">
        <v>0</v>
      </c>
      <c r="N3" s="90">
        <v>0</v>
      </c>
      <c r="O3" s="87" t="s">
        <v>46</v>
      </c>
      <c r="P3" s="91"/>
      <c r="Q3" s="91"/>
      <c r="R3" s="91"/>
      <c r="S3" s="91"/>
      <c r="T3" s="91"/>
      <c r="U3" s="91"/>
      <c r="V3" s="91"/>
      <c r="W3" s="91"/>
      <c r="X3" s="91"/>
      <c r="Y3" s="91"/>
      <c r="Z3" s="91"/>
      <c r="AA3" s="91"/>
      <c r="AB3" s="91"/>
      <c r="AC3" s="91"/>
      <c r="AD3" s="91"/>
      <c r="AE3" s="91"/>
      <c r="AF3" s="91"/>
      <c r="AG3" s="91"/>
      <c r="AH3" s="91"/>
      <c r="AI3" s="91"/>
    </row>
    <row r="4" spans="1:35" ht="18" x14ac:dyDescent="0.3">
      <c r="A4" s="78" t="s">
        <v>158</v>
      </c>
      <c r="B4" s="79">
        <v>45986</v>
      </c>
      <c r="C4" s="80" t="s">
        <v>723</v>
      </c>
      <c r="D4" s="81">
        <v>0.79166666666666663</v>
      </c>
      <c r="E4" s="80" t="s">
        <v>718</v>
      </c>
      <c r="F4" s="80" t="s">
        <v>159</v>
      </c>
      <c r="G4" s="82">
        <v>0</v>
      </c>
      <c r="H4" s="83">
        <v>180</v>
      </c>
      <c r="I4" s="83">
        <v>0</v>
      </c>
      <c r="J4" s="83">
        <v>0</v>
      </c>
      <c r="K4" s="79" t="s">
        <v>722</v>
      </c>
      <c r="L4" s="83">
        <v>0</v>
      </c>
      <c r="M4" s="83">
        <v>0</v>
      </c>
      <c r="N4" s="83">
        <v>0</v>
      </c>
      <c r="O4" s="80" t="s">
        <v>46</v>
      </c>
      <c r="P4" s="84"/>
      <c r="Q4" s="84"/>
      <c r="R4" s="84"/>
      <c r="S4" s="84"/>
      <c r="T4" s="84"/>
      <c r="U4" s="84"/>
      <c r="V4" s="84"/>
      <c r="W4" s="84"/>
      <c r="X4" s="84"/>
      <c r="Y4" s="84"/>
      <c r="Z4" s="84"/>
      <c r="AA4" s="84"/>
      <c r="AB4" s="84"/>
      <c r="AC4" s="84"/>
      <c r="AD4" s="84"/>
      <c r="AE4" s="84"/>
      <c r="AF4" s="84"/>
      <c r="AG4" s="84"/>
      <c r="AH4" s="84"/>
      <c r="AI4" s="84"/>
    </row>
    <row r="5" spans="1:35" ht="18" x14ac:dyDescent="0.3">
      <c r="A5" s="92" t="s">
        <v>189</v>
      </c>
      <c r="B5" s="93"/>
      <c r="C5" s="94">
        <f>COUNTA(C2:C4)</f>
        <v>3</v>
      </c>
      <c r="D5" s="93"/>
      <c r="E5" s="93"/>
      <c r="F5" s="93"/>
      <c r="G5" s="95">
        <f>AVERAGE(G2:G4)</f>
        <v>0.33333333333333331</v>
      </c>
      <c r="H5" s="96">
        <f>SUM(H2:H4)</f>
        <v>540</v>
      </c>
      <c r="I5" s="96">
        <f>SUM(I2:I4)</f>
        <v>180</v>
      </c>
      <c r="J5" s="96">
        <f>SUM(J2:J4)</f>
        <v>180</v>
      </c>
      <c r="K5" s="93"/>
      <c r="L5" s="96">
        <f>SUM(L2:L4)</f>
        <v>0</v>
      </c>
      <c r="M5" s="96">
        <f>SUM(M2:M4)</f>
        <v>99</v>
      </c>
      <c r="N5" s="96">
        <f>SUM(N2:N4)</f>
        <v>99</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719</v>
      </c>
      <c r="D2" s="110" t="s">
        <v>718</v>
      </c>
      <c r="E2" s="112">
        <v>1.2638888888888891</v>
      </c>
      <c r="F2" s="110" t="s">
        <v>44</v>
      </c>
      <c r="G2" s="110"/>
      <c r="H2" s="166" t="s">
        <v>45</v>
      </c>
    </row>
    <row r="3" spans="1:8" ht="18" x14ac:dyDescent="0.3">
      <c r="A3" s="114">
        <v>45986</v>
      </c>
      <c r="B3" s="115" t="s">
        <v>35</v>
      </c>
      <c r="C3" s="116" t="s">
        <v>721</v>
      </c>
      <c r="D3" s="115" t="s">
        <v>718</v>
      </c>
      <c r="E3" s="117">
        <v>1.6388888888888891</v>
      </c>
      <c r="F3" s="115" t="s">
        <v>44</v>
      </c>
      <c r="G3" s="115"/>
      <c r="H3" s="115" t="s">
        <v>45</v>
      </c>
    </row>
    <row r="4" spans="1:8" ht="18" x14ac:dyDescent="0.3">
      <c r="A4" s="229">
        <v>45986</v>
      </c>
      <c r="B4" s="230" t="s">
        <v>35</v>
      </c>
      <c r="C4" s="231" t="s">
        <v>723</v>
      </c>
      <c r="D4" s="230" t="s">
        <v>718</v>
      </c>
      <c r="E4" s="232">
        <v>1.791666666666667</v>
      </c>
      <c r="F4" s="230" t="s">
        <v>44</v>
      </c>
      <c r="G4" s="230"/>
      <c r="H4" s="230" t="s">
        <v>45</v>
      </c>
    </row>
    <row r="5" spans="1:8" ht="18" x14ac:dyDescent="0.3">
      <c r="A5" s="98">
        <v>45987</v>
      </c>
      <c r="B5" s="99" t="s">
        <v>295</v>
      </c>
      <c r="C5" s="100" t="s">
        <v>724</v>
      </c>
      <c r="D5" s="99" t="s">
        <v>718</v>
      </c>
      <c r="E5" s="101">
        <v>1.7777777777777779</v>
      </c>
      <c r="F5" s="99" t="s">
        <v>37</v>
      </c>
      <c r="G5" s="102">
        <v>8</v>
      </c>
      <c r="H5" s="103" t="s">
        <v>725</v>
      </c>
    </row>
    <row r="6" spans="1:8" ht="18" x14ac:dyDescent="0.3">
      <c r="A6" s="169">
        <v>45987</v>
      </c>
      <c r="B6" s="170" t="s">
        <v>300</v>
      </c>
      <c r="C6" s="171" t="s">
        <v>726</v>
      </c>
      <c r="D6" s="170" t="s">
        <v>718</v>
      </c>
      <c r="E6" s="172">
        <v>1.711805555555556</v>
      </c>
      <c r="F6" s="170" t="s">
        <v>37</v>
      </c>
      <c r="G6" s="173">
        <v>3</v>
      </c>
      <c r="H6" s="170" t="s">
        <v>727</v>
      </c>
    </row>
    <row r="7" spans="1:8" ht="18" x14ac:dyDescent="0.3">
      <c r="A7" s="240">
        <v>45991</v>
      </c>
      <c r="B7" s="170" t="s">
        <v>300</v>
      </c>
      <c r="C7" s="171" t="s">
        <v>726</v>
      </c>
      <c r="D7" s="170" t="s">
        <v>718</v>
      </c>
      <c r="E7" s="172">
        <v>1.038194444444444</v>
      </c>
      <c r="F7" s="170" t="s">
        <v>37</v>
      </c>
      <c r="G7" s="173">
        <v>4</v>
      </c>
      <c r="H7" s="241" t="s">
        <v>728</v>
      </c>
    </row>
  </sheetData>
  <dataValidations count="3">
    <dataValidation type="custom" allowBlank="1" showInputMessage="1" promptTitle="LOAD FACTOR ANALYSIS" prompt="SM429_x000d__x000a_LF 1.0%_x000d__x000a_SOLD 180_x000d__x000a_LST-SOLD 23NOV_x000d__x000a_WEEKLY 99_x000d__x000a_TO-DAY NIL_x000d__x000a_Y-DAY 99_x000d__x000a_LOWEST AVAIL CLOSED_x000d__x000a_CAPACITY 180_x000d__x000a_CLASSES P180" sqref="A2 B2 C2 D2 E2 F2 G2 H2" xr:uid="{00000000-0002-0000-1500-000000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3 B3 C3 D3 E3 F3 G3 H3" xr:uid="{00000000-0002-0000-1500-000001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4 B4 C4 D4 E4 F4 G4 H4" xr:uid="{00000000-0002-0000-1500-000002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5"/>
  <sheetViews>
    <sheetView zoomScale="85" workbookViewId="0"/>
  </sheetViews>
  <sheetFormatPr defaultRowHeight="14.4" x14ac:dyDescent="0.3"/>
  <cols>
    <col min="14" max="14" width="7.77734375" bestFit="1" customWidth="1"/>
  </cols>
  <sheetData>
    <row r="1" spans="1:92" ht="28.8" customHeight="1" x14ac:dyDescent="0.3">
      <c r="A1" s="284" t="s">
        <v>0</v>
      </c>
      <c r="B1" s="265"/>
      <c r="C1" s="265"/>
      <c r="D1" s="284" t="s">
        <v>729</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45985.36214387494</v>
      </c>
      <c r="H2" s="272"/>
      <c r="I2" s="272"/>
      <c r="J2" s="272"/>
      <c r="K2" s="282">
        <v>45985.362143875413</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42"/>
      <c r="B4" s="242"/>
      <c r="C4" s="242"/>
      <c r="D4" s="242"/>
      <c r="E4" s="242"/>
      <c r="F4" s="242"/>
      <c r="G4" s="243"/>
      <c r="H4" s="244"/>
      <c r="I4" s="244"/>
      <c r="J4" s="244"/>
      <c r="K4" s="244"/>
      <c r="L4" s="244"/>
      <c r="M4" s="244"/>
      <c r="N4" s="244"/>
      <c r="O4" s="244"/>
      <c r="P4" s="244"/>
      <c r="Q4" s="244"/>
      <c r="R4" s="244"/>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4"/>
      <c r="B5" s="244"/>
      <c r="C5" s="244"/>
      <c r="D5" s="244"/>
      <c r="E5" s="244"/>
      <c r="F5" s="244"/>
      <c r="G5" s="244"/>
      <c r="H5" s="244"/>
      <c r="I5" s="244"/>
      <c r="J5" s="244"/>
      <c r="K5" s="244"/>
      <c r="L5" s="244"/>
      <c r="M5" s="244"/>
      <c r="N5" s="244"/>
      <c r="O5" s="244"/>
      <c r="P5" s="244"/>
      <c r="Q5" s="244"/>
      <c r="R5" s="244"/>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97" t="s">
        <v>190</v>
      </c>
      <c r="B1" s="97" t="s">
        <v>7</v>
      </c>
      <c r="C1" s="97" t="s">
        <v>8</v>
      </c>
      <c r="D1" s="97" t="s">
        <v>191</v>
      </c>
      <c r="E1" s="97" t="s">
        <v>9</v>
      </c>
      <c r="F1" s="97" t="s">
        <v>10</v>
      </c>
      <c r="G1" s="97" t="s">
        <v>11</v>
      </c>
      <c r="H1" s="97" t="s">
        <v>12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1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3" bestFit="1" customWidth="1"/>
    <col min="5" max="5" width="17.33203125" bestFit="1" customWidth="1"/>
    <col min="6" max="6" width="20.5546875" bestFit="1" customWidth="1"/>
    <col min="7" max="7" width="49.777343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84" t="s">
        <v>0</v>
      </c>
      <c r="B1" s="265"/>
      <c r="C1" s="265"/>
      <c r="D1" s="284" t="s">
        <v>730</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45985.362144091603</v>
      </c>
      <c r="H2" s="272"/>
      <c r="I2" s="272"/>
      <c r="J2" s="272"/>
      <c r="K2" s="282">
        <v>45985.362144092083</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45987</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58</v>
      </c>
      <c r="B6" s="238" t="s">
        <v>731</v>
      </c>
      <c r="C6" s="239">
        <v>0.69097222222222221</v>
      </c>
      <c r="D6" s="238" t="s">
        <v>63</v>
      </c>
      <c r="E6" s="238" t="s">
        <v>103</v>
      </c>
      <c r="F6" s="238" t="s">
        <v>732</v>
      </c>
      <c r="G6" s="291"/>
      <c r="H6" s="42"/>
      <c r="I6" s="43"/>
      <c r="J6" s="43"/>
      <c r="K6" s="43"/>
      <c r="L6" s="43"/>
      <c r="M6" s="43"/>
      <c r="N6" s="43"/>
      <c r="O6" s="44"/>
      <c r="P6" s="43"/>
      <c r="Q6" s="45"/>
      <c r="R6" s="46"/>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75"/>
      <c r="B7" s="276"/>
      <c r="C7" s="276"/>
      <c r="D7" s="276"/>
      <c r="E7" s="276"/>
      <c r="F7" s="276"/>
      <c r="G7" s="276"/>
      <c r="H7" s="276"/>
      <c r="I7" s="276"/>
      <c r="J7" s="276"/>
      <c r="K7" s="276"/>
      <c r="L7" s="276"/>
      <c r="M7" s="276"/>
      <c r="N7" s="276"/>
      <c r="O7" s="276"/>
      <c r="P7" s="276"/>
      <c r="Q7" s="276"/>
      <c r="R7" s="27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66" t="s">
        <v>5</v>
      </c>
      <c r="B8" s="267"/>
      <c r="C8" s="267"/>
      <c r="D8" s="267"/>
      <c r="E8" s="267"/>
      <c r="F8" s="267"/>
      <c r="G8" s="5">
        <v>45988</v>
      </c>
      <c r="H8" s="270" t="s">
        <v>6</v>
      </c>
      <c r="I8" s="269"/>
      <c r="J8" s="269"/>
      <c r="K8" s="269"/>
      <c r="L8" s="269"/>
      <c r="M8" s="269"/>
      <c r="N8" s="269"/>
      <c r="O8" s="269"/>
      <c r="P8" s="269"/>
      <c r="Q8" s="269"/>
      <c r="R8" s="26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47" t="s">
        <v>7</v>
      </c>
      <c r="B9" s="47" t="s">
        <v>8</v>
      </c>
      <c r="C9" s="48" t="s">
        <v>9</v>
      </c>
      <c r="D9" s="47" t="s">
        <v>10</v>
      </c>
      <c r="E9" s="47" t="s">
        <v>11</v>
      </c>
      <c r="F9" s="47" t="s">
        <v>12</v>
      </c>
      <c r="G9" s="49" t="s">
        <v>13</v>
      </c>
      <c r="H9" s="47" t="s">
        <v>14</v>
      </c>
      <c r="I9" s="50" t="s">
        <v>15</v>
      </c>
      <c r="J9" s="51" t="s">
        <v>16</v>
      </c>
      <c r="K9" s="52" t="s">
        <v>17</v>
      </c>
      <c r="L9" s="51" t="s">
        <v>18</v>
      </c>
      <c r="M9" s="51" t="s">
        <v>19</v>
      </c>
      <c r="N9" s="51" t="s">
        <v>20</v>
      </c>
      <c r="O9" s="47" t="s">
        <v>21</v>
      </c>
      <c r="P9" s="48" t="s">
        <v>22</v>
      </c>
      <c r="Q9" s="51" t="s">
        <v>23</v>
      </c>
      <c r="R9" s="4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238" t="s">
        <v>58</v>
      </c>
      <c r="B10" s="238" t="s">
        <v>731</v>
      </c>
      <c r="C10" s="239">
        <v>0.69097222222222221</v>
      </c>
      <c r="D10" s="238" t="s">
        <v>63</v>
      </c>
      <c r="E10" s="238" t="s">
        <v>51</v>
      </c>
      <c r="F10" s="238" t="s">
        <v>733</v>
      </c>
      <c r="G10" s="291"/>
      <c r="H10" s="42"/>
      <c r="I10" s="43"/>
      <c r="J10" s="43"/>
      <c r="K10" s="43"/>
      <c r="L10" s="43"/>
      <c r="M10" s="43"/>
      <c r="N10" s="43"/>
      <c r="O10" s="44"/>
      <c r="P10" s="43"/>
      <c r="Q10" s="45"/>
      <c r="R10" s="4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85"/>
      <c r="B11" s="286"/>
      <c r="C11" s="286"/>
      <c r="D11" s="286"/>
      <c r="E11" s="286"/>
      <c r="F11" s="286"/>
      <c r="G11" s="276"/>
      <c r="H11" s="287"/>
      <c r="I11" s="287"/>
      <c r="J11" s="287"/>
      <c r="K11" s="287"/>
      <c r="L11" s="287"/>
      <c r="M11" s="287"/>
      <c r="N11" s="287"/>
      <c r="O11" s="288"/>
      <c r="P11" s="287"/>
      <c r="Q11" s="276"/>
      <c r="R11" s="27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66" t="s">
        <v>5</v>
      </c>
      <c r="B12" s="267"/>
      <c r="C12" s="267"/>
      <c r="D12" s="267"/>
      <c r="E12" s="267"/>
      <c r="F12" s="267"/>
      <c r="G12" s="5">
        <v>45990</v>
      </c>
      <c r="H12" s="270" t="s">
        <v>6</v>
      </c>
      <c r="I12" s="269"/>
      <c r="J12" s="269"/>
      <c r="K12" s="269"/>
      <c r="L12" s="269"/>
      <c r="M12" s="269"/>
      <c r="N12" s="269"/>
      <c r="O12" s="269"/>
      <c r="P12" s="269"/>
      <c r="Q12" s="269"/>
      <c r="R12" s="26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47" t="s">
        <v>7</v>
      </c>
      <c r="B13" s="47" t="s">
        <v>8</v>
      </c>
      <c r="C13" s="48" t="s">
        <v>9</v>
      </c>
      <c r="D13" s="47" t="s">
        <v>10</v>
      </c>
      <c r="E13" s="47" t="s">
        <v>11</v>
      </c>
      <c r="F13" s="47" t="s">
        <v>12</v>
      </c>
      <c r="G13" s="49" t="s">
        <v>13</v>
      </c>
      <c r="H13" s="47" t="s">
        <v>14</v>
      </c>
      <c r="I13" s="50" t="s">
        <v>15</v>
      </c>
      <c r="J13" s="51" t="s">
        <v>16</v>
      </c>
      <c r="K13" s="52" t="s">
        <v>17</v>
      </c>
      <c r="L13" s="51" t="s">
        <v>18</v>
      </c>
      <c r="M13" s="51" t="s">
        <v>19</v>
      </c>
      <c r="N13" s="51" t="s">
        <v>20</v>
      </c>
      <c r="O13" s="47" t="s">
        <v>21</v>
      </c>
      <c r="P13" s="48" t="s">
        <v>22</v>
      </c>
      <c r="Q13" s="51" t="s">
        <v>23</v>
      </c>
      <c r="R13" s="47"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38" t="s">
        <v>58</v>
      </c>
      <c r="B14" s="238" t="s">
        <v>731</v>
      </c>
      <c r="C14" s="239">
        <v>0.69097222222222221</v>
      </c>
      <c r="D14" s="238" t="s">
        <v>63</v>
      </c>
      <c r="E14" s="238" t="s">
        <v>38</v>
      </c>
      <c r="F14" s="238" t="s">
        <v>732</v>
      </c>
      <c r="G14" s="291"/>
      <c r="H14" s="42"/>
      <c r="I14" s="43"/>
      <c r="J14" s="43"/>
      <c r="K14" s="43"/>
      <c r="L14" s="43"/>
      <c r="M14" s="43"/>
      <c r="N14" s="43"/>
      <c r="O14" s="44"/>
      <c r="P14" s="43"/>
      <c r="Q14" s="45"/>
      <c r="R14" s="4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85"/>
      <c r="B15" s="286"/>
      <c r="C15" s="286"/>
      <c r="D15" s="286"/>
      <c r="E15" s="286"/>
      <c r="F15" s="286"/>
      <c r="G15" s="276"/>
      <c r="H15" s="287"/>
      <c r="I15" s="287"/>
      <c r="J15" s="287"/>
      <c r="K15" s="287"/>
      <c r="L15" s="287"/>
      <c r="M15" s="287"/>
      <c r="N15" s="287"/>
      <c r="O15" s="288"/>
      <c r="P15" s="287"/>
      <c r="Q15" s="276"/>
      <c r="R15" s="27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66" t="s">
        <v>5</v>
      </c>
      <c r="B16" s="267"/>
      <c r="C16" s="267"/>
      <c r="D16" s="267"/>
      <c r="E16" s="267"/>
      <c r="F16" s="267"/>
      <c r="G16" s="5">
        <v>45991</v>
      </c>
      <c r="H16" s="270" t="s">
        <v>6</v>
      </c>
      <c r="I16" s="269"/>
      <c r="J16" s="269"/>
      <c r="K16" s="269"/>
      <c r="L16" s="269"/>
      <c r="M16" s="269"/>
      <c r="N16" s="269"/>
      <c r="O16" s="269"/>
      <c r="P16" s="269"/>
      <c r="Q16" s="269"/>
      <c r="R16" s="26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47" t="s">
        <v>7</v>
      </c>
      <c r="B17" s="47" t="s">
        <v>8</v>
      </c>
      <c r="C17" s="48" t="s">
        <v>9</v>
      </c>
      <c r="D17" s="47" t="s">
        <v>10</v>
      </c>
      <c r="E17" s="47" t="s">
        <v>11</v>
      </c>
      <c r="F17" s="47" t="s">
        <v>12</v>
      </c>
      <c r="G17" s="49" t="s">
        <v>13</v>
      </c>
      <c r="H17" s="47" t="s">
        <v>14</v>
      </c>
      <c r="I17" s="50" t="s">
        <v>15</v>
      </c>
      <c r="J17" s="51" t="s">
        <v>16</v>
      </c>
      <c r="K17" s="52" t="s">
        <v>17</v>
      </c>
      <c r="L17" s="51" t="s">
        <v>18</v>
      </c>
      <c r="M17" s="51" t="s">
        <v>19</v>
      </c>
      <c r="N17" s="51" t="s">
        <v>20</v>
      </c>
      <c r="O17" s="47" t="s">
        <v>21</v>
      </c>
      <c r="P17" s="48" t="s">
        <v>22</v>
      </c>
      <c r="Q17" s="51" t="s">
        <v>23</v>
      </c>
      <c r="R17" s="4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238" t="s">
        <v>58</v>
      </c>
      <c r="B18" s="238" t="s">
        <v>731</v>
      </c>
      <c r="C18" s="239">
        <v>0.69097222222222221</v>
      </c>
      <c r="D18" s="238" t="s">
        <v>63</v>
      </c>
      <c r="E18" s="238" t="s">
        <v>38</v>
      </c>
      <c r="F18" s="238" t="s">
        <v>732</v>
      </c>
      <c r="G18" s="291"/>
      <c r="H18" s="42"/>
      <c r="I18" s="43"/>
      <c r="J18" s="43"/>
      <c r="K18" s="43"/>
      <c r="L18" s="43"/>
      <c r="M18" s="43"/>
      <c r="N18" s="43"/>
      <c r="O18" s="44"/>
      <c r="P18" s="43"/>
      <c r="Q18" s="45"/>
      <c r="R18" s="4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5"/>
      <c r="B19" s="276"/>
      <c r="C19" s="276"/>
      <c r="D19" s="276"/>
      <c r="E19" s="276"/>
      <c r="F19" s="276"/>
      <c r="G19" s="276"/>
      <c r="H19" s="276"/>
      <c r="I19" s="276"/>
      <c r="J19" s="276"/>
      <c r="K19" s="276"/>
      <c r="L19" s="276"/>
      <c r="M19" s="276"/>
      <c r="N19" s="276"/>
      <c r="O19" s="276"/>
      <c r="P19" s="276"/>
      <c r="Q19" s="276"/>
      <c r="R19" s="27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sheetData>
  <mergeCells count="25">
    <mergeCell ref="A19:R19"/>
    <mergeCell ref="H16:R16"/>
    <mergeCell ref="K2:R2"/>
    <mergeCell ref="G10"/>
    <mergeCell ref="D1:F1"/>
    <mergeCell ref="G6"/>
    <mergeCell ref="G18"/>
    <mergeCell ref="A15:R15"/>
    <mergeCell ref="A1:C1"/>
    <mergeCell ref="H12:R12"/>
    <mergeCell ref="G1:H1"/>
    <mergeCell ref="A11:R11"/>
    <mergeCell ref="G14"/>
    <mergeCell ref="A16:F16"/>
    <mergeCell ref="H8:R8"/>
    <mergeCell ref="O1:Q1"/>
    <mergeCell ref="A7:R7"/>
    <mergeCell ref="A12:F12"/>
    <mergeCell ref="H4:R4"/>
    <mergeCell ref="A2:F2"/>
    <mergeCell ref="A3:R3"/>
    <mergeCell ref="A8:F8"/>
    <mergeCell ref="G2:J2"/>
    <mergeCell ref="A4:F4"/>
    <mergeCell ref="J1:M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7.109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240">
        <v>45987</v>
      </c>
      <c r="B2" s="170" t="s">
        <v>58</v>
      </c>
      <c r="C2" s="171" t="s">
        <v>731</v>
      </c>
      <c r="D2" s="170" t="s">
        <v>730</v>
      </c>
      <c r="E2" s="172">
        <v>1.6909722222222221</v>
      </c>
      <c r="F2" s="170" t="s">
        <v>63</v>
      </c>
      <c r="G2" s="173">
        <v>2</v>
      </c>
      <c r="H2" s="241" t="s">
        <v>732</v>
      </c>
    </row>
    <row r="3" spans="1:8" ht="18" x14ac:dyDescent="0.3">
      <c r="A3" s="240">
        <v>45988</v>
      </c>
      <c r="B3" s="170" t="s">
        <v>58</v>
      </c>
      <c r="C3" s="171" t="s">
        <v>731</v>
      </c>
      <c r="D3" s="170" t="s">
        <v>730</v>
      </c>
      <c r="E3" s="172">
        <v>1.6909722222222221</v>
      </c>
      <c r="F3" s="170" t="s">
        <v>63</v>
      </c>
      <c r="G3" s="173">
        <v>3</v>
      </c>
      <c r="H3" s="241" t="s">
        <v>733</v>
      </c>
    </row>
    <row r="4" spans="1:8" ht="18" x14ac:dyDescent="0.3">
      <c r="A4" s="240">
        <v>45990</v>
      </c>
      <c r="B4" s="170" t="s">
        <v>58</v>
      </c>
      <c r="C4" s="171" t="s">
        <v>731</v>
      </c>
      <c r="D4" s="170" t="s">
        <v>730</v>
      </c>
      <c r="E4" s="172">
        <v>1.6909722222222221</v>
      </c>
      <c r="F4" s="170" t="s">
        <v>63</v>
      </c>
      <c r="G4" s="173">
        <v>4</v>
      </c>
      <c r="H4" s="241" t="s">
        <v>732</v>
      </c>
    </row>
    <row r="5" spans="1:8" ht="18" x14ac:dyDescent="0.3">
      <c r="A5" s="240">
        <v>45991</v>
      </c>
      <c r="B5" s="170" t="s">
        <v>58</v>
      </c>
      <c r="C5" s="171" t="s">
        <v>731</v>
      </c>
      <c r="D5" s="170" t="s">
        <v>730</v>
      </c>
      <c r="E5" s="172">
        <v>1.6909722222222221</v>
      </c>
      <c r="F5" s="170" t="s">
        <v>63</v>
      </c>
      <c r="G5" s="173">
        <v>4</v>
      </c>
      <c r="H5" s="241" t="s">
        <v>732</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284" t="s">
        <v>0</v>
      </c>
      <c r="B1" s="265"/>
      <c r="C1" s="265"/>
      <c r="D1" s="284" t="s">
        <v>734</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45985.362144936873</v>
      </c>
      <c r="H2" s="272"/>
      <c r="I2" s="272"/>
      <c r="J2" s="272"/>
      <c r="K2" s="282">
        <v>45985.362144937382</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42"/>
      <c r="B4" s="242"/>
      <c r="C4" s="242"/>
      <c r="D4" s="242"/>
      <c r="E4" s="242"/>
      <c r="F4" s="242"/>
      <c r="G4" s="243"/>
      <c r="H4" s="244"/>
      <c r="I4" s="244"/>
      <c r="J4" s="244"/>
      <c r="K4" s="244"/>
      <c r="L4" s="244"/>
      <c r="M4" s="244"/>
      <c r="N4" s="244"/>
      <c r="O4" s="244"/>
      <c r="P4" s="244"/>
      <c r="Q4" s="244"/>
      <c r="R4" s="244"/>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44"/>
      <c r="B5" s="244"/>
      <c r="C5" s="244"/>
      <c r="D5" s="244"/>
      <c r="E5" s="244"/>
      <c r="F5" s="244"/>
      <c r="G5" s="244"/>
      <c r="H5" s="244"/>
      <c r="I5" s="244"/>
      <c r="J5" s="244"/>
      <c r="K5" s="244"/>
      <c r="L5" s="244"/>
      <c r="M5" s="244"/>
      <c r="N5" s="244"/>
      <c r="O5" s="244"/>
      <c r="P5" s="244"/>
      <c r="Q5" s="244"/>
      <c r="R5" s="244"/>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97" t="s">
        <v>190</v>
      </c>
      <c r="B1" s="97" t="s">
        <v>7</v>
      </c>
      <c r="C1" s="97" t="s">
        <v>8</v>
      </c>
      <c r="D1" s="97" t="s">
        <v>191</v>
      </c>
      <c r="E1" s="97" t="s">
        <v>9</v>
      </c>
      <c r="F1" s="97" t="s">
        <v>10</v>
      </c>
      <c r="G1" s="97" t="s">
        <v>11</v>
      </c>
      <c r="H1" s="97"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28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81.6640625" bestFit="1" customWidth="1"/>
  </cols>
  <sheetData>
    <row r="1" spans="1:92" ht="28.8" customHeight="1" x14ac:dyDescent="0.3">
      <c r="A1" s="284" t="s">
        <v>0</v>
      </c>
      <c r="B1" s="265"/>
      <c r="C1" s="265"/>
      <c r="D1" s="284" t="s">
        <v>735</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45985.362145164647</v>
      </c>
      <c r="H2" s="272"/>
      <c r="I2" s="272"/>
      <c r="J2" s="272"/>
      <c r="K2" s="282">
        <v>45985.362145165149</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736</v>
      </c>
      <c r="C6" s="9">
        <v>0.57638888888888895</v>
      </c>
      <c r="D6" s="8" t="s">
        <v>335</v>
      </c>
      <c r="E6" s="8" t="s">
        <v>61</v>
      </c>
      <c r="F6" s="8" t="s">
        <v>737</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38" t="s">
        <v>25</v>
      </c>
      <c r="B7" s="38" t="s">
        <v>738</v>
      </c>
      <c r="C7" s="39">
        <v>0.62847222222222221</v>
      </c>
      <c r="D7" s="38" t="s">
        <v>335</v>
      </c>
      <c r="E7" s="38" t="s">
        <v>272</v>
      </c>
      <c r="F7" s="38" t="s">
        <v>660</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38" t="s">
        <v>25</v>
      </c>
      <c r="B8" s="38" t="s">
        <v>739</v>
      </c>
      <c r="C8" s="39">
        <v>0.94444444444444453</v>
      </c>
      <c r="D8" s="38" t="s">
        <v>335</v>
      </c>
      <c r="E8" s="38" t="s">
        <v>70</v>
      </c>
      <c r="F8" s="38" t="s">
        <v>660</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8" t="s">
        <v>25</v>
      </c>
      <c r="B9" s="38" t="s">
        <v>740</v>
      </c>
      <c r="C9" s="39">
        <v>0.88888888888888884</v>
      </c>
      <c r="D9" s="38" t="s">
        <v>335</v>
      </c>
      <c r="E9" s="38" t="s">
        <v>83</v>
      </c>
      <c r="F9" s="38" t="s">
        <v>741</v>
      </c>
      <c r="G9" s="262"/>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6" t="s">
        <v>48</v>
      </c>
      <c r="B10" s="36" t="s">
        <v>742</v>
      </c>
      <c r="C10" s="37">
        <v>0.4375</v>
      </c>
      <c r="D10" s="36" t="s">
        <v>102</v>
      </c>
      <c r="E10" s="36" t="s">
        <v>103</v>
      </c>
      <c r="F10" s="36" t="s">
        <v>743</v>
      </c>
      <c r="G10" s="26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48</v>
      </c>
      <c r="B11" s="38" t="s">
        <v>744</v>
      </c>
      <c r="C11" s="39">
        <v>0.63194444444444442</v>
      </c>
      <c r="D11" s="38" t="s">
        <v>102</v>
      </c>
      <c r="E11" s="38" t="s">
        <v>287</v>
      </c>
      <c r="F11" s="38" t="s">
        <v>743</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48</v>
      </c>
      <c r="B12" s="38" t="s">
        <v>745</v>
      </c>
      <c r="C12" s="39">
        <v>0.55902777777777779</v>
      </c>
      <c r="D12" s="38" t="s">
        <v>102</v>
      </c>
      <c r="E12" s="38" t="s">
        <v>70</v>
      </c>
      <c r="F12" s="38" t="s">
        <v>743</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48</v>
      </c>
      <c r="B13" s="38" t="s">
        <v>746</v>
      </c>
      <c r="C13" s="39">
        <v>0.50694444444444442</v>
      </c>
      <c r="D13" s="38" t="s">
        <v>102</v>
      </c>
      <c r="E13" s="38" t="s">
        <v>66</v>
      </c>
      <c r="F13" s="38" t="s">
        <v>743</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48</v>
      </c>
      <c r="B14" s="38" t="s">
        <v>747</v>
      </c>
      <c r="C14" s="39">
        <v>0.81944444444444453</v>
      </c>
      <c r="D14" s="38" t="s">
        <v>102</v>
      </c>
      <c r="E14" s="38" t="s">
        <v>80</v>
      </c>
      <c r="F14" s="38" t="s">
        <v>748</v>
      </c>
      <c r="G14" s="262"/>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48</v>
      </c>
      <c r="B15" s="38" t="s">
        <v>749</v>
      </c>
      <c r="C15" s="39">
        <v>0.69791666666666663</v>
      </c>
      <c r="D15" s="38" t="s">
        <v>102</v>
      </c>
      <c r="E15" s="38" t="s">
        <v>118</v>
      </c>
      <c r="F15" s="38" t="s">
        <v>748</v>
      </c>
      <c r="G15" s="262"/>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48</v>
      </c>
      <c r="B16" s="38" t="s">
        <v>750</v>
      </c>
      <c r="C16" s="39">
        <v>0.95833333333333337</v>
      </c>
      <c r="D16" s="38" t="s">
        <v>102</v>
      </c>
      <c r="E16" s="38" t="s">
        <v>91</v>
      </c>
      <c r="F16" s="38" t="s">
        <v>751</v>
      </c>
      <c r="G16" s="262"/>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83" t="s">
        <v>35</v>
      </c>
      <c r="B17" s="183" t="s">
        <v>752</v>
      </c>
      <c r="C17" s="184">
        <v>0.71527777777777779</v>
      </c>
      <c r="D17" s="183" t="s">
        <v>37</v>
      </c>
      <c r="E17" s="183" t="s">
        <v>61</v>
      </c>
      <c r="F17" s="183" t="s">
        <v>753</v>
      </c>
      <c r="G17" s="262"/>
      <c r="H17" s="186" t="s">
        <v>754</v>
      </c>
      <c r="I17" s="245">
        <v>0.82679999999999998</v>
      </c>
      <c r="J17" s="188">
        <v>148</v>
      </c>
      <c r="K17" s="189">
        <v>45985</v>
      </c>
      <c r="L17" s="188">
        <v>57</v>
      </c>
      <c r="M17" s="188">
        <v>6</v>
      </c>
      <c r="N17" s="188">
        <v>6</v>
      </c>
      <c r="O17" s="190" t="s">
        <v>126</v>
      </c>
      <c r="P17" s="191">
        <v>0.71527777777777779</v>
      </c>
      <c r="Q17" s="188">
        <v>179</v>
      </c>
      <c r="R17" s="192" t="s">
        <v>755</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6" t="s">
        <v>290</v>
      </c>
      <c r="B18" s="36" t="s">
        <v>756</v>
      </c>
      <c r="C18" s="37">
        <v>0.4375</v>
      </c>
      <c r="D18" s="36" t="s">
        <v>421</v>
      </c>
      <c r="E18" s="36" t="s">
        <v>246</v>
      </c>
      <c r="F18" s="36" t="s">
        <v>757</v>
      </c>
      <c r="G18" s="262"/>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36" t="s">
        <v>300</v>
      </c>
      <c r="B19" s="36" t="s">
        <v>758</v>
      </c>
      <c r="C19" s="37">
        <v>9.0277777777777776E-2</v>
      </c>
      <c r="D19" s="36" t="s">
        <v>37</v>
      </c>
      <c r="E19" s="36" t="s">
        <v>51</v>
      </c>
      <c r="F19" s="36" t="s">
        <v>759</v>
      </c>
      <c r="G19" s="26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36" t="s">
        <v>58</v>
      </c>
      <c r="B20" s="36" t="s">
        <v>760</v>
      </c>
      <c r="C20" s="37">
        <v>0.44444444444444442</v>
      </c>
      <c r="D20" s="36" t="s">
        <v>63</v>
      </c>
      <c r="E20" s="36" t="s">
        <v>77</v>
      </c>
      <c r="F20" s="36" t="s">
        <v>761</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8" t="s">
        <v>58</v>
      </c>
      <c r="B21" s="38" t="s">
        <v>762</v>
      </c>
      <c r="C21" s="39">
        <v>0.62847222222222221</v>
      </c>
      <c r="D21" s="38" t="s">
        <v>63</v>
      </c>
      <c r="E21" s="38" t="s">
        <v>86</v>
      </c>
      <c r="F21" s="38" t="s">
        <v>761</v>
      </c>
      <c r="G21" s="262"/>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8" t="s">
        <v>58</v>
      </c>
      <c r="B22" s="38" t="s">
        <v>763</v>
      </c>
      <c r="C22" s="39">
        <v>0.88888888888888884</v>
      </c>
      <c r="D22" s="38" t="s">
        <v>63</v>
      </c>
      <c r="E22" s="38" t="s">
        <v>72</v>
      </c>
      <c r="F22" s="38" t="s">
        <v>764</v>
      </c>
      <c r="G22" s="262"/>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8" t="s">
        <v>58</v>
      </c>
      <c r="B23" s="38" t="s">
        <v>765</v>
      </c>
      <c r="C23" s="39">
        <v>0.62847222222222221</v>
      </c>
      <c r="D23" s="38" t="s">
        <v>63</v>
      </c>
      <c r="E23" s="38" t="s">
        <v>72</v>
      </c>
      <c r="F23" s="38" t="s">
        <v>764</v>
      </c>
      <c r="G23" s="262"/>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38" t="s">
        <v>58</v>
      </c>
      <c r="B24" s="38" t="s">
        <v>766</v>
      </c>
      <c r="C24" s="39">
        <v>0.94444444444444453</v>
      </c>
      <c r="D24" s="38" t="s">
        <v>63</v>
      </c>
      <c r="E24" s="38" t="s">
        <v>72</v>
      </c>
      <c r="F24" s="38" t="s">
        <v>764</v>
      </c>
      <c r="G24" s="262"/>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38" t="s">
        <v>58</v>
      </c>
      <c r="B25" s="38" t="s">
        <v>767</v>
      </c>
      <c r="C25" s="39">
        <v>0.82986111111111116</v>
      </c>
      <c r="D25" s="38" t="s">
        <v>63</v>
      </c>
      <c r="E25" s="38" t="s">
        <v>91</v>
      </c>
      <c r="F25" s="38" t="s">
        <v>768</v>
      </c>
      <c r="G25" s="262"/>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38" t="s">
        <v>58</v>
      </c>
      <c r="B26" s="38" t="s">
        <v>769</v>
      </c>
      <c r="C26" s="39">
        <v>0.98263888888888884</v>
      </c>
      <c r="D26" s="38" t="s">
        <v>63</v>
      </c>
      <c r="E26" s="38" t="s">
        <v>86</v>
      </c>
      <c r="F26" s="38" t="s">
        <v>768</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8" t="s">
        <v>58</v>
      </c>
      <c r="B27" s="38" t="s">
        <v>770</v>
      </c>
      <c r="C27" s="39">
        <v>0.69791666666666663</v>
      </c>
      <c r="D27" s="38" t="s">
        <v>63</v>
      </c>
      <c r="E27" s="38" t="s">
        <v>86</v>
      </c>
      <c r="F27" s="38" t="s">
        <v>768</v>
      </c>
      <c r="G27" s="26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6" t="s">
        <v>75</v>
      </c>
      <c r="B28" s="36" t="s">
        <v>771</v>
      </c>
      <c r="C28" s="37">
        <v>0.98263888888888884</v>
      </c>
      <c r="D28" s="36" t="s">
        <v>60</v>
      </c>
      <c r="E28" s="36" t="s">
        <v>38</v>
      </c>
      <c r="F28" s="36" t="s">
        <v>772</v>
      </c>
      <c r="G28" s="262"/>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38" t="s">
        <v>75</v>
      </c>
      <c r="B29" s="38" t="s">
        <v>773</v>
      </c>
      <c r="C29" s="39">
        <v>0.35416666666666669</v>
      </c>
      <c r="D29" s="38" t="s">
        <v>60</v>
      </c>
      <c r="E29" s="38" t="s">
        <v>66</v>
      </c>
      <c r="F29" s="38" t="s">
        <v>772</v>
      </c>
      <c r="G29" s="262"/>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40" t="s">
        <v>75</v>
      </c>
      <c r="B30" s="40" t="s">
        <v>774</v>
      </c>
      <c r="C30" s="41">
        <v>0.72916666666666663</v>
      </c>
      <c r="D30" s="40" t="s">
        <v>60</v>
      </c>
      <c r="E30" s="40" t="s">
        <v>70</v>
      </c>
      <c r="F30" s="40" t="s">
        <v>775</v>
      </c>
      <c r="G30" s="263"/>
      <c r="H30" s="42"/>
      <c r="I30" s="43"/>
      <c r="J30" s="43"/>
      <c r="K30" s="43"/>
      <c r="L30" s="43"/>
      <c r="M30" s="43"/>
      <c r="N30" s="43"/>
      <c r="O30" s="44"/>
      <c r="P30" s="43"/>
      <c r="Q30" s="45"/>
      <c r="R30" s="4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85"/>
      <c r="B31" s="286"/>
      <c r="C31" s="286"/>
      <c r="D31" s="286"/>
      <c r="E31" s="286"/>
      <c r="F31" s="286"/>
      <c r="G31" s="276"/>
      <c r="H31" s="287"/>
      <c r="I31" s="287"/>
      <c r="J31" s="287"/>
      <c r="K31" s="287"/>
      <c r="L31" s="287"/>
      <c r="M31" s="287"/>
      <c r="N31" s="287"/>
      <c r="O31" s="288"/>
      <c r="P31" s="287"/>
      <c r="Q31" s="276"/>
      <c r="R31" s="27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66" t="s">
        <v>5</v>
      </c>
      <c r="B32" s="267"/>
      <c r="C32" s="267"/>
      <c r="D32" s="267"/>
      <c r="E32" s="267"/>
      <c r="F32" s="267"/>
      <c r="G32" s="5">
        <v>45987</v>
      </c>
      <c r="H32" s="270" t="s">
        <v>6</v>
      </c>
      <c r="I32" s="269"/>
      <c r="J32" s="269"/>
      <c r="K32" s="269"/>
      <c r="L32" s="269"/>
      <c r="M32" s="269"/>
      <c r="N32" s="269"/>
      <c r="O32" s="269"/>
      <c r="P32" s="269"/>
      <c r="Q32" s="269"/>
      <c r="R32" s="26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47" t="s">
        <v>7</v>
      </c>
      <c r="B33" s="47" t="s">
        <v>8</v>
      </c>
      <c r="C33" s="48" t="s">
        <v>9</v>
      </c>
      <c r="D33" s="47" t="s">
        <v>10</v>
      </c>
      <c r="E33" s="47" t="s">
        <v>11</v>
      </c>
      <c r="F33" s="47" t="s">
        <v>12</v>
      </c>
      <c r="G33" s="49" t="s">
        <v>13</v>
      </c>
      <c r="H33" s="47" t="s">
        <v>14</v>
      </c>
      <c r="I33" s="50" t="s">
        <v>15</v>
      </c>
      <c r="J33" s="51" t="s">
        <v>16</v>
      </c>
      <c r="K33" s="52" t="s">
        <v>17</v>
      </c>
      <c r="L33" s="51" t="s">
        <v>18</v>
      </c>
      <c r="M33" s="51" t="s">
        <v>19</v>
      </c>
      <c r="N33" s="51" t="s">
        <v>20</v>
      </c>
      <c r="O33" s="47" t="s">
        <v>21</v>
      </c>
      <c r="P33" s="48" t="s">
        <v>22</v>
      </c>
      <c r="Q33" s="51" t="s">
        <v>23</v>
      </c>
      <c r="R33" s="4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8" t="s">
        <v>25</v>
      </c>
      <c r="B34" s="8" t="s">
        <v>736</v>
      </c>
      <c r="C34" s="9">
        <v>0.57638888888888895</v>
      </c>
      <c r="D34" s="8" t="s">
        <v>27</v>
      </c>
      <c r="E34" s="8" t="s">
        <v>97</v>
      </c>
      <c r="F34" s="8" t="s">
        <v>660</v>
      </c>
      <c r="G34" s="261"/>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736</v>
      </c>
      <c r="C35" s="16">
        <v>0.57638888888888895</v>
      </c>
      <c r="D35" s="15" t="s">
        <v>33</v>
      </c>
      <c r="E35" s="15" t="s">
        <v>99</v>
      </c>
      <c r="F35" s="15" t="s">
        <v>123</v>
      </c>
      <c r="G35" s="262"/>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736</v>
      </c>
      <c r="C36" s="16">
        <v>0.57638888888888895</v>
      </c>
      <c r="D36" s="15" t="s">
        <v>30</v>
      </c>
      <c r="E36" s="15" t="s">
        <v>99</v>
      </c>
      <c r="F36" s="15" t="s">
        <v>275</v>
      </c>
      <c r="G36" s="262"/>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38" t="s">
        <v>25</v>
      </c>
      <c r="B37" s="38" t="s">
        <v>738</v>
      </c>
      <c r="C37" s="39">
        <v>0.62847222222222221</v>
      </c>
      <c r="D37" s="38" t="s">
        <v>27</v>
      </c>
      <c r="E37" s="38" t="s">
        <v>66</v>
      </c>
      <c r="F37" s="38" t="s">
        <v>660</v>
      </c>
      <c r="G37" s="262"/>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738</v>
      </c>
      <c r="C38" s="16">
        <v>0.62847222222222221</v>
      </c>
      <c r="D38" s="15" t="s">
        <v>33</v>
      </c>
      <c r="E38" s="15" t="s">
        <v>68</v>
      </c>
      <c r="F38" s="15" t="s">
        <v>123</v>
      </c>
      <c r="G38" s="262"/>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25</v>
      </c>
      <c r="B39" s="15" t="s">
        <v>738</v>
      </c>
      <c r="C39" s="16">
        <v>0.62847222222222221</v>
      </c>
      <c r="D39" s="15" t="s">
        <v>30</v>
      </c>
      <c r="E39" s="15" t="s">
        <v>68</v>
      </c>
      <c r="F39" s="15" t="s">
        <v>275</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38" t="s">
        <v>25</v>
      </c>
      <c r="B40" s="38" t="s">
        <v>740</v>
      </c>
      <c r="C40" s="39">
        <v>0.88888888888888884</v>
      </c>
      <c r="D40" s="38" t="s">
        <v>27</v>
      </c>
      <c r="E40" s="38" t="s">
        <v>287</v>
      </c>
      <c r="F40" s="38" t="s">
        <v>741</v>
      </c>
      <c r="G40" s="262"/>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740</v>
      </c>
      <c r="C41" s="16">
        <v>0.88888888888888884</v>
      </c>
      <c r="D41" s="15" t="s">
        <v>33</v>
      </c>
      <c r="E41" s="15" t="s">
        <v>31</v>
      </c>
      <c r="F41" s="15" t="s">
        <v>776</v>
      </c>
      <c r="G41" s="262"/>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25</v>
      </c>
      <c r="B42" s="15" t="s">
        <v>740</v>
      </c>
      <c r="C42" s="16">
        <v>0.88888888888888884</v>
      </c>
      <c r="D42" s="15" t="s">
        <v>30</v>
      </c>
      <c r="E42" s="15" t="s">
        <v>31</v>
      </c>
      <c r="F42" s="15" t="s">
        <v>275</v>
      </c>
      <c r="G42" s="262"/>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38" t="s">
        <v>25</v>
      </c>
      <c r="B43" s="38" t="s">
        <v>739</v>
      </c>
      <c r="C43" s="39">
        <v>0.94444444444444453</v>
      </c>
      <c r="D43" s="38" t="s">
        <v>27</v>
      </c>
      <c r="E43" s="38" t="s">
        <v>70</v>
      </c>
      <c r="F43" s="38" t="s">
        <v>741</v>
      </c>
      <c r="G43" s="26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25</v>
      </c>
      <c r="B44" s="15" t="s">
        <v>739</v>
      </c>
      <c r="C44" s="16">
        <v>0.94444444444444453</v>
      </c>
      <c r="D44" s="15" t="s">
        <v>33</v>
      </c>
      <c r="E44" s="15" t="s">
        <v>54</v>
      </c>
      <c r="F44" s="15" t="s">
        <v>776</v>
      </c>
      <c r="G44" s="262"/>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25</v>
      </c>
      <c r="B45" s="15" t="s">
        <v>739</v>
      </c>
      <c r="C45" s="16">
        <v>0.94444444444444453</v>
      </c>
      <c r="D45" s="15" t="s">
        <v>30</v>
      </c>
      <c r="E45" s="15" t="s">
        <v>54</v>
      </c>
      <c r="F45" s="15" t="s">
        <v>275</v>
      </c>
      <c r="G45" s="262"/>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83" t="s">
        <v>35</v>
      </c>
      <c r="B46" s="183" t="s">
        <v>752</v>
      </c>
      <c r="C46" s="184">
        <v>0.72569444444444453</v>
      </c>
      <c r="D46" s="183" t="s">
        <v>37</v>
      </c>
      <c r="E46" s="183" t="s">
        <v>61</v>
      </c>
      <c r="F46" s="183" t="s">
        <v>777</v>
      </c>
      <c r="G46" s="262"/>
      <c r="H46" s="186" t="s">
        <v>754</v>
      </c>
      <c r="I46" s="245">
        <v>0.69269999999999998</v>
      </c>
      <c r="J46" s="188">
        <v>124</v>
      </c>
      <c r="K46" s="189">
        <v>45984</v>
      </c>
      <c r="L46" s="188">
        <v>35</v>
      </c>
      <c r="M46" s="188">
        <v>0</v>
      </c>
      <c r="N46" s="188">
        <v>2</v>
      </c>
      <c r="O46" s="190" t="s">
        <v>169</v>
      </c>
      <c r="P46" s="191">
        <v>0.72569444444444453</v>
      </c>
      <c r="Q46" s="188">
        <v>179</v>
      </c>
      <c r="R46" s="192" t="s">
        <v>778</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3" t="s">
        <v>35</v>
      </c>
      <c r="B47" s="193" t="s">
        <v>779</v>
      </c>
      <c r="C47" s="194">
        <v>0.41319444444444442</v>
      </c>
      <c r="D47" s="193" t="s">
        <v>37</v>
      </c>
      <c r="E47" s="193" t="s">
        <v>66</v>
      </c>
      <c r="F47" s="193" t="s">
        <v>753</v>
      </c>
      <c r="G47" s="262"/>
      <c r="H47" s="19" t="s">
        <v>780</v>
      </c>
      <c r="I47" s="234">
        <v>0.78210000000000002</v>
      </c>
      <c r="J47" s="21">
        <v>140</v>
      </c>
      <c r="K47" s="22">
        <v>45984</v>
      </c>
      <c r="L47" s="21">
        <v>79</v>
      </c>
      <c r="M47" s="21">
        <v>0</v>
      </c>
      <c r="N47" s="21">
        <v>4</v>
      </c>
      <c r="O47" s="23" t="s">
        <v>781</v>
      </c>
      <c r="P47" s="24">
        <v>0.41319444444444442</v>
      </c>
      <c r="Q47" s="21">
        <v>179</v>
      </c>
      <c r="R47" s="25" t="s">
        <v>782</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6" t="s">
        <v>48</v>
      </c>
      <c r="B48" s="36" t="s">
        <v>742</v>
      </c>
      <c r="C48" s="37">
        <v>0.4375</v>
      </c>
      <c r="D48" s="36" t="s">
        <v>50</v>
      </c>
      <c r="E48" s="36" t="s">
        <v>246</v>
      </c>
      <c r="F48" s="36" t="s">
        <v>748</v>
      </c>
      <c r="G48" s="262"/>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48</v>
      </c>
      <c r="B49" s="15" t="s">
        <v>742</v>
      </c>
      <c r="C49" s="16">
        <v>0.4375</v>
      </c>
      <c r="D49" s="15" t="s">
        <v>53</v>
      </c>
      <c r="E49" s="15" t="s">
        <v>284</v>
      </c>
      <c r="F49" s="15" t="s">
        <v>783</v>
      </c>
      <c r="G49" s="26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48</v>
      </c>
      <c r="B50" s="15" t="s">
        <v>742</v>
      </c>
      <c r="C50" s="16">
        <v>0.4375</v>
      </c>
      <c r="D50" s="15" t="s">
        <v>56</v>
      </c>
      <c r="E50" s="15" t="s">
        <v>284</v>
      </c>
      <c r="F50" s="15" t="s">
        <v>117</v>
      </c>
      <c r="G50" s="262"/>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48</v>
      </c>
      <c r="B51" s="38" t="s">
        <v>744</v>
      </c>
      <c r="C51" s="39">
        <v>0.63194444444444442</v>
      </c>
      <c r="D51" s="38" t="s">
        <v>50</v>
      </c>
      <c r="E51" s="38" t="s">
        <v>118</v>
      </c>
      <c r="F51" s="38" t="s">
        <v>748</v>
      </c>
      <c r="G51" s="262"/>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48</v>
      </c>
      <c r="B52" s="15" t="s">
        <v>744</v>
      </c>
      <c r="C52" s="16">
        <v>0.63194444444444442</v>
      </c>
      <c r="D52" s="15" t="s">
        <v>53</v>
      </c>
      <c r="E52" s="15" t="s">
        <v>119</v>
      </c>
      <c r="F52" s="15" t="s">
        <v>783</v>
      </c>
      <c r="G52" s="262"/>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48</v>
      </c>
      <c r="B53" s="15" t="s">
        <v>744</v>
      </c>
      <c r="C53" s="16">
        <v>0.63194444444444442</v>
      </c>
      <c r="D53" s="15" t="s">
        <v>56</v>
      </c>
      <c r="E53" s="15" t="s">
        <v>119</v>
      </c>
      <c r="F53" s="15" t="s">
        <v>117</v>
      </c>
      <c r="G53" s="262"/>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48</v>
      </c>
      <c r="B54" s="38" t="s">
        <v>745</v>
      </c>
      <c r="C54" s="39">
        <v>0.55902777777777779</v>
      </c>
      <c r="D54" s="38" t="s">
        <v>50</v>
      </c>
      <c r="E54" s="38" t="s">
        <v>287</v>
      </c>
      <c r="F54" s="38" t="s">
        <v>748</v>
      </c>
      <c r="G54" s="262"/>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48</v>
      </c>
      <c r="B55" s="15" t="s">
        <v>745</v>
      </c>
      <c r="C55" s="16">
        <v>0.55902777777777779</v>
      </c>
      <c r="D55" s="15" t="s">
        <v>53</v>
      </c>
      <c r="E55" s="15" t="s">
        <v>31</v>
      </c>
      <c r="F55" s="15" t="s">
        <v>783</v>
      </c>
      <c r="G55" s="262"/>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48</v>
      </c>
      <c r="B56" s="15" t="s">
        <v>745</v>
      </c>
      <c r="C56" s="16">
        <v>0.55902777777777779</v>
      </c>
      <c r="D56" s="15" t="s">
        <v>56</v>
      </c>
      <c r="E56" s="15" t="s">
        <v>31</v>
      </c>
      <c r="F56" s="15" t="s">
        <v>117</v>
      </c>
      <c r="G56" s="262"/>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38" t="s">
        <v>48</v>
      </c>
      <c r="B57" s="38" t="s">
        <v>747</v>
      </c>
      <c r="C57" s="39">
        <v>0.81944444444444453</v>
      </c>
      <c r="D57" s="38" t="s">
        <v>50</v>
      </c>
      <c r="E57" s="38" t="s">
        <v>70</v>
      </c>
      <c r="F57" s="38" t="s">
        <v>748</v>
      </c>
      <c r="G57" s="262"/>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5" t="s">
        <v>48</v>
      </c>
      <c r="B58" s="15" t="s">
        <v>747</v>
      </c>
      <c r="C58" s="16">
        <v>0.81944444444444453</v>
      </c>
      <c r="D58" s="15" t="s">
        <v>53</v>
      </c>
      <c r="E58" s="15" t="s">
        <v>54</v>
      </c>
      <c r="F58" s="15" t="s">
        <v>783</v>
      </c>
      <c r="G58" s="262"/>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5" t="s">
        <v>48</v>
      </c>
      <c r="B59" s="15" t="s">
        <v>747</v>
      </c>
      <c r="C59" s="16">
        <v>0.81944444444444453</v>
      </c>
      <c r="D59" s="15" t="s">
        <v>56</v>
      </c>
      <c r="E59" s="15" t="s">
        <v>54</v>
      </c>
      <c r="F59" s="15" t="s">
        <v>117</v>
      </c>
      <c r="G59" s="262"/>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38" t="s">
        <v>48</v>
      </c>
      <c r="B60" s="38" t="s">
        <v>746</v>
      </c>
      <c r="C60" s="39">
        <v>0.50694444444444442</v>
      </c>
      <c r="D60" s="38" t="s">
        <v>50</v>
      </c>
      <c r="E60" s="38" t="s">
        <v>118</v>
      </c>
      <c r="F60" s="38" t="s">
        <v>748</v>
      </c>
      <c r="G60" s="262"/>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48</v>
      </c>
      <c r="B61" s="15" t="s">
        <v>746</v>
      </c>
      <c r="C61" s="16">
        <v>0.50694444444444442</v>
      </c>
      <c r="D61" s="15" t="s">
        <v>53</v>
      </c>
      <c r="E61" s="15" t="s">
        <v>119</v>
      </c>
      <c r="F61" s="15" t="s">
        <v>783</v>
      </c>
      <c r="G61" s="262"/>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48</v>
      </c>
      <c r="B62" s="15" t="s">
        <v>746</v>
      </c>
      <c r="C62" s="16">
        <v>0.50694444444444442</v>
      </c>
      <c r="D62" s="15" t="s">
        <v>56</v>
      </c>
      <c r="E62" s="15" t="s">
        <v>119</v>
      </c>
      <c r="F62" s="15" t="s">
        <v>117</v>
      </c>
      <c r="G62" s="262"/>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8" t="s">
        <v>48</v>
      </c>
      <c r="B63" s="38" t="s">
        <v>749</v>
      </c>
      <c r="C63" s="39">
        <v>0.69791666666666663</v>
      </c>
      <c r="D63" s="38" t="s">
        <v>50</v>
      </c>
      <c r="E63" s="38" t="s">
        <v>118</v>
      </c>
      <c r="F63" s="38" t="s">
        <v>748</v>
      </c>
      <c r="G63" s="262"/>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48</v>
      </c>
      <c r="B64" s="15" t="s">
        <v>749</v>
      </c>
      <c r="C64" s="16">
        <v>0.69791666666666663</v>
      </c>
      <c r="D64" s="15" t="s">
        <v>53</v>
      </c>
      <c r="E64" s="15" t="s">
        <v>119</v>
      </c>
      <c r="F64" s="15" t="s">
        <v>783</v>
      </c>
      <c r="G64" s="262"/>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48</v>
      </c>
      <c r="B65" s="15" t="s">
        <v>749</v>
      </c>
      <c r="C65" s="16">
        <v>0.69791666666666663</v>
      </c>
      <c r="D65" s="15" t="s">
        <v>56</v>
      </c>
      <c r="E65" s="15" t="s">
        <v>119</v>
      </c>
      <c r="F65" s="15" t="s">
        <v>117</v>
      </c>
      <c r="G65" s="262"/>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8" t="s">
        <v>48</v>
      </c>
      <c r="B66" s="38" t="s">
        <v>750</v>
      </c>
      <c r="C66" s="39">
        <v>0.95833333333333337</v>
      </c>
      <c r="D66" s="38" t="s">
        <v>50</v>
      </c>
      <c r="E66" s="38" t="s">
        <v>80</v>
      </c>
      <c r="F66" s="38" t="s">
        <v>269</v>
      </c>
      <c r="G66" s="262"/>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48</v>
      </c>
      <c r="B67" s="15" t="s">
        <v>750</v>
      </c>
      <c r="C67" s="16">
        <v>0.95833333333333337</v>
      </c>
      <c r="D67" s="15" t="s">
        <v>53</v>
      </c>
      <c r="E67" s="15" t="s">
        <v>64</v>
      </c>
      <c r="F67" s="15" t="s">
        <v>32</v>
      </c>
      <c r="G67" s="262"/>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48</v>
      </c>
      <c r="B68" s="15" t="s">
        <v>750</v>
      </c>
      <c r="C68" s="16">
        <v>0.95833333333333337</v>
      </c>
      <c r="D68" s="15" t="s">
        <v>56</v>
      </c>
      <c r="E68" s="15" t="s">
        <v>64</v>
      </c>
      <c r="F68" s="15" t="s">
        <v>784</v>
      </c>
      <c r="G68" s="262"/>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6" t="s">
        <v>300</v>
      </c>
      <c r="B69" s="36" t="s">
        <v>758</v>
      </c>
      <c r="C69" s="37">
        <v>9.0277777777777776E-2</v>
      </c>
      <c r="D69" s="36" t="s">
        <v>37</v>
      </c>
      <c r="E69" s="36" t="s">
        <v>51</v>
      </c>
      <c r="F69" s="36" t="s">
        <v>785</v>
      </c>
      <c r="G69" s="262"/>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6" t="s">
        <v>295</v>
      </c>
      <c r="B70" s="36" t="s">
        <v>786</v>
      </c>
      <c r="C70" s="37">
        <v>0.61458333333333337</v>
      </c>
      <c r="D70" s="36" t="s">
        <v>37</v>
      </c>
      <c r="E70" s="36" t="s">
        <v>77</v>
      </c>
      <c r="F70" s="36" t="s">
        <v>787</v>
      </c>
      <c r="G70" s="262"/>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6" t="s">
        <v>290</v>
      </c>
      <c r="B71" s="36" t="s">
        <v>788</v>
      </c>
      <c r="C71" s="37">
        <v>5.2083333333333343E-2</v>
      </c>
      <c r="D71" s="36" t="s">
        <v>292</v>
      </c>
      <c r="E71" s="36" t="s">
        <v>375</v>
      </c>
      <c r="F71" s="36" t="s">
        <v>789</v>
      </c>
      <c r="G71" s="262"/>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290</v>
      </c>
      <c r="B72" s="15" t="s">
        <v>788</v>
      </c>
      <c r="C72" s="16">
        <v>5.2083333333333343E-2</v>
      </c>
      <c r="D72" s="15" t="s">
        <v>30</v>
      </c>
      <c r="E72" s="15" t="s">
        <v>373</v>
      </c>
      <c r="F72" s="15" t="s">
        <v>387</v>
      </c>
      <c r="G72" s="262"/>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36" t="s">
        <v>58</v>
      </c>
      <c r="B73" s="36" t="s">
        <v>760</v>
      </c>
      <c r="C73" s="37">
        <v>0.44444444444444442</v>
      </c>
      <c r="D73" s="36" t="s">
        <v>63</v>
      </c>
      <c r="E73" s="36" t="s">
        <v>77</v>
      </c>
      <c r="F73" s="36" t="s">
        <v>761</v>
      </c>
      <c r="G73" s="262"/>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38" t="s">
        <v>58</v>
      </c>
      <c r="B74" s="38" t="s">
        <v>765</v>
      </c>
      <c r="C74" s="39">
        <v>0.62847222222222221</v>
      </c>
      <c r="D74" s="38" t="s">
        <v>63</v>
      </c>
      <c r="E74" s="38" t="s">
        <v>72</v>
      </c>
      <c r="F74" s="38" t="s">
        <v>764</v>
      </c>
      <c r="G74" s="262"/>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38" t="s">
        <v>58</v>
      </c>
      <c r="B75" s="38" t="s">
        <v>763</v>
      </c>
      <c r="C75" s="39">
        <v>0.88888888888888884</v>
      </c>
      <c r="D75" s="38" t="s">
        <v>63</v>
      </c>
      <c r="E75" s="38" t="s">
        <v>72</v>
      </c>
      <c r="F75" s="38" t="s">
        <v>790</v>
      </c>
      <c r="G75" s="262"/>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38" t="s">
        <v>58</v>
      </c>
      <c r="B76" s="38" t="s">
        <v>766</v>
      </c>
      <c r="C76" s="39">
        <v>0.94444444444444453</v>
      </c>
      <c r="D76" s="38" t="s">
        <v>63</v>
      </c>
      <c r="E76" s="38" t="s">
        <v>72</v>
      </c>
      <c r="F76" s="38" t="s">
        <v>790</v>
      </c>
      <c r="G76" s="262"/>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8" t="s">
        <v>58</v>
      </c>
      <c r="B77" s="38" t="s">
        <v>767</v>
      </c>
      <c r="C77" s="39">
        <v>0.82986111111111116</v>
      </c>
      <c r="D77" s="38" t="s">
        <v>63</v>
      </c>
      <c r="E77" s="38" t="s">
        <v>86</v>
      </c>
      <c r="F77" s="38" t="s">
        <v>768</v>
      </c>
      <c r="G77" s="262"/>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8" t="s">
        <v>58</v>
      </c>
      <c r="B78" s="38" t="s">
        <v>769</v>
      </c>
      <c r="C78" s="39">
        <v>0.98263888888888884</v>
      </c>
      <c r="D78" s="38" t="s">
        <v>63</v>
      </c>
      <c r="E78" s="38" t="s">
        <v>86</v>
      </c>
      <c r="F78" s="38" t="s">
        <v>768</v>
      </c>
      <c r="G78" s="26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38" t="s">
        <v>58</v>
      </c>
      <c r="B79" s="38" t="s">
        <v>762</v>
      </c>
      <c r="C79" s="39">
        <v>0.62847222222222221</v>
      </c>
      <c r="D79" s="38" t="s">
        <v>63</v>
      </c>
      <c r="E79" s="38" t="s">
        <v>86</v>
      </c>
      <c r="F79" s="38" t="s">
        <v>768</v>
      </c>
      <c r="G79" s="26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36" t="s">
        <v>75</v>
      </c>
      <c r="B80" s="36" t="s">
        <v>774</v>
      </c>
      <c r="C80" s="37">
        <v>0.72916666666666663</v>
      </c>
      <c r="D80" s="36" t="s">
        <v>60</v>
      </c>
      <c r="E80" s="36" t="s">
        <v>97</v>
      </c>
      <c r="F80" s="36" t="s">
        <v>772</v>
      </c>
      <c r="G80" s="262"/>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38" t="s">
        <v>75</v>
      </c>
      <c r="B81" s="38" t="s">
        <v>773</v>
      </c>
      <c r="C81" s="39">
        <v>0.34722222222222232</v>
      </c>
      <c r="D81" s="38" t="s">
        <v>60</v>
      </c>
      <c r="E81" s="38" t="s">
        <v>91</v>
      </c>
      <c r="F81" s="38" t="s">
        <v>772</v>
      </c>
      <c r="G81" s="262"/>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40" t="s">
        <v>75</v>
      </c>
      <c r="B82" s="40" t="s">
        <v>771</v>
      </c>
      <c r="C82" s="41">
        <v>0.98263888888888884</v>
      </c>
      <c r="D82" s="40" t="s">
        <v>60</v>
      </c>
      <c r="E82" s="40" t="s">
        <v>121</v>
      </c>
      <c r="F82" s="40" t="s">
        <v>775</v>
      </c>
      <c r="G82" s="263"/>
      <c r="H82" s="42"/>
      <c r="I82" s="43"/>
      <c r="J82" s="43"/>
      <c r="K82" s="43"/>
      <c r="L82" s="43"/>
      <c r="M82" s="43"/>
      <c r="N82" s="43"/>
      <c r="O82" s="44"/>
      <c r="P82" s="43"/>
      <c r="Q82" s="45"/>
      <c r="R82" s="4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85"/>
      <c r="B83" s="286"/>
      <c r="C83" s="286"/>
      <c r="D83" s="286"/>
      <c r="E83" s="286"/>
      <c r="F83" s="286"/>
      <c r="G83" s="276"/>
      <c r="H83" s="287"/>
      <c r="I83" s="287"/>
      <c r="J83" s="287"/>
      <c r="K83" s="287"/>
      <c r="L83" s="287"/>
      <c r="M83" s="287"/>
      <c r="N83" s="287"/>
      <c r="O83" s="288"/>
      <c r="P83" s="287"/>
      <c r="Q83" s="276"/>
      <c r="R83" s="27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66" t="s">
        <v>5</v>
      </c>
      <c r="B84" s="267"/>
      <c r="C84" s="267"/>
      <c r="D84" s="267"/>
      <c r="E84" s="267"/>
      <c r="F84" s="267"/>
      <c r="G84" s="5">
        <v>45988</v>
      </c>
      <c r="H84" s="270" t="s">
        <v>6</v>
      </c>
      <c r="I84" s="269"/>
      <c r="J84" s="269"/>
      <c r="K84" s="269"/>
      <c r="L84" s="269"/>
      <c r="M84" s="269"/>
      <c r="N84" s="269"/>
      <c r="O84" s="269"/>
      <c r="P84" s="269"/>
      <c r="Q84" s="269"/>
      <c r="R84" s="26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47" t="s">
        <v>7</v>
      </c>
      <c r="B85" s="47" t="s">
        <v>8</v>
      </c>
      <c r="C85" s="48" t="s">
        <v>9</v>
      </c>
      <c r="D85" s="47" t="s">
        <v>10</v>
      </c>
      <c r="E85" s="47" t="s">
        <v>11</v>
      </c>
      <c r="F85" s="47" t="s">
        <v>12</v>
      </c>
      <c r="G85" s="49" t="s">
        <v>13</v>
      </c>
      <c r="H85" s="47" t="s">
        <v>14</v>
      </c>
      <c r="I85" s="50" t="s">
        <v>15</v>
      </c>
      <c r="J85" s="51" t="s">
        <v>16</v>
      </c>
      <c r="K85" s="52" t="s">
        <v>17</v>
      </c>
      <c r="L85" s="51" t="s">
        <v>18</v>
      </c>
      <c r="M85" s="51" t="s">
        <v>19</v>
      </c>
      <c r="N85" s="51" t="s">
        <v>20</v>
      </c>
      <c r="O85" s="47" t="s">
        <v>21</v>
      </c>
      <c r="P85" s="48" t="s">
        <v>22</v>
      </c>
      <c r="Q85" s="51" t="s">
        <v>23</v>
      </c>
      <c r="R85" s="47"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8" t="s">
        <v>25</v>
      </c>
      <c r="B86" s="8" t="s">
        <v>736</v>
      </c>
      <c r="C86" s="9">
        <v>0.57638888888888895</v>
      </c>
      <c r="D86" s="8" t="s">
        <v>27</v>
      </c>
      <c r="E86" s="8" t="s">
        <v>103</v>
      </c>
      <c r="F86" s="8" t="s">
        <v>123</v>
      </c>
      <c r="G86" s="261"/>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736</v>
      </c>
      <c r="C87" s="16">
        <v>0.57638888888888895</v>
      </c>
      <c r="D87" s="15" t="s">
        <v>33</v>
      </c>
      <c r="E87" s="15" t="s">
        <v>68</v>
      </c>
      <c r="F87" s="15" t="s">
        <v>32</v>
      </c>
      <c r="G87" s="262"/>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736</v>
      </c>
      <c r="C88" s="16">
        <v>0.57638888888888895</v>
      </c>
      <c r="D88" s="15" t="s">
        <v>30</v>
      </c>
      <c r="E88" s="15" t="s">
        <v>68</v>
      </c>
      <c r="F88" s="15" t="s">
        <v>791</v>
      </c>
      <c r="G88" s="262"/>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38" t="s">
        <v>25</v>
      </c>
      <c r="B89" s="38" t="s">
        <v>738</v>
      </c>
      <c r="C89" s="39">
        <v>0.62847222222222221</v>
      </c>
      <c r="D89" s="38" t="s">
        <v>27</v>
      </c>
      <c r="E89" s="38" t="s">
        <v>91</v>
      </c>
      <c r="F89" s="38" t="s">
        <v>123</v>
      </c>
      <c r="G89" s="262"/>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738</v>
      </c>
      <c r="C90" s="16">
        <v>0.62847222222222221</v>
      </c>
      <c r="D90" s="15" t="s">
        <v>33</v>
      </c>
      <c r="E90" s="15" t="s">
        <v>99</v>
      </c>
      <c r="F90" s="15" t="s">
        <v>32</v>
      </c>
      <c r="G90" s="262"/>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738</v>
      </c>
      <c r="C91" s="16">
        <v>0.62847222222222221</v>
      </c>
      <c r="D91" s="15" t="s">
        <v>30</v>
      </c>
      <c r="E91" s="15" t="s">
        <v>99</v>
      </c>
      <c r="F91" s="15" t="s">
        <v>275</v>
      </c>
      <c r="G91" s="262"/>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8" t="s">
        <v>25</v>
      </c>
      <c r="B92" s="38" t="s">
        <v>740</v>
      </c>
      <c r="C92" s="39">
        <v>0.88888888888888884</v>
      </c>
      <c r="D92" s="38" t="s">
        <v>27</v>
      </c>
      <c r="E92" s="38" t="s">
        <v>792</v>
      </c>
      <c r="F92" s="38" t="s">
        <v>29</v>
      </c>
      <c r="G92" s="262"/>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740</v>
      </c>
      <c r="C93" s="16">
        <v>0.88888888888888884</v>
      </c>
      <c r="D93" s="15" t="s">
        <v>33</v>
      </c>
      <c r="E93" s="15" t="s">
        <v>679</v>
      </c>
      <c r="F93" s="15" t="s">
        <v>34</v>
      </c>
      <c r="G93" s="262"/>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740</v>
      </c>
      <c r="C94" s="16">
        <v>0.88888888888888884</v>
      </c>
      <c r="D94" s="15" t="s">
        <v>30</v>
      </c>
      <c r="E94" s="15" t="s">
        <v>679</v>
      </c>
      <c r="F94" s="15" t="s">
        <v>791</v>
      </c>
      <c r="G94" s="262"/>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38" t="s">
        <v>25</v>
      </c>
      <c r="B95" s="38" t="s">
        <v>739</v>
      </c>
      <c r="C95" s="39">
        <v>0.94444444444444453</v>
      </c>
      <c r="D95" s="38" t="s">
        <v>27</v>
      </c>
      <c r="E95" s="38" t="s">
        <v>72</v>
      </c>
      <c r="F95" s="38" t="s">
        <v>29</v>
      </c>
      <c r="G95" s="262"/>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25</v>
      </c>
      <c r="B96" s="15" t="s">
        <v>739</v>
      </c>
      <c r="C96" s="16">
        <v>0.94444444444444453</v>
      </c>
      <c r="D96" s="15" t="s">
        <v>33</v>
      </c>
      <c r="E96" s="15" t="s">
        <v>74</v>
      </c>
      <c r="F96" s="15" t="s">
        <v>34</v>
      </c>
      <c r="G96" s="262"/>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25</v>
      </c>
      <c r="B97" s="15" t="s">
        <v>739</v>
      </c>
      <c r="C97" s="16">
        <v>0.94444444444444453</v>
      </c>
      <c r="D97" s="15" t="s">
        <v>30</v>
      </c>
      <c r="E97" s="15" t="s">
        <v>74</v>
      </c>
      <c r="F97" s="15" t="s">
        <v>791</v>
      </c>
      <c r="G97" s="262"/>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36" t="s">
        <v>295</v>
      </c>
      <c r="B98" s="36" t="s">
        <v>793</v>
      </c>
      <c r="C98" s="37">
        <v>0.1701388888888889</v>
      </c>
      <c r="D98" s="36" t="s">
        <v>37</v>
      </c>
      <c r="E98" s="36" t="s">
        <v>77</v>
      </c>
      <c r="F98" s="36" t="s">
        <v>787</v>
      </c>
      <c r="G98" s="262"/>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38" t="s">
        <v>295</v>
      </c>
      <c r="B99" s="38" t="s">
        <v>786</v>
      </c>
      <c r="C99" s="39">
        <v>0.67361111111111116</v>
      </c>
      <c r="D99" s="38" t="s">
        <v>37</v>
      </c>
      <c r="E99" s="38" t="s">
        <v>72</v>
      </c>
      <c r="F99" s="38" t="s">
        <v>787</v>
      </c>
      <c r="G99" s="262"/>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36" t="s">
        <v>290</v>
      </c>
      <c r="B100" s="36" t="s">
        <v>756</v>
      </c>
      <c r="C100" s="37">
        <v>0.4375</v>
      </c>
      <c r="D100" s="36" t="s">
        <v>292</v>
      </c>
      <c r="E100" s="36" t="s">
        <v>405</v>
      </c>
      <c r="F100" s="36" t="s">
        <v>794</v>
      </c>
      <c r="G100" s="26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290</v>
      </c>
      <c r="B101" s="15" t="s">
        <v>756</v>
      </c>
      <c r="C101" s="16">
        <v>0.4375</v>
      </c>
      <c r="D101" s="15" t="s">
        <v>30</v>
      </c>
      <c r="E101" s="15" t="s">
        <v>119</v>
      </c>
      <c r="F101" s="15" t="s">
        <v>795</v>
      </c>
      <c r="G101" s="262"/>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83" t="s">
        <v>35</v>
      </c>
      <c r="B102" s="183" t="s">
        <v>779</v>
      </c>
      <c r="C102" s="184">
        <v>0.41319444444444442</v>
      </c>
      <c r="D102" s="183" t="s">
        <v>37</v>
      </c>
      <c r="E102" s="183" t="s">
        <v>375</v>
      </c>
      <c r="F102" s="183" t="s">
        <v>796</v>
      </c>
      <c r="G102" s="262"/>
      <c r="H102" s="186" t="s">
        <v>780</v>
      </c>
      <c r="I102" s="245">
        <v>0.65920000000000001</v>
      </c>
      <c r="J102" s="188">
        <v>118</v>
      </c>
      <c r="K102" s="189">
        <v>45984</v>
      </c>
      <c r="L102" s="188">
        <v>45</v>
      </c>
      <c r="M102" s="188">
        <v>0</v>
      </c>
      <c r="N102" s="188">
        <v>7</v>
      </c>
      <c r="O102" s="190" t="s">
        <v>426</v>
      </c>
      <c r="P102" s="191">
        <v>0.41319444444444442</v>
      </c>
      <c r="Q102" s="188">
        <v>179</v>
      </c>
      <c r="R102" s="192" t="s">
        <v>797</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36" t="s">
        <v>48</v>
      </c>
      <c r="B103" s="36" t="s">
        <v>742</v>
      </c>
      <c r="C103" s="37">
        <v>0.4375</v>
      </c>
      <c r="D103" s="36" t="s">
        <v>50</v>
      </c>
      <c r="E103" s="36" t="s">
        <v>246</v>
      </c>
      <c r="F103" s="36" t="s">
        <v>269</v>
      </c>
      <c r="G103" s="262"/>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48</v>
      </c>
      <c r="B104" s="15" t="s">
        <v>742</v>
      </c>
      <c r="C104" s="16">
        <v>0.4375</v>
      </c>
      <c r="D104" s="15" t="s">
        <v>53</v>
      </c>
      <c r="E104" s="15" t="s">
        <v>284</v>
      </c>
      <c r="F104" s="15" t="s">
        <v>32</v>
      </c>
      <c r="G104" s="262"/>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48</v>
      </c>
      <c r="B105" s="15" t="s">
        <v>742</v>
      </c>
      <c r="C105" s="16">
        <v>0.4375</v>
      </c>
      <c r="D105" s="15" t="s">
        <v>56</v>
      </c>
      <c r="E105" s="15" t="s">
        <v>284</v>
      </c>
      <c r="F105" s="15" t="s">
        <v>784</v>
      </c>
      <c r="G105" s="262"/>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38" t="s">
        <v>48</v>
      </c>
      <c r="B106" s="38" t="s">
        <v>745</v>
      </c>
      <c r="C106" s="39">
        <v>0.55902777777777779</v>
      </c>
      <c r="D106" s="38" t="s">
        <v>50</v>
      </c>
      <c r="E106" s="38" t="s">
        <v>83</v>
      </c>
      <c r="F106" s="38" t="s">
        <v>269</v>
      </c>
      <c r="G106" s="262"/>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48</v>
      </c>
      <c r="B107" s="15" t="s">
        <v>745</v>
      </c>
      <c r="C107" s="16">
        <v>0.55902777777777779</v>
      </c>
      <c r="D107" s="15" t="s">
        <v>53</v>
      </c>
      <c r="E107" s="15" t="s">
        <v>373</v>
      </c>
      <c r="F107" s="15" t="s">
        <v>32</v>
      </c>
      <c r="G107" s="262"/>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48</v>
      </c>
      <c r="B108" s="15" t="s">
        <v>745</v>
      </c>
      <c r="C108" s="16">
        <v>0.55902777777777779</v>
      </c>
      <c r="D108" s="15" t="s">
        <v>56</v>
      </c>
      <c r="E108" s="15" t="s">
        <v>373</v>
      </c>
      <c r="F108" s="15" t="s">
        <v>784</v>
      </c>
      <c r="G108" s="262"/>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38" t="s">
        <v>48</v>
      </c>
      <c r="B109" s="38" t="s">
        <v>746</v>
      </c>
      <c r="C109" s="39">
        <v>0.50694444444444442</v>
      </c>
      <c r="D109" s="38" t="s">
        <v>50</v>
      </c>
      <c r="E109" s="38" t="s">
        <v>118</v>
      </c>
      <c r="F109" s="38" t="s">
        <v>269</v>
      </c>
      <c r="G109" s="262"/>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48</v>
      </c>
      <c r="B110" s="15" t="s">
        <v>746</v>
      </c>
      <c r="C110" s="16">
        <v>0.50694444444444442</v>
      </c>
      <c r="D110" s="15" t="s">
        <v>53</v>
      </c>
      <c r="E110" s="15" t="s">
        <v>119</v>
      </c>
      <c r="F110" s="15" t="s">
        <v>32</v>
      </c>
      <c r="G110" s="262"/>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48</v>
      </c>
      <c r="B111" s="15" t="s">
        <v>746</v>
      </c>
      <c r="C111" s="16">
        <v>0.50694444444444442</v>
      </c>
      <c r="D111" s="15" t="s">
        <v>56</v>
      </c>
      <c r="E111" s="15" t="s">
        <v>119</v>
      </c>
      <c r="F111" s="15" t="s">
        <v>784</v>
      </c>
      <c r="G111" s="262"/>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38" t="s">
        <v>48</v>
      </c>
      <c r="B112" s="38" t="s">
        <v>750</v>
      </c>
      <c r="C112" s="39">
        <v>0.95833333333333337</v>
      </c>
      <c r="D112" s="38" t="s">
        <v>50</v>
      </c>
      <c r="E112" s="38" t="s">
        <v>70</v>
      </c>
      <c r="F112" s="38" t="s">
        <v>751</v>
      </c>
      <c r="G112" s="262"/>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48</v>
      </c>
      <c r="B113" s="15" t="s">
        <v>750</v>
      </c>
      <c r="C113" s="16">
        <v>0.95833333333333337</v>
      </c>
      <c r="D113" s="15" t="s">
        <v>53</v>
      </c>
      <c r="E113" s="15" t="s">
        <v>54</v>
      </c>
      <c r="F113" s="15" t="s">
        <v>105</v>
      </c>
      <c r="G113" s="262"/>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48</v>
      </c>
      <c r="B114" s="15" t="s">
        <v>750</v>
      </c>
      <c r="C114" s="16">
        <v>0.95833333333333337</v>
      </c>
      <c r="D114" s="15" t="s">
        <v>56</v>
      </c>
      <c r="E114" s="15" t="s">
        <v>54</v>
      </c>
      <c r="F114" s="15" t="s">
        <v>798</v>
      </c>
      <c r="G114" s="262"/>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38" t="s">
        <v>48</v>
      </c>
      <c r="B115" s="38" t="s">
        <v>744</v>
      </c>
      <c r="C115" s="39">
        <v>0.63194444444444442</v>
      </c>
      <c r="D115" s="38" t="s">
        <v>50</v>
      </c>
      <c r="E115" s="38" t="s">
        <v>118</v>
      </c>
      <c r="F115" s="38" t="s">
        <v>751</v>
      </c>
      <c r="G115" s="262"/>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48</v>
      </c>
      <c r="B116" s="15" t="s">
        <v>744</v>
      </c>
      <c r="C116" s="16">
        <v>0.63194444444444442</v>
      </c>
      <c r="D116" s="15" t="s">
        <v>53</v>
      </c>
      <c r="E116" s="15" t="s">
        <v>119</v>
      </c>
      <c r="F116" s="15" t="s">
        <v>105</v>
      </c>
      <c r="G116" s="262"/>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48</v>
      </c>
      <c r="B117" s="15" t="s">
        <v>744</v>
      </c>
      <c r="C117" s="16">
        <v>0.63194444444444442</v>
      </c>
      <c r="D117" s="15" t="s">
        <v>56</v>
      </c>
      <c r="E117" s="15" t="s">
        <v>119</v>
      </c>
      <c r="F117" s="15" t="s">
        <v>798</v>
      </c>
      <c r="G117" s="262"/>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38" t="s">
        <v>48</v>
      </c>
      <c r="B118" s="38" t="s">
        <v>749</v>
      </c>
      <c r="C118" s="39">
        <v>0.69791666666666663</v>
      </c>
      <c r="D118" s="38" t="s">
        <v>50</v>
      </c>
      <c r="E118" s="38" t="s">
        <v>70</v>
      </c>
      <c r="F118" s="38" t="s">
        <v>751</v>
      </c>
      <c r="G118" s="262"/>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48</v>
      </c>
      <c r="B119" s="15" t="s">
        <v>749</v>
      </c>
      <c r="C119" s="16">
        <v>0.69791666666666663</v>
      </c>
      <c r="D119" s="15" t="s">
        <v>53</v>
      </c>
      <c r="E119" s="15" t="s">
        <v>54</v>
      </c>
      <c r="F119" s="15" t="s">
        <v>105</v>
      </c>
      <c r="G119" s="262"/>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48</v>
      </c>
      <c r="B120" s="15" t="s">
        <v>749</v>
      </c>
      <c r="C120" s="16">
        <v>0.69791666666666663</v>
      </c>
      <c r="D120" s="15" t="s">
        <v>56</v>
      </c>
      <c r="E120" s="15" t="s">
        <v>54</v>
      </c>
      <c r="F120" s="15" t="s">
        <v>798</v>
      </c>
      <c r="G120" s="262"/>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38" t="s">
        <v>48</v>
      </c>
      <c r="B121" s="38" t="s">
        <v>747</v>
      </c>
      <c r="C121" s="39">
        <v>0.81944444444444453</v>
      </c>
      <c r="D121" s="38" t="s">
        <v>50</v>
      </c>
      <c r="E121" s="38" t="s">
        <v>287</v>
      </c>
      <c r="F121" s="38" t="s">
        <v>270</v>
      </c>
      <c r="G121" s="262"/>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48</v>
      </c>
      <c r="B122" s="15" t="s">
        <v>747</v>
      </c>
      <c r="C122" s="16">
        <v>0.81944444444444453</v>
      </c>
      <c r="D122" s="15" t="s">
        <v>53</v>
      </c>
      <c r="E122" s="15" t="s">
        <v>31</v>
      </c>
      <c r="F122" s="15" t="s">
        <v>280</v>
      </c>
      <c r="G122" s="262"/>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48</v>
      </c>
      <c r="B123" s="15" t="s">
        <v>747</v>
      </c>
      <c r="C123" s="16">
        <v>0.81944444444444453</v>
      </c>
      <c r="D123" s="15" t="s">
        <v>56</v>
      </c>
      <c r="E123" s="15" t="s">
        <v>31</v>
      </c>
      <c r="F123" s="15" t="s">
        <v>281</v>
      </c>
      <c r="G123" s="262"/>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36" t="s">
        <v>300</v>
      </c>
      <c r="B124" s="36" t="s">
        <v>799</v>
      </c>
      <c r="C124" s="37">
        <v>0.69097222222222221</v>
      </c>
      <c r="D124" s="36" t="s">
        <v>37</v>
      </c>
      <c r="E124" s="36" t="s">
        <v>375</v>
      </c>
      <c r="F124" s="36" t="s">
        <v>727</v>
      </c>
      <c r="G124" s="262"/>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36" t="s">
        <v>58</v>
      </c>
      <c r="B125" s="36" t="s">
        <v>760</v>
      </c>
      <c r="C125" s="37">
        <v>0.44444444444444442</v>
      </c>
      <c r="D125" s="36" t="s">
        <v>63</v>
      </c>
      <c r="E125" s="36" t="s">
        <v>77</v>
      </c>
      <c r="F125" s="36" t="s">
        <v>761</v>
      </c>
      <c r="G125" s="262"/>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38" t="s">
        <v>58</v>
      </c>
      <c r="B126" s="38" t="s">
        <v>767</v>
      </c>
      <c r="C126" s="39">
        <v>0.82986111111111116</v>
      </c>
      <c r="D126" s="38" t="s">
        <v>63</v>
      </c>
      <c r="E126" s="38" t="s">
        <v>86</v>
      </c>
      <c r="F126" s="38" t="s">
        <v>761</v>
      </c>
      <c r="G126" s="262"/>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38" t="s">
        <v>58</v>
      </c>
      <c r="B127" s="38" t="s">
        <v>769</v>
      </c>
      <c r="C127" s="39">
        <v>0.98263888888888884</v>
      </c>
      <c r="D127" s="38" t="s">
        <v>63</v>
      </c>
      <c r="E127" s="38" t="s">
        <v>86</v>
      </c>
      <c r="F127" s="38" t="s">
        <v>761</v>
      </c>
      <c r="G127" s="262"/>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38" t="s">
        <v>58</v>
      </c>
      <c r="B128" s="38" t="s">
        <v>762</v>
      </c>
      <c r="C128" s="39">
        <v>0.62847222222222221</v>
      </c>
      <c r="D128" s="38" t="s">
        <v>63</v>
      </c>
      <c r="E128" s="38" t="s">
        <v>86</v>
      </c>
      <c r="F128" s="38" t="s">
        <v>761</v>
      </c>
      <c r="G128" s="262"/>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38" t="s">
        <v>58</v>
      </c>
      <c r="B129" s="38" t="s">
        <v>765</v>
      </c>
      <c r="C129" s="39">
        <v>0.62847222222222221</v>
      </c>
      <c r="D129" s="38" t="s">
        <v>63</v>
      </c>
      <c r="E129" s="38" t="s">
        <v>72</v>
      </c>
      <c r="F129" s="38" t="s">
        <v>790</v>
      </c>
      <c r="G129" s="262"/>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38" t="s">
        <v>58</v>
      </c>
      <c r="B130" s="38" t="s">
        <v>763</v>
      </c>
      <c r="C130" s="39">
        <v>0.88888888888888884</v>
      </c>
      <c r="D130" s="38" t="s">
        <v>63</v>
      </c>
      <c r="E130" s="38" t="s">
        <v>72</v>
      </c>
      <c r="F130" s="38" t="s">
        <v>800</v>
      </c>
      <c r="G130" s="262"/>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38" t="s">
        <v>58</v>
      </c>
      <c r="B131" s="38" t="s">
        <v>766</v>
      </c>
      <c r="C131" s="39">
        <v>0.94444444444444453</v>
      </c>
      <c r="D131" s="38" t="s">
        <v>63</v>
      </c>
      <c r="E131" s="38" t="s">
        <v>72</v>
      </c>
      <c r="F131" s="38" t="s">
        <v>800</v>
      </c>
      <c r="G131" s="262"/>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36" t="s">
        <v>75</v>
      </c>
      <c r="B132" s="36" t="s">
        <v>771</v>
      </c>
      <c r="C132" s="37">
        <v>0.98263888888888884</v>
      </c>
      <c r="D132" s="36" t="s">
        <v>60</v>
      </c>
      <c r="E132" s="36" t="s">
        <v>97</v>
      </c>
      <c r="F132" s="36" t="s">
        <v>772</v>
      </c>
      <c r="G132" s="262"/>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38" t="s">
        <v>75</v>
      </c>
      <c r="B133" s="38" t="s">
        <v>773</v>
      </c>
      <c r="C133" s="39">
        <v>0.35416666666666669</v>
      </c>
      <c r="D133" s="38" t="s">
        <v>60</v>
      </c>
      <c r="E133" s="38" t="s">
        <v>66</v>
      </c>
      <c r="F133" s="38" t="s">
        <v>772</v>
      </c>
      <c r="G133" s="262"/>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40" t="s">
        <v>75</v>
      </c>
      <c r="B134" s="40" t="s">
        <v>774</v>
      </c>
      <c r="C134" s="41">
        <v>0.72916666666666663</v>
      </c>
      <c r="D134" s="40" t="s">
        <v>60</v>
      </c>
      <c r="E134" s="40" t="s">
        <v>72</v>
      </c>
      <c r="F134" s="40" t="s">
        <v>775</v>
      </c>
      <c r="G134" s="263"/>
      <c r="H134" s="42"/>
      <c r="I134" s="43"/>
      <c r="J134" s="43"/>
      <c r="K134" s="43"/>
      <c r="L134" s="43"/>
      <c r="M134" s="43"/>
      <c r="N134" s="43"/>
      <c r="O134" s="44"/>
      <c r="P134" s="43"/>
      <c r="Q134" s="45"/>
      <c r="R134" s="46"/>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275"/>
      <c r="B135" s="276"/>
      <c r="C135" s="276"/>
      <c r="D135" s="276"/>
      <c r="E135" s="276"/>
      <c r="F135" s="276"/>
      <c r="G135" s="276"/>
      <c r="H135" s="276"/>
      <c r="I135" s="276"/>
      <c r="J135" s="276"/>
      <c r="K135" s="276"/>
      <c r="L135" s="276"/>
      <c r="M135" s="276"/>
      <c r="N135" s="276"/>
      <c r="O135" s="276"/>
      <c r="P135" s="276"/>
      <c r="Q135" s="276"/>
      <c r="R135" s="27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266" t="s">
        <v>5</v>
      </c>
      <c r="B136" s="267"/>
      <c r="C136" s="267"/>
      <c r="D136" s="267"/>
      <c r="E136" s="267"/>
      <c r="F136" s="267"/>
      <c r="G136" s="5">
        <v>45989</v>
      </c>
      <c r="H136" s="270" t="s">
        <v>6</v>
      </c>
      <c r="I136" s="269"/>
      <c r="J136" s="269"/>
      <c r="K136" s="269"/>
      <c r="L136" s="269"/>
      <c r="M136" s="269"/>
      <c r="N136" s="269"/>
      <c r="O136" s="269"/>
      <c r="P136" s="269"/>
      <c r="Q136" s="269"/>
      <c r="R136" s="269"/>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47" t="s">
        <v>7</v>
      </c>
      <c r="B137" s="47" t="s">
        <v>8</v>
      </c>
      <c r="C137" s="48" t="s">
        <v>9</v>
      </c>
      <c r="D137" s="47" t="s">
        <v>10</v>
      </c>
      <c r="E137" s="47" t="s">
        <v>11</v>
      </c>
      <c r="F137" s="47" t="s">
        <v>12</v>
      </c>
      <c r="G137" s="49" t="s">
        <v>13</v>
      </c>
      <c r="H137" s="47" t="s">
        <v>14</v>
      </c>
      <c r="I137" s="50" t="s">
        <v>15</v>
      </c>
      <c r="J137" s="51" t="s">
        <v>16</v>
      </c>
      <c r="K137" s="52" t="s">
        <v>17</v>
      </c>
      <c r="L137" s="51" t="s">
        <v>18</v>
      </c>
      <c r="M137" s="51" t="s">
        <v>19</v>
      </c>
      <c r="N137" s="51" t="s">
        <v>20</v>
      </c>
      <c r="O137" s="47" t="s">
        <v>21</v>
      </c>
      <c r="P137" s="48" t="s">
        <v>22</v>
      </c>
      <c r="Q137" s="51" t="s">
        <v>23</v>
      </c>
      <c r="R137" s="47"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8" t="s">
        <v>300</v>
      </c>
      <c r="B138" s="8" t="s">
        <v>758</v>
      </c>
      <c r="C138" s="9">
        <v>9.0277777777777776E-2</v>
      </c>
      <c r="D138" s="8" t="s">
        <v>37</v>
      </c>
      <c r="E138" s="8" t="s">
        <v>51</v>
      </c>
      <c r="F138" s="8" t="s">
        <v>801</v>
      </c>
      <c r="G138" s="261"/>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36" t="s">
        <v>75</v>
      </c>
      <c r="B139" s="36" t="s">
        <v>773</v>
      </c>
      <c r="C139" s="37">
        <v>0.35416666666666669</v>
      </c>
      <c r="D139" s="36" t="s">
        <v>60</v>
      </c>
      <c r="E139" s="36" t="s">
        <v>246</v>
      </c>
      <c r="F139" s="36" t="s">
        <v>802</v>
      </c>
      <c r="G139" s="262"/>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38" t="s">
        <v>75</v>
      </c>
      <c r="B140" s="38" t="s">
        <v>774</v>
      </c>
      <c r="C140" s="39">
        <v>0.72916666666666663</v>
      </c>
      <c r="D140" s="38" t="s">
        <v>60</v>
      </c>
      <c r="E140" s="38" t="s">
        <v>86</v>
      </c>
      <c r="F140" s="38" t="s">
        <v>772</v>
      </c>
      <c r="G140" s="262"/>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38" t="s">
        <v>75</v>
      </c>
      <c r="B141" s="38" t="s">
        <v>771</v>
      </c>
      <c r="C141" s="39">
        <v>0.98263888888888884</v>
      </c>
      <c r="D141" s="38" t="s">
        <v>60</v>
      </c>
      <c r="E141" s="38" t="s">
        <v>86</v>
      </c>
      <c r="F141" s="38" t="s">
        <v>803</v>
      </c>
      <c r="G141" s="262"/>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36" t="s">
        <v>295</v>
      </c>
      <c r="B142" s="36" t="s">
        <v>793</v>
      </c>
      <c r="C142" s="37">
        <v>0.21180555555555561</v>
      </c>
      <c r="D142" s="36" t="s">
        <v>37</v>
      </c>
      <c r="E142" s="36" t="s">
        <v>77</v>
      </c>
      <c r="F142" s="36" t="s">
        <v>338</v>
      </c>
      <c r="G142" s="262"/>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36" t="s">
        <v>48</v>
      </c>
      <c r="B143" s="36" t="s">
        <v>742</v>
      </c>
      <c r="C143" s="37">
        <v>0.4375</v>
      </c>
      <c r="D143" s="36" t="s">
        <v>50</v>
      </c>
      <c r="E143" s="36" t="s">
        <v>97</v>
      </c>
      <c r="F143" s="36" t="s">
        <v>117</v>
      </c>
      <c r="G143" s="262"/>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48</v>
      </c>
      <c r="B144" s="15" t="s">
        <v>742</v>
      </c>
      <c r="C144" s="16">
        <v>0.4375</v>
      </c>
      <c r="D144" s="15" t="s">
        <v>53</v>
      </c>
      <c r="E144" s="15" t="s">
        <v>99</v>
      </c>
      <c r="F144" s="15" t="s">
        <v>804</v>
      </c>
      <c r="G144" s="262"/>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48</v>
      </c>
      <c r="B145" s="15" t="s">
        <v>742</v>
      </c>
      <c r="C145" s="16">
        <v>0.4375</v>
      </c>
      <c r="D145" s="15" t="s">
        <v>56</v>
      </c>
      <c r="E145" s="15" t="s">
        <v>99</v>
      </c>
      <c r="F145" s="15" t="s">
        <v>805</v>
      </c>
      <c r="G145" s="262"/>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38" t="s">
        <v>48</v>
      </c>
      <c r="B146" s="38" t="s">
        <v>745</v>
      </c>
      <c r="C146" s="39">
        <v>0.55902777777777779</v>
      </c>
      <c r="D146" s="38" t="s">
        <v>50</v>
      </c>
      <c r="E146" s="38" t="s">
        <v>118</v>
      </c>
      <c r="F146" s="38" t="s">
        <v>275</v>
      </c>
      <c r="G146" s="262"/>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48</v>
      </c>
      <c r="B147" s="15" t="s">
        <v>745</v>
      </c>
      <c r="C147" s="16">
        <v>0.55902777777777779</v>
      </c>
      <c r="D147" s="15" t="s">
        <v>53</v>
      </c>
      <c r="E147" s="15" t="s">
        <v>119</v>
      </c>
      <c r="F147" s="15" t="s">
        <v>112</v>
      </c>
      <c r="G147" s="262"/>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5" t="s">
        <v>48</v>
      </c>
      <c r="B148" s="15" t="s">
        <v>745</v>
      </c>
      <c r="C148" s="16">
        <v>0.55902777777777779</v>
      </c>
      <c r="D148" s="15" t="s">
        <v>56</v>
      </c>
      <c r="E148" s="15" t="s">
        <v>119</v>
      </c>
      <c r="F148" s="15" t="s">
        <v>394</v>
      </c>
      <c r="G148" s="262"/>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38" t="s">
        <v>48</v>
      </c>
      <c r="B149" s="38" t="s">
        <v>746</v>
      </c>
      <c r="C149" s="39">
        <v>0.50694444444444442</v>
      </c>
      <c r="D149" s="38" t="s">
        <v>50</v>
      </c>
      <c r="E149" s="38" t="s">
        <v>118</v>
      </c>
      <c r="F149" s="38" t="s">
        <v>275</v>
      </c>
      <c r="G149" s="262"/>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48</v>
      </c>
      <c r="B150" s="15" t="s">
        <v>746</v>
      </c>
      <c r="C150" s="16">
        <v>0.50694444444444442</v>
      </c>
      <c r="D150" s="15" t="s">
        <v>53</v>
      </c>
      <c r="E150" s="15" t="s">
        <v>119</v>
      </c>
      <c r="F150" s="15" t="s">
        <v>112</v>
      </c>
      <c r="G150" s="262"/>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5" t="s">
        <v>48</v>
      </c>
      <c r="B151" s="15" t="s">
        <v>746</v>
      </c>
      <c r="C151" s="16">
        <v>0.50694444444444442</v>
      </c>
      <c r="D151" s="15" t="s">
        <v>56</v>
      </c>
      <c r="E151" s="15" t="s">
        <v>119</v>
      </c>
      <c r="F151" s="15" t="s">
        <v>394</v>
      </c>
      <c r="G151" s="262"/>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38" t="s">
        <v>48</v>
      </c>
      <c r="B152" s="38" t="s">
        <v>750</v>
      </c>
      <c r="C152" s="39">
        <v>0.95833333333333337</v>
      </c>
      <c r="D152" s="38" t="s">
        <v>50</v>
      </c>
      <c r="E152" s="38" t="s">
        <v>66</v>
      </c>
      <c r="F152" s="38" t="s">
        <v>112</v>
      </c>
      <c r="G152" s="262"/>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5" t="s">
        <v>48</v>
      </c>
      <c r="B153" s="15" t="s">
        <v>750</v>
      </c>
      <c r="C153" s="16">
        <v>0.95833333333333337</v>
      </c>
      <c r="D153" s="15" t="s">
        <v>53</v>
      </c>
      <c r="E153" s="15" t="s">
        <v>68</v>
      </c>
      <c r="F153" s="15" t="s">
        <v>395</v>
      </c>
      <c r="G153" s="262"/>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5" t="s">
        <v>48</v>
      </c>
      <c r="B154" s="15" t="s">
        <v>750</v>
      </c>
      <c r="C154" s="16">
        <v>0.95833333333333337</v>
      </c>
      <c r="D154" s="15" t="s">
        <v>56</v>
      </c>
      <c r="E154" s="15" t="s">
        <v>68</v>
      </c>
      <c r="F154" s="15" t="s">
        <v>806</v>
      </c>
      <c r="G154" s="262"/>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38" t="s">
        <v>48</v>
      </c>
      <c r="B155" s="38" t="s">
        <v>744</v>
      </c>
      <c r="C155" s="39">
        <v>0.63194444444444442</v>
      </c>
      <c r="D155" s="38" t="s">
        <v>50</v>
      </c>
      <c r="E155" s="38" t="s">
        <v>118</v>
      </c>
      <c r="F155" s="38" t="s">
        <v>112</v>
      </c>
      <c r="G155" s="262"/>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48</v>
      </c>
      <c r="B156" s="15" t="s">
        <v>744</v>
      </c>
      <c r="C156" s="16">
        <v>0.63194444444444442</v>
      </c>
      <c r="D156" s="15" t="s">
        <v>53</v>
      </c>
      <c r="E156" s="15" t="s">
        <v>119</v>
      </c>
      <c r="F156" s="15" t="s">
        <v>395</v>
      </c>
      <c r="G156" s="262"/>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48</v>
      </c>
      <c r="B157" s="15" t="s">
        <v>744</v>
      </c>
      <c r="C157" s="16">
        <v>0.63194444444444442</v>
      </c>
      <c r="D157" s="15" t="s">
        <v>56</v>
      </c>
      <c r="E157" s="15" t="s">
        <v>119</v>
      </c>
      <c r="F157" s="15" t="s">
        <v>806</v>
      </c>
      <c r="G157" s="262"/>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38" t="s">
        <v>48</v>
      </c>
      <c r="B158" s="38" t="s">
        <v>747</v>
      </c>
      <c r="C158" s="39">
        <v>0.81944444444444453</v>
      </c>
      <c r="D158" s="38" t="s">
        <v>50</v>
      </c>
      <c r="E158" s="38" t="s">
        <v>83</v>
      </c>
      <c r="F158" s="38" t="s">
        <v>112</v>
      </c>
      <c r="G158" s="262"/>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48</v>
      </c>
      <c r="B159" s="15" t="s">
        <v>747</v>
      </c>
      <c r="C159" s="16">
        <v>0.81944444444444453</v>
      </c>
      <c r="D159" s="15" t="s">
        <v>53</v>
      </c>
      <c r="E159" s="15" t="s">
        <v>373</v>
      </c>
      <c r="F159" s="15" t="s">
        <v>395</v>
      </c>
      <c r="G159" s="262"/>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5" t="s">
        <v>48</v>
      </c>
      <c r="B160" s="15" t="s">
        <v>747</v>
      </c>
      <c r="C160" s="16">
        <v>0.81944444444444453</v>
      </c>
      <c r="D160" s="15" t="s">
        <v>56</v>
      </c>
      <c r="E160" s="15" t="s">
        <v>373</v>
      </c>
      <c r="F160" s="15" t="s">
        <v>806</v>
      </c>
      <c r="G160" s="262"/>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38" t="s">
        <v>48</v>
      </c>
      <c r="B161" s="38" t="s">
        <v>749</v>
      </c>
      <c r="C161" s="39">
        <v>0.69791666666666663</v>
      </c>
      <c r="D161" s="38" t="s">
        <v>50</v>
      </c>
      <c r="E161" s="38" t="s">
        <v>118</v>
      </c>
      <c r="F161" s="38" t="s">
        <v>395</v>
      </c>
      <c r="G161" s="262"/>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48</v>
      </c>
      <c r="B162" s="15" t="s">
        <v>749</v>
      </c>
      <c r="C162" s="16">
        <v>0.69791666666666663</v>
      </c>
      <c r="D162" s="15" t="s">
        <v>53</v>
      </c>
      <c r="E162" s="15" t="s">
        <v>119</v>
      </c>
      <c r="F162" s="15" t="s">
        <v>396</v>
      </c>
      <c r="G162" s="262"/>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48</v>
      </c>
      <c r="B163" s="15" t="s">
        <v>749</v>
      </c>
      <c r="C163" s="16">
        <v>0.69791666666666663</v>
      </c>
      <c r="D163" s="15" t="s">
        <v>56</v>
      </c>
      <c r="E163" s="15" t="s">
        <v>119</v>
      </c>
      <c r="F163" s="15" t="s">
        <v>397</v>
      </c>
      <c r="G163" s="262"/>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36" t="s">
        <v>25</v>
      </c>
      <c r="B164" s="36" t="s">
        <v>736</v>
      </c>
      <c r="C164" s="37">
        <v>0.57638888888888895</v>
      </c>
      <c r="D164" s="36" t="s">
        <v>27</v>
      </c>
      <c r="E164" s="36" t="s">
        <v>405</v>
      </c>
      <c r="F164" s="36" t="s">
        <v>270</v>
      </c>
      <c r="G164" s="262"/>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25</v>
      </c>
      <c r="B165" s="15" t="s">
        <v>736</v>
      </c>
      <c r="C165" s="16">
        <v>0.57638888888888895</v>
      </c>
      <c r="D165" s="15" t="s">
        <v>33</v>
      </c>
      <c r="E165" s="15" t="s">
        <v>119</v>
      </c>
      <c r="F165" s="15" t="s">
        <v>112</v>
      </c>
      <c r="G165" s="262"/>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25</v>
      </c>
      <c r="B166" s="15" t="s">
        <v>736</v>
      </c>
      <c r="C166" s="16">
        <v>0.57638888888888895</v>
      </c>
      <c r="D166" s="15" t="s">
        <v>30</v>
      </c>
      <c r="E166" s="15" t="s">
        <v>119</v>
      </c>
      <c r="F166" s="15" t="s">
        <v>791</v>
      </c>
      <c r="G166" s="262"/>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38" t="s">
        <v>25</v>
      </c>
      <c r="B167" s="38" t="s">
        <v>738</v>
      </c>
      <c r="C167" s="39">
        <v>0.62847222222222221</v>
      </c>
      <c r="D167" s="38" t="s">
        <v>27</v>
      </c>
      <c r="E167" s="38" t="s">
        <v>80</v>
      </c>
      <c r="F167" s="38" t="s">
        <v>270</v>
      </c>
      <c r="G167" s="262"/>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25</v>
      </c>
      <c r="B168" s="15" t="s">
        <v>738</v>
      </c>
      <c r="C168" s="16">
        <v>0.62847222222222221</v>
      </c>
      <c r="D168" s="15" t="s">
        <v>33</v>
      </c>
      <c r="E168" s="15" t="s">
        <v>64</v>
      </c>
      <c r="F168" s="15" t="s">
        <v>112</v>
      </c>
      <c r="G168" s="262"/>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25</v>
      </c>
      <c r="B169" s="15" t="s">
        <v>738</v>
      </c>
      <c r="C169" s="16">
        <v>0.62847222222222221</v>
      </c>
      <c r="D169" s="15" t="s">
        <v>30</v>
      </c>
      <c r="E169" s="15" t="s">
        <v>64</v>
      </c>
      <c r="F169" s="15" t="s">
        <v>791</v>
      </c>
      <c r="G169" s="262"/>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38" t="s">
        <v>25</v>
      </c>
      <c r="B170" s="38" t="s">
        <v>740</v>
      </c>
      <c r="C170" s="39">
        <v>0.88888888888888884</v>
      </c>
      <c r="D170" s="38" t="s">
        <v>27</v>
      </c>
      <c r="E170" s="38" t="s">
        <v>272</v>
      </c>
      <c r="F170" s="38" t="s">
        <v>93</v>
      </c>
      <c r="G170" s="262"/>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25</v>
      </c>
      <c r="B171" s="15" t="s">
        <v>740</v>
      </c>
      <c r="C171" s="16">
        <v>0.88888888888888884</v>
      </c>
      <c r="D171" s="15" t="s">
        <v>33</v>
      </c>
      <c r="E171" s="15" t="s">
        <v>274</v>
      </c>
      <c r="F171" s="15" t="s">
        <v>394</v>
      </c>
      <c r="G171" s="262"/>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25</v>
      </c>
      <c r="B172" s="15" t="s">
        <v>740</v>
      </c>
      <c r="C172" s="16">
        <v>0.88888888888888884</v>
      </c>
      <c r="D172" s="15" t="s">
        <v>30</v>
      </c>
      <c r="E172" s="15" t="s">
        <v>274</v>
      </c>
      <c r="F172" s="15" t="s">
        <v>791</v>
      </c>
      <c r="G172" s="262"/>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38" t="s">
        <v>25</v>
      </c>
      <c r="B173" s="38" t="s">
        <v>739</v>
      </c>
      <c r="C173" s="39">
        <v>0.94444444444444453</v>
      </c>
      <c r="D173" s="38" t="s">
        <v>27</v>
      </c>
      <c r="E173" s="38" t="s">
        <v>70</v>
      </c>
      <c r="F173" s="38" t="s">
        <v>93</v>
      </c>
      <c r="G173" s="262"/>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25</v>
      </c>
      <c r="B174" s="15" t="s">
        <v>739</v>
      </c>
      <c r="C174" s="16">
        <v>0.94444444444444453</v>
      </c>
      <c r="D174" s="15" t="s">
        <v>33</v>
      </c>
      <c r="E174" s="15" t="s">
        <v>54</v>
      </c>
      <c r="F174" s="15" t="s">
        <v>394</v>
      </c>
      <c r="G174" s="262"/>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739</v>
      </c>
      <c r="C175" s="16">
        <v>0.94444444444444453</v>
      </c>
      <c r="D175" s="15" t="s">
        <v>30</v>
      </c>
      <c r="E175" s="15" t="s">
        <v>54</v>
      </c>
      <c r="F175" s="15" t="s">
        <v>791</v>
      </c>
      <c r="G175" s="262"/>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4" t="s">
        <v>35</v>
      </c>
      <c r="B176" s="174" t="s">
        <v>779</v>
      </c>
      <c r="C176" s="175">
        <v>0.40625</v>
      </c>
      <c r="D176" s="174" t="s">
        <v>37</v>
      </c>
      <c r="E176" s="174" t="s">
        <v>77</v>
      </c>
      <c r="F176" s="174" t="s">
        <v>807</v>
      </c>
      <c r="G176" s="262"/>
      <c r="H176" s="176" t="s">
        <v>780</v>
      </c>
      <c r="I176" s="177">
        <v>0.5978</v>
      </c>
      <c r="J176" s="178">
        <v>107</v>
      </c>
      <c r="K176" s="179">
        <v>45984</v>
      </c>
      <c r="L176" s="178">
        <v>4</v>
      </c>
      <c r="M176" s="178">
        <v>0</v>
      </c>
      <c r="N176" s="178">
        <v>2</v>
      </c>
      <c r="O176" s="180" t="s">
        <v>808</v>
      </c>
      <c r="P176" s="181">
        <v>0.40625</v>
      </c>
      <c r="Q176" s="178">
        <v>179</v>
      </c>
      <c r="R176" s="182" t="s">
        <v>809</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96" t="s">
        <v>35</v>
      </c>
      <c r="B177" s="196" t="s">
        <v>752</v>
      </c>
      <c r="C177" s="197">
        <v>0.72569444444444453</v>
      </c>
      <c r="D177" s="196" t="s">
        <v>37</v>
      </c>
      <c r="E177" s="196" t="s">
        <v>66</v>
      </c>
      <c r="F177" s="196" t="s">
        <v>807</v>
      </c>
      <c r="G177" s="262"/>
      <c r="H177" s="151" t="s">
        <v>754</v>
      </c>
      <c r="I177" s="246">
        <v>0.61450000000000005</v>
      </c>
      <c r="J177" s="153">
        <v>110</v>
      </c>
      <c r="K177" s="154">
        <v>45984</v>
      </c>
      <c r="L177" s="153">
        <v>17</v>
      </c>
      <c r="M177" s="153">
        <v>0</v>
      </c>
      <c r="N177" s="153">
        <v>7</v>
      </c>
      <c r="O177" s="155" t="s">
        <v>810</v>
      </c>
      <c r="P177" s="156">
        <v>0.72569444444444453</v>
      </c>
      <c r="Q177" s="153">
        <v>179</v>
      </c>
      <c r="R177" s="157" t="s">
        <v>811</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36" t="s">
        <v>58</v>
      </c>
      <c r="B178" s="36" t="s">
        <v>760</v>
      </c>
      <c r="C178" s="37">
        <v>0.44444444444444442</v>
      </c>
      <c r="D178" s="36" t="s">
        <v>63</v>
      </c>
      <c r="E178" s="36" t="s">
        <v>77</v>
      </c>
      <c r="F178" s="36" t="s">
        <v>768</v>
      </c>
      <c r="G178" s="262"/>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38" t="s">
        <v>58</v>
      </c>
      <c r="B179" s="38" t="s">
        <v>767</v>
      </c>
      <c r="C179" s="39">
        <v>0.82986111111111116</v>
      </c>
      <c r="D179" s="38" t="s">
        <v>63</v>
      </c>
      <c r="E179" s="38" t="s">
        <v>91</v>
      </c>
      <c r="F179" s="38" t="s">
        <v>768</v>
      </c>
      <c r="G179" s="262"/>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38" t="s">
        <v>58</v>
      </c>
      <c r="B180" s="38" t="s">
        <v>769</v>
      </c>
      <c r="C180" s="39">
        <v>0.98263888888888884</v>
      </c>
      <c r="D180" s="38" t="s">
        <v>63</v>
      </c>
      <c r="E180" s="38" t="s">
        <v>80</v>
      </c>
      <c r="F180" s="38" t="s">
        <v>768</v>
      </c>
      <c r="G180" s="262"/>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38" t="s">
        <v>58</v>
      </c>
      <c r="B181" s="38" t="s">
        <v>763</v>
      </c>
      <c r="C181" s="39">
        <v>0.88888888888888884</v>
      </c>
      <c r="D181" s="38" t="s">
        <v>63</v>
      </c>
      <c r="E181" s="38" t="s">
        <v>72</v>
      </c>
      <c r="F181" s="38" t="s">
        <v>812</v>
      </c>
      <c r="G181" s="262"/>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8" t="s">
        <v>58</v>
      </c>
      <c r="B182" s="38" t="s">
        <v>765</v>
      </c>
      <c r="C182" s="39">
        <v>0.62847222222222221</v>
      </c>
      <c r="D182" s="38" t="s">
        <v>63</v>
      </c>
      <c r="E182" s="38" t="s">
        <v>72</v>
      </c>
      <c r="F182" s="38" t="s">
        <v>812</v>
      </c>
      <c r="G182" s="262"/>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40" t="s">
        <v>58</v>
      </c>
      <c r="B183" s="40" t="s">
        <v>766</v>
      </c>
      <c r="C183" s="41">
        <v>0.94444444444444453</v>
      </c>
      <c r="D183" s="40" t="s">
        <v>63</v>
      </c>
      <c r="E183" s="40" t="s">
        <v>72</v>
      </c>
      <c r="F183" s="40" t="s">
        <v>813</v>
      </c>
      <c r="G183" s="263"/>
      <c r="H183" s="42"/>
      <c r="I183" s="43"/>
      <c r="J183" s="43"/>
      <c r="K183" s="43"/>
      <c r="L183" s="43"/>
      <c r="M183" s="43"/>
      <c r="N183" s="43"/>
      <c r="O183" s="44"/>
      <c r="P183" s="43"/>
      <c r="Q183" s="45"/>
      <c r="R183" s="46"/>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4.4" customHeight="1" x14ac:dyDescent="0.3">
      <c r="A184" s="275"/>
      <c r="B184" s="276"/>
      <c r="C184" s="276"/>
      <c r="D184" s="276"/>
      <c r="E184" s="276"/>
      <c r="F184" s="276"/>
      <c r="G184" s="276"/>
      <c r="H184" s="276"/>
      <c r="I184" s="276"/>
      <c r="J184" s="276"/>
      <c r="K184" s="276"/>
      <c r="L184" s="276"/>
      <c r="M184" s="276"/>
      <c r="N184" s="276"/>
      <c r="O184" s="276"/>
      <c r="P184" s="276"/>
      <c r="Q184" s="276"/>
      <c r="R184" s="27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2.05" customHeight="1" x14ac:dyDescent="0.3">
      <c r="A185" s="266" t="s">
        <v>5</v>
      </c>
      <c r="B185" s="267"/>
      <c r="C185" s="267"/>
      <c r="D185" s="267"/>
      <c r="E185" s="267"/>
      <c r="F185" s="267"/>
      <c r="G185" s="5">
        <v>45990</v>
      </c>
      <c r="H185" s="270" t="s">
        <v>6</v>
      </c>
      <c r="I185" s="269"/>
      <c r="J185" s="269"/>
      <c r="K185" s="269"/>
      <c r="L185" s="269"/>
      <c r="M185" s="269"/>
      <c r="N185" s="269"/>
      <c r="O185" s="269"/>
      <c r="P185" s="269"/>
      <c r="Q185" s="269"/>
      <c r="R185" s="269"/>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24" customHeight="1" x14ac:dyDescent="0.3">
      <c r="A186" s="47" t="s">
        <v>7</v>
      </c>
      <c r="B186" s="47" t="s">
        <v>8</v>
      </c>
      <c r="C186" s="48" t="s">
        <v>9</v>
      </c>
      <c r="D186" s="47" t="s">
        <v>10</v>
      </c>
      <c r="E186" s="47" t="s">
        <v>11</v>
      </c>
      <c r="F186" s="47" t="s">
        <v>12</v>
      </c>
      <c r="G186" s="49" t="s">
        <v>13</v>
      </c>
      <c r="H186" s="47" t="s">
        <v>14</v>
      </c>
      <c r="I186" s="50" t="s">
        <v>15</v>
      </c>
      <c r="J186" s="51" t="s">
        <v>16</v>
      </c>
      <c r="K186" s="52" t="s">
        <v>17</v>
      </c>
      <c r="L186" s="51" t="s">
        <v>18</v>
      </c>
      <c r="M186" s="51" t="s">
        <v>19</v>
      </c>
      <c r="N186" s="51" t="s">
        <v>20</v>
      </c>
      <c r="O186" s="47" t="s">
        <v>21</v>
      </c>
      <c r="P186" s="48" t="s">
        <v>22</v>
      </c>
      <c r="Q186" s="51" t="s">
        <v>23</v>
      </c>
      <c r="R186" s="47" t="s">
        <v>24</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8" t="s">
        <v>300</v>
      </c>
      <c r="B187" s="8" t="s">
        <v>758</v>
      </c>
      <c r="C187" s="9">
        <v>8.6805555555555566E-2</v>
      </c>
      <c r="D187" s="8" t="s">
        <v>37</v>
      </c>
      <c r="E187" s="8" t="s">
        <v>61</v>
      </c>
      <c r="F187" s="8" t="s">
        <v>727</v>
      </c>
      <c r="G187" s="261"/>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38" t="s">
        <v>300</v>
      </c>
      <c r="B188" s="38" t="s">
        <v>799</v>
      </c>
      <c r="C188" s="39">
        <v>0.68402777777777779</v>
      </c>
      <c r="D188" s="38" t="s">
        <v>37</v>
      </c>
      <c r="E188" s="38" t="s">
        <v>91</v>
      </c>
      <c r="F188" s="38" t="s">
        <v>814</v>
      </c>
      <c r="G188" s="262"/>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36" t="s">
        <v>295</v>
      </c>
      <c r="B189" s="36" t="s">
        <v>793</v>
      </c>
      <c r="C189" s="37">
        <v>0.1701388888888889</v>
      </c>
      <c r="D189" s="36" t="s">
        <v>37</v>
      </c>
      <c r="E189" s="36" t="s">
        <v>77</v>
      </c>
      <c r="F189" s="36" t="s">
        <v>815</v>
      </c>
      <c r="G189" s="262"/>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38" t="s">
        <v>295</v>
      </c>
      <c r="B190" s="38" t="s">
        <v>816</v>
      </c>
      <c r="C190" s="39">
        <v>2.4305555555555559E-2</v>
      </c>
      <c r="D190" s="38" t="s">
        <v>37</v>
      </c>
      <c r="E190" s="38" t="s">
        <v>121</v>
      </c>
      <c r="F190" s="38" t="s">
        <v>815</v>
      </c>
      <c r="G190" s="262"/>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38" t="s">
        <v>295</v>
      </c>
      <c r="B191" s="38" t="s">
        <v>817</v>
      </c>
      <c r="C191" s="39">
        <v>0.53819444444444442</v>
      </c>
      <c r="D191" s="38" t="s">
        <v>37</v>
      </c>
      <c r="E191" s="38" t="s">
        <v>86</v>
      </c>
      <c r="F191" s="38" t="s">
        <v>818</v>
      </c>
      <c r="G191" s="262"/>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36" t="s">
        <v>48</v>
      </c>
      <c r="B192" s="36" t="s">
        <v>742</v>
      </c>
      <c r="C192" s="37">
        <v>0.4375</v>
      </c>
      <c r="D192" s="36" t="s">
        <v>50</v>
      </c>
      <c r="E192" s="36" t="s">
        <v>375</v>
      </c>
      <c r="F192" s="36" t="s">
        <v>112</v>
      </c>
      <c r="G192" s="262"/>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48</v>
      </c>
      <c r="B193" s="15" t="s">
        <v>742</v>
      </c>
      <c r="C193" s="16">
        <v>0.4375</v>
      </c>
      <c r="D193" s="15" t="s">
        <v>53</v>
      </c>
      <c r="E193" s="15" t="s">
        <v>373</v>
      </c>
      <c r="F193" s="15" t="s">
        <v>395</v>
      </c>
      <c r="G193" s="262"/>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48</v>
      </c>
      <c r="B194" s="15" t="s">
        <v>742</v>
      </c>
      <c r="C194" s="16">
        <v>0.4375</v>
      </c>
      <c r="D194" s="15" t="s">
        <v>56</v>
      </c>
      <c r="E194" s="15" t="s">
        <v>373</v>
      </c>
      <c r="F194" s="15" t="s">
        <v>806</v>
      </c>
      <c r="G194" s="262"/>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38" t="s">
        <v>48</v>
      </c>
      <c r="B195" s="38" t="s">
        <v>746</v>
      </c>
      <c r="C195" s="39">
        <v>0.50694444444444442</v>
      </c>
      <c r="D195" s="38" t="s">
        <v>50</v>
      </c>
      <c r="E195" s="38" t="s">
        <v>80</v>
      </c>
      <c r="F195" s="38" t="s">
        <v>112</v>
      </c>
      <c r="G195" s="262"/>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48</v>
      </c>
      <c r="B196" s="15" t="s">
        <v>746</v>
      </c>
      <c r="C196" s="16">
        <v>0.50694444444444442</v>
      </c>
      <c r="D196" s="15" t="s">
        <v>53</v>
      </c>
      <c r="E196" s="15" t="s">
        <v>64</v>
      </c>
      <c r="F196" s="15" t="s">
        <v>395</v>
      </c>
      <c r="G196" s="262"/>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48</v>
      </c>
      <c r="B197" s="15" t="s">
        <v>746</v>
      </c>
      <c r="C197" s="16">
        <v>0.50694444444444442</v>
      </c>
      <c r="D197" s="15" t="s">
        <v>56</v>
      </c>
      <c r="E197" s="15" t="s">
        <v>64</v>
      </c>
      <c r="F197" s="15" t="s">
        <v>806</v>
      </c>
      <c r="G197" s="262"/>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38" t="s">
        <v>48</v>
      </c>
      <c r="B198" s="38" t="s">
        <v>745</v>
      </c>
      <c r="C198" s="39">
        <v>0.55902777777777779</v>
      </c>
      <c r="D198" s="38" t="s">
        <v>50</v>
      </c>
      <c r="E198" s="38" t="s">
        <v>121</v>
      </c>
      <c r="F198" s="38" t="s">
        <v>395</v>
      </c>
      <c r="G198" s="262"/>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48</v>
      </c>
      <c r="B199" s="15" t="s">
        <v>745</v>
      </c>
      <c r="C199" s="16">
        <v>0.55902777777777779</v>
      </c>
      <c r="D199" s="15" t="s">
        <v>53</v>
      </c>
      <c r="E199" s="15" t="s">
        <v>284</v>
      </c>
      <c r="F199" s="15" t="s">
        <v>396</v>
      </c>
      <c r="G199" s="262"/>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48</v>
      </c>
      <c r="B200" s="15" t="s">
        <v>745</v>
      </c>
      <c r="C200" s="16">
        <v>0.55902777777777779</v>
      </c>
      <c r="D200" s="15" t="s">
        <v>56</v>
      </c>
      <c r="E200" s="15" t="s">
        <v>284</v>
      </c>
      <c r="F200" s="15" t="s">
        <v>397</v>
      </c>
      <c r="G200" s="262"/>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38" t="s">
        <v>48</v>
      </c>
      <c r="B201" s="38" t="s">
        <v>744</v>
      </c>
      <c r="C201" s="39">
        <v>0.63194444444444442</v>
      </c>
      <c r="D201" s="38" t="s">
        <v>50</v>
      </c>
      <c r="E201" s="38" t="s">
        <v>118</v>
      </c>
      <c r="F201" s="38" t="s">
        <v>819</v>
      </c>
      <c r="G201" s="262"/>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48</v>
      </c>
      <c r="B202" s="15" t="s">
        <v>744</v>
      </c>
      <c r="C202" s="16">
        <v>0.63194444444444442</v>
      </c>
      <c r="D202" s="15" t="s">
        <v>53</v>
      </c>
      <c r="E202" s="15" t="s">
        <v>119</v>
      </c>
      <c r="F202" s="15" t="s">
        <v>820</v>
      </c>
      <c r="G202" s="262"/>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48</v>
      </c>
      <c r="B203" s="15" t="s">
        <v>744</v>
      </c>
      <c r="C203" s="16">
        <v>0.63194444444444442</v>
      </c>
      <c r="D203" s="15" t="s">
        <v>56</v>
      </c>
      <c r="E203" s="15" t="s">
        <v>119</v>
      </c>
      <c r="F203" s="15" t="s">
        <v>821</v>
      </c>
      <c r="G203" s="262"/>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38" t="s">
        <v>48</v>
      </c>
      <c r="B204" s="38" t="s">
        <v>749</v>
      </c>
      <c r="C204" s="39">
        <v>0.69791666666666663</v>
      </c>
      <c r="D204" s="38" t="s">
        <v>50</v>
      </c>
      <c r="E204" s="38" t="s">
        <v>72</v>
      </c>
      <c r="F204" s="38" t="s">
        <v>819</v>
      </c>
      <c r="G204" s="262"/>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48</v>
      </c>
      <c r="B205" s="15" t="s">
        <v>749</v>
      </c>
      <c r="C205" s="16">
        <v>0.69791666666666663</v>
      </c>
      <c r="D205" s="15" t="s">
        <v>53</v>
      </c>
      <c r="E205" s="15" t="s">
        <v>74</v>
      </c>
      <c r="F205" s="15" t="s">
        <v>820</v>
      </c>
      <c r="G205" s="262"/>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48</v>
      </c>
      <c r="B206" s="15" t="s">
        <v>749</v>
      </c>
      <c r="C206" s="16">
        <v>0.69791666666666663</v>
      </c>
      <c r="D206" s="15" t="s">
        <v>56</v>
      </c>
      <c r="E206" s="15" t="s">
        <v>74</v>
      </c>
      <c r="F206" s="15" t="s">
        <v>821</v>
      </c>
      <c r="G206" s="262"/>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38" t="s">
        <v>48</v>
      </c>
      <c r="B207" s="38" t="s">
        <v>750</v>
      </c>
      <c r="C207" s="39">
        <v>0.95833333333333337</v>
      </c>
      <c r="D207" s="38" t="s">
        <v>50</v>
      </c>
      <c r="E207" s="38" t="s">
        <v>118</v>
      </c>
      <c r="F207" s="38" t="s">
        <v>822</v>
      </c>
      <c r="G207" s="262"/>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5" t="s">
        <v>48</v>
      </c>
      <c r="B208" s="15" t="s">
        <v>750</v>
      </c>
      <c r="C208" s="16">
        <v>0.95833333333333337</v>
      </c>
      <c r="D208" s="15" t="s">
        <v>53</v>
      </c>
      <c r="E208" s="15" t="s">
        <v>119</v>
      </c>
      <c r="F208" s="15" t="s">
        <v>823</v>
      </c>
      <c r="G208" s="262"/>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48</v>
      </c>
      <c r="B209" s="15" t="s">
        <v>750</v>
      </c>
      <c r="C209" s="16">
        <v>0.95833333333333337</v>
      </c>
      <c r="D209" s="15" t="s">
        <v>56</v>
      </c>
      <c r="E209" s="15" t="s">
        <v>119</v>
      </c>
      <c r="F209" s="15" t="s">
        <v>824</v>
      </c>
      <c r="G209" s="262"/>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38" t="s">
        <v>48</v>
      </c>
      <c r="B210" s="38" t="s">
        <v>747</v>
      </c>
      <c r="C210" s="39">
        <v>0.81944444444444453</v>
      </c>
      <c r="D210" s="38" t="s">
        <v>50</v>
      </c>
      <c r="E210" s="38" t="s">
        <v>72</v>
      </c>
      <c r="F210" s="38" t="s">
        <v>822</v>
      </c>
      <c r="G210" s="262"/>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5" t="s">
        <v>48</v>
      </c>
      <c r="B211" s="15" t="s">
        <v>747</v>
      </c>
      <c r="C211" s="16">
        <v>0.81944444444444453</v>
      </c>
      <c r="D211" s="15" t="s">
        <v>53</v>
      </c>
      <c r="E211" s="15" t="s">
        <v>74</v>
      </c>
      <c r="F211" s="15" t="s">
        <v>823</v>
      </c>
      <c r="G211" s="262"/>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48</v>
      </c>
      <c r="B212" s="15" t="s">
        <v>747</v>
      </c>
      <c r="C212" s="16">
        <v>0.81944444444444453</v>
      </c>
      <c r="D212" s="15" t="s">
        <v>56</v>
      </c>
      <c r="E212" s="15" t="s">
        <v>74</v>
      </c>
      <c r="F212" s="15" t="s">
        <v>824</v>
      </c>
      <c r="G212" s="262"/>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36" t="s">
        <v>25</v>
      </c>
      <c r="B213" s="36" t="s">
        <v>736</v>
      </c>
      <c r="C213" s="37">
        <v>0.57638888888888895</v>
      </c>
      <c r="D213" s="36" t="s">
        <v>27</v>
      </c>
      <c r="E213" s="36" t="s">
        <v>375</v>
      </c>
      <c r="F213" s="36" t="s">
        <v>825</v>
      </c>
      <c r="G213" s="262"/>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25</v>
      </c>
      <c r="B214" s="15" t="s">
        <v>736</v>
      </c>
      <c r="C214" s="16">
        <v>0.57638888888888895</v>
      </c>
      <c r="D214" s="15" t="s">
        <v>33</v>
      </c>
      <c r="E214" s="15" t="s">
        <v>373</v>
      </c>
      <c r="F214" s="15" t="s">
        <v>826</v>
      </c>
      <c r="G214" s="262"/>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25</v>
      </c>
      <c r="B215" s="15" t="s">
        <v>736</v>
      </c>
      <c r="C215" s="16">
        <v>0.57638888888888895</v>
      </c>
      <c r="D215" s="15" t="s">
        <v>30</v>
      </c>
      <c r="E215" s="15" t="s">
        <v>373</v>
      </c>
      <c r="F215" s="15" t="s">
        <v>791</v>
      </c>
      <c r="G215" s="262"/>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38" t="s">
        <v>25</v>
      </c>
      <c r="B216" s="38" t="s">
        <v>738</v>
      </c>
      <c r="C216" s="39">
        <v>0.62847222222222221</v>
      </c>
      <c r="D216" s="38" t="s">
        <v>27</v>
      </c>
      <c r="E216" s="38" t="s">
        <v>118</v>
      </c>
      <c r="F216" s="38" t="s">
        <v>827</v>
      </c>
      <c r="G216" s="262"/>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25</v>
      </c>
      <c r="B217" s="15" t="s">
        <v>738</v>
      </c>
      <c r="C217" s="16">
        <v>0.62847222222222221</v>
      </c>
      <c r="D217" s="15" t="s">
        <v>33</v>
      </c>
      <c r="E217" s="15" t="s">
        <v>119</v>
      </c>
      <c r="F217" s="15" t="s">
        <v>828</v>
      </c>
      <c r="G217" s="262"/>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25</v>
      </c>
      <c r="B218" s="15" t="s">
        <v>738</v>
      </c>
      <c r="C218" s="16">
        <v>0.62847222222222221</v>
      </c>
      <c r="D218" s="15" t="s">
        <v>30</v>
      </c>
      <c r="E218" s="15" t="s">
        <v>119</v>
      </c>
      <c r="F218" s="15" t="s">
        <v>791</v>
      </c>
      <c r="G218" s="262"/>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38" t="s">
        <v>25</v>
      </c>
      <c r="B219" s="38" t="s">
        <v>740</v>
      </c>
      <c r="C219" s="39">
        <v>0.88888888888888884</v>
      </c>
      <c r="D219" s="38" t="s">
        <v>27</v>
      </c>
      <c r="E219" s="38" t="s">
        <v>121</v>
      </c>
      <c r="F219" s="38" t="s">
        <v>827</v>
      </c>
      <c r="G219" s="262"/>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25</v>
      </c>
      <c r="B220" s="15" t="s">
        <v>740</v>
      </c>
      <c r="C220" s="16">
        <v>0.88888888888888884</v>
      </c>
      <c r="D220" s="15" t="s">
        <v>33</v>
      </c>
      <c r="E220" s="15" t="s">
        <v>284</v>
      </c>
      <c r="F220" s="15" t="s">
        <v>828</v>
      </c>
      <c r="G220" s="262"/>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25</v>
      </c>
      <c r="B221" s="15" t="s">
        <v>740</v>
      </c>
      <c r="C221" s="16">
        <v>0.88888888888888884</v>
      </c>
      <c r="D221" s="15" t="s">
        <v>30</v>
      </c>
      <c r="E221" s="15" t="s">
        <v>284</v>
      </c>
      <c r="F221" s="15" t="s">
        <v>829</v>
      </c>
      <c r="G221" s="262"/>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38" t="s">
        <v>25</v>
      </c>
      <c r="B222" s="38" t="s">
        <v>739</v>
      </c>
      <c r="C222" s="39">
        <v>0.94444444444444453</v>
      </c>
      <c r="D222" s="38" t="s">
        <v>27</v>
      </c>
      <c r="E222" s="38" t="s">
        <v>830</v>
      </c>
      <c r="F222" s="38" t="s">
        <v>831</v>
      </c>
      <c r="G222" s="262"/>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25</v>
      </c>
      <c r="B223" s="15" t="s">
        <v>739</v>
      </c>
      <c r="C223" s="16">
        <v>0.94444444444444453</v>
      </c>
      <c r="D223" s="15" t="s">
        <v>33</v>
      </c>
      <c r="E223" s="15" t="s">
        <v>832</v>
      </c>
      <c r="F223" s="15" t="s">
        <v>791</v>
      </c>
      <c r="G223" s="262"/>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25</v>
      </c>
      <c r="B224" s="15" t="s">
        <v>739</v>
      </c>
      <c r="C224" s="16">
        <v>0.94444444444444453</v>
      </c>
      <c r="D224" s="15" t="s">
        <v>30</v>
      </c>
      <c r="E224" s="15" t="s">
        <v>832</v>
      </c>
      <c r="F224" s="15" t="s">
        <v>829</v>
      </c>
      <c r="G224" s="262"/>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83" t="s">
        <v>35</v>
      </c>
      <c r="B225" s="183" t="s">
        <v>779</v>
      </c>
      <c r="C225" s="184">
        <v>0.41319444444444442</v>
      </c>
      <c r="D225" s="183" t="s">
        <v>37</v>
      </c>
      <c r="E225" s="183" t="s">
        <v>77</v>
      </c>
      <c r="F225" s="183" t="s">
        <v>833</v>
      </c>
      <c r="G225" s="262"/>
      <c r="H225" s="186" t="s">
        <v>780</v>
      </c>
      <c r="I225" s="245">
        <v>0.68720000000000003</v>
      </c>
      <c r="J225" s="188">
        <v>123</v>
      </c>
      <c r="K225" s="189">
        <v>45983</v>
      </c>
      <c r="L225" s="188">
        <v>25</v>
      </c>
      <c r="M225" s="188">
        <v>0</v>
      </c>
      <c r="N225" s="188">
        <v>0</v>
      </c>
      <c r="O225" s="190" t="s">
        <v>834</v>
      </c>
      <c r="P225" s="191">
        <v>0.41319444444444442</v>
      </c>
      <c r="Q225" s="188">
        <v>179</v>
      </c>
      <c r="R225" s="192" t="s">
        <v>835</v>
      </c>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36" t="s">
        <v>58</v>
      </c>
      <c r="B226" s="36" t="s">
        <v>769</v>
      </c>
      <c r="C226" s="37">
        <v>0.98263888888888884</v>
      </c>
      <c r="D226" s="36" t="s">
        <v>63</v>
      </c>
      <c r="E226" s="36" t="s">
        <v>61</v>
      </c>
      <c r="F226" s="36" t="s">
        <v>768</v>
      </c>
      <c r="G226" s="262"/>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8" t="s">
        <v>58</v>
      </c>
      <c r="B227" s="38" t="s">
        <v>763</v>
      </c>
      <c r="C227" s="39">
        <v>0.88888888888888884</v>
      </c>
      <c r="D227" s="38" t="s">
        <v>63</v>
      </c>
      <c r="E227" s="38" t="s">
        <v>72</v>
      </c>
      <c r="F227" s="38" t="s">
        <v>813</v>
      </c>
      <c r="G227" s="262"/>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38" t="s">
        <v>58</v>
      </c>
      <c r="B228" s="38" t="s">
        <v>765</v>
      </c>
      <c r="C228" s="39">
        <v>0.62847222222222221</v>
      </c>
      <c r="D228" s="38" t="s">
        <v>63</v>
      </c>
      <c r="E228" s="38" t="s">
        <v>72</v>
      </c>
      <c r="F228" s="38" t="s">
        <v>813</v>
      </c>
      <c r="G228" s="262"/>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227" t="s">
        <v>75</v>
      </c>
      <c r="B229" s="227" t="s">
        <v>771</v>
      </c>
      <c r="C229" s="228">
        <v>0.98611111111111116</v>
      </c>
      <c r="D229" s="227" t="s">
        <v>60</v>
      </c>
      <c r="E229" s="227" t="s">
        <v>77</v>
      </c>
      <c r="F229" s="227" t="s">
        <v>803</v>
      </c>
      <c r="G229" s="263"/>
      <c r="H229" s="42"/>
      <c r="I229" s="43"/>
      <c r="J229" s="43"/>
      <c r="K229" s="43"/>
      <c r="L229" s="43"/>
      <c r="M229" s="43"/>
      <c r="N229" s="43"/>
      <c r="O229" s="44"/>
      <c r="P229" s="43"/>
      <c r="Q229" s="45"/>
      <c r="R229" s="46"/>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4.4" customHeight="1" x14ac:dyDescent="0.3">
      <c r="A230" s="275"/>
      <c r="B230" s="276"/>
      <c r="C230" s="276"/>
      <c r="D230" s="276"/>
      <c r="E230" s="276"/>
      <c r="F230" s="276"/>
      <c r="G230" s="276"/>
      <c r="H230" s="276"/>
      <c r="I230" s="276"/>
      <c r="J230" s="276"/>
      <c r="K230" s="276"/>
      <c r="L230" s="276"/>
      <c r="M230" s="276"/>
      <c r="N230" s="276"/>
      <c r="O230" s="276"/>
      <c r="P230" s="276"/>
      <c r="Q230" s="276"/>
      <c r="R230" s="27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22.05" customHeight="1" x14ac:dyDescent="0.3">
      <c r="A231" s="266" t="s">
        <v>5</v>
      </c>
      <c r="B231" s="267"/>
      <c r="C231" s="267"/>
      <c r="D231" s="267"/>
      <c r="E231" s="267"/>
      <c r="F231" s="267"/>
      <c r="G231" s="5">
        <v>45991</v>
      </c>
      <c r="H231" s="270" t="s">
        <v>6</v>
      </c>
      <c r="I231" s="269"/>
      <c r="J231" s="269"/>
      <c r="K231" s="269"/>
      <c r="L231" s="269"/>
      <c r="M231" s="269"/>
      <c r="N231" s="269"/>
      <c r="O231" s="269"/>
      <c r="P231" s="269"/>
      <c r="Q231" s="269"/>
      <c r="R231" s="269"/>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24" customHeight="1" x14ac:dyDescent="0.3">
      <c r="A232" s="47" t="s">
        <v>7</v>
      </c>
      <c r="B232" s="47" t="s">
        <v>8</v>
      </c>
      <c r="C232" s="48" t="s">
        <v>9</v>
      </c>
      <c r="D232" s="47" t="s">
        <v>10</v>
      </c>
      <c r="E232" s="47" t="s">
        <v>11</v>
      </c>
      <c r="F232" s="47" t="s">
        <v>12</v>
      </c>
      <c r="G232" s="49" t="s">
        <v>13</v>
      </c>
      <c r="H232" s="47" t="s">
        <v>14</v>
      </c>
      <c r="I232" s="50" t="s">
        <v>15</v>
      </c>
      <c r="J232" s="51" t="s">
        <v>16</v>
      </c>
      <c r="K232" s="52" t="s">
        <v>17</v>
      </c>
      <c r="L232" s="51" t="s">
        <v>18</v>
      </c>
      <c r="M232" s="51" t="s">
        <v>19</v>
      </c>
      <c r="N232" s="51" t="s">
        <v>20</v>
      </c>
      <c r="O232" s="47" t="s">
        <v>21</v>
      </c>
      <c r="P232" s="48" t="s">
        <v>22</v>
      </c>
      <c r="Q232" s="51" t="s">
        <v>23</v>
      </c>
      <c r="R232" s="47" t="s">
        <v>24</v>
      </c>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8" t="s">
        <v>25</v>
      </c>
      <c r="B233" s="8" t="s">
        <v>736</v>
      </c>
      <c r="C233" s="9">
        <v>0.57638888888888895</v>
      </c>
      <c r="D233" s="8" t="s">
        <v>27</v>
      </c>
      <c r="E233" s="8" t="s">
        <v>97</v>
      </c>
      <c r="F233" s="8" t="s">
        <v>29</v>
      </c>
      <c r="G233" s="261"/>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25</v>
      </c>
      <c r="B234" s="15" t="s">
        <v>736</v>
      </c>
      <c r="C234" s="16">
        <v>0.57638888888888895</v>
      </c>
      <c r="D234" s="15" t="s">
        <v>33</v>
      </c>
      <c r="E234" s="15" t="s">
        <v>99</v>
      </c>
      <c r="F234" s="15" t="s">
        <v>34</v>
      </c>
      <c r="G234" s="262"/>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736</v>
      </c>
      <c r="C235" s="16">
        <v>0.57638888888888895</v>
      </c>
      <c r="D235" s="15" t="s">
        <v>30</v>
      </c>
      <c r="E235" s="15" t="s">
        <v>99</v>
      </c>
      <c r="F235" s="15" t="s">
        <v>791</v>
      </c>
      <c r="G235" s="262"/>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38" t="s">
        <v>25</v>
      </c>
      <c r="B236" s="38" t="s">
        <v>739</v>
      </c>
      <c r="C236" s="39">
        <v>0.94444444444444453</v>
      </c>
      <c r="D236" s="38" t="s">
        <v>27</v>
      </c>
      <c r="E236" s="38" t="s">
        <v>80</v>
      </c>
      <c r="F236" s="38" t="s">
        <v>29</v>
      </c>
      <c r="G236" s="262"/>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5" t="s">
        <v>25</v>
      </c>
      <c r="B237" s="15" t="s">
        <v>739</v>
      </c>
      <c r="C237" s="16">
        <v>0.94444444444444453</v>
      </c>
      <c r="D237" s="15" t="s">
        <v>33</v>
      </c>
      <c r="E237" s="15" t="s">
        <v>64</v>
      </c>
      <c r="F237" s="15" t="s">
        <v>34</v>
      </c>
      <c r="G237" s="262"/>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739</v>
      </c>
      <c r="C238" s="16">
        <v>0.94444444444444453</v>
      </c>
      <c r="D238" s="15" t="s">
        <v>30</v>
      </c>
      <c r="E238" s="15" t="s">
        <v>64</v>
      </c>
      <c r="F238" s="15" t="s">
        <v>791</v>
      </c>
      <c r="G238" s="262"/>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38" t="s">
        <v>25</v>
      </c>
      <c r="B239" s="38" t="s">
        <v>738</v>
      </c>
      <c r="C239" s="39">
        <v>0.62847222222222221</v>
      </c>
      <c r="D239" s="38" t="s">
        <v>27</v>
      </c>
      <c r="E239" s="38" t="s">
        <v>83</v>
      </c>
      <c r="F239" s="38" t="s">
        <v>751</v>
      </c>
      <c r="G239" s="262"/>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25</v>
      </c>
      <c r="B240" s="15" t="s">
        <v>738</v>
      </c>
      <c r="C240" s="16">
        <v>0.62847222222222221</v>
      </c>
      <c r="D240" s="15" t="s">
        <v>33</v>
      </c>
      <c r="E240" s="15" t="s">
        <v>373</v>
      </c>
      <c r="F240" s="15" t="s">
        <v>804</v>
      </c>
      <c r="G240" s="262"/>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738</v>
      </c>
      <c r="C241" s="16">
        <v>0.62847222222222221</v>
      </c>
      <c r="D241" s="15" t="s">
        <v>30</v>
      </c>
      <c r="E241" s="15" t="s">
        <v>373</v>
      </c>
      <c r="F241" s="15" t="s">
        <v>791</v>
      </c>
      <c r="G241" s="262"/>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8" t="s">
        <v>25</v>
      </c>
      <c r="B242" s="38" t="s">
        <v>740</v>
      </c>
      <c r="C242" s="39">
        <v>0.88888888888888884</v>
      </c>
      <c r="D242" s="38" t="s">
        <v>27</v>
      </c>
      <c r="E242" s="38" t="s">
        <v>836</v>
      </c>
      <c r="F242" s="38" t="s">
        <v>751</v>
      </c>
      <c r="G242" s="262"/>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25</v>
      </c>
      <c r="B243" s="15" t="s">
        <v>740</v>
      </c>
      <c r="C243" s="16">
        <v>0.88888888888888884</v>
      </c>
      <c r="D243" s="15" t="s">
        <v>33</v>
      </c>
      <c r="E243" s="15" t="s">
        <v>837</v>
      </c>
      <c r="F243" s="15" t="s">
        <v>804</v>
      </c>
      <c r="G243" s="262"/>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25</v>
      </c>
      <c r="B244" s="15" t="s">
        <v>740</v>
      </c>
      <c r="C244" s="16">
        <v>0.88888888888888884</v>
      </c>
      <c r="D244" s="15" t="s">
        <v>30</v>
      </c>
      <c r="E244" s="15" t="s">
        <v>837</v>
      </c>
      <c r="F244" s="15" t="s">
        <v>791</v>
      </c>
      <c r="G244" s="262"/>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36" t="s">
        <v>300</v>
      </c>
      <c r="B245" s="36" t="s">
        <v>838</v>
      </c>
      <c r="C245" s="37">
        <v>0.39930555555555558</v>
      </c>
      <c r="D245" s="36" t="s">
        <v>37</v>
      </c>
      <c r="E245" s="36" t="s">
        <v>77</v>
      </c>
      <c r="F245" s="36" t="s">
        <v>801</v>
      </c>
      <c r="G245" s="262"/>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75" t="s">
        <v>35</v>
      </c>
      <c r="B246" s="75" t="s">
        <v>779</v>
      </c>
      <c r="C246" s="76">
        <v>0.42708333333333331</v>
      </c>
      <c r="D246" s="75" t="s">
        <v>37</v>
      </c>
      <c r="E246" s="75" t="s">
        <v>97</v>
      </c>
      <c r="F246" s="75" t="s">
        <v>839</v>
      </c>
      <c r="G246" s="262"/>
      <c r="H246" s="29" t="s">
        <v>780</v>
      </c>
      <c r="I246" s="235">
        <v>0.67600000000000005</v>
      </c>
      <c r="J246" s="31">
        <v>121</v>
      </c>
      <c r="K246" s="32">
        <v>45984</v>
      </c>
      <c r="L246" s="31">
        <v>30</v>
      </c>
      <c r="M246" s="31">
        <v>0</v>
      </c>
      <c r="N246" s="31">
        <v>12</v>
      </c>
      <c r="O246" s="33" t="s">
        <v>498</v>
      </c>
      <c r="P246" s="34">
        <v>0.42708333333333331</v>
      </c>
      <c r="Q246" s="31">
        <v>179</v>
      </c>
      <c r="R246" s="35" t="s">
        <v>840</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36" t="s">
        <v>48</v>
      </c>
      <c r="B247" s="36" t="s">
        <v>744</v>
      </c>
      <c r="C247" s="37">
        <v>0.63194444444444442</v>
      </c>
      <c r="D247" s="36" t="s">
        <v>50</v>
      </c>
      <c r="E247" s="36" t="s">
        <v>61</v>
      </c>
      <c r="F247" s="36" t="s">
        <v>117</v>
      </c>
      <c r="G247" s="262"/>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48</v>
      </c>
      <c r="B248" s="15" t="s">
        <v>744</v>
      </c>
      <c r="C248" s="16">
        <v>0.63194444444444442</v>
      </c>
      <c r="D248" s="15" t="s">
        <v>53</v>
      </c>
      <c r="E248" s="15" t="s">
        <v>64</v>
      </c>
      <c r="F248" s="15" t="s">
        <v>804</v>
      </c>
      <c r="G248" s="262"/>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48</v>
      </c>
      <c r="B249" s="15" t="s">
        <v>744</v>
      </c>
      <c r="C249" s="16">
        <v>0.63194444444444442</v>
      </c>
      <c r="D249" s="15" t="s">
        <v>56</v>
      </c>
      <c r="E249" s="15" t="s">
        <v>64</v>
      </c>
      <c r="F249" s="15" t="s">
        <v>805</v>
      </c>
      <c r="G249" s="262"/>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38" t="s">
        <v>48</v>
      </c>
      <c r="B250" s="38" t="s">
        <v>745</v>
      </c>
      <c r="C250" s="39">
        <v>0.55902777777777779</v>
      </c>
      <c r="D250" s="38" t="s">
        <v>50</v>
      </c>
      <c r="E250" s="38" t="s">
        <v>70</v>
      </c>
      <c r="F250" s="38" t="s">
        <v>117</v>
      </c>
      <c r="G250" s="262"/>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48</v>
      </c>
      <c r="B251" s="15" t="s">
        <v>745</v>
      </c>
      <c r="C251" s="16">
        <v>0.55902777777777779</v>
      </c>
      <c r="D251" s="15" t="s">
        <v>53</v>
      </c>
      <c r="E251" s="15" t="s">
        <v>54</v>
      </c>
      <c r="F251" s="15" t="s">
        <v>804</v>
      </c>
      <c r="G251" s="262"/>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48</v>
      </c>
      <c r="B252" s="15" t="s">
        <v>745</v>
      </c>
      <c r="C252" s="16">
        <v>0.55902777777777779</v>
      </c>
      <c r="D252" s="15" t="s">
        <v>56</v>
      </c>
      <c r="E252" s="15" t="s">
        <v>54</v>
      </c>
      <c r="F252" s="15" t="s">
        <v>805</v>
      </c>
      <c r="G252" s="262"/>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38" t="s">
        <v>48</v>
      </c>
      <c r="B253" s="38" t="s">
        <v>746</v>
      </c>
      <c r="C253" s="39">
        <v>0.50694444444444442</v>
      </c>
      <c r="D253" s="38" t="s">
        <v>50</v>
      </c>
      <c r="E253" s="38" t="s">
        <v>118</v>
      </c>
      <c r="F253" s="38" t="s">
        <v>117</v>
      </c>
      <c r="G253" s="262"/>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5" t="s">
        <v>48</v>
      </c>
      <c r="B254" s="15" t="s">
        <v>746</v>
      </c>
      <c r="C254" s="16">
        <v>0.50694444444444442</v>
      </c>
      <c r="D254" s="15" t="s">
        <v>53</v>
      </c>
      <c r="E254" s="15" t="s">
        <v>119</v>
      </c>
      <c r="F254" s="15" t="s">
        <v>804</v>
      </c>
      <c r="G254" s="262"/>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5" t="s">
        <v>48</v>
      </c>
      <c r="B255" s="15" t="s">
        <v>746</v>
      </c>
      <c r="C255" s="16">
        <v>0.50694444444444442</v>
      </c>
      <c r="D255" s="15" t="s">
        <v>56</v>
      </c>
      <c r="E255" s="15" t="s">
        <v>119</v>
      </c>
      <c r="F255" s="15" t="s">
        <v>805</v>
      </c>
      <c r="G255" s="262"/>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38" t="s">
        <v>48</v>
      </c>
      <c r="B256" s="38" t="s">
        <v>749</v>
      </c>
      <c r="C256" s="39">
        <v>0.69791666666666663</v>
      </c>
      <c r="D256" s="38" t="s">
        <v>50</v>
      </c>
      <c r="E256" s="38" t="s">
        <v>66</v>
      </c>
      <c r="F256" s="38" t="s">
        <v>117</v>
      </c>
      <c r="G256" s="262"/>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5" t="s">
        <v>48</v>
      </c>
      <c r="B257" s="15" t="s">
        <v>749</v>
      </c>
      <c r="C257" s="16">
        <v>0.69791666666666663</v>
      </c>
      <c r="D257" s="15" t="s">
        <v>53</v>
      </c>
      <c r="E257" s="15" t="s">
        <v>68</v>
      </c>
      <c r="F257" s="15" t="s">
        <v>804</v>
      </c>
      <c r="G257" s="262"/>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5" t="s">
        <v>48</v>
      </c>
      <c r="B258" s="15" t="s">
        <v>749</v>
      </c>
      <c r="C258" s="16">
        <v>0.69791666666666663</v>
      </c>
      <c r="D258" s="15" t="s">
        <v>56</v>
      </c>
      <c r="E258" s="15" t="s">
        <v>68</v>
      </c>
      <c r="F258" s="15" t="s">
        <v>805</v>
      </c>
      <c r="G258" s="262"/>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38" t="s">
        <v>48</v>
      </c>
      <c r="B259" s="38" t="s">
        <v>742</v>
      </c>
      <c r="C259" s="39">
        <v>0.4375</v>
      </c>
      <c r="D259" s="38" t="s">
        <v>50</v>
      </c>
      <c r="E259" s="38" t="s">
        <v>70</v>
      </c>
      <c r="F259" s="38" t="s">
        <v>275</v>
      </c>
      <c r="G259" s="262"/>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5" t="s">
        <v>48</v>
      </c>
      <c r="B260" s="15" t="s">
        <v>742</v>
      </c>
      <c r="C260" s="16">
        <v>0.4375</v>
      </c>
      <c r="D260" s="15" t="s">
        <v>53</v>
      </c>
      <c r="E260" s="15" t="s">
        <v>54</v>
      </c>
      <c r="F260" s="15" t="s">
        <v>112</v>
      </c>
      <c r="G260" s="262"/>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48</v>
      </c>
      <c r="B261" s="15" t="s">
        <v>742</v>
      </c>
      <c r="C261" s="16">
        <v>0.4375</v>
      </c>
      <c r="D261" s="15" t="s">
        <v>56</v>
      </c>
      <c r="E261" s="15" t="s">
        <v>54</v>
      </c>
      <c r="F261" s="15" t="s">
        <v>394</v>
      </c>
      <c r="G261" s="262"/>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38" t="s">
        <v>48</v>
      </c>
      <c r="B262" s="38" t="s">
        <v>750</v>
      </c>
      <c r="C262" s="39">
        <v>0.95833333333333337</v>
      </c>
      <c r="D262" s="38" t="s">
        <v>50</v>
      </c>
      <c r="E262" s="38" t="s">
        <v>121</v>
      </c>
      <c r="F262" s="38" t="s">
        <v>275</v>
      </c>
      <c r="G262" s="262"/>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5" t="s">
        <v>48</v>
      </c>
      <c r="B263" s="15" t="s">
        <v>750</v>
      </c>
      <c r="C263" s="16">
        <v>0.95833333333333337</v>
      </c>
      <c r="D263" s="15" t="s">
        <v>53</v>
      </c>
      <c r="E263" s="15" t="s">
        <v>284</v>
      </c>
      <c r="F263" s="15" t="s">
        <v>112</v>
      </c>
      <c r="G263" s="262"/>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5" t="s">
        <v>48</v>
      </c>
      <c r="B264" s="15" t="s">
        <v>750</v>
      </c>
      <c r="C264" s="16">
        <v>0.95833333333333337</v>
      </c>
      <c r="D264" s="15" t="s">
        <v>56</v>
      </c>
      <c r="E264" s="15" t="s">
        <v>284</v>
      </c>
      <c r="F264" s="15" t="s">
        <v>394</v>
      </c>
      <c r="G264" s="262"/>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38" t="s">
        <v>48</v>
      </c>
      <c r="B265" s="38" t="s">
        <v>747</v>
      </c>
      <c r="C265" s="39">
        <v>0.81944444444444453</v>
      </c>
      <c r="D265" s="38" t="s">
        <v>50</v>
      </c>
      <c r="E265" s="38" t="s">
        <v>72</v>
      </c>
      <c r="F265" s="38" t="s">
        <v>112</v>
      </c>
      <c r="G265" s="262"/>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5" t="s">
        <v>48</v>
      </c>
      <c r="B266" s="15" t="s">
        <v>747</v>
      </c>
      <c r="C266" s="16">
        <v>0.81944444444444453</v>
      </c>
      <c r="D266" s="15" t="s">
        <v>53</v>
      </c>
      <c r="E266" s="15" t="s">
        <v>74</v>
      </c>
      <c r="F266" s="15" t="s">
        <v>395</v>
      </c>
      <c r="G266" s="262"/>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48</v>
      </c>
      <c r="B267" s="15" t="s">
        <v>747</v>
      </c>
      <c r="C267" s="16">
        <v>0.81944444444444453</v>
      </c>
      <c r="D267" s="15" t="s">
        <v>56</v>
      </c>
      <c r="E267" s="15" t="s">
        <v>74</v>
      </c>
      <c r="F267" s="15" t="s">
        <v>806</v>
      </c>
      <c r="G267" s="262"/>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36" t="s">
        <v>295</v>
      </c>
      <c r="B268" s="36" t="s">
        <v>793</v>
      </c>
      <c r="C268" s="37">
        <v>0.1736111111111111</v>
      </c>
      <c r="D268" s="36" t="s">
        <v>37</v>
      </c>
      <c r="E268" s="36" t="s">
        <v>77</v>
      </c>
      <c r="F268" s="36" t="s">
        <v>815</v>
      </c>
      <c r="G268" s="262"/>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38" t="s">
        <v>295</v>
      </c>
      <c r="B269" s="38" t="s">
        <v>841</v>
      </c>
      <c r="C269" s="39">
        <v>0.13194444444444439</v>
      </c>
      <c r="D269" s="38" t="s">
        <v>37</v>
      </c>
      <c r="E269" s="38" t="s">
        <v>86</v>
      </c>
      <c r="F269" s="38" t="s">
        <v>815</v>
      </c>
      <c r="G269" s="262"/>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36" t="s">
        <v>58</v>
      </c>
      <c r="B270" s="36" t="s">
        <v>760</v>
      </c>
      <c r="C270" s="37">
        <v>0.44444444444444442</v>
      </c>
      <c r="D270" s="36" t="s">
        <v>63</v>
      </c>
      <c r="E270" s="36" t="s">
        <v>77</v>
      </c>
      <c r="F270" s="36" t="s">
        <v>842</v>
      </c>
      <c r="G270" s="262"/>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38" t="s">
        <v>58</v>
      </c>
      <c r="B271" s="38" t="s">
        <v>767</v>
      </c>
      <c r="C271" s="39">
        <v>0.82986111111111116</v>
      </c>
      <c r="D271" s="38" t="s">
        <v>63</v>
      </c>
      <c r="E271" s="38" t="s">
        <v>70</v>
      </c>
      <c r="F271" s="38" t="s">
        <v>842</v>
      </c>
      <c r="G271" s="262"/>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8" t="s">
        <v>58</v>
      </c>
      <c r="B272" s="38" t="s">
        <v>769</v>
      </c>
      <c r="C272" s="39">
        <v>0.98263888888888884</v>
      </c>
      <c r="D272" s="38" t="s">
        <v>63</v>
      </c>
      <c r="E272" s="38" t="s">
        <v>66</v>
      </c>
      <c r="F272" s="38" t="s">
        <v>842</v>
      </c>
      <c r="G272" s="262"/>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38" t="s">
        <v>58</v>
      </c>
      <c r="B273" s="38" t="s">
        <v>770</v>
      </c>
      <c r="C273" s="39">
        <v>0.69791666666666663</v>
      </c>
      <c r="D273" s="38" t="s">
        <v>63</v>
      </c>
      <c r="E273" s="38" t="s">
        <v>86</v>
      </c>
      <c r="F273" s="38" t="s">
        <v>842</v>
      </c>
      <c r="G273" s="262"/>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38" t="s">
        <v>58</v>
      </c>
      <c r="B274" s="38" t="s">
        <v>762</v>
      </c>
      <c r="C274" s="39">
        <v>0.62847222222222221</v>
      </c>
      <c r="D274" s="38" t="s">
        <v>63</v>
      </c>
      <c r="E274" s="38" t="s">
        <v>91</v>
      </c>
      <c r="F274" s="38" t="s">
        <v>768</v>
      </c>
      <c r="G274" s="262"/>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38" t="s">
        <v>58</v>
      </c>
      <c r="B275" s="38" t="s">
        <v>763</v>
      </c>
      <c r="C275" s="39">
        <v>0.88888888888888884</v>
      </c>
      <c r="D275" s="38" t="s">
        <v>63</v>
      </c>
      <c r="E275" s="38" t="s">
        <v>72</v>
      </c>
      <c r="F275" s="38" t="s">
        <v>800</v>
      </c>
      <c r="G275" s="262"/>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38" t="s">
        <v>58</v>
      </c>
      <c r="B276" s="38" t="s">
        <v>765</v>
      </c>
      <c r="C276" s="39">
        <v>0.62847222222222221</v>
      </c>
      <c r="D276" s="38" t="s">
        <v>63</v>
      </c>
      <c r="E276" s="38" t="s">
        <v>72</v>
      </c>
      <c r="F276" s="38" t="s">
        <v>800</v>
      </c>
      <c r="G276" s="262"/>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38" t="s">
        <v>58</v>
      </c>
      <c r="B277" s="38" t="s">
        <v>766</v>
      </c>
      <c r="C277" s="39">
        <v>0.94444444444444453</v>
      </c>
      <c r="D277" s="38" t="s">
        <v>63</v>
      </c>
      <c r="E277" s="38" t="s">
        <v>72</v>
      </c>
      <c r="F277" s="38" t="s">
        <v>800</v>
      </c>
      <c r="G277" s="262"/>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36" t="s">
        <v>75</v>
      </c>
      <c r="B278" s="36" t="s">
        <v>771</v>
      </c>
      <c r="C278" s="37">
        <v>0.98263888888888884</v>
      </c>
      <c r="D278" s="36" t="s">
        <v>60</v>
      </c>
      <c r="E278" s="36" t="s">
        <v>77</v>
      </c>
      <c r="F278" s="36" t="s">
        <v>843</v>
      </c>
      <c r="G278" s="262"/>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38" t="s">
        <v>75</v>
      </c>
      <c r="B279" s="38" t="s">
        <v>774</v>
      </c>
      <c r="C279" s="39">
        <v>0.72916666666666663</v>
      </c>
      <c r="D279" s="38" t="s">
        <v>60</v>
      </c>
      <c r="E279" s="38" t="s">
        <v>86</v>
      </c>
      <c r="F279" s="38" t="s">
        <v>57</v>
      </c>
      <c r="G279" s="262"/>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40" t="s">
        <v>75</v>
      </c>
      <c r="B280" s="40" t="s">
        <v>773</v>
      </c>
      <c r="C280" s="41">
        <v>0.33333333333333331</v>
      </c>
      <c r="D280" s="40" t="s">
        <v>60</v>
      </c>
      <c r="E280" s="40" t="s">
        <v>86</v>
      </c>
      <c r="F280" s="40" t="s">
        <v>772</v>
      </c>
      <c r="G280" s="263"/>
      <c r="H280" s="42"/>
      <c r="I280" s="43"/>
      <c r="J280" s="43"/>
      <c r="K280" s="43"/>
      <c r="L280" s="43"/>
      <c r="M280" s="43"/>
      <c r="N280" s="43"/>
      <c r="O280" s="44"/>
      <c r="P280" s="43"/>
      <c r="Q280" s="45"/>
      <c r="R280" s="46"/>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4.4" customHeight="1" x14ac:dyDescent="0.3">
      <c r="A281" s="275"/>
      <c r="B281" s="276"/>
      <c r="C281" s="276"/>
      <c r="D281" s="276"/>
      <c r="E281" s="276"/>
      <c r="F281" s="276"/>
      <c r="G281" s="276"/>
      <c r="H281" s="276"/>
      <c r="I281" s="276"/>
      <c r="J281" s="276"/>
      <c r="K281" s="276"/>
      <c r="L281" s="276"/>
      <c r="M281" s="276"/>
      <c r="N281" s="276"/>
      <c r="O281" s="276"/>
      <c r="P281" s="276"/>
      <c r="Q281" s="276"/>
      <c r="R281" s="27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sheetData>
  <mergeCells count="33">
    <mergeCell ref="A281:R281"/>
    <mergeCell ref="H185:R185"/>
    <mergeCell ref="G233:G280"/>
    <mergeCell ref="A185:F185"/>
    <mergeCell ref="A32:F32"/>
    <mergeCell ref="G2:J2"/>
    <mergeCell ref="A4:F4"/>
    <mergeCell ref="A231:F231"/>
    <mergeCell ref="A135:R135"/>
    <mergeCell ref="A184:R184"/>
    <mergeCell ref="G86:G134"/>
    <mergeCell ref="A230:R230"/>
    <mergeCell ref="G187:G229"/>
    <mergeCell ref="K2:R2"/>
    <mergeCell ref="G138:G183"/>
    <mergeCell ref="H32:R32"/>
    <mergeCell ref="A31:R31"/>
    <mergeCell ref="H84:R84"/>
    <mergeCell ref="O1:Q1"/>
    <mergeCell ref="A84:F84"/>
    <mergeCell ref="H231:R231"/>
    <mergeCell ref="A136:F136"/>
    <mergeCell ref="H4:R4"/>
    <mergeCell ref="A2:F2"/>
    <mergeCell ref="A3:R3"/>
    <mergeCell ref="J1:M1"/>
    <mergeCell ref="D1:F1"/>
    <mergeCell ref="A83:R83"/>
    <mergeCell ref="A1:C1"/>
    <mergeCell ref="G1:H1"/>
    <mergeCell ref="G6:G30"/>
    <mergeCell ref="G34:G82"/>
    <mergeCell ref="H136:R136"/>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754</v>
      </c>
      <c r="D2" s="81">
        <v>0.71527777777777779</v>
      </c>
      <c r="E2" s="80" t="s">
        <v>735</v>
      </c>
      <c r="F2" s="80" t="s">
        <v>159</v>
      </c>
      <c r="G2" s="82">
        <v>0.82679999999999998</v>
      </c>
      <c r="H2" s="83">
        <v>179</v>
      </c>
      <c r="I2" s="83">
        <v>148</v>
      </c>
      <c r="J2" s="83">
        <v>0</v>
      </c>
      <c r="K2" s="79">
        <v>45985</v>
      </c>
      <c r="L2" s="83">
        <v>6</v>
      </c>
      <c r="M2" s="83">
        <v>6</v>
      </c>
      <c r="N2" s="83">
        <v>57</v>
      </c>
      <c r="O2" s="80" t="s">
        <v>126</v>
      </c>
      <c r="P2" s="84"/>
      <c r="Q2" s="84"/>
      <c r="R2" s="84"/>
      <c r="S2" s="84"/>
      <c r="T2" s="84"/>
      <c r="U2" s="84"/>
      <c r="V2" s="83" t="s">
        <v>844</v>
      </c>
      <c r="W2" s="83" t="s">
        <v>559</v>
      </c>
      <c r="X2" s="83" t="s">
        <v>547</v>
      </c>
      <c r="Y2" s="83" t="s">
        <v>700</v>
      </c>
      <c r="Z2" s="83" t="s">
        <v>845</v>
      </c>
      <c r="AA2" s="83" t="s">
        <v>467</v>
      </c>
      <c r="AB2" s="83" t="s">
        <v>436</v>
      </c>
      <c r="AC2" s="83" t="s">
        <v>526</v>
      </c>
      <c r="AD2" s="83" t="s">
        <v>846</v>
      </c>
      <c r="AE2" s="83" t="s">
        <v>699</v>
      </c>
      <c r="AF2" s="84"/>
      <c r="AG2" s="84"/>
      <c r="AH2" s="84"/>
      <c r="AI2" s="84"/>
    </row>
    <row r="3" spans="1:35" ht="18" x14ac:dyDescent="0.3">
      <c r="A3" s="85" t="s">
        <v>232</v>
      </c>
      <c r="B3" s="86">
        <v>45987</v>
      </c>
      <c r="C3" s="87" t="s">
        <v>780</v>
      </c>
      <c r="D3" s="88">
        <v>0.41319444444444442</v>
      </c>
      <c r="E3" s="87" t="s">
        <v>735</v>
      </c>
      <c r="F3" s="87" t="s">
        <v>159</v>
      </c>
      <c r="G3" s="89">
        <v>0.78210000000000002</v>
      </c>
      <c r="H3" s="90">
        <v>179</v>
      </c>
      <c r="I3" s="90">
        <v>140</v>
      </c>
      <c r="J3" s="90">
        <v>0</v>
      </c>
      <c r="K3" s="86">
        <v>45984</v>
      </c>
      <c r="L3" s="90">
        <v>0</v>
      </c>
      <c r="M3" s="90">
        <v>4</v>
      </c>
      <c r="N3" s="90">
        <v>79</v>
      </c>
      <c r="O3" s="87" t="s">
        <v>781</v>
      </c>
      <c r="P3" s="91"/>
      <c r="Q3" s="91"/>
      <c r="R3" s="91"/>
      <c r="S3" s="91"/>
      <c r="T3" s="91"/>
      <c r="U3" s="91"/>
      <c r="V3" s="91"/>
      <c r="W3" s="90" t="s">
        <v>847</v>
      </c>
      <c r="X3" s="90" t="s">
        <v>848</v>
      </c>
      <c r="Y3" s="90" t="s">
        <v>465</v>
      </c>
      <c r="Z3" s="90" t="s">
        <v>849</v>
      </c>
      <c r="AA3" s="91"/>
      <c r="AB3" s="90" t="s">
        <v>181</v>
      </c>
      <c r="AC3" s="90" t="s">
        <v>254</v>
      </c>
      <c r="AD3" s="90" t="s">
        <v>527</v>
      </c>
      <c r="AE3" s="90" t="s">
        <v>850</v>
      </c>
      <c r="AF3" s="91"/>
      <c r="AG3" s="91"/>
      <c r="AH3" s="91"/>
      <c r="AI3" s="91"/>
    </row>
    <row r="4" spans="1:35" ht="18" x14ac:dyDescent="0.3">
      <c r="A4" s="78" t="s">
        <v>232</v>
      </c>
      <c r="B4" s="79">
        <v>45987</v>
      </c>
      <c r="C4" s="80" t="s">
        <v>754</v>
      </c>
      <c r="D4" s="81">
        <v>0.72569444444444453</v>
      </c>
      <c r="E4" s="80" t="s">
        <v>735</v>
      </c>
      <c r="F4" s="80" t="s">
        <v>159</v>
      </c>
      <c r="G4" s="82">
        <v>0.69269999999999998</v>
      </c>
      <c r="H4" s="83">
        <v>179</v>
      </c>
      <c r="I4" s="83">
        <v>124</v>
      </c>
      <c r="J4" s="83">
        <v>0</v>
      </c>
      <c r="K4" s="79">
        <v>45984</v>
      </c>
      <c r="L4" s="83">
        <v>0</v>
      </c>
      <c r="M4" s="83">
        <v>2</v>
      </c>
      <c r="N4" s="83">
        <v>35</v>
      </c>
      <c r="O4" s="80" t="s">
        <v>169</v>
      </c>
      <c r="P4" s="84"/>
      <c r="Q4" s="84"/>
      <c r="R4" s="84"/>
      <c r="S4" s="84"/>
      <c r="T4" s="84"/>
      <c r="U4" s="84"/>
      <c r="V4" s="83" t="s">
        <v>851</v>
      </c>
      <c r="W4" s="83" t="s">
        <v>852</v>
      </c>
      <c r="X4" s="83" t="s">
        <v>853</v>
      </c>
      <c r="Y4" s="83" t="s">
        <v>854</v>
      </c>
      <c r="Z4" s="83" t="s">
        <v>855</v>
      </c>
      <c r="AA4" s="83" t="s">
        <v>635</v>
      </c>
      <c r="AB4" s="83" t="s">
        <v>458</v>
      </c>
      <c r="AC4" s="83" t="s">
        <v>856</v>
      </c>
      <c r="AD4" s="83" t="s">
        <v>686</v>
      </c>
      <c r="AE4" s="83" t="s">
        <v>647</v>
      </c>
      <c r="AF4" s="84"/>
      <c r="AG4" s="84"/>
      <c r="AH4" s="84"/>
      <c r="AI4" s="84"/>
    </row>
    <row r="5" spans="1:35" ht="18" x14ac:dyDescent="0.3">
      <c r="A5" s="85" t="s">
        <v>176</v>
      </c>
      <c r="B5" s="86">
        <v>45988</v>
      </c>
      <c r="C5" s="87" t="s">
        <v>780</v>
      </c>
      <c r="D5" s="88">
        <v>0.41319444444444442</v>
      </c>
      <c r="E5" s="87" t="s">
        <v>735</v>
      </c>
      <c r="F5" s="87" t="s">
        <v>159</v>
      </c>
      <c r="G5" s="89">
        <v>0.65920000000000001</v>
      </c>
      <c r="H5" s="90">
        <v>179</v>
      </c>
      <c r="I5" s="90">
        <v>118</v>
      </c>
      <c r="J5" s="90">
        <v>0</v>
      </c>
      <c r="K5" s="86">
        <v>45984</v>
      </c>
      <c r="L5" s="90">
        <v>0</v>
      </c>
      <c r="M5" s="90">
        <v>7</v>
      </c>
      <c r="N5" s="90">
        <v>45</v>
      </c>
      <c r="O5" s="87" t="s">
        <v>426</v>
      </c>
      <c r="P5" s="91"/>
      <c r="Q5" s="91"/>
      <c r="R5" s="91"/>
      <c r="S5" s="91"/>
      <c r="T5" s="91"/>
      <c r="U5" s="91"/>
      <c r="V5" s="90" t="s">
        <v>455</v>
      </c>
      <c r="W5" s="90" t="s">
        <v>546</v>
      </c>
      <c r="X5" s="90" t="s">
        <v>857</v>
      </c>
      <c r="Y5" s="90" t="s">
        <v>465</v>
      </c>
      <c r="Z5" s="90" t="s">
        <v>488</v>
      </c>
      <c r="AA5" s="90" t="s">
        <v>858</v>
      </c>
      <c r="AB5" s="90" t="s">
        <v>473</v>
      </c>
      <c r="AC5" s="90" t="s">
        <v>164</v>
      </c>
      <c r="AD5" s="90" t="s">
        <v>859</v>
      </c>
      <c r="AE5" s="90" t="s">
        <v>233</v>
      </c>
      <c r="AF5" s="91"/>
      <c r="AG5" s="91"/>
      <c r="AH5" s="91"/>
      <c r="AI5" s="91"/>
    </row>
    <row r="6" spans="1:35" ht="18" x14ac:dyDescent="0.3">
      <c r="A6" s="78" t="s">
        <v>510</v>
      </c>
      <c r="B6" s="79">
        <v>45989</v>
      </c>
      <c r="C6" s="80" t="s">
        <v>780</v>
      </c>
      <c r="D6" s="81">
        <v>0.40625</v>
      </c>
      <c r="E6" s="80" t="s">
        <v>735</v>
      </c>
      <c r="F6" s="80" t="s">
        <v>159</v>
      </c>
      <c r="G6" s="82">
        <v>0.5978</v>
      </c>
      <c r="H6" s="83">
        <v>179</v>
      </c>
      <c r="I6" s="83">
        <v>107</v>
      </c>
      <c r="J6" s="83">
        <v>0</v>
      </c>
      <c r="K6" s="79">
        <v>45984</v>
      </c>
      <c r="L6" s="83">
        <v>0</v>
      </c>
      <c r="M6" s="83">
        <v>2</v>
      </c>
      <c r="N6" s="83">
        <v>4</v>
      </c>
      <c r="O6" s="80" t="s">
        <v>808</v>
      </c>
      <c r="P6" s="84"/>
      <c r="Q6" s="84"/>
      <c r="R6" s="84"/>
      <c r="S6" s="84"/>
      <c r="T6" s="83" t="s">
        <v>860</v>
      </c>
      <c r="U6" s="83" t="s">
        <v>861</v>
      </c>
      <c r="V6" s="83" t="s">
        <v>426</v>
      </c>
      <c r="W6" s="83" t="s">
        <v>852</v>
      </c>
      <c r="X6" s="83" t="s">
        <v>862</v>
      </c>
      <c r="Y6" s="83" t="s">
        <v>863</v>
      </c>
      <c r="Z6" s="83" t="s">
        <v>712</v>
      </c>
      <c r="AA6" s="83" t="s">
        <v>247</v>
      </c>
      <c r="AB6" s="83" t="s">
        <v>229</v>
      </c>
      <c r="AC6" s="83" t="s">
        <v>634</v>
      </c>
      <c r="AD6" s="83" t="s">
        <v>491</v>
      </c>
      <c r="AE6" s="83" t="s">
        <v>446</v>
      </c>
      <c r="AF6" s="84"/>
      <c r="AG6" s="84"/>
      <c r="AH6" s="84"/>
      <c r="AI6" s="84"/>
    </row>
    <row r="7" spans="1:35" ht="18" x14ac:dyDescent="0.3">
      <c r="A7" s="85" t="s">
        <v>510</v>
      </c>
      <c r="B7" s="86">
        <v>45989</v>
      </c>
      <c r="C7" s="87" t="s">
        <v>754</v>
      </c>
      <c r="D7" s="88">
        <v>0.72569444444444453</v>
      </c>
      <c r="E7" s="87" t="s">
        <v>735</v>
      </c>
      <c r="F7" s="87" t="s">
        <v>159</v>
      </c>
      <c r="G7" s="89">
        <v>0.61450000000000005</v>
      </c>
      <c r="H7" s="90">
        <v>179</v>
      </c>
      <c r="I7" s="90">
        <v>110</v>
      </c>
      <c r="J7" s="90">
        <v>0</v>
      </c>
      <c r="K7" s="86">
        <v>45984</v>
      </c>
      <c r="L7" s="90">
        <v>0</v>
      </c>
      <c r="M7" s="90">
        <v>7</v>
      </c>
      <c r="N7" s="90">
        <v>17</v>
      </c>
      <c r="O7" s="87" t="s">
        <v>810</v>
      </c>
      <c r="P7" s="91"/>
      <c r="Q7" s="91"/>
      <c r="R7" s="91"/>
      <c r="S7" s="90" t="s">
        <v>864</v>
      </c>
      <c r="T7" s="90" t="s">
        <v>865</v>
      </c>
      <c r="U7" s="90" t="s">
        <v>511</v>
      </c>
      <c r="V7" s="90" t="s">
        <v>426</v>
      </c>
      <c r="W7" s="90" t="s">
        <v>866</v>
      </c>
      <c r="X7" s="90" t="s">
        <v>535</v>
      </c>
      <c r="Y7" s="90" t="s">
        <v>471</v>
      </c>
      <c r="Z7" s="90" t="s">
        <v>867</v>
      </c>
      <c r="AA7" s="90" t="s">
        <v>228</v>
      </c>
      <c r="AB7" s="90" t="s">
        <v>495</v>
      </c>
      <c r="AC7" s="90" t="s">
        <v>630</v>
      </c>
      <c r="AD7" s="90" t="s">
        <v>868</v>
      </c>
      <c r="AE7" s="90" t="s">
        <v>869</v>
      </c>
      <c r="AF7" s="91"/>
      <c r="AG7" s="91"/>
      <c r="AH7" s="91"/>
      <c r="AI7" s="91"/>
    </row>
    <row r="8" spans="1:35" ht="18" x14ac:dyDescent="0.3">
      <c r="A8" s="78" t="s">
        <v>179</v>
      </c>
      <c r="B8" s="79">
        <v>45990</v>
      </c>
      <c r="C8" s="80" t="s">
        <v>780</v>
      </c>
      <c r="D8" s="81">
        <v>0.41319444444444442</v>
      </c>
      <c r="E8" s="80" t="s">
        <v>735</v>
      </c>
      <c r="F8" s="80" t="s">
        <v>159</v>
      </c>
      <c r="G8" s="82">
        <v>0.68720000000000003</v>
      </c>
      <c r="H8" s="83">
        <v>179</v>
      </c>
      <c r="I8" s="83">
        <v>123</v>
      </c>
      <c r="J8" s="83">
        <v>0</v>
      </c>
      <c r="K8" s="79">
        <v>45983</v>
      </c>
      <c r="L8" s="83">
        <v>0</v>
      </c>
      <c r="M8" s="83">
        <v>0</v>
      </c>
      <c r="N8" s="83">
        <v>25</v>
      </c>
      <c r="O8" s="80" t="s">
        <v>834</v>
      </c>
      <c r="P8" s="84"/>
      <c r="Q8" s="84"/>
      <c r="R8" s="83" t="s">
        <v>870</v>
      </c>
      <c r="S8" s="83" t="s">
        <v>871</v>
      </c>
      <c r="T8" s="84"/>
      <c r="U8" s="83" t="s">
        <v>872</v>
      </c>
      <c r="V8" s="83" t="s">
        <v>476</v>
      </c>
      <c r="W8" s="83" t="s">
        <v>555</v>
      </c>
      <c r="X8" s="83" t="s">
        <v>862</v>
      </c>
      <c r="Y8" s="83" t="s">
        <v>685</v>
      </c>
      <c r="Z8" s="83" t="s">
        <v>561</v>
      </c>
      <c r="AA8" s="83" t="s">
        <v>500</v>
      </c>
      <c r="AB8" s="83" t="s">
        <v>229</v>
      </c>
      <c r="AC8" s="83" t="s">
        <v>526</v>
      </c>
      <c r="AD8" s="83" t="s">
        <v>481</v>
      </c>
      <c r="AE8" s="83" t="s">
        <v>233</v>
      </c>
      <c r="AF8" s="84"/>
      <c r="AG8" s="84"/>
      <c r="AH8" s="84"/>
      <c r="AI8" s="84"/>
    </row>
    <row r="9" spans="1:35" ht="18" x14ac:dyDescent="0.3">
      <c r="A9" s="85" t="s">
        <v>186</v>
      </c>
      <c r="B9" s="86">
        <v>45991</v>
      </c>
      <c r="C9" s="87" t="s">
        <v>780</v>
      </c>
      <c r="D9" s="88">
        <v>0.42708333333333331</v>
      </c>
      <c r="E9" s="87" t="s">
        <v>735</v>
      </c>
      <c r="F9" s="87" t="s">
        <v>159</v>
      </c>
      <c r="G9" s="89">
        <v>0.67600000000000005</v>
      </c>
      <c r="H9" s="90">
        <v>179</v>
      </c>
      <c r="I9" s="90">
        <v>121</v>
      </c>
      <c r="J9" s="90">
        <v>0</v>
      </c>
      <c r="K9" s="86">
        <v>45984</v>
      </c>
      <c r="L9" s="90">
        <v>0</v>
      </c>
      <c r="M9" s="90">
        <v>12</v>
      </c>
      <c r="N9" s="90">
        <v>30</v>
      </c>
      <c r="O9" s="87" t="s">
        <v>498</v>
      </c>
      <c r="P9" s="91"/>
      <c r="Q9" s="91"/>
      <c r="R9" s="91"/>
      <c r="S9" s="91"/>
      <c r="T9" s="91"/>
      <c r="U9" s="90" t="s">
        <v>873</v>
      </c>
      <c r="V9" s="90" t="s">
        <v>523</v>
      </c>
      <c r="W9" s="90" t="s">
        <v>874</v>
      </c>
      <c r="X9" s="90" t="s">
        <v>557</v>
      </c>
      <c r="Y9" s="90" t="s">
        <v>709</v>
      </c>
      <c r="Z9" s="90" t="s">
        <v>472</v>
      </c>
      <c r="AA9" s="90" t="s">
        <v>858</v>
      </c>
      <c r="AB9" s="90" t="s">
        <v>229</v>
      </c>
      <c r="AC9" s="90" t="s">
        <v>502</v>
      </c>
      <c r="AD9" s="90" t="s">
        <v>868</v>
      </c>
      <c r="AE9" s="90" t="s">
        <v>437</v>
      </c>
      <c r="AF9" s="91"/>
      <c r="AG9" s="91"/>
      <c r="AH9" s="91"/>
      <c r="AI9" s="91"/>
    </row>
    <row r="10" spans="1:35" ht="18" x14ac:dyDescent="0.3">
      <c r="A10" s="92" t="s">
        <v>189</v>
      </c>
      <c r="B10" s="93"/>
      <c r="C10" s="94">
        <f>COUNTA(C2:C9)</f>
        <v>8</v>
      </c>
      <c r="D10" s="93"/>
      <c r="E10" s="93"/>
      <c r="F10" s="93"/>
      <c r="G10" s="95">
        <f>AVERAGE(G2:G9)</f>
        <v>0.69203749999999997</v>
      </c>
      <c r="H10" s="96">
        <f>SUM(H2:H9)</f>
        <v>1432</v>
      </c>
      <c r="I10" s="96">
        <f>SUM(I2:I9)</f>
        <v>991</v>
      </c>
      <c r="J10" s="96">
        <f>SUM(J2:J9)</f>
        <v>0</v>
      </c>
      <c r="K10" s="93"/>
      <c r="L10" s="96">
        <f>SUM(L2:L9)</f>
        <v>6</v>
      </c>
      <c r="M10" s="96">
        <f>SUM(M2:M9)</f>
        <v>40</v>
      </c>
      <c r="N10" s="96">
        <f>SUM(N2:N9)</f>
        <v>292</v>
      </c>
      <c r="O10" s="93"/>
      <c r="P10" s="96">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96">
        <f t="shared" si="0"/>
        <v>0</v>
      </c>
      <c r="R10" s="96">
        <f t="shared" si="0"/>
        <v>0</v>
      </c>
      <c r="S10" s="96">
        <f t="shared" si="0"/>
        <v>0</v>
      </c>
      <c r="T10" s="96">
        <f t="shared" si="0"/>
        <v>0</v>
      </c>
      <c r="U10" s="96">
        <f t="shared" si="0"/>
        <v>0</v>
      </c>
      <c r="V10" s="96">
        <f t="shared" si="0"/>
        <v>0</v>
      </c>
      <c r="W10" s="96">
        <f t="shared" si="0"/>
        <v>0</v>
      </c>
      <c r="X10" s="96">
        <f t="shared" si="0"/>
        <v>0</v>
      </c>
      <c r="Y10" s="96">
        <f t="shared" si="0"/>
        <v>0</v>
      </c>
      <c r="Z10" s="96">
        <f t="shared" si="0"/>
        <v>0</v>
      </c>
      <c r="AA10" s="96">
        <f t="shared" si="0"/>
        <v>0</v>
      </c>
      <c r="AB10" s="96">
        <f t="shared" si="0"/>
        <v>0</v>
      </c>
      <c r="AC10" s="96">
        <f t="shared" si="0"/>
        <v>0</v>
      </c>
      <c r="AD10" s="96">
        <f t="shared" si="0"/>
        <v>0</v>
      </c>
      <c r="AE10" s="96">
        <f t="shared" si="0"/>
        <v>0</v>
      </c>
      <c r="AF10" s="96">
        <f t="shared" si="0"/>
        <v>0</v>
      </c>
      <c r="AG10" s="96">
        <f t="shared" si="0"/>
        <v>0</v>
      </c>
      <c r="AH10" s="96">
        <f t="shared" si="0"/>
        <v>0</v>
      </c>
      <c r="AI10" s="96">
        <f t="shared" si="0"/>
        <v>0</v>
      </c>
    </row>
  </sheetData>
  <autoFilter ref="A1:AI9"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61"/>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25</v>
      </c>
      <c r="C2" s="100" t="s">
        <v>736</v>
      </c>
      <c r="D2" s="99" t="s">
        <v>735</v>
      </c>
      <c r="E2" s="101">
        <v>1.5763888888888891</v>
      </c>
      <c r="F2" s="99" t="s">
        <v>335</v>
      </c>
      <c r="G2" s="102">
        <v>1</v>
      </c>
      <c r="H2" s="103" t="s">
        <v>737</v>
      </c>
    </row>
    <row r="3" spans="1:8" ht="18" x14ac:dyDescent="0.3">
      <c r="A3" s="119">
        <v>45986</v>
      </c>
      <c r="B3" s="120" t="s">
        <v>25</v>
      </c>
      <c r="C3" s="121" t="s">
        <v>738</v>
      </c>
      <c r="D3" s="120" t="s">
        <v>735</v>
      </c>
      <c r="E3" s="122">
        <v>1.6284722222222221</v>
      </c>
      <c r="F3" s="120" t="s">
        <v>335</v>
      </c>
      <c r="G3" s="123">
        <v>10</v>
      </c>
      <c r="H3" s="120" t="s">
        <v>660</v>
      </c>
    </row>
    <row r="4" spans="1:8" ht="18" x14ac:dyDescent="0.3">
      <c r="A4" s="119">
        <v>45986</v>
      </c>
      <c r="B4" s="120" t="s">
        <v>25</v>
      </c>
      <c r="C4" s="121" t="s">
        <v>739</v>
      </c>
      <c r="D4" s="120" t="s">
        <v>735</v>
      </c>
      <c r="E4" s="122">
        <v>1.944444444444444</v>
      </c>
      <c r="F4" s="120" t="s">
        <v>335</v>
      </c>
      <c r="G4" s="123">
        <v>3</v>
      </c>
      <c r="H4" s="120" t="s">
        <v>660</v>
      </c>
    </row>
    <row r="5" spans="1:8" ht="18" x14ac:dyDescent="0.3">
      <c r="A5" s="119">
        <v>45986</v>
      </c>
      <c r="B5" s="120" t="s">
        <v>25</v>
      </c>
      <c r="C5" s="121" t="s">
        <v>740</v>
      </c>
      <c r="D5" s="120" t="s">
        <v>735</v>
      </c>
      <c r="E5" s="122">
        <v>1.8888888888888891</v>
      </c>
      <c r="F5" s="120" t="s">
        <v>335</v>
      </c>
      <c r="G5" s="123">
        <v>7</v>
      </c>
      <c r="H5" s="120" t="s">
        <v>741</v>
      </c>
    </row>
    <row r="6" spans="1:8" ht="18" x14ac:dyDescent="0.3">
      <c r="A6" s="118">
        <v>45986</v>
      </c>
      <c r="B6" s="99" t="s">
        <v>48</v>
      </c>
      <c r="C6" s="100" t="s">
        <v>742</v>
      </c>
      <c r="D6" s="99" t="s">
        <v>735</v>
      </c>
      <c r="E6" s="101">
        <v>1.4375</v>
      </c>
      <c r="F6" s="99" t="s">
        <v>102</v>
      </c>
      <c r="G6" s="102">
        <v>2</v>
      </c>
      <c r="H6" s="99" t="s">
        <v>743</v>
      </c>
    </row>
    <row r="7" spans="1:8" ht="18" x14ac:dyDescent="0.3">
      <c r="A7" s="119">
        <v>45986</v>
      </c>
      <c r="B7" s="120" t="s">
        <v>48</v>
      </c>
      <c r="C7" s="121" t="s">
        <v>744</v>
      </c>
      <c r="D7" s="120" t="s">
        <v>735</v>
      </c>
      <c r="E7" s="122">
        <v>1.631944444444444</v>
      </c>
      <c r="F7" s="120" t="s">
        <v>102</v>
      </c>
      <c r="G7" s="123">
        <v>8</v>
      </c>
      <c r="H7" s="120" t="s">
        <v>743</v>
      </c>
    </row>
    <row r="8" spans="1:8" ht="18" x14ac:dyDescent="0.3">
      <c r="A8" s="119">
        <v>45986</v>
      </c>
      <c r="B8" s="120" t="s">
        <v>48</v>
      </c>
      <c r="C8" s="121" t="s">
        <v>745</v>
      </c>
      <c r="D8" s="120" t="s">
        <v>735</v>
      </c>
      <c r="E8" s="122">
        <v>1.5590277777777779</v>
      </c>
      <c r="F8" s="120" t="s">
        <v>102</v>
      </c>
      <c r="G8" s="123">
        <v>3</v>
      </c>
      <c r="H8" s="120" t="s">
        <v>743</v>
      </c>
    </row>
    <row r="9" spans="1:8" ht="18" x14ac:dyDescent="0.3">
      <c r="A9" s="119">
        <v>45986</v>
      </c>
      <c r="B9" s="120" t="s">
        <v>48</v>
      </c>
      <c r="C9" s="121" t="s">
        <v>746</v>
      </c>
      <c r="D9" s="120" t="s">
        <v>735</v>
      </c>
      <c r="E9" s="122">
        <v>1.506944444444444</v>
      </c>
      <c r="F9" s="120" t="s">
        <v>102</v>
      </c>
      <c r="G9" s="123">
        <v>2</v>
      </c>
      <c r="H9" s="120" t="s">
        <v>743</v>
      </c>
    </row>
    <row r="10" spans="1:8" ht="18" x14ac:dyDescent="0.3">
      <c r="A10" s="119">
        <v>45986</v>
      </c>
      <c r="B10" s="120" t="s">
        <v>48</v>
      </c>
      <c r="C10" s="121" t="s">
        <v>747</v>
      </c>
      <c r="D10" s="120" t="s">
        <v>735</v>
      </c>
      <c r="E10" s="122">
        <v>1.819444444444444</v>
      </c>
      <c r="F10" s="120" t="s">
        <v>102</v>
      </c>
      <c r="G10" s="123">
        <v>1</v>
      </c>
      <c r="H10" s="120" t="s">
        <v>748</v>
      </c>
    </row>
    <row r="11" spans="1:8" ht="18" x14ac:dyDescent="0.3">
      <c r="A11" s="119">
        <v>45986</v>
      </c>
      <c r="B11" s="120" t="s">
        <v>48</v>
      </c>
      <c r="C11" s="121" t="s">
        <v>749</v>
      </c>
      <c r="D11" s="120" t="s">
        <v>735</v>
      </c>
      <c r="E11" s="122">
        <v>1.697916666666667</v>
      </c>
      <c r="F11" s="120" t="s">
        <v>102</v>
      </c>
      <c r="G11" s="123">
        <v>9</v>
      </c>
      <c r="H11" s="120" t="s">
        <v>748</v>
      </c>
    </row>
    <row r="12" spans="1:8" ht="18" x14ac:dyDescent="0.3">
      <c r="A12" s="119">
        <v>45986</v>
      </c>
      <c r="B12" s="120" t="s">
        <v>48</v>
      </c>
      <c r="C12" s="121" t="s">
        <v>750</v>
      </c>
      <c r="D12" s="120" t="s">
        <v>735</v>
      </c>
      <c r="E12" s="122">
        <v>1.958333333333333</v>
      </c>
      <c r="F12" s="120" t="s">
        <v>102</v>
      </c>
      <c r="G12" s="123">
        <v>5</v>
      </c>
      <c r="H12" s="120" t="s">
        <v>751</v>
      </c>
    </row>
    <row r="13" spans="1:8" ht="18" x14ac:dyDescent="0.3">
      <c r="A13" s="109">
        <v>45986</v>
      </c>
      <c r="B13" s="110" t="s">
        <v>35</v>
      </c>
      <c r="C13" s="111" t="s">
        <v>752</v>
      </c>
      <c r="D13" s="110" t="s">
        <v>735</v>
      </c>
      <c r="E13" s="112">
        <v>1.7152777777777779</v>
      </c>
      <c r="F13" s="110" t="s">
        <v>37</v>
      </c>
      <c r="G13" s="113">
        <v>1</v>
      </c>
      <c r="H13" s="110" t="s">
        <v>753</v>
      </c>
    </row>
    <row r="14" spans="1:8" ht="18" x14ac:dyDescent="0.3">
      <c r="A14" s="118">
        <v>45986</v>
      </c>
      <c r="B14" s="99" t="s">
        <v>290</v>
      </c>
      <c r="C14" s="100" t="s">
        <v>756</v>
      </c>
      <c r="D14" s="99" t="s">
        <v>735</v>
      </c>
      <c r="E14" s="101">
        <v>1.4375</v>
      </c>
      <c r="F14" s="99" t="s">
        <v>421</v>
      </c>
      <c r="G14" s="102">
        <v>6</v>
      </c>
      <c r="H14" s="99" t="s">
        <v>757</v>
      </c>
    </row>
    <row r="15" spans="1:8" ht="18" x14ac:dyDescent="0.3">
      <c r="A15" s="118">
        <v>45986</v>
      </c>
      <c r="B15" s="99" t="s">
        <v>300</v>
      </c>
      <c r="C15" s="100" t="s">
        <v>758</v>
      </c>
      <c r="D15" s="99" t="s">
        <v>735</v>
      </c>
      <c r="E15" s="101">
        <v>1.0902777777777779</v>
      </c>
      <c r="F15" s="99" t="s">
        <v>37</v>
      </c>
      <c r="G15" s="102">
        <v>3</v>
      </c>
      <c r="H15" s="99" t="s">
        <v>759</v>
      </c>
    </row>
    <row r="16" spans="1:8" ht="18" x14ac:dyDescent="0.3">
      <c r="A16" s="118">
        <v>45986</v>
      </c>
      <c r="B16" s="99" t="s">
        <v>58</v>
      </c>
      <c r="C16" s="100" t="s">
        <v>760</v>
      </c>
      <c r="D16" s="99" t="s">
        <v>735</v>
      </c>
      <c r="E16" s="101">
        <v>1.444444444444444</v>
      </c>
      <c r="F16" s="99" t="s">
        <v>63</v>
      </c>
      <c r="G16" s="102">
        <v>9</v>
      </c>
      <c r="H16" s="99" t="s">
        <v>761</v>
      </c>
    </row>
    <row r="17" spans="1:8" ht="18" x14ac:dyDescent="0.3">
      <c r="A17" s="119">
        <v>45986</v>
      </c>
      <c r="B17" s="120" t="s">
        <v>58</v>
      </c>
      <c r="C17" s="121" t="s">
        <v>762</v>
      </c>
      <c r="D17" s="120" t="s">
        <v>735</v>
      </c>
      <c r="E17" s="122">
        <v>1.6284722222222221</v>
      </c>
      <c r="F17" s="120" t="s">
        <v>63</v>
      </c>
      <c r="G17" s="123">
        <v>9</v>
      </c>
      <c r="H17" s="120" t="s">
        <v>761</v>
      </c>
    </row>
    <row r="18" spans="1:8" ht="18" x14ac:dyDescent="0.3">
      <c r="A18" s="119">
        <v>45986</v>
      </c>
      <c r="B18" s="120" t="s">
        <v>58</v>
      </c>
      <c r="C18" s="121" t="s">
        <v>763</v>
      </c>
      <c r="D18" s="120" t="s">
        <v>735</v>
      </c>
      <c r="E18" s="122">
        <v>1.8888888888888891</v>
      </c>
      <c r="F18" s="120" t="s">
        <v>63</v>
      </c>
      <c r="G18" s="123">
        <v>4</v>
      </c>
      <c r="H18" s="120" t="s">
        <v>764</v>
      </c>
    </row>
    <row r="19" spans="1:8" ht="18" x14ac:dyDescent="0.3">
      <c r="A19" s="119">
        <v>45986</v>
      </c>
      <c r="B19" s="120" t="s">
        <v>58</v>
      </c>
      <c r="C19" s="121" t="s">
        <v>765</v>
      </c>
      <c r="D19" s="120" t="s">
        <v>735</v>
      </c>
      <c r="E19" s="122">
        <v>1.6284722222222221</v>
      </c>
      <c r="F19" s="120" t="s">
        <v>63</v>
      </c>
      <c r="G19" s="123">
        <v>4</v>
      </c>
      <c r="H19" s="120" t="s">
        <v>764</v>
      </c>
    </row>
    <row r="20" spans="1:8" ht="18" x14ac:dyDescent="0.3">
      <c r="A20" s="119">
        <v>45986</v>
      </c>
      <c r="B20" s="120" t="s">
        <v>58</v>
      </c>
      <c r="C20" s="121" t="s">
        <v>766</v>
      </c>
      <c r="D20" s="120" t="s">
        <v>735</v>
      </c>
      <c r="E20" s="122">
        <v>1.944444444444444</v>
      </c>
      <c r="F20" s="120" t="s">
        <v>63</v>
      </c>
      <c r="G20" s="123">
        <v>4</v>
      </c>
      <c r="H20" s="120" t="s">
        <v>764</v>
      </c>
    </row>
    <row r="21" spans="1:8" ht="18" x14ac:dyDescent="0.3">
      <c r="A21" s="119">
        <v>45986</v>
      </c>
      <c r="B21" s="120" t="s">
        <v>58</v>
      </c>
      <c r="C21" s="121" t="s">
        <v>767</v>
      </c>
      <c r="D21" s="120" t="s">
        <v>735</v>
      </c>
      <c r="E21" s="122">
        <v>1.8298611111111109</v>
      </c>
      <c r="F21" s="120" t="s">
        <v>63</v>
      </c>
      <c r="G21" s="123">
        <v>5</v>
      </c>
      <c r="H21" s="120" t="s">
        <v>768</v>
      </c>
    </row>
    <row r="22" spans="1:8" ht="18" x14ac:dyDescent="0.3">
      <c r="A22" s="119">
        <v>45986</v>
      </c>
      <c r="B22" s="120" t="s">
        <v>58</v>
      </c>
      <c r="C22" s="121" t="s">
        <v>769</v>
      </c>
      <c r="D22" s="120" t="s">
        <v>735</v>
      </c>
      <c r="E22" s="122">
        <v>1.9826388888888891</v>
      </c>
      <c r="F22" s="120" t="s">
        <v>63</v>
      </c>
      <c r="G22" s="123">
        <v>9</v>
      </c>
      <c r="H22" s="120" t="s">
        <v>768</v>
      </c>
    </row>
    <row r="23" spans="1:8" ht="18" x14ac:dyDescent="0.3">
      <c r="A23" s="119">
        <v>45986</v>
      </c>
      <c r="B23" s="120" t="s">
        <v>58</v>
      </c>
      <c r="C23" s="121" t="s">
        <v>770</v>
      </c>
      <c r="D23" s="120" t="s">
        <v>735</v>
      </c>
      <c r="E23" s="122">
        <v>1.697916666666667</v>
      </c>
      <c r="F23" s="120" t="s">
        <v>63</v>
      </c>
      <c r="G23" s="123">
        <v>9</v>
      </c>
      <c r="H23" s="120" t="s">
        <v>768</v>
      </c>
    </row>
    <row r="24" spans="1:8" ht="18" x14ac:dyDescent="0.3">
      <c r="A24" s="118">
        <v>45986</v>
      </c>
      <c r="B24" s="99" t="s">
        <v>75</v>
      </c>
      <c r="C24" s="100" t="s">
        <v>771</v>
      </c>
      <c r="D24" s="99" t="s">
        <v>735</v>
      </c>
      <c r="E24" s="101">
        <v>1.9826388888888891</v>
      </c>
      <c r="F24" s="99" t="s">
        <v>60</v>
      </c>
      <c r="G24" s="102">
        <v>4</v>
      </c>
      <c r="H24" s="99" t="s">
        <v>772</v>
      </c>
    </row>
    <row r="25" spans="1:8" ht="18" x14ac:dyDescent="0.3">
      <c r="A25" s="119">
        <v>45986</v>
      </c>
      <c r="B25" s="120" t="s">
        <v>75</v>
      </c>
      <c r="C25" s="121" t="s">
        <v>773</v>
      </c>
      <c r="D25" s="120" t="s">
        <v>735</v>
      </c>
      <c r="E25" s="122">
        <v>1.354166666666667</v>
      </c>
      <c r="F25" s="120" t="s">
        <v>60</v>
      </c>
      <c r="G25" s="123">
        <v>2</v>
      </c>
      <c r="H25" s="120" t="s">
        <v>772</v>
      </c>
    </row>
    <row r="26" spans="1:8" ht="18" x14ac:dyDescent="0.3">
      <c r="A26" s="124">
        <v>45986</v>
      </c>
      <c r="B26" s="125" t="s">
        <v>75</v>
      </c>
      <c r="C26" s="126" t="s">
        <v>774</v>
      </c>
      <c r="D26" s="125" t="s">
        <v>735</v>
      </c>
      <c r="E26" s="127">
        <v>1.729166666666667</v>
      </c>
      <c r="F26" s="125" t="s">
        <v>60</v>
      </c>
      <c r="G26" s="128">
        <v>3</v>
      </c>
      <c r="H26" s="125" t="s">
        <v>775</v>
      </c>
    </row>
    <row r="27" spans="1:8" ht="18" x14ac:dyDescent="0.3">
      <c r="A27" s="98">
        <v>45987</v>
      </c>
      <c r="B27" s="99" t="s">
        <v>25</v>
      </c>
      <c r="C27" s="100" t="s">
        <v>736</v>
      </c>
      <c r="D27" s="99" t="s">
        <v>735</v>
      </c>
      <c r="E27" s="101">
        <v>1.5763888888888891</v>
      </c>
      <c r="F27" s="99" t="s">
        <v>27</v>
      </c>
      <c r="G27" s="102">
        <v>5</v>
      </c>
      <c r="H27" s="103" t="s">
        <v>660</v>
      </c>
    </row>
    <row r="28" spans="1:8" ht="18" x14ac:dyDescent="0.3">
      <c r="A28" s="104">
        <v>45987</v>
      </c>
      <c r="B28" s="105" t="s">
        <v>25</v>
      </c>
      <c r="C28" s="106" t="s">
        <v>736</v>
      </c>
      <c r="D28" s="105" t="s">
        <v>735</v>
      </c>
      <c r="E28" s="107">
        <v>1.5763888888888891</v>
      </c>
      <c r="F28" s="105" t="s">
        <v>33</v>
      </c>
      <c r="G28" s="108">
        <v>5</v>
      </c>
      <c r="H28" s="105" t="s">
        <v>123</v>
      </c>
    </row>
    <row r="29" spans="1:8" ht="18" x14ac:dyDescent="0.3">
      <c r="A29" s="104">
        <v>45987</v>
      </c>
      <c r="B29" s="105" t="s">
        <v>25</v>
      </c>
      <c r="C29" s="106" t="s">
        <v>736</v>
      </c>
      <c r="D29" s="105" t="s">
        <v>735</v>
      </c>
      <c r="E29" s="107">
        <v>1.5763888888888891</v>
      </c>
      <c r="F29" s="105" t="s">
        <v>30</v>
      </c>
      <c r="G29" s="108">
        <v>5</v>
      </c>
      <c r="H29" s="105" t="s">
        <v>275</v>
      </c>
    </row>
    <row r="30" spans="1:8" ht="18" x14ac:dyDescent="0.3">
      <c r="A30" s="119">
        <v>45987</v>
      </c>
      <c r="B30" s="120" t="s">
        <v>25</v>
      </c>
      <c r="C30" s="121" t="s">
        <v>738</v>
      </c>
      <c r="D30" s="120" t="s">
        <v>735</v>
      </c>
      <c r="E30" s="122">
        <v>1.6284722222222221</v>
      </c>
      <c r="F30" s="120" t="s">
        <v>27</v>
      </c>
      <c r="G30" s="123">
        <v>2</v>
      </c>
      <c r="H30" s="120" t="s">
        <v>660</v>
      </c>
    </row>
    <row r="31" spans="1:8" ht="18" x14ac:dyDescent="0.3">
      <c r="A31" s="104">
        <v>45987</v>
      </c>
      <c r="B31" s="105" t="s">
        <v>25</v>
      </c>
      <c r="C31" s="106" t="s">
        <v>738</v>
      </c>
      <c r="D31" s="105" t="s">
        <v>735</v>
      </c>
      <c r="E31" s="107">
        <v>1.6284722222222221</v>
      </c>
      <c r="F31" s="105" t="s">
        <v>33</v>
      </c>
      <c r="G31" s="108">
        <v>2</v>
      </c>
      <c r="H31" s="105" t="s">
        <v>123</v>
      </c>
    </row>
    <row r="32" spans="1:8" ht="18" x14ac:dyDescent="0.3">
      <c r="A32" s="104">
        <v>45987</v>
      </c>
      <c r="B32" s="105" t="s">
        <v>25</v>
      </c>
      <c r="C32" s="106" t="s">
        <v>738</v>
      </c>
      <c r="D32" s="105" t="s">
        <v>735</v>
      </c>
      <c r="E32" s="107">
        <v>1.6284722222222221</v>
      </c>
      <c r="F32" s="105" t="s">
        <v>30</v>
      </c>
      <c r="G32" s="108">
        <v>2</v>
      </c>
      <c r="H32" s="105" t="s">
        <v>275</v>
      </c>
    </row>
    <row r="33" spans="1:8" ht="18" x14ac:dyDescent="0.3">
      <c r="A33" s="119">
        <v>45987</v>
      </c>
      <c r="B33" s="120" t="s">
        <v>25</v>
      </c>
      <c r="C33" s="121" t="s">
        <v>740</v>
      </c>
      <c r="D33" s="120" t="s">
        <v>735</v>
      </c>
      <c r="E33" s="122">
        <v>1.8888888888888891</v>
      </c>
      <c r="F33" s="120" t="s">
        <v>27</v>
      </c>
      <c r="G33" s="123">
        <v>8</v>
      </c>
      <c r="H33" s="120" t="s">
        <v>741</v>
      </c>
    </row>
    <row r="34" spans="1:8" ht="18" x14ac:dyDescent="0.3">
      <c r="A34" s="104">
        <v>45987</v>
      </c>
      <c r="B34" s="105" t="s">
        <v>25</v>
      </c>
      <c r="C34" s="106" t="s">
        <v>740</v>
      </c>
      <c r="D34" s="105" t="s">
        <v>735</v>
      </c>
      <c r="E34" s="107">
        <v>1.8888888888888891</v>
      </c>
      <c r="F34" s="105" t="s">
        <v>33</v>
      </c>
      <c r="G34" s="108">
        <v>8</v>
      </c>
      <c r="H34" s="105" t="s">
        <v>776</v>
      </c>
    </row>
    <row r="35" spans="1:8" ht="18" x14ac:dyDescent="0.3">
      <c r="A35" s="104">
        <v>45987</v>
      </c>
      <c r="B35" s="105" t="s">
        <v>25</v>
      </c>
      <c r="C35" s="106" t="s">
        <v>740</v>
      </c>
      <c r="D35" s="105" t="s">
        <v>735</v>
      </c>
      <c r="E35" s="107">
        <v>1.8888888888888891</v>
      </c>
      <c r="F35" s="105" t="s">
        <v>30</v>
      </c>
      <c r="G35" s="108">
        <v>8</v>
      </c>
      <c r="H35" s="105" t="s">
        <v>275</v>
      </c>
    </row>
    <row r="36" spans="1:8" ht="18" x14ac:dyDescent="0.3">
      <c r="A36" s="119">
        <v>45987</v>
      </c>
      <c r="B36" s="120" t="s">
        <v>25</v>
      </c>
      <c r="C36" s="121" t="s">
        <v>739</v>
      </c>
      <c r="D36" s="120" t="s">
        <v>735</v>
      </c>
      <c r="E36" s="122">
        <v>1.944444444444444</v>
      </c>
      <c r="F36" s="120" t="s">
        <v>27</v>
      </c>
      <c r="G36" s="123">
        <v>3</v>
      </c>
      <c r="H36" s="120" t="s">
        <v>741</v>
      </c>
    </row>
    <row r="37" spans="1:8" ht="18" x14ac:dyDescent="0.3">
      <c r="A37" s="104">
        <v>45987</v>
      </c>
      <c r="B37" s="105" t="s">
        <v>25</v>
      </c>
      <c r="C37" s="106" t="s">
        <v>739</v>
      </c>
      <c r="D37" s="105" t="s">
        <v>735</v>
      </c>
      <c r="E37" s="107">
        <v>1.944444444444444</v>
      </c>
      <c r="F37" s="105" t="s">
        <v>33</v>
      </c>
      <c r="G37" s="108">
        <v>3</v>
      </c>
      <c r="H37" s="105" t="s">
        <v>776</v>
      </c>
    </row>
    <row r="38" spans="1:8" ht="18" x14ac:dyDescent="0.3">
      <c r="A38" s="104">
        <v>45987</v>
      </c>
      <c r="B38" s="105" t="s">
        <v>25</v>
      </c>
      <c r="C38" s="106" t="s">
        <v>739</v>
      </c>
      <c r="D38" s="105" t="s">
        <v>735</v>
      </c>
      <c r="E38" s="107">
        <v>1.944444444444444</v>
      </c>
      <c r="F38" s="105" t="s">
        <v>30</v>
      </c>
      <c r="G38" s="108">
        <v>3</v>
      </c>
      <c r="H38" s="105" t="s">
        <v>275</v>
      </c>
    </row>
    <row r="39" spans="1:8" ht="18" x14ac:dyDescent="0.3">
      <c r="A39" s="109">
        <v>45987</v>
      </c>
      <c r="B39" s="110" t="s">
        <v>35</v>
      </c>
      <c r="C39" s="111" t="s">
        <v>752</v>
      </c>
      <c r="D39" s="110" t="s">
        <v>735</v>
      </c>
      <c r="E39" s="112">
        <v>1.725694444444444</v>
      </c>
      <c r="F39" s="110" t="s">
        <v>37</v>
      </c>
      <c r="G39" s="113">
        <v>1</v>
      </c>
      <c r="H39" s="110" t="s">
        <v>777</v>
      </c>
    </row>
    <row r="40" spans="1:8" ht="18" x14ac:dyDescent="0.3">
      <c r="A40" s="114">
        <v>45987</v>
      </c>
      <c r="B40" s="115" t="s">
        <v>35</v>
      </c>
      <c r="C40" s="116" t="s">
        <v>779</v>
      </c>
      <c r="D40" s="115" t="s">
        <v>735</v>
      </c>
      <c r="E40" s="117">
        <v>1.413194444444444</v>
      </c>
      <c r="F40" s="115" t="s">
        <v>37</v>
      </c>
      <c r="G40" s="233">
        <v>2</v>
      </c>
      <c r="H40" s="115" t="s">
        <v>753</v>
      </c>
    </row>
    <row r="41" spans="1:8" ht="18" x14ac:dyDescent="0.3">
      <c r="A41" s="118">
        <v>45987</v>
      </c>
      <c r="B41" s="99" t="s">
        <v>48</v>
      </c>
      <c r="C41" s="100" t="s">
        <v>742</v>
      </c>
      <c r="D41" s="99" t="s">
        <v>735</v>
      </c>
      <c r="E41" s="101">
        <v>1.4375</v>
      </c>
      <c r="F41" s="99" t="s">
        <v>50</v>
      </c>
      <c r="G41" s="102">
        <v>6</v>
      </c>
      <c r="H41" s="99" t="s">
        <v>748</v>
      </c>
    </row>
    <row r="42" spans="1:8" ht="18" x14ac:dyDescent="0.3">
      <c r="A42" s="104">
        <v>45987</v>
      </c>
      <c r="B42" s="105" t="s">
        <v>48</v>
      </c>
      <c r="C42" s="106" t="s">
        <v>742</v>
      </c>
      <c r="D42" s="105" t="s">
        <v>735</v>
      </c>
      <c r="E42" s="107">
        <v>1.4375</v>
      </c>
      <c r="F42" s="105" t="s">
        <v>53</v>
      </c>
      <c r="G42" s="108">
        <v>6</v>
      </c>
      <c r="H42" s="105" t="s">
        <v>783</v>
      </c>
    </row>
    <row r="43" spans="1:8" ht="18" x14ac:dyDescent="0.3">
      <c r="A43" s="104">
        <v>45987</v>
      </c>
      <c r="B43" s="105" t="s">
        <v>48</v>
      </c>
      <c r="C43" s="106" t="s">
        <v>742</v>
      </c>
      <c r="D43" s="105" t="s">
        <v>735</v>
      </c>
      <c r="E43" s="107">
        <v>1.4375</v>
      </c>
      <c r="F43" s="105" t="s">
        <v>56</v>
      </c>
      <c r="G43" s="108">
        <v>6</v>
      </c>
      <c r="H43" s="105" t="s">
        <v>117</v>
      </c>
    </row>
    <row r="44" spans="1:8" ht="18" x14ac:dyDescent="0.3">
      <c r="A44" s="119">
        <v>45987</v>
      </c>
      <c r="B44" s="120" t="s">
        <v>48</v>
      </c>
      <c r="C44" s="121" t="s">
        <v>744</v>
      </c>
      <c r="D44" s="120" t="s">
        <v>735</v>
      </c>
      <c r="E44" s="122">
        <v>1.631944444444444</v>
      </c>
      <c r="F44" s="120" t="s">
        <v>50</v>
      </c>
      <c r="G44" s="123">
        <v>9</v>
      </c>
      <c r="H44" s="120" t="s">
        <v>748</v>
      </c>
    </row>
    <row r="45" spans="1:8" ht="18" x14ac:dyDescent="0.3">
      <c r="A45" s="104">
        <v>45987</v>
      </c>
      <c r="B45" s="105" t="s">
        <v>48</v>
      </c>
      <c r="C45" s="106" t="s">
        <v>744</v>
      </c>
      <c r="D45" s="105" t="s">
        <v>735</v>
      </c>
      <c r="E45" s="107">
        <v>1.631944444444444</v>
      </c>
      <c r="F45" s="105" t="s">
        <v>53</v>
      </c>
      <c r="G45" s="108">
        <v>9</v>
      </c>
      <c r="H45" s="105" t="s">
        <v>783</v>
      </c>
    </row>
    <row r="46" spans="1:8" ht="18" x14ac:dyDescent="0.3">
      <c r="A46" s="104">
        <v>45987</v>
      </c>
      <c r="B46" s="105" t="s">
        <v>48</v>
      </c>
      <c r="C46" s="106" t="s">
        <v>744</v>
      </c>
      <c r="D46" s="105" t="s">
        <v>735</v>
      </c>
      <c r="E46" s="107">
        <v>1.631944444444444</v>
      </c>
      <c r="F46" s="105" t="s">
        <v>56</v>
      </c>
      <c r="G46" s="108">
        <v>9</v>
      </c>
      <c r="H46" s="105" t="s">
        <v>117</v>
      </c>
    </row>
    <row r="47" spans="1:8" ht="18" x14ac:dyDescent="0.3">
      <c r="A47" s="119">
        <v>45987</v>
      </c>
      <c r="B47" s="120" t="s">
        <v>48</v>
      </c>
      <c r="C47" s="121" t="s">
        <v>745</v>
      </c>
      <c r="D47" s="120" t="s">
        <v>735</v>
      </c>
      <c r="E47" s="122">
        <v>1.5590277777777779</v>
      </c>
      <c r="F47" s="120" t="s">
        <v>50</v>
      </c>
      <c r="G47" s="123">
        <v>8</v>
      </c>
      <c r="H47" s="120" t="s">
        <v>748</v>
      </c>
    </row>
    <row r="48" spans="1:8" ht="18" x14ac:dyDescent="0.3">
      <c r="A48" s="104">
        <v>45987</v>
      </c>
      <c r="B48" s="105" t="s">
        <v>48</v>
      </c>
      <c r="C48" s="106" t="s">
        <v>745</v>
      </c>
      <c r="D48" s="105" t="s">
        <v>735</v>
      </c>
      <c r="E48" s="107">
        <v>1.5590277777777779</v>
      </c>
      <c r="F48" s="105" t="s">
        <v>53</v>
      </c>
      <c r="G48" s="108">
        <v>8</v>
      </c>
      <c r="H48" s="105" t="s">
        <v>783</v>
      </c>
    </row>
    <row r="49" spans="1:8" ht="18" x14ac:dyDescent="0.3">
      <c r="A49" s="104">
        <v>45987</v>
      </c>
      <c r="B49" s="105" t="s">
        <v>48</v>
      </c>
      <c r="C49" s="106" t="s">
        <v>745</v>
      </c>
      <c r="D49" s="105" t="s">
        <v>735</v>
      </c>
      <c r="E49" s="107">
        <v>1.5590277777777779</v>
      </c>
      <c r="F49" s="105" t="s">
        <v>56</v>
      </c>
      <c r="G49" s="108">
        <v>8</v>
      </c>
      <c r="H49" s="105" t="s">
        <v>117</v>
      </c>
    </row>
    <row r="50" spans="1:8" ht="18" x14ac:dyDescent="0.3">
      <c r="A50" s="119">
        <v>45987</v>
      </c>
      <c r="B50" s="120" t="s">
        <v>48</v>
      </c>
      <c r="C50" s="121" t="s">
        <v>747</v>
      </c>
      <c r="D50" s="120" t="s">
        <v>735</v>
      </c>
      <c r="E50" s="122">
        <v>1.819444444444444</v>
      </c>
      <c r="F50" s="120" t="s">
        <v>50</v>
      </c>
      <c r="G50" s="123">
        <v>3</v>
      </c>
      <c r="H50" s="120" t="s">
        <v>748</v>
      </c>
    </row>
    <row r="51" spans="1:8" ht="18" x14ac:dyDescent="0.3">
      <c r="A51" s="104">
        <v>45987</v>
      </c>
      <c r="B51" s="105" t="s">
        <v>48</v>
      </c>
      <c r="C51" s="106" t="s">
        <v>747</v>
      </c>
      <c r="D51" s="105" t="s">
        <v>735</v>
      </c>
      <c r="E51" s="107">
        <v>1.819444444444444</v>
      </c>
      <c r="F51" s="105" t="s">
        <v>53</v>
      </c>
      <c r="G51" s="108">
        <v>3</v>
      </c>
      <c r="H51" s="105" t="s">
        <v>783</v>
      </c>
    </row>
    <row r="52" spans="1:8" ht="18" x14ac:dyDescent="0.3">
      <c r="A52" s="104">
        <v>45987</v>
      </c>
      <c r="B52" s="105" t="s">
        <v>48</v>
      </c>
      <c r="C52" s="106" t="s">
        <v>747</v>
      </c>
      <c r="D52" s="105" t="s">
        <v>735</v>
      </c>
      <c r="E52" s="107">
        <v>1.819444444444444</v>
      </c>
      <c r="F52" s="105" t="s">
        <v>56</v>
      </c>
      <c r="G52" s="108">
        <v>3</v>
      </c>
      <c r="H52" s="105" t="s">
        <v>117</v>
      </c>
    </row>
    <row r="53" spans="1:8" ht="18" x14ac:dyDescent="0.3">
      <c r="A53" s="119">
        <v>45987</v>
      </c>
      <c r="B53" s="120" t="s">
        <v>48</v>
      </c>
      <c r="C53" s="121" t="s">
        <v>746</v>
      </c>
      <c r="D53" s="120" t="s">
        <v>735</v>
      </c>
      <c r="E53" s="122">
        <v>1.506944444444444</v>
      </c>
      <c r="F53" s="120" t="s">
        <v>50</v>
      </c>
      <c r="G53" s="123">
        <v>9</v>
      </c>
      <c r="H53" s="120" t="s">
        <v>748</v>
      </c>
    </row>
    <row r="54" spans="1:8" ht="18" x14ac:dyDescent="0.3">
      <c r="A54" s="104">
        <v>45987</v>
      </c>
      <c r="B54" s="105" t="s">
        <v>48</v>
      </c>
      <c r="C54" s="106" t="s">
        <v>746</v>
      </c>
      <c r="D54" s="105" t="s">
        <v>735</v>
      </c>
      <c r="E54" s="107">
        <v>1.506944444444444</v>
      </c>
      <c r="F54" s="105" t="s">
        <v>53</v>
      </c>
      <c r="G54" s="108">
        <v>9</v>
      </c>
      <c r="H54" s="105" t="s">
        <v>783</v>
      </c>
    </row>
    <row r="55" spans="1:8" ht="18" x14ac:dyDescent="0.3">
      <c r="A55" s="104">
        <v>45987</v>
      </c>
      <c r="B55" s="105" t="s">
        <v>48</v>
      </c>
      <c r="C55" s="106" t="s">
        <v>746</v>
      </c>
      <c r="D55" s="105" t="s">
        <v>735</v>
      </c>
      <c r="E55" s="107">
        <v>1.506944444444444</v>
      </c>
      <c r="F55" s="105" t="s">
        <v>56</v>
      </c>
      <c r="G55" s="108">
        <v>9</v>
      </c>
      <c r="H55" s="105" t="s">
        <v>117</v>
      </c>
    </row>
    <row r="56" spans="1:8" ht="18" x14ac:dyDescent="0.3">
      <c r="A56" s="119">
        <v>45987</v>
      </c>
      <c r="B56" s="120" t="s">
        <v>48</v>
      </c>
      <c r="C56" s="121" t="s">
        <v>749</v>
      </c>
      <c r="D56" s="120" t="s">
        <v>735</v>
      </c>
      <c r="E56" s="122">
        <v>1.697916666666667</v>
      </c>
      <c r="F56" s="120" t="s">
        <v>50</v>
      </c>
      <c r="G56" s="123">
        <v>9</v>
      </c>
      <c r="H56" s="120" t="s">
        <v>748</v>
      </c>
    </row>
    <row r="57" spans="1:8" ht="18" x14ac:dyDescent="0.3">
      <c r="A57" s="104">
        <v>45987</v>
      </c>
      <c r="B57" s="105" t="s">
        <v>48</v>
      </c>
      <c r="C57" s="106" t="s">
        <v>749</v>
      </c>
      <c r="D57" s="105" t="s">
        <v>735</v>
      </c>
      <c r="E57" s="107">
        <v>1.697916666666667</v>
      </c>
      <c r="F57" s="105" t="s">
        <v>53</v>
      </c>
      <c r="G57" s="108">
        <v>9</v>
      </c>
      <c r="H57" s="105" t="s">
        <v>783</v>
      </c>
    </row>
    <row r="58" spans="1:8" ht="18" x14ac:dyDescent="0.3">
      <c r="A58" s="104">
        <v>45987</v>
      </c>
      <c r="B58" s="105" t="s">
        <v>48</v>
      </c>
      <c r="C58" s="106" t="s">
        <v>749</v>
      </c>
      <c r="D58" s="105" t="s">
        <v>735</v>
      </c>
      <c r="E58" s="107">
        <v>1.697916666666667</v>
      </c>
      <c r="F58" s="105" t="s">
        <v>56</v>
      </c>
      <c r="G58" s="108">
        <v>9</v>
      </c>
      <c r="H58" s="105" t="s">
        <v>117</v>
      </c>
    </row>
    <row r="59" spans="1:8" ht="18" x14ac:dyDescent="0.3">
      <c r="A59" s="119">
        <v>45987</v>
      </c>
      <c r="B59" s="120" t="s">
        <v>48</v>
      </c>
      <c r="C59" s="121" t="s">
        <v>750</v>
      </c>
      <c r="D59" s="120" t="s">
        <v>735</v>
      </c>
      <c r="E59" s="122">
        <v>1.958333333333333</v>
      </c>
      <c r="F59" s="120" t="s">
        <v>50</v>
      </c>
      <c r="G59" s="123">
        <v>1</v>
      </c>
      <c r="H59" s="120" t="s">
        <v>269</v>
      </c>
    </row>
    <row r="60" spans="1:8" ht="18" x14ac:dyDescent="0.3">
      <c r="A60" s="104">
        <v>45987</v>
      </c>
      <c r="B60" s="105" t="s">
        <v>48</v>
      </c>
      <c r="C60" s="106" t="s">
        <v>750</v>
      </c>
      <c r="D60" s="105" t="s">
        <v>735</v>
      </c>
      <c r="E60" s="107">
        <v>1.958333333333333</v>
      </c>
      <c r="F60" s="105" t="s">
        <v>53</v>
      </c>
      <c r="G60" s="108">
        <v>1</v>
      </c>
      <c r="H60" s="105" t="s">
        <v>32</v>
      </c>
    </row>
    <row r="61" spans="1:8" ht="18" x14ac:dyDescent="0.3">
      <c r="A61" s="104">
        <v>45987</v>
      </c>
      <c r="B61" s="105" t="s">
        <v>48</v>
      </c>
      <c r="C61" s="106" t="s">
        <v>750</v>
      </c>
      <c r="D61" s="105" t="s">
        <v>735</v>
      </c>
      <c r="E61" s="107">
        <v>1.958333333333333</v>
      </c>
      <c r="F61" s="105" t="s">
        <v>56</v>
      </c>
      <c r="G61" s="108">
        <v>1</v>
      </c>
      <c r="H61" s="105" t="s">
        <v>784</v>
      </c>
    </row>
    <row r="62" spans="1:8" ht="18" x14ac:dyDescent="0.3">
      <c r="A62" s="118">
        <v>45987</v>
      </c>
      <c r="B62" s="99" t="s">
        <v>300</v>
      </c>
      <c r="C62" s="100" t="s">
        <v>758</v>
      </c>
      <c r="D62" s="99" t="s">
        <v>735</v>
      </c>
      <c r="E62" s="101">
        <v>1.0902777777777779</v>
      </c>
      <c r="F62" s="99" t="s">
        <v>37</v>
      </c>
      <c r="G62" s="102">
        <v>3</v>
      </c>
      <c r="H62" s="99" t="s">
        <v>785</v>
      </c>
    </row>
    <row r="63" spans="1:8" ht="18" x14ac:dyDescent="0.3">
      <c r="A63" s="118">
        <v>45987</v>
      </c>
      <c r="B63" s="99" t="s">
        <v>295</v>
      </c>
      <c r="C63" s="100" t="s">
        <v>786</v>
      </c>
      <c r="D63" s="99" t="s">
        <v>735</v>
      </c>
      <c r="E63" s="101">
        <v>1.614583333333333</v>
      </c>
      <c r="F63" s="99" t="s">
        <v>37</v>
      </c>
      <c r="G63" s="102">
        <v>9</v>
      </c>
      <c r="H63" s="99" t="s">
        <v>787</v>
      </c>
    </row>
    <row r="64" spans="1:8" ht="18" x14ac:dyDescent="0.3">
      <c r="A64" s="118">
        <v>45987</v>
      </c>
      <c r="B64" s="99" t="s">
        <v>290</v>
      </c>
      <c r="C64" s="100" t="s">
        <v>788</v>
      </c>
      <c r="D64" s="99" t="s">
        <v>735</v>
      </c>
      <c r="E64" s="101">
        <v>1.052083333333333</v>
      </c>
      <c r="F64" s="99" t="s">
        <v>292</v>
      </c>
      <c r="G64" s="102">
        <v>7</v>
      </c>
      <c r="H64" s="99" t="s">
        <v>789</v>
      </c>
    </row>
    <row r="65" spans="1:8" ht="18" x14ac:dyDescent="0.3">
      <c r="A65" s="104">
        <v>45987</v>
      </c>
      <c r="B65" s="105" t="s">
        <v>290</v>
      </c>
      <c r="C65" s="106" t="s">
        <v>788</v>
      </c>
      <c r="D65" s="105" t="s">
        <v>735</v>
      </c>
      <c r="E65" s="107">
        <v>1.052083333333333</v>
      </c>
      <c r="F65" s="105" t="s">
        <v>30</v>
      </c>
      <c r="G65" s="108">
        <v>7</v>
      </c>
      <c r="H65" s="105" t="s">
        <v>387</v>
      </c>
    </row>
    <row r="66" spans="1:8" ht="18" x14ac:dyDescent="0.3">
      <c r="A66" s="118">
        <v>45987</v>
      </c>
      <c r="B66" s="99" t="s">
        <v>58</v>
      </c>
      <c r="C66" s="100" t="s">
        <v>760</v>
      </c>
      <c r="D66" s="99" t="s">
        <v>735</v>
      </c>
      <c r="E66" s="101">
        <v>1.444444444444444</v>
      </c>
      <c r="F66" s="99" t="s">
        <v>63</v>
      </c>
      <c r="G66" s="102">
        <v>9</v>
      </c>
      <c r="H66" s="99" t="s">
        <v>761</v>
      </c>
    </row>
    <row r="67" spans="1:8" ht="18" x14ac:dyDescent="0.3">
      <c r="A67" s="119">
        <v>45987</v>
      </c>
      <c r="B67" s="120" t="s">
        <v>58</v>
      </c>
      <c r="C67" s="121" t="s">
        <v>765</v>
      </c>
      <c r="D67" s="120" t="s">
        <v>735</v>
      </c>
      <c r="E67" s="122">
        <v>1.6284722222222221</v>
      </c>
      <c r="F67" s="120" t="s">
        <v>63</v>
      </c>
      <c r="G67" s="123">
        <v>4</v>
      </c>
      <c r="H67" s="120" t="s">
        <v>764</v>
      </c>
    </row>
    <row r="68" spans="1:8" ht="18" x14ac:dyDescent="0.3">
      <c r="A68" s="119">
        <v>45987</v>
      </c>
      <c r="B68" s="120" t="s">
        <v>58</v>
      </c>
      <c r="C68" s="121" t="s">
        <v>763</v>
      </c>
      <c r="D68" s="120" t="s">
        <v>735</v>
      </c>
      <c r="E68" s="122">
        <v>1.8888888888888891</v>
      </c>
      <c r="F68" s="120" t="s">
        <v>63</v>
      </c>
      <c r="G68" s="123">
        <v>4</v>
      </c>
      <c r="H68" s="120" t="s">
        <v>790</v>
      </c>
    </row>
    <row r="69" spans="1:8" ht="18" x14ac:dyDescent="0.3">
      <c r="A69" s="119">
        <v>45987</v>
      </c>
      <c r="B69" s="120" t="s">
        <v>58</v>
      </c>
      <c r="C69" s="121" t="s">
        <v>766</v>
      </c>
      <c r="D69" s="120" t="s">
        <v>735</v>
      </c>
      <c r="E69" s="122">
        <v>1.944444444444444</v>
      </c>
      <c r="F69" s="120" t="s">
        <v>63</v>
      </c>
      <c r="G69" s="123">
        <v>4</v>
      </c>
      <c r="H69" s="120" t="s">
        <v>790</v>
      </c>
    </row>
    <row r="70" spans="1:8" ht="18" x14ac:dyDescent="0.3">
      <c r="A70" s="119">
        <v>45987</v>
      </c>
      <c r="B70" s="120" t="s">
        <v>58</v>
      </c>
      <c r="C70" s="121" t="s">
        <v>767</v>
      </c>
      <c r="D70" s="120" t="s">
        <v>735</v>
      </c>
      <c r="E70" s="122">
        <v>1.8298611111111109</v>
      </c>
      <c r="F70" s="120" t="s">
        <v>63</v>
      </c>
      <c r="G70" s="123">
        <v>9</v>
      </c>
      <c r="H70" s="120" t="s">
        <v>768</v>
      </c>
    </row>
    <row r="71" spans="1:8" ht="18" x14ac:dyDescent="0.3">
      <c r="A71" s="119">
        <v>45987</v>
      </c>
      <c r="B71" s="120" t="s">
        <v>58</v>
      </c>
      <c r="C71" s="121" t="s">
        <v>769</v>
      </c>
      <c r="D71" s="120" t="s">
        <v>735</v>
      </c>
      <c r="E71" s="122">
        <v>1.9826388888888891</v>
      </c>
      <c r="F71" s="120" t="s">
        <v>63</v>
      </c>
      <c r="G71" s="123">
        <v>9</v>
      </c>
      <c r="H71" s="120" t="s">
        <v>768</v>
      </c>
    </row>
    <row r="72" spans="1:8" ht="18" x14ac:dyDescent="0.3">
      <c r="A72" s="119">
        <v>45987</v>
      </c>
      <c r="B72" s="120" t="s">
        <v>58</v>
      </c>
      <c r="C72" s="121" t="s">
        <v>762</v>
      </c>
      <c r="D72" s="120" t="s">
        <v>735</v>
      </c>
      <c r="E72" s="122">
        <v>1.6284722222222221</v>
      </c>
      <c r="F72" s="120" t="s">
        <v>63</v>
      </c>
      <c r="G72" s="123">
        <v>9</v>
      </c>
      <c r="H72" s="120" t="s">
        <v>768</v>
      </c>
    </row>
    <row r="73" spans="1:8" ht="18" x14ac:dyDescent="0.3">
      <c r="A73" s="118">
        <v>45987</v>
      </c>
      <c r="B73" s="99" t="s">
        <v>75</v>
      </c>
      <c r="C73" s="100" t="s">
        <v>774</v>
      </c>
      <c r="D73" s="99" t="s">
        <v>735</v>
      </c>
      <c r="E73" s="101">
        <v>1.729166666666667</v>
      </c>
      <c r="F73" s="99" t="s">
        <v>60</v>
      </c>
      <c r="G73" s="102">
        <v>5</v>
      </c>
      <c r="H73" s="99" t="s">
        <v>772</v>
      </c>
    </row>
    <row r="74" spans="1:8" ht="18" x14ac:dyDescent="0.3">
      <c r="A74" s="119">
        <v>45987</v>
      </c>
      <c r="B74" s="120" t="s">
        <v>75</v>
      </c>
      <c r="C74" s="121" t="s">
        <v>773</v>
      </c>
      <c r="D74" s="120" t="s">
        <v>735</v>
      </c>
      <c r="E74" s="122">
        <v>1.3472222222222221</v>
      </c>
      <c r="F74" s="120" t="s">
        <v>60</v>
      </c>
      <c r="G74" s="123">
        <v>5</v>
      </c>
      <c r="H74" s="120" t="s">
        <v>772</v>
      </c>
    </row>
    <row r="75" spans="1:8" ht="18" x14ac:dyDescent="0.3">
      <c r="A75" s="124">
        <v>45987</v>
      </c>
      <c r="B75" s="125" t="s">
        <v>75</v>
      </c>
      <c r="C75" s="126" t="s">
        <v>771</v>
      </c>
      <c r="D75" s="125" t="s">
        <v>735</v>
      </c>
      <c r="E75" s="127">
        <v>1.9826388888888891</v>
      </c>
      <c r="F75" s="125" t="s">
        <v>60</v>
      </c>
      <c r="G75" s="128">
        <v>6</v>
      </c>
      <c r="H75" s="125" t="s">
        <v>775</v>
      </c>
    </row>
    <row r="76" spans="1:8" ht="18" x14ac:dyDescent="0.3">
      <c r="A76" s="98">
        <v>45988</v>
      </c>
      <c r="B76" s="99" t="s">
        <v>25</v>
      </c>
      <c r="C76" s="100" t="s">
        <v>736</v>
      </c>
      <c r="D76" s="99" t="s">
        <v>735</v>
      </c>
      <c r="E76" s="101">
        <v>1.5763888888888891</v>
      </c>
      <c r="F76" s="99" t="s">
        <v>27</v>
      </c>
      <c r="G76" s="102">
        <v>2</v>
      </c>
      <c r="H76" s="103" t="s">
        <v>123</v>
      </c>
    </row>
    <row r="77" spans="1:8" ht="18" x14ac:dyDescent="0.3">
      <c r="A77" s="104">
        <v>45988</v>
      </c>
      <c r="B77" s="105" t="s">
        <v>25</v>
      </c>
      <c r="C77" s="106" t="s">
        <v>736</v>
      </c>
      <c r="D77" s="105" t="s">
        <v>735</v>
      </c>
      <c r="E77" s="107">
        <v>1.5763888888888891</v>
      </c>
      <c r="F77" s="105" t="s">
        <v>33</v>
      </c>
      <c r="G77" s="108">
        <v>2</v>
      </c>
      <c r="H77" s="105" t="s">
        <v>32</v>
      </c>
    </row>
    <row r="78" spans="1:8" ht="18" x14ac:dyDescent="0.3">
      <c r="A78" s="104">
        <v>45988</v>
      </c>
      <c r="B78" s="105" t="s">
        <v>25</v>
      </c>
      <c r="C78" s="106" t="s">
        <v>736</v>
      </c>
      <c r="D78" s="105" t="s">
        <v>735</v>
      </c>
      <c r="E78" s="107">
        <v>1.5763888888888891</v>
      </c>
      <c r="F78" s="105" t="s">
        <v>30</v>
      </c>
      <c r="G78" s="108">
        <v>2</v>
      </c>
      <c r="H78" s="105" t="s">
        <v>791</v>
      </c>
    </row>
    <row r="79" spans="1:8" ht="18" x14ac:dyDescent="0.3">
      <c r="A79" s="119">
        <v>45988</v>
      </c>
      <c r="B79" s="120" t="s">
        <v>25</v>
      </c>
      <c r="C79" s="121" t="s">
        <v>738</v>
      </c>
      <c r="D79" s="120" t="s">
        <v>735</v>
      </c>
      <c r="E79" s="122">
        <v>1.6284722222222221</v>
      </c>
      <c r="F79" s="120" t="s">
        <v>27</v>
      </c>
      <c r="G79" s="123">
        <v>5</v>
      </c>
      <c r="H79" s="120" t="s">
        <v>123</v>
      </c>
    </row>
    <row r="80" spans="1:8" ht="18" x14ac:dyDescent="0.3">
      <c r="A80" s="104">
        <v>45988</v>
      </c>
      <c r="B80" s="105" t="s">
        <v>25</v>
      </c>
      <c r="C80" s="106" t="s">
        <v>738</v>
      </c>
      <c r="D80" s="105" t="s">
        <v>735</v>
      </c>
      <c r="E80" s="107">
        <v>1.6284722222222221</v>
      </c>
      <c r="F80" s="105" t="s">
        <v>33</v>
      </c>
      <c r="G80" s="108">
        <v>5</v>
      </c>
      <c r="H80" s="105" t="s">
        <v>32</v>
      </c>
    </row>
    <row r="81" spans="1:8" ht="18" x14ac:dyDescent="0.3">
      <c r="A81" s="104">
        <v>45988</v>
      </c>
      <c r="B81" s="105" t="s">
        <v>25</v>
      </c>
      <c r="C81" s="106" t="s">
        <v>738</v>
      </c>
      <c r="D81" s="105" t="s">
        <v>735</v>
      </c>
      <c r="E81" s="107">
        <v>1.6284722222222221</v>
      </c>
      <c r="F81" s="105" t="s">
        <v>30</v>
      </c>
      <c r="G81" s="108">
        <v>5</v>
      </c>
      <c r="H81" s="105" t="s">
        <v>275</v>
      </c>
    </row>
    <row r="82" spans="1:8" ht="18" x14ac:dyDescent="0.3">
      <c r="A82" s="119">
        <v>45988</v>
      </c>
      <c r="B82" s="120" t="s">
        <v>25</v>
      </c>
      <c r="C82" s="121" t="s">
        <v>740</v>
      </c>
      <c r="D82" s="120" t="s">
        <v>735</v>
      </c>
      <c r="E82" s="122">
        <v>1.8888888888888891</v>
      </c>
      <c r="F82" s="120" t="s">
        <v>27</v>
      </c>
      <c r="G82" s="123">
        <v>11</v>
      </c>
      <c r="H82" s="120" t="s">
        <v>29</v>
      </c>
    </row>
    <row r="83" spans="1:8" ht="18" x14ac:dyDescent="0.3">
      <c r="A83" s="104">
        <v>45988</v>
      </c>
      <c r="B83" s="105" t="s">
        <v>25</v>
      </c>
      <c r="C83" s="106" t="s">
        <v>740</v>
      </c>
      <c r="D83" s="105" t="s">
        <v>735</v>
      </c>
      <c r="E83" s="107">
        <v>1.8888888888888891</v>
      </c>
      <c r="F83" s="105" t="s">
        <v>33</v>
      </c>
      <c r="G83" s="108">
        <v>11</v>
      </c>
      <c r="H83" s="105" t="s">
        <v>34</v>
      </c>
    </row>
    <row r="84" spans="1:8" ht="18" x14ac:dyDescent="0.3">
      <c r="A84" s="104">
        <v>45988</v>
      </c>
      <c r="B84" s="105" t="s">
        <v>25</v>
      </c>
      <c r="C84" s="106" t="s">
        <v>740</v>
      </c>
      <c r="D84" s="105" t="s">
        <v>735</v>
      </c>
      <c r="E84" s="107">
        <v>1.8888888888888891</v>
      </c>
      <c r="F84" s="105" t="s">
        <v>30</v>
      </c>
      <c r="G84" s="108">
        <v>11</v>
      </c>
      <c r="H84" s="105" t="s">
        <v>791</v>
      </c>
    </row>
    <row r="85" spans="1:8" ht="18" x14ac:dyDescent="0.3">
      <c r="A85" s="119">
        <v>45988</v>
      </c>
      <c r="B85" s="120" t="s">
        <v>25</v>
      </c>
      <c r="C85" s="121" t="s">
        <v>739</v>
      </c>
      <c r="D85" s="120" t="s">
        <v>735</v>
      </c>
      <c r="E85" s="122">
        <v>1.944444444444444</v>
      </c>
      <c r="F85" s="120" t="s">
        <v>27</v>
      </c>
      <c r="G85" s="123">
        <v>4</v>
      </c>
      <c r="H85" s="120" t="s">
        <v>29</v>
      </c>
    </row>
    <row r="86" spans="1:8" ht="18" x14ac:dyDescent="0.3">
      <c r="A86" s="104">
        <v>45988</v>
      </c>
      <c r="B86" s="105" t="s">
        <v>25</v>
      </c>
      <c r="C86" s="106" t="s">
        <v>739</v>
      </c>
      <c r="D86" s="105" t="s">
        <v>735</v>
      </c>
      <c r="E86" s="107">
        <v>1.944444444444444</v>
      </c>
      <c r="F86" s="105" t="s">
        <v>33</v>
      </c>
      <c r="G86" s="108">
        <v>4</v>
      </c>
      <c r="H86" s="105" t="s">
        <v>34</v>
      </c>
    </row>
    <row r="87" spans="1:8" ht="18" x14ac:dyDescent="0.3">
      <c r="A87" s="104">
        <v>45988</v>
      </c>
      <c r="B87" s="105" t="s">
        <v>25</v>
      </c>
      <c r="C87" s="106" t="s">
        <v>739</v>
      </c>
      <c r="D87" s="105" t="s">
        <v>735</v>
      </c>
      <c r="E87" s="107">
        <v>1.944444444444444</v>
      </c>
      <c r="F87" s="105" t="s">
        <v>30</v>
      </c>
      <c r="G87" s="108">
        <v>4</v>
      </c>
      <c r="H87" s="105" t="s">
        <v>791</v>
      </c>
    </row>
    <row r="88" spans="1:8" ht="18" x14ac:dyDescent="0.3">
      <c r="A88" s="118">
        <v>45988</v>
      </c>
      <c r="B88" s="99" t="s">
        <v>295</v>
      </c>
      <c r="C88" s="100" t="s">
        <v>793</v>
      </c>
      <c r="D88" s="99" t="s">
        <v>735</v>
      </c>
      <c r="E88" s="101">
        <v>1.1701388888888891</v>
      </c>
      <c r="F88" s="99" t="s">
        <v>37</v>
      </c>
      <c r="G88" s="102">
        <v>9</v>
      </c>
      <c r="H88" s="99" t="s">
        <v>787</v>
      </c>
    </row>
    <row r="89" spans="1:8" ht="18" x14ac:dyDescent="0.3">
      <c r="A89" s="119">
        <v>45988</v>
      </c>
      <c r="B89" s="120" t="s">
        <v>295</v>
      </c>
      <c r="C89" s="121" t="s">
        <v>786</v>
      </c>
      <c r="D89" s="120" t="s">
        <v>735</v>
      </c>
      <c r="E89" s="122">
        <v>1.6736111111111109</v>
      </c>
      <c r="F89" s="120" t="s">
        <v>37</v>
      </c>
      <c r="G89" s="123">
        <v>4</v>
      </c>
      <c r="H89" s="120" t="s">
        <v>787</v>
      </c>
    </row>
    <row r="90" spans="1:8" ht="18" x14ac:dyDescent="0.3">
      <c r="A90" s="118">
        <v>45988</v>
      </c>
      <c r="B90" s="99" t="s">
        <v>290</v>
      </c>
      <c r="C90" s="100" t="s">
        <v>756</v>
      </c>
      <c r="D90" s="99" t="s">
        <v>735</v>
      </c>
      <c r="E90" s="101">
        <v>1.4375</v>
      </c>
      <c r="F90" s="99" t="s">
        <v>292</v>
      </c>
      <c r="G90" s="102">
        <v>9</v>
      </c>
      <c r="H90" s="99" t="s">
        <v>794</v>
      </c>
    </row>
    <row r="91" spans="1:8" ht="18" x14ac:dyDescent="0.3">
      <c r="A91" s="104">
        <v>45988</v>
      </c>
      <c r="B91" s="105" t="s">
        <v>290</v>
      </c>
      <c r="C91" s="106" t="s">
        <v>756</v>
      </c>
      <c r="D91" s="105" t="s">
        <v>735</v>
      </c>
      <c r="E91" s="107">
        <v>1.4375</v>
      </c>
      <c r="F91" s="105" t="s">
        <v>30</v>
      </c>
      <c r="G91" s="108">
        <v>9</v>
      </c>
      <c r="H91" s="105" t="s">
        <v>795</v>
      </c>
    </row>
    <row r="92" spans="1:8" ht="18" x14ac:dyDescent="0.3">
      <c r="A92" s="109">
        <v>45988</v>
      </c>
      <c r="B92" s="110" t="s">
        <v>35</v>
      </c>
      <c r="C92" s="111" t="s">
        <v>779</v>
      </c>
      <c r="D92" s="110" t="s">
        <v>735</v>
      </c>
      <c r="E92" s="112">
        <v>1.413194444444444</v>
      </c>
      <c r="F92" s="110" t="s">
        <v>37</v>
      </c>
      <c r="G92" s="113">
        <v>7</v>
      </c>
      <c r="H92" s="110" t="s">
        <v>796</v>
      </c>
    </row>
    <row r="93" spans="1:8" ht="18" x14ac:dyDescent="0.3">
      <c r="A93" s="118">
        <v>45988</v>
      </c>
      <c r="B93" s="99" t="s">
        <v>48</v>
      </c>
      <c r="C93" s="100" t="s">
        <v>742</v>
      </c>
      <c r="D93" s="99" t="s">
        <v>735</v>
      </c>
      <c r="E93" s="101">
        <v>1.4375</v>
      </c>
      <c r="F93" s="99" t="s">
        <v>50</v>
      </c>
      <c r="G93" s="102">
        <v>6</v>
      </c>
      <c r="H93" s="99" t="s">
        <v>269</v>
      </c>
    </row>
    <row r="94" spans="1:8" ht="18" x14ac:dyDescent="0.3">
      <c r="A94" s="104">
        <v>45988</v>
      </c>
      <c r="B94" s="105" t="s">
        <v>48</v>
      </c>
      <c r="C94" s="106" t="s">
        <v>742</v>
      </c>
      <c r="D94" s="105" t="s">
        <v>735</v>
      </c>
      <c r="E94" s="107">
        <v>1.4375</v>
      </c>
      <c r="F94" s="105" t="s">
        <v>53</v>
      </c>
      <c r="G94" s="108">
        <v>6</v>
      </c>
      <c r="H94" s="105" t="s">
        <v>32</v>
      </c>
    </row>
    <row r="95" spans="1:8" ht="18" x14ac:dyDescent="0.3">
      <c r="A95" s="104">
        <v>45988</v>
      </c>
      <c r="B95" s="105" t="s">
        <v>48</v>
      </c>
      <c r="C95" s="106" t="s">
        <v>742</v>
      </c>
      <c r="D95" s="105" t="s">
        <v>735</v>
      </c>
      <c r="E95" s="107">
        <v>1.4375</v>
      </c>
      <c r="F95" s="105" t="s">
        <v>56</v>
      </c>
      <c r="G95" s="108">
        <v>6</v>
      </c>
      <c r="H95" s="105" t="s">
        <v>784</v>
      </c>
    </row>
    <row r="96" spans="1:8" ht="18" x14ac:dyDescent="0.3">
      <c r="A96" s="119">
        <v>45988</v>
      </c>
      <c r="B96" s="120" t="s">
        <v>48</v>
      </c>
      <c r="C96" s="121" t="s">
        <v>745</v>
      </c>
      <c r="D96" s="120" t="s">
        <v>735</v>
      </c>
      <c r="E96" s="122">
        <v>1.5590277777777779</v>
      </c>
      <c r="F96" s="120" t="s">
        <v>50</v>
      </c>
      <c r="G96" s="123">
        <v>7</v>
      </c>
      <c r="H96" s="120" t="s">
        <v>269</v>
      </c>
    </row>
    <row r="97" spans="1:8" ht="18" x14ac:dyDescent="0.3">
      <c r="A97" s="104">
        <v>45988</v>
      </c>
      <c r="B97" s="105" t="s">
        <v>48</v>
      </c>
      <c r="C97" s="106" t="s">
        <v>745</v>
      </c>
      <c r="D97" s="105" t="s">
        <v>735</v>
      </c>
      <c r="E97" s="107">
        <v>1.5590277777777779</v>
      </c>
      <c r="F97" s="105" t="s">
        <v>53</v>
      </c>
      <c r="G97" s="108">
        <v>7</v>
      </c>
      <c r="H97" s="105" t="s">
        <v>32</v>
      </c>
    </row>
    <row r="98" spans="1:8" ht="18" x14ac:dyDescent="0.3">
      <c r="A98" s="104">
        <v>45988</v>
      </c>
      <c r="B98" s="105" t="s">
        <v>48</v>
      </c>
      <c r="C98" s="106" t="s">
        <v>745</v>
      </c>
      <c r="D98" s="105" t="s">
        <v>735</v>
      </c>
      <c r="E98" s="107">
        <v>1.5590277777777779</v>
      </c>
      <c r="F98" s="105" t="s">
        <v>56</v>
      </c>
      <c r="G98" s="108">
        <v>7</v>
      </c>
      <c r="H98" s="105" t="s">
        <v>784</v>
      </c>
    </row>
    <row r="99" spans="1:8" ht="18" x14ac:dyDescent="0.3">
      <c r="A99" s="119">
        <v>45988</v>
      </c>
      <c r="B99" s="120" t="s">
        <v>48</v>
      </c>
      <c r="C99" s="121" t="s">
        <v>746</v>
      </c>
      <c r="D99" s="120" t="s">
        <v>735</v>
      </c>
      <c r="E99" s="122">
        <v>1.506944444444444</v>
      </c>
      <c r="F99" s="120" t="s">
        <v>50</v>
      </c>
      <c r="G99" s="123">
        <v>9</v>
      </c>
      <c r="H99" s="120" t="s">
        <v>269</v>
      </c>
    </row>
    <row r="100" spans="1:8" ht="18" x14ac:dyDescent="0.3">
      <c r="A100" s="104">
        <v>45988</v>
      </c>
      <c r="B100" s="105" t="s">
        <v>48</v>
      </c>
      <c r="C100" s="106" t="s">
        <v>746</v>
      </c>
      <c r="D100" s="105" t="s">
        <v>735</v>
      </c>
      <c r="E100" s="107">
        <v>1.506944444444444</v>
      </c>
      <c r="F100" s="105" t="s">
        <v>53</v>
      </c>
      <c r="G100" s="108">
        <v>9</v>
      </c>
      <c r="H100" s="105" t="s">
        <v>32</v>
      </c>
    </row>
    <row r="101" spans="1:8" ht="18" x14ac:dyDescent="0.3">
      <c r="A101" s="104">
        <v>45988</v>
      </c>
      <c r="B101" s="105" t="s">
        <v>48</v>
      </c>
      <c r="C101" s="106" t="s">
        <v>746</v>
      </c>
      <c r="D101" s="105" t="s">
        <v>735</v>
      </c>
      <c r="E101" s="107">
        <v>1.506944444444444</v>
      </c>
      <c r="F101" s="105" t="s">
        <v>56</v>
      </c>
      <c r="G101" s="108">
        <v>9</v>
      </c>
      <c r="H101" s="105" t="s">
        <v>784</v>
      </c>
    </row>
    <row r="102" spans="1:8" ht="18" x14ac:dyDescent="0.3">
      <c r="A102" s="119">
        <v>45988</v>
      </c>
      <c r="B102" s="120" t="s">
        <v>48</v>
      </c>
      <c r="C102" s="121" t="s">
        <v>750</v>
      </c>
      <c r="D102" s="120" t="s">
        <v>735</v>
      </c>
      <c r="E102" s="122">
        <v>1.958333333333333</v>
      </c>
      <c r="F102" s="120" t="s">
        <v>50</v>
      </c>
      <c r="G102" s="123">
        <v>3</v>
      </c>
      <c r="H102" s="120" t="s">
        <v>751</v>
      </c>
    </row>
    <row r="103" spans="1:8" ht="18" x14ac:dyDescent="0.3">
      <c r="A103" s="104">
        <v>45988</v>
      </c>
      <c r="B103" s="105" t="s">
        <v>48</v>
      </c>
      <c r="C103" s="106" t="s">
        <v>750</v>
      </c>
      <c r="D103" s="105" t="s">
        <v>735</v>
      </c>
      <c r="E103" s="107">
        <v>1.958333333333333</v>
      </c>
      <c r="F103" s="105" t="s">
        <v>53</v>
      </c>
      <c r="G103" s="108">
        <v>3</v>
      </c>
      <c r="H103" s="105" t="s">
        <v>105</v>
      </c>
    </row>
    <row r="104" spans="1:8" ht="18" x14ac:dyDescent="0.3">
      <c r="A104" s="104">
        <v>45988</v>
      </c>
      <c r="B104" s="105" t="s">
        <v>48</v>
      </c>
      <c r="C104" s="106" t="s">
        <v>750</v>
      </c>
      <c r="D104" s="105" t="s">
        <v>735</v>
      </c>
      <c r="E104" s="107">
        <v>1.958333333333333</v>
      </c>
      <c r="F104" s="105" t="s">
        <v>56</v>
      </c>
      <c r="G104" s="108">
        <v>3</v>
      </c>
      <c r="H104" s="105" t="s">
        <v>798</v>
      </c>
    </row>
    <row r="105" spans="1:8" ht="18" x14ac:dyDescent="0.3">
      <c r="A105" s="119">
        <v>45988</v>
      </c>
      <c r="B105" s="120" t="s">
        <v>48</v>
      </c>
      <c r="C105" s="121" t="s">
        <v>744</v>
      </c>
      <c r="D105" s="120" t="s">
        <v>735</v>
      </c>
      <c r="E105" s="122">
        <v>1.631944444444444</v>
      </c>
      <c r="F105" s="120" t="s">
        <v>50</v>
      </c>
      <c r="G105" s="123">
        <v>9</v>
      </c>
      <c r="H105" s="120" t="s">
        <v>751</v>
      </c>
    </row>
    <row r="106" spans="1:8" ht="18" x14ac:dyDescent="0.3">
      <c r="A106" s="104">
        <v>45988</v>
      </c>
      <c r="B106" s="105" t="s">
        <v>48</v>
      </c>
      <c r="C106" s="106" t="s">
        <v>744</v>
      </c>
      <c r="D106" s="105" t="s">
        <v>735</v>
      </c>
      <c r="E106" s="107">
        <v>1.631944444444444</v>
      </c>
      <c r="F106" s="105" t="s">
        <v>53</v>
      </c>
      <c r="G106" s="108">
        <v>9</v>
      </c>
      <c r="H106" s="105" t="s">
        <v>105</v>
      </c>
    </row>
    <row r="107" spans="1:8" ht="18" x14ac:dyDescent="0.3">
      <c r="A107" s="104">
        <v>45988</v>
      </c>
      <c r="B107" s="105" t="s">
        <v>48</v>
      </c>
      <c r="C107" s="106" t="s">
        <v>744</v>
      </c>
      <c r="D107" s="105" t="s">
        <v>735</v>
      </c>
      <c r="E107" s="107">
        <v>1.631944444444444</v>
      </c>
      <c r="F107" s="105" t="s">
        <v>56</v>
      </c>
      <c r="G107" s="108">
        <v>9</v>
      </c>
      <c r="H107" s="105" t="s">
        <v>798</v>
      </c>
    </row>
    <row r="108" spans="1:8" ht="18" x14ac:dyDescent="0.3">
      <c r="A108" s="119">
        <v>45988</v>
      </c>
      <c r="B108" s="120" t="s">
        <v>48</v>
      </c>
      <c r="C108" s="121" t="s">
        <v>749</v>
      </c>
      <c r="D108" s="120" t="s">
        <v>735</v>
      </c>
      <c r="E108" s="122">
        <v>1.697916666666667</v>
      </c>
      <c r="F108" s="120" t="s">
        <v>50</v>
      </c>
      <c r="G108" s="123">
        <v>3</v>
      </c>
      <c r="H108" s="120" t="s">
        <v>751</v>
      </c>
    </row>
    <row r="109" spans="1:8" ht="18" x14ac:dyDescent="0.3">
      <c r="A109" s="104">
        <v>45988</v>
      </c>
      <c r="B109" s="105" t="s">
        <v>48</v>
      </c>
      <c r="C109" s="106" t="s">
        <v>749</v>
      </c>
      <c r="D109" s="105" t="s">
        <v>735</v>
      </c>
      <c r="E109" s="107">
        <v>1.697916666666667</v>
      </c>
      <c r="F109" s="105" t="s">
        <v>53</v>
      </c>
      <c r="G109" s="108">
        <v>3</v>
      </c>
      <c r="H109" s="105" t="s">
        <v>105</v>
      </c>
    </row>
    <row r="110" spans="1:8" ht="18" x14ac:dyDescent="0.3">
      <c r="A110" s="104">
        <v>45988</v>
      </c>
      <c r="B110" s="105" t="s">
        <v>48</v>
      </c>
      <c r="C110" s="106" t="s">
        <v>749</v>
      </c>
      <c r="D110" s="105" t="s">
        <v>735</v>
      </c>
      <c r="E110" s="107">
        <v>1.697916666666667</v>
      </c>
      <c r="F110" s="105" t="s">
        <v>56</v>
      </c>
      <c r="G110" s="108">
        <v>3</v>
      </c>
      <c r="H110" s="105" t="s">
        <v>798</v>
      </c>
    </row>
    <row r="111" spans="1:8" ht="18" x14ac:dyDescent="0.3">
      <c r="A111" s="119">
        <v>45988</v>
      </c>
      <c r="B111" s="120" t="s">
        <v>48</v>
      </c>
      <c r="C111" s="121" t="s">
        <v>747</v>
      </c>
      <c r="D111" s="120" t="s">
        <v>735</v>
      </c>
      <c r="E111" s="122">
        <v>1.819444444444444</v>
      </c>
      <c r="F111" s="120" t="s">
        <v>50</v>
      </c>
      <c r="G111" s="123">
        <v>8</v>
      </c>
      <c r="H111" s="120" t="s">
        <v>270</v>
      </c>
    </row>
    <row r="112" spans="1:8" ht="18" x14ac:dyDescent="0.3">
      <c r="A112" s="104">
        <v>45988</v>
      </c>
      <c r="B112" s="105" t="s">
        <v>48</v>
      </c>
      <c r="C112" s="106" t="s">
        <v>747</v>
      </c>
      <c r="D112" s="105" t="s">
        <v>735</v>
      </c>
      <c r="E112" s="107">
        <v>1.819444444444444</v>
      </c>
      <c r="F112" s="105" t="s">
        <v>53</v>
      </c>
      <c r="G112" s="108">
        <v>8</v>
      </c>
      <c r="H112" s="105" t="s">
        <v>280</v>
      </c>
    </row>
    <row r="113" spans="1:8" ht="18" x14ac:dyDescent="0.3">
      <c r="A113" s="104">
        <v>45988</v>
      </c>
      <c r="B113" s="105" t="s">
        <v>48</v>
      </c>
      <c r="C113" s="106" t="s">
        <v>747</v>
      </c>
      <c r="D113" s="105" t="s">
        <v>735</v>
      </c>
      <c r="E113" s="107">
        <v>1.819444444444444</v>
      </c>
      <c r="F113" s="105" t="s">
        <v>56</v>
      </c>
      <c r="G113" s="108">
        <v>8</v>
      </c>
      <c r="H113" s="105" t="s">
        <v>281</v>
      </c>
    </row>
    <row r="114" spans="1:8" ht="18" x14ac:dyDescent="0.3">
      <c r="A114" s="118">
        <v>45988</v>
      </c>
      <c r="B114" s="99" t="s">
        <v>300</v>
      </c>
      <c r="C114" s="100" t="s">
        <v>799</v>
      </c>
      <c r="D114" s="99" t="s">
        <v>735</v>
      </c>
      <c r="E114" s="101">
        <v>1.6909722222222221</v>
      </c>
      <c r="F114" s="99" t="s">
        <v>37</v>
      </c>
      <c r="G114" s="102">
        <v>7</v>
      </c>
      <c r="H114" s="99" t="s">
        <v>727</v>
      </c>
    </row>
    <row r="115" spans="1:8" ht="18" x14ac:dyDescent="0.3">
      <c r="A115" s="118">
        <v>45988</v>
      </c>
      <c r="B115" s="99" t="s">
        <v>58</v>
      </c>
      <c r="C115" s="100" t="s">
        <v>760</v>
      </c>
      <c r="D115" s="99" t="s">
        <v>735</v>
      </c>
      <c r="E115" s="101">
        <v>1.444444444444444</v>
      </c>
      <c r="F115" s="99" t="s">
        <v>63</v>
      </c>
      <c r="G115" s="102">
        <v>9</v>
      </c>
      <c r="H115" s="99" t="s">
        <v>761</v>
      </c>
    </row>
    <row r="116" spans="1:8" ht="18" x14ac:dyDescent="0.3">
      <c r="A116" s="119">
        <v>45988</v>
      </c>
      <c r="B116" s="120" t="s">
        <v>58</v>
      </c>
      <c r="C116" s="121" t="s">
        <v>767</v>
      </c>
      <c r="D116" s="120" t="s">
        <v>735</v>
      </c>
      <c r="E116" s="122">
        <v>1.8298611111111109</v>
      </c>
      <c r="F116" s="120" t="s">
        <v>63</v>
      </c>
      <c r="G116" s="123">
        <v>9</v>
      </c>
      <c r="H116" s="120" t="s">
        <v>761</v>
      </c>
    </row>
    <row r="117" spans="1:8" ht="18" x14ac:dyDescent="0.3">
      <c r="A117" s="119">
        <v>45988</v>
      </c>
      <c r="B117" s="120" t="s">
        <v>58</v>
      </c>
      <c r="C117" s="121" t="s">
        <v>769</v>
      </c>
      <c r="D117" s="120" t="s">
        <v>735</v>
      </c>
      <c r="E117" s="122">
        <v>1.9826388888888891</v>
      </c>
      <c r="F117" s="120" t="s">
        <v>63</v>
      </c>
      <c r="G117" s="123">
        <v>9</v>
      </c>
      <c r="H117" s="120" t="s">
        <v>761</v>
      </c>
    </row>
    <row r="118" spans="1:8" ht="18" x14ac:dyDescent="0.3">
      <c r="A118" s="119">
        <v>45988</v>
      </c>
      <c r="B118" s="120" t="s">
        <v>58</v>
      </c>
      <c r="C118" s="121" t="s">
        <v>762</v>
      </c>
      <c r="D118" s="120" t="s">
        <v>735</v>
      </c>
      <c r="E118" s="122">
        <v>1.6284722222222221</v>
      </c>
      <c r="F118" s="120" t="s">
        <v>63</v>
      </c>
      <c r="G118" s="123">
        <v>9</v>
      </c>
      <c r="H118" s="120" t="s">
        <v>761</v>
      </c>
    </row>
    <row r="119" spans="1:8" ht="18" x14ac:dyDescent="0.3">
      <c r="A119" s="119">
        <v>45988</v>
      </c>
      <c r="B119" s="120" t="s">
        <v>58</v>
      </c>
      <c r="C119" s="121" t="s">
        <v>765</v>
      </c>
      <c r="D119" s="120" t="s">
        <v>735</v>
      </c>
      <c r="E119" s="122">
        <v>1.6284722222222221</v>
      </c>
      <c r="F119" s="120" t="s">
        <v>63</v>
      </c>
      <c r="G119" s="123">
        <v>4</v>
      </c>
      <c r="H119" s="120" t="s">
        <v>790</v>
      </c>
    </row>
    <row r="120" spans="1:8" ht="18" x14ac:dyDescent="0.3">
      <c r="A120" s="119">
        <v>45988</v>
      </c>
      <c r="B120" s="120" t="s">
        <v>58</v>
      </c>
      <c r="C120" s="121" t="s">
        <v>763</v>
      </c>
      <c r="D120" s="120" t="s">
        <v>735</v>
      </c>
      <c r="E120" s="122">
        <v>1.8888888888888891</v>
      </c>
      <c r="F120" s="120" t="s">
        <v>63</v>
      </c>
      <c r="G120" s="123">
        <v>4</v>
      </c>
      <c r="H120" s="120" t="s">
        <v>800</v>
      </c>
    </row>
    <row r="121" spans="1:8" ht="18" x14ac:dyDescent="0.3">
      <c r="A121" s="119">
        <v>45988</v>
      </c>
      <c r="B121" s="120" t="s">
        <v>58</v>
      </c>
      <c r="C121" s="121" t="s">
        <v>766</v>
      </c>
      <c r="D121" s="120" t="s">
        <v>735</v>
      </c>
      <c r="E121" s="122">
        <v>1.944444444444444</v>
      </c>
      <c r="F121" s="120" t="s">
        <v>63</v>
      </c>
      <c r="G121" s="123">
        <v>4</v>
      </c>
      <c r="H121" s="120" t="s">
        <v>800</v>
      </c>
    </row>
    <row r="122" spans="1:8" ht="18" x14ac:dyDescent="0.3">
      <c r="A122" s="118">
        <v>45988</v>
      </c>
      <c r="B122" s="99" t="s">
        <v>75</v>
      </c>
      <c r="C122" s="100" t="s">
        <v>771</v>
      </c>
      <c r="D122" s="99" t="s">
        <v>735</v>
      </c>
      <c r="E122" s="101">
        <v>1.9826388888888891</v>
      </c>
      <c r="F122" s="99" t="s">
        <v>60</v>
      </c>
      <c r="G122" s="102">
        <v>5</v>
      </c>
      <c r="H122" s="99" t="s">
        <v>772</v>
      </c>
    </row>
    <row r="123" spans="1:8" ht="18" x14ac:dyDescent="0.3">
      <c r="A123" s="119">
        <v>45988</v>
      </c>
      <c r="B123" s="120" t="s">
        <v>75</v>
      </c>
      <c r="C123" s="121" t="s">
        <v>773</v>
      </c>
      <c r="D123" s="120" t="s">
        <v>735</v>
      </c>
      <c r="E123" s="122">
        <v>1.354166666666667</v>
      </c>
      <c r="F123" s="120" t="s">
        <v>60</v>
      </c>
      <c r="G123" s="123">
        <v>2</v>
      </c>
      <c r="H123" s="120" t="s">
        <v>772</v>
      </c>
    </row>
    <row r="124" spans="1:8" ht="18" x14ac:dyDescent="0.3">
      <c r="A124" s="124">
        <v>45988</v>
      </c>
      <c r="B124" s="125" t="s">
        <v>75</v>
      </c>
      <c r="C124" s="126" t="s">
        <v>774</v>
      </c>
      <c r="D124" s="125" t="s">
        <v>735</v>
      </c>
      <c r="E124" s="127">
        <v>1.729166666666667</v>
      </c>
      <c r="F124" s="125" t="s">
        <v>60</v>
      </c>
      <c r="G124" s="128">
        <v>4</v>
      </c>
      <c r="H124" s="125" t="s">
        <v>775</v>
      </c>
    </row>
    <row r="125" spans="1:8" ht="18" x14ac:dyDescent="0.3">
      <c r="A125" s="98">
        <v>45989</v>
      </c>
      <c r="B125" s="99" t="s">
        <v>300</v>
      </c>
      <c r="C125" s="100" t="s">
        <v>758</v>
      </c>
      <c r="D125" s="99" t="s">
        <v>735</v>
      </c>
      <c r="E125" s="101">
        <v>1.0902777777777779</v>
      </c>
      <c r="F125" s="99" t="s">
        <v>37</v>
      </c>
      <c r="G125" s="102">
        <v>3</v>
      </c>
      <c r="H125" s="103" t="s">
        <v>801</v>
      </c>
    </row>
    <row r="126" spans="1:8" ht="18" x14ac:dyDescent="0.3">
      <c r="A126" s="118">
        <v>45989</v>
      </c>
      <c r="B126" s="99" t="s">
        <v>75</v>
      </c>
      <c r="C126" s="100" t="s">
        <v>773</v>
      </c>
      <c r="D126" s="99" t="s">
        <v>735</v>
      </c>
      <c r="E126" s="101">
        <v>1.354166666666667</v>
      </c>
      <c r="F126" s="99" t="s">
        <v>60</v>
      </c>
      <c r="G126" s="102">
        <v>6</v>
      </c>
      <c r="H126" s="99" t="s">
        <v>802</v>
      </c>
    </row>
    <row r="127" spans="1:8" ht="18" x14ac:dyDescent="0.3">
      <c r="A127" s="119">
        <v>45989</v>
      </c>
      <c r="B127" s="120" t="s">
        <v>75</v>
      </c>
      <c r="C127" s="121" t="s">
        <v>774</v>
      </c>
      <c r="D127" s="120" t="s">
        <v>735</v>
      </c>
      <c r="E127" s="122">
        <v>1.729166666666667</v>
      </c>
      <c r="F127" s="120" t="s">
        <v>60</v>
      </c>
      <c r="G127" s="123">
        <v>9</v>
      </c>
      <c r="H127" s="120" t="s">
        <v>772</v>
      </c>
    </row>
    <row r="128" spans="1:8" ht="18" x14ac:dyDescent="0.3">
      <c r="A128" s="119">
        <v>45989</v>
      </c>
      <c r="B128" s="120" t="s">
        <v>75</v>
      </c>
      <c r="C128" s="121" t="s">
        <v>771</v>
      </c>
      <c r="D128" s="120" t="s">
        <v>735</v>
      </c>
      <c r="E128" s="122">
        <v>1.9826388888888891</v>
      </c>
      <c r="F128" s="120" t="s">
        <v>60</v>
      </c>
      <c r="G128" s="123">
        <v>9</v>
      </c>
      <c r="H128" s="120" t="s">
        <v>803</v>
      </c>
    </row>
    <row r="129" spans="1:8" ht="18" x14ac:dyDescent="0.3">
      <c r="A129" s="118">
        <v>45989</v>
      </c>
      <c r="B129" s="99" t="s">
        <v>295</v>
      </c>
      <c r="C129" s="100" t="s">
        <v>793</v>
      </c>
      <c r="D129" s="99" t="s">
        <v>735</v>
      </c>
      <c r="E129" s="101">
        <v>1.211805555555556</v>
      </c>
      <c r="F129" s="99" t="s">
        <v>37</v>
      </c>
      <c r="G129" s="102">
        <v>9</v>
      </c>
      <c r="H129" s="99" t="s">
        <v>338</v>
      </c>
    </row>
    <row r="130" spans="1:8" ht="18" x14ac:dyDescent="0.3">
      <c r="A130" s="118">
        <v>45989</v>
      </c>
      <c r="B130" s="99" t="s">
        <v>48</v>
      </c>
      <c r="C130" s="100" t="s">
        <v>742</v>
      </c>
      <c r="D130" s="99" t="s">
        <v>735</v>
      </c>
      <c r="E130" s="101">
        <v>1.4375</v>
      </c>
      <c r="F130" s="99" t="s">
        <v>50</v>
      </c>
      <c r="G130" s="102">
        <v>5</v>
      </c>
      <c r="H130" s="99" t="s">
        <v>117</v>
      </c>
    </row>
    <row r="131" spans="1:8" ht="18" x14ac:dyDescent="0.3">
      <c r="A131" s="104">
        <v>45989</v>
      </c>
      <c r="B131" s="105" t="s">
        <v>48</v>
      </c>
      <c r="C131" s="106" t="s">
        <v>742</v>
      </c>
      <c r="D131" s="105" t="s">
        <v>735</v>
      </c>
      <c r="E131" s="107">
        <v>1.4375</v>
      </c>
      <c r="F131" s="105" t="s">
        <v>53</v>
      </c>
      <c r="G131" s="108">
        <v>5</v>
      </c>
      <c r="H131" s="105" t="s">
        <v>804</v>
      </c>
    </row>
    <row r="132" spans="1:8" ht="18" x14ac:dyDescent="0.3">
      <c r="A132" s="104">
        <v>45989</v>
      </c>
      <c r="B132" s="105" t="s">
        <v>48</v>
      </c>
      <c r="C132" s="106" t="s">
        <v>742</v>
      </c>
      <c r="D132" s="105" t="s">
        <v>735</v>
      </c>
      <c r="E132" s="107">
        <v>1.4375</v>
      </c>
      <c r="F132" s="105" t="s">
        <v>56</v>
      </c>
      <c r="G132" s="108">
        <v>5</v>
      </c>
      <c r="H132" s="105" t="s">
        <v>805</v>
      </c>
    </row>
    <row r="133" spans="1:8" ht="18" x14ac:dyDescent="0.3">
      <c r="A133" s="119">
        <v>45989</v>
      </c>
      <c r="B133" s="120" t="s">
        <v>48</v>
      </c>
      <c r="C133" s="121" t="s">
        <v>745</v>
      </c>
      <c r="D133" s="120" t="s">
        <v>735</v>
      </c>
      <c r="E133" s="122">
        <v>1.5590277777777779</v>
      </c>
      <c r="F133" s="120" t="s">
        <v>50</v>
      </c>
      <c r="G133" s="123">
        <v>9</v>
      </c>
      <c r="H133" s="120" t="s">
        <v>275</v>
      </c>
    </row>
    <row r="134" spans="1:8" ht="18" x14ac:dyDescent="0.3">
      <c r="A134" s="104">
        <v>45989</v>
      </c>
      <c r="B134" s="105" t="s">
        <v>48</v>
      </c>
      <c r="C134" s="106" t="s">
        <v>745</v>
      </c>
      <c r="D134" s="105" t="s">
        <v>735</v>
      </c>
      <c r="E134" s="107">
        <v>1.5590277777777779</v>
      </c>
      <c r="F134" s="105" t="s">
        <v>53</v>
      </c>
      <c r="G134" s="108">
        <v>9</v>
      </c>
      <c r="H134" s="105" t="s">
        <v>112</v>
      </c>
    </row>
    <row r="135" spans="1:8" ht="18" x14ac:dyDescent="0.3">
      <c r="A135" s="104">
        <v>45989</v>
      </c>
      <c r="B135" s="105" t="s">
        <v>48</v>
      </c>
      <c r="C135" s="106" t="s">
        <v>745</v>
      </c>
      <c r="D135" s="105" t="s">
        <v>735</v>
      </c>
      <c r="E135" s="107">
        <v>1.5590277777777779</v>
      </c>
      <c r="F135" s="105" t="s">
        <v>56</v>
      </c>
      <c r="G135" s="108">
        <v>9</v>
      </c>
      <c r="H135" s="105" t="s">
        <v>394</v>
      </c>
    </row>
    <row r="136" spans="1:8" ht="18" x14ac:dyDescent="0.3">
      <c r="A136" s="119">
        <v>45989</v>
      </c>
      <c r="B136" s="120" t="s">
        <v>48</v>
      </c>
      <c r="C136" s="121" t="s">
        <v>746</v>
      </c>
      <c r="D136" s="120" t="s">
        <v>735</v>
      </c>
      <c r="E136" s="122">
        <v>1.506944444444444</v>
      </c>
      <c r="F136" s="120" t="s">
        <v>50</v>
      </c>
      <c r="G136" s="123">
        <v>9</v>
      </c>
      <c r="H136" s="120" t="s">
        <v>275</v>
      </c>
    </row>
    <row r="137" spans="1:8" ht="18" x14ac:dyDescent="0.3">
      <c r="A137" s="104">
        <v>45989</v>
      </c>
      <c r="B137" s="105" t="s">
        <v>48</v>
      </c>
      <c r="C137" s="106" t="s">
        <v>746</v>
      </c>
      <c r="D137" s="105" t="s">
        <v>735</v>
      </c>
      <c r="E137" s="107">
        <v>1.506944444444444</v>
      </c>
      <c r="F137" s="105" t="s">
        <v>53</v>
      </c>
      <c r="G137" s="108">
        <v>9</v>
      </c>
      <c r="H137" s="105" t="s">
        <v>112</v>
      </c>
    </row>
    <row r="138" spans="1:8" ht="18" x14ac:dyDescent="0.3">
      <c r="A138" s="104">
        <v>45989</v>
      </c>
      <c r="B138" s="105" t="s">
        <v>48</v>
      </c>
      <c r="C138" s="106" t="s">
        <v>746</v>
      </c>
      <c r="D138" s="105" t="s">
        <v>735</v>
      </c>
      <c r="E138" s="107">
        <v>1.506944444444444</v>
      </c>
      <c r="F138" s="105" t="s">
        <v>56</v>
      </c>
      <c r="G138" s="108">
        <v>9</v>
      </c>
      <c r="H138" s="105" t="s">
        <v>394</v>
      </c>
    </row>
    <row r="139" spans="1:8" ht="18" x14ac:dyDescent="0.3">
      <c r="A139" s="119">
        <v>45989</v>
      </c>
      <c r="B139" s="120" t="s">
        <v>48</v>
      </c>
      <c r="C139" s="121" t="s">
        <v>750</v>
      </c>
      <c r="D139" s="120" t="s">
        <v>735</v>
      </c>
      <c r="E139" s="122">
        <v>1.958333333333333</v>
      </c>
      <c r="F139" s="120" t="s">
        <v>50</v>
      </c>
      <c r="G139" s="123">
        <v>2</v>
      </c>
      <c r="H139" s="120" t="s">
        <v>112</v>
      </c>
    </row>
    <row r="140" spans="1:8" ht="18" x14ac:dyDescent="0.3">
      <c r="A140" s="104">
        <v>45989</v>
      </c>
      <c r="B140" s="105" t="s">
        <v>48</v>
      </c>
      <c r="C140" s="106" t="s">
        <v>750</v>
      </c>
      <c r="D140" s="105" t="s">
        <v>735</v>
      </c>
      <c r="E140" s="107">
        <v>1.958333333333333</v>
      </c>
      <c r="F140" s="105" t="s">
        <v>53</v>
      </c>
      <c r="G140" s="108">
        <v>2</v>
      </c>
      <c r="H140" s="105" t="s">
        <v>395</v>
      </c>
    </row>
    <row r="141" spans="1:8" ht="18" x14ac:dyDescent="0.3">
      <c r="A141" s="104">
        <v>45989</v>
      </c>
      <c r="B141" s="105" t="s">
        <v>48</v>
      </c>
      <c r="C141" s="106" t="s">
        <v>750</v>
      </c>
      <c r="D141" s="105" t="s">
        <v>735</v>
      </c>
      <c r="E141" s="107">
        <v>1.958333333333333</v>
      </c>
      <c r="F141" s="105" t="s">
        <v>56</v>
      </c>
      <c r="G141" s="108">
        <v>2</v>
      </c>
      <c r="H141" s="105" t="s">
        <v>806</v>
      </c>
    </row>
    <row r="142" spans="1:8" ht="18" x14ac:dyDescent="0.3">
      <c r="A142" s="119">
        <v>45989</v>
      </c>
      <c r="B142" s="120" t="s">
        <v>48</v>
      </c>
      <c r="C142" s="121" t="s">
        <v>744</v>
      </c>
      <c r="D142" s="120" t="s">
        <v>735</v>
      </c>
      <c r="E142" s="122">
        <v>1.631944444444444</v>
      </c>
      <c r="F142" s="120" t="s">
        <v>50</v>
      </c>
      <c r="G142" s="123">
        <v>9</v>
      </c>
      <c r="H142" s="120" t="s">
        <v>112</v>
      </c>
    </row>
    <row r="143" spans="1:8" ht="18" x14ac:dyDescent="0.3">
      <c r="A143" s="104">
        <v>45989</v>
      </c>
      <c r="B143" s="105" t="s">
        <v>48</v>
      </c>
      <c r="C143" s="106" t="s">
        <v>744</v>
      </c>
      <c r="D143" s="105" t="s">
        <v>735</v>
      </c>
      <c r="E143" s="107">
        <v>1.631944444444444</v>
      </c>
      <c r="F143" s="105" t="s">
        <v>53</v>
      </c>
      <c r="G143" s="108">
        <v>9</v>
      </c>
      <c r="H143" s="105" t="s">
        <v>395</v>
      </c>
    </row>
    <row r="144" spans="1:8" ht="18" x14ac:dyDescent="0.3">
      <c r="A144" s="104">
        <v>45989</v>
      </c>
      <c r="B144" s="105" t="s">
        <v>48</v>
      </c>
      <c r="C144" s="106" t="s">
        <v>744</v>
      </c>
      <c r="D144" s="105" t="s">
        <v>735</v>
      </c>
      <c r="E144" s="107">
        <v>1.631944444444444</v>
      </c>
      <c r="F144" s="105" t="s">
        <v>56</v>
      </c>
      <c r="G144" s="108">
        <v>9</v>
      </c>
      <c r="H144" s="105" t="s">
        <v>806</v>
      </c>
    </row>
    <row r="145" spans="1:8" ht="18" x14ac:dyDescent="0.3">
      <c r="A145" s="119">
        <v>45989</v>
      </c>
      <c r="B145" s="120" t="s">
        <v>48</v>
      </c>
      <c r="C145" s="121" t="s">
        <v>747</v>
      </c>
      <c r="D145" s="120" t="s">
        <v>735</v>
      </c>
      <c r="E145" s="122">
        <v>1.819444444444444</v>
      </c>
      <c r="F145" s="120" t="s">
        <v>50</v>
      </c>
      <c r="G145" s="123">
        <v>7</v>
      </c>
      <c r="H145" s="120" t="s">
        <v>112</v>
      </c>
    </row>
    <row r="146" spans="1:8" ht="18" x14ac:dyDescent="0.3">
      <c r="A146" s="104">
        <v>45989</v>
      </c>
      <c r="B146" s="105" t="s">
        <v>48</v>
      </c>
      <c r="C146" s="106" t="s">
        <v>747</v>
      </c>
      <c r="D146" s="105" t="s">
        <v>735</v>
      </c>
      <c r="E146" s="107">
        <v>1.819444444444444</v>
      </c>
      <c r="F146" s="105" t="s">
        <v>53</v>
      </c>
      <c r="G146" s="108">
        <v>7</v>
      </c>
      <c r="H146" s="105" t="s">
        <v>395</v>
      </c>
    </row>
    <row r="147" spans="1:8" ht="18" x14ac:dyDescent="0.3">
      <c r="A147" s="104">
        <v>45989</v>
      </c>
      <c r="B147" s="105" t="s">
        <v>48</v>
      </c>
      <c r="C147" s="106" t="s">
        <v>747</v>
      </c>
      <c r="D147" s="105" t="s">
        <v>735</v>
      </c>
      <c r="E147" s="107">
        <v>1.819444444444444</v>
      </c>
      <c r="F147" s="105" t="s">
        <v>56</v>
      </c>
      <c r="G147" s="108">
        <v>7</v>
      </c>
      <c r="H147" s="105" t="s">
        <v>806</v>
      </c>
    </row>
    <row r="148" spans="1:8" ht="18" x14ac:dyDescent="0.3">
      <c r="A148" s="119">
        <v>45989</v>
      </c>
      <c r="B148" s="120" t="s">
        <v>48</v>
      </c>
      <c r="C148" s="121" t="s">
        <v>749</v>
      </c>
      <c r="D148" s="120" t="s">
        <v>735</v>
      </c>
      <c r="E148" s="122">
        <v>1.697916666666667</v>
      </c>
      <c r="F148" s="120" t="s">
        <v>50</v>
      </c>
      <c r="G148" s="123">
        <v>9</v>
      </c>
      <c r="H148" s="120" t="s">
        <v>395</v>
      </c>
    </row>
    <row r="149" spans="1:8" ht="18" x14ac:dyDescent="0.3">
      <c r="A149" s="104">
        <v>45989</v>
      </c>
      <c r="B149" s="105" t="s">
        <v>48</v>
      </c>
      <c r="C149" s="106" t="s">
        <v>749</v>
      </c>
      <c r="D149" s="105" t="s">
        <v>735</v>
      </c>
      <c r="E149" s="107">
        <v>1.697916666666667</v>
      </c>
      <c r="F149" s="105" t="s">
        <v>53</v>
      </c>
      <c r="G149" s="108">
        <v>9</v>
      </c>
      <c r="H149" s="105" t="s">
        <v>396</v>
      </c>
    </row>
    <row r="150" spans="1:8" ht="18" x14ac:dyDescent="0.3">
      <c r="A150" s="104">
        <v>45989</v>
      </c>
      <c r="B150" s="105" t="s">
        <v>48</v>
      </c>
      <c r="C150" s="106" t="s">
        <v>749</v>
      </c>
      <c r="D150" s="105" t="s">
        <v>735</v>
      </c>
      <c r="E150" s="107">
        <v>1.697916666666667</v>
      </c>
      <c r="F150" s="105" t="s">
        <v>56</v>
      </c>
      <c r="G150" s="108">
        <v>9</v>
      </c>
      <c r="H150" s="105" t="s">
        <v>397</v>
      </c>
    </row>
    <row r="151" spans="1:8" ht="18" x14ac:dyDescent="0.3">
      <c r="A151" s="118">
        <v>45989</v>
      </c>
      <c r="B151" s="99" t="s">
        <v>25</v>
      </c>
      <c r="C151" s="100" t="s">
        <v>736</v>
      </c>
      <c r="D151" s="99" t="s">
        <v>735</v>
      </c>
      <c r="E151" s="101">
        <v>1.5763888888888891</v>
      </c>
      <c r="F151" s="99" t="s">
        <v>27</v>
      </c>
      <c r="G151" s="102">
        <v>9</v>
      </c>
      <c r="H151" s="99" t="s">
        <v>270</v>
      </c>
    </row>
    <row r="152" spans="1:8" ht="18" x14ac:dyDescent="0.3">
      <c r="A152" s="104">
        <v>45989</v>
      </c>
      <c r="B152" s="105" t="s">
        <v>25</v>
      </c>
      <c r="C152" s="106" t="s">
        <v>736</v>
      </c>
      <c r="D152" s="105" t="s">
        <v>735</v>
      </c>
      <c r="E152" s="107">
        <v>1.5763888888888891</v>
      </c>
      <c r="F152" s="105" t="s">
        <v>33</v>
      </c>
      <c r="G152" s="108">
        <v>9</v>
      </c>
      <c r="H152" s="105" t="s">
        <v>112</v>
      </c>
    </row>
    <row r="153" spans="1:8" ht="18" x14ac:dyDescent="0.3">
      <c r="A153" s="104">
        <v>45989</v>
      </c>
      <c r="B153" s="105" t="s">
        <v>25</v>
      </c>
      <c r="C153" s="106" t="s">
        <v>736</v>
      </c>
      <c r="D153" s="105" t="s">
        <v>735</v>
      </c>
      <c r="E153" s="107">
        <v>1.5763888888888891</v>
      </c>
      <c r="F153" s="105" t="s">
        <v>30</v>
      </c>
      <c r="G153" s="108">
        <v>9</v>
      </c>
      <c r="H153" s="105" t="s">
        <v>791</v>
      </c>
    </row>
    <row r="154" spans="1:8" ht="18" x14ac:dyDescent="0.3">
      <c r="A154" s="119">
        <v>45989</v>
      </c>
      <c r="B154" s="120" t="s">
        <v>25</v>
      </c>
      <c r="C154" s="121" t="s">
        <v>738</v>
      </c>
      <c r="D154" s="120" t="s">
        <v>735</v>
      </c>
      <c r="E154" s="122">
        <v>1.6284722222222221</v>
      </c>
      <c r="F154" s="120" t="s">
        <v>27</v>
      </c>
      <c r="G154" s="123">
        <v>1</v>
      </c>
      <c r="H154" s="120" t="s">
        <v>270</v>
      </c>
    </row>
    <row r="155" spans="1:8" ht="18" x14ac:dyDescent="0.3">
      <c r="A155" s="104">
        <v>45989</v>
      </c>
      <c r="B155" s="105" t="s">
        <v>25</v>
      </c>
      <c r="C155" s="106" t="s">
        <v>738</v>
      </c>
      <c r="D155" s="105" t="s">
        <v>735</v>
      </c>
      <c r="E155" s="107">
        <v>1.6284722222222221</v>
      </c>
      <c r="F155" s="105" t="s">
        <v>33</v>
      </c>
      <c r="G155" s="108">
        <v>1</v>
      </c>
      <c r="H155" s="105" t="s">
        <v>112</v>
      </c>
    </row>
    <row r="156" spans="1:8" ht="18" x14ac:dyDescent="0.3">
      <c r="A156" s="104">
        <v>45989</v>
      </c>
      <c r="B156" s="105" t="s">
        <v>25</v>
      </c>
      <c r="C156" s="106" t="s">
        <v>738</v>
      </c>
      <c r="D156" s="105" t="s">
        <v>735</v>
      </c>
      <c r="E156" s="107">
        <v>1.6284722222222221</v>
      </c>
      <c r="F156" s="105" t="s">
        <v>30</v>
      </c>
      <c r="G156" s="108">
        <v>1</v>
      </c>
      <c r="H156" s="105" t="s">
        <v>791</v>
      </c>
    </row>
    <row r="157" spans="1:8" ht="18" x14ac:dyDescent="0.3">
      <c r="A157" s="119">
        <v>45989</v>
      </c>
      <c r="B157" s="120" t="s">
        <v>25</v>
      </c>
      <c r="C157" s="121" t="s">
        <v>740</v>
      </c>
      <c r="D157" s="120" t="s">
        <v>735</v>
      </c>
      <c r="E157" s="122">
        <v>1.8888888888888891</v>
      </c>
      <c r="F157" s="120" t="s">
        <v>27</v>
      </c>
      <c r="G157" s="123">
        <v>10</v>
      </c>
      <c r="H157" s="120" t="s">
        <v>93</v>
      </c>
    </row>
    <row r="158" spans="1:8" ht="18" x14ac:dyDescent="0.3">
      <c r="A158" s="104">
        <v>45989</v>
      </c>
      <c r="B158" s="105" t="s">
        <v>25</v>
      </c>
      <c r="C158" s="106" t="s">
        <v>740</v>
      </c>
      <c r="D158" s="105" t="s">
        <v>735</v>
      </c>
      <c r="E158" s="107">
        <v>1.8888888888888891</v>
      </c>
      <c r="F158" s="105" t="s">
        <v>33</v>
      </c>
      <c r="G158" s="108">
        <v>10</v>
      </c>
      <c r="H158" s="105" t="s">
        <v>394</v>
      </c>
    </row>
    <row r="159" spans="1:8" ht="18" x14ac:dyDescent="0.3">
      <c r="A159" s="104">
        <v>45989</v>
      </c>
      <c r="B159" s="105" t="s">
        <v>25</v>
      </c>
      <c r="C159" s="106" t="s">
        <v>740</v>
      </c>
      <c r="D159" s="105" t="s">
        <v>735</v>
      </c>
      <c r="E159" s="107">
        <v>1.8888888888888891</v>
      </c>
      <c r="F159" s="105" t="s">
        <v>30</v>
      </c>
      <c r="G159" s="108">
        <v>10</v>
      </c>
      <c r="H159" s="105" t="s">
        <v>791</v>
      </c>
    </row>
    <row r="160" spans="1:8" ht="18" x14ac:dyDescent="0.3">
      <c r="A160" s="119">
        <v>45989</v>
      </c>
      <c r="B160" s="120" t="s">
        <v>25</v>
      </c>
      <c r="C160" s="121" t="s">
        <v>739</v>
      </c>
      <c r="D160" s="120" t="s">
        <v>735</v>
      </c>
      <c r="E160" s="122">
        <v>1.944444444444444</v>
      </c>
      <c r="F160" s="120" t="s">
        <v>27</v>
      </c>
      <c r="G160" s="123">
        <v>3</v>
      </c>
      <c r="H160" s="120" t="s">
        <v>93</v>
      </c>
    </row>
    <row r="161" spans="1:8" ht="18" x14ac:dyDescent="0.3">
      <c r="A161" s="104">
        <v>45989</v>
      </c>
      <c r="B161" s="105" t="s">
        <v>25</v>
      </c>
      <c r="C161" s="106" t="s">
        <v>739</v>
      </c>
      <c r="D161" s="105" t="s">
        <v>735</v>
      </c>
      <c r="E161" s="107">
        <v>1.944444444444444</v>
      </c>
      <c r="F161" s="105" t="s">
        <v>33</v>
      </c>
      <c r="G161" s="108">
        <v>3</v>
      </c>
      <c r="H161" s="105" t="s">
        <v>394</v>
      </c>
    </row>
    <row r="162" spans="1:8" ht="18" x14ac:dyDescent="0.3">
      <c r="A162" s="104">
        <v>45989</v>
      </c>
      <c r="B162" s="105" t="s">
        <v>25</v>
      </c>
      <c r="C162" s="106" t="s">
        <v>739</v>
      </c>
      <c r="D162" s="105" t="s">
        <v>735</v>
      </c>
      <c r="E162" s="107">
        <v>1.944444444444444</v>
      </c>
      <c r="F162" s="105" t="s">
        <v>30</v>
      </c>
      <c r="G162" s="108">
        <v>3</v>
      </c>
      <c r="H162" s="105" t="s">
        <v>791</v>
      </c>
    </row>
    <row r="163" spans="1:8" ht="18" x14ac:dyDescent="0.3">
      <c r="A163" s="109">
        <v>45989</v>
      </c>
      <c r="B163" s="110" t="s">
        <v>35</v>
      </c>
      <c r="C163" s="111" t="s">
        <v>779</v>
      </c>
      <c r="D163" s="110" t="s">
        <v>735</v>
      </c>
      <c r="E163" s="112">
        <v>1.40625</v>
      </c>
      <c r="F163" s="110" t="s">
        <v>37</v>
      </c>
      <c r="G163" s="113">
        <v>9</v>
      </c>
      <c r="H163" s="110" t="s">
        <v>807</v>
      </c>
    </row>
    <row r="164" spans="1:8" ht="18" x14ac:dyDescent="0.3">
      <c r="A164" s="114">
        <v>45989</v>
      </c>
      <c r="B164" s="115" t="s">
        <v>35</v>
      </c>
      <c r="C164" s="116" t="s">
        <v>752</v>
      </c>
      <c r="D164" s="115" t="s">
        <v>735</v>
      </c>
      <c r="E164" s="117">
        <v>1.725694444444444</v>
      </c>
      <c r="F164" s="115" t="s">
        <v>37</v>
      </c>
      <c r="G164" s="233">
        <v>2</v>
      </c>
      <c r="H164" s="115" t="s">
        <v>807</v>
      </c>
    </row>
    <row r="165" spans="1:8" ht="18" x14ac:dyDescent="0.3">
      <c r="A165" s="118">
        <v>45989</v>
      </c>
      <c r="B165" s="99" t="s">
        <v>58</v>
      </c>
      <c r="C165" s="100" t="s">
        <v>760</v>
      </c>
      <c r="D165" s="99" t="s">
        <v>735</v>
      </c>
      <c r="E165" s="101">
        <v>1.444444444444444</v>
      </c>
      <c r="F165" s="99" t="s">
        <v>63</v>
      </c>
      <c r="G165" s="102">
        <v>9</v>
      </c>
      <c r="H165" s="99" t="s">
        <v>768</v>
      </c>
    </row>
    <row r="166" spans="1:8" ht="18" x14ac:dyDescent="0.3">
      <c r="A166" s="119">
        <v>45989</v>
      </c>
      <c r="B166" s="120" t="s">
        <v>58</v>
      </c>
      <c r="C166" s="121" t="s">
        <v>767</v>
      </c>
      <c r="D166" s="120" t="s">
        <v>735</v>
      </c>
      <c r="E166" s="122">
        <v>1.8298611111111109</v>
      </c>
      <c r="F166" s="120" t="s">
        <v>63</v>
      </c>
      <c r="G166" s="123">
        <v>5</v>
      </c>
      <c r="H166" s="120" t="s">
        <v>768</v>
      </c>
    </row>
    <row r="167" spans="1:8" ht="18" x14ac:dyDescent="0.3">
      <c r="A167" s="119">
        <v>45989</v>
      </c>
      <c r="B167" s="120" t="s">
        <v>58</v>
      </c>
      <c r="C167" s="121" t="s">
        <v>769</v>
      </c>
      <c r="D167" s="120" t="s">
        <v>735</v>
      </c>
      <c r="E167" s="122">
        <v>1.9826388888888891</v>
      </c>
      <c r="F167" s="120" t="s">
        <v>63</v>
      </c>
      <c r="G167" s="123">
        <v>1</v>
      </c>
      <c r="H167" s="120" t="s">
        <v>768</v>
      </c>
    </row>
    <row r="168" spans="1:8" ht="18" x14ac:dyDescent="0.3">
      <c r="A168" s="119">
        <v>45989</v>
      </c>
      <c r="B168" s="120" t="s">
        <v>58</v>
      </c>
      <c r="C168" s="121" t="s">
        <v>763</v>
      </c>
      <c r="D168" s="120" t="s">
        <v>735</v>
      </c>
      <c r="E168" s="122">
        <v>1.8888888888888891</v>
      </c>
      <c r="F168" s="120" t="s">
        <v>63</v>
      </c>
      <c r="G168" s="123">
        <v>4</v>
      </c>
      <c r="H168" s="120" t="s">
        <v>812</v>
      </c>
    </row>
    <row r="169" spans="1:8" ht="18" x14ac:dyDescent="0.3">
      <c r="A169" s="119">
        <v>45989</v>
      </c>
      <c r="B169" s="120" t="s">
        <v>58</v>
      </c>
      <c r="C169" s="121" t="s">
        <v>765</v>
      </c>
      <c r="D169" s="120" t="s">
        <v>735</v>
      </c>
      <c r="E169" s="122">
        <v>1.6284722222222221</v>
      </c>
      <c r="F169" s="120" t="s">
        <v>63</v>
      </c>
      <c r="G169" s="123">
        <v>4</v>
      </c>
      <c r="H169" s="120" t="s">
        <v>812</v>
      </c>
    </row>
    <row r="170" spans="1:8" ht="18" x14ac:dyDescent="0.3">
      <c r="A170" s="124">
        <v>45989</v>
      </c>
      <c r="B170" s="125" t="s">
        <v>58</v>
      </c>
      <c r="C170" s="126" t="s">
        <v>766</v>
      </c>
      <c r="D170" s="125" t="s">
        <v>735</v>
      </c>
      <c r="E170" s="127">
        <v>1.944444444444444</v>
      </c>
      <c r="F170" s="125" t="s">
        <v>63</v>
      </c>
      <c r="G170" s="128">
        <v>4</v>
      </c>
      <c r="H170" s="125" t="s">
        <v>813</v>
      </c>
    </row>
    <row r="171" spans="1:8" ht="18" x14ac:dyDescent="0.3">
      <c r="A171" s="98">
        <v>45990</v>
      </c>
      <c r="B171" s="99" t="s">
        <v>300</v>
      </c>
      <c r="C171" s="100" t="s">
        <v>758</v>
      </c>
      <c r="D171" s="99" t="s">
        <v>735</v>
      </c>
      <c r="E171" s="101">
        <v>1.086805555555556</v>
      </c>
      <c r="F171" s="99" t="s">
        <v>37</v>
      </c>
      <c r="G171" s="102">
        <v>1</v>
      </c>
      <c r="H171" s="103" t="s">
        <v>727</v>
      </c>
    </row>
    <row r="172" spans="1:8" ht="18" x14ac:dyDescent="0.3">
      <c r="A172" s="119">
        <v>45990</v>
      </c>
      <c r="B172" s="120" t="s">
        <v>300</v>
      </c>
      <c r="C172" s="121" t="s">
        <v>799</v>
      </c>
      <c r="D172" s="120" t="s">
        <v>735</v>
      </c>
      <c r="E172" s="122">
        <v>1.6840277777777779</v>
      </c>
      <c r="F172" s="120" t="s">
        <v>37</v>
      </c>
      <c r="G172" s="123">
        <v>5</v>
      </c>
      <c r="H172" s="120" t="s">
        <v>814</v>
      </c>
    </row>
    <row r="173" spans="1:8" ht="18" x14ac:dyDescent="0.3">
      <c r="A173" s="118">
        <v>45990</v>
      </c>
      <c r="B173" s="99" t="s">
        <v>295</v>
      </c>
      <c r="C173" s="100" t="s">
        <v>793</v>
      </c>
      <c r="D173" s="99" t="s">
        <v>735</v>
      </c>
      <c r="E173" s="101">
        <v>1.1701388888888891</v>
      </c>
      <c r="F173" s="99" t="s">
        <v>37</v>
      </c>
      <c r="G173" s="102">
        <v>9</v>
      </c>
      <c r="H173" s="99" t="s">
        <v>815</v>
      </c>
    </row>
    <row r="174" spans="1:8" ht="18" x14ac:dyDescent="0.3">
      <c r="A174" s="119">
        <v>45990</v>
      </c>
      <c r="B174" s="120" t="s">
        <v>295</v>
      </c>
      <c r="C174" s="121" t="s">
        <v>816</v>
      </c>
      <c r="D174" s="120" t="s">
        <v>735</v>
      </c>
      <c r="E174" s="122">
        <v>1.024305555555556</v>
      </c>
      <c r="F174" s="120" t="s">
        <v>37</v>
      </c>
      <c r="G174" s="123">
        <v>6</v>
      </c>
      <c r="H174" s="120" t="s">
        <v>815</v>
      </c>
    </row>
    <row r="175" spans="1:8" ht="18" x14ac:dyDescent="0.3">
      <c r="A175" s="119">
        <v>45990</v>
      </c>
      <c r="B175" s="120" t="s">
        <v>295</v>
      </c>
      <c r="C175" s="121" t="s">
        <v>817</v>
      </c>
      <c r="D175" s="120" t="s">
        <v>735</v>
      </c>
      <c r="E175" s="122">
        <v>1.538194444444444</v>
      </c>
      <c r="F175" s="120" t="s">
        <v>37</v>
      </c>
      <c r="G175" s="123">
        <v>9</v>
      </c>
      <c r="H175" s="120" t="s">
        <v>818</v>
      </c>
    </row>
    <row r="176" spans="1:8" ht="18" x14ac:dyDescent="0.3">
      <c r="A176" s="118">
        <v>45990</v>
      </c>
      <c r="B176" s="99" t="s">
        <v>48</v>
      </c>
      <c r="C176" s="100" t="s">
        <v>742</v>
      </c>
      <c r="D176" s="99" t="s">
        <v>735</v>
      </c>
      <c r="E176" s="101">
        <v>1.4375</v>
      </c>
      <c r="F176" s="99" t="s">
        <v>50</v>
      </c>
      <c r="G176" s="102">
        <v>7</v>
      </c>
      <c r="H176" s="99" t="s">
        <v>112</v>
      </c>
    </row>
    <row r="177" spans="1:8" ht="18" x14ac:dyDescent="0.3">
      <c r="A177" s="104">
        <v>45990</v>
      </c>
      <c r="B177" s="105" t="s">
        <v>48</v>
      </c>
      <c r="C177" s="106" t="s">
        <v>742</v>
      </c>
      <c r="D177" s="105" t="s">
        <v>735</v>
      </c>
      <c r="E177" s="107">
        <v>1.4375</v>
      </c>
      <c r="F177" s="105" t="s">
        <v>53</v>
      </c>
      <c r="G177" s="108">
        <v>7</v>
      </c>
      <c r="H177" s="105" t="s">
        <v>395</v>
      </c>
    </row>
    <row r="178" spans="1:8" ht="18" x14ac:dyDescent="0.3">
      <c r="A178" s="104">
        <v>45990</v>
      </c>
      <c r="B178" s="105" t="s">
        <v>48</v>
      </c>
      <c r="C178" s="106" t="s">
        <v>742</v>
      </c>
      <c r="D178" s="105" t="s">
        <v>735</v>
      </c>
      <c r="E178" s="107">
        <v>1.4375</v>
      </c>
      <c r="F178" s="105" t="s">
        <v>56</v>
      </c>
      <c r="G178" s="108">
        <v>7</v>
      </c>
      <c r="H178" s="105" t="s">
        <v>806</v>
      </c>
    </row>
    <row r="179" spans="1:8" ht="18" x14ac:dyDescent="0.3">
      <c r="A179" s="119">
        <v>45990</v>
      </c>
      <c r="B179" s="120" t="s">
        <v>48</v>
      </c>
      <c r="C179" s="121" t="s">
        <v>746</v>
      </c>
      <c r="D179" s="120" t="s">
        <v>735</v>
      </c>
      <c r="E179" s="122">
        <v>1.506944444444444</v>
      </c>
      <c r="F179" s="120" t="s">
        <v>50</v>
      </c>
      <c r="G179" s="123">
        <v>1</v>
      </c>
      <c r="H179" s="120" t="s">
        <v>112</v>
      </c>
    </row>
    <row r="180" spans="1:8" ht="18" x14ac:dyDescent="0.3">
      <c r="A180" s="104">
        <v>45990</v>
      </c>
      <c r="B180" s="105" t="s">
        <v>48</v>
      </c>
      <c r="C180" s="106" t="s">
        <v>746</v>
      </c>
      <c r="D180" s="105" t="s">
        <v>735</v>
      </c>
      <c r="E180" s="107">
        <v>1.506944444444444</v>
      </c>
      <c r="F180" s="105" t="s">
        <v>53</v>
      </c>
      <c r="G180" s="108">
        <v>1</v>
      </c>
      <c r="H180" s="105" t="s">
        <v>395</v>
      </c>
    </row>
    <row r="181" spans="1:8" ht="18" x14ac:dyDescent="0.3">
      <c r="A181" s="104">
        <v>45990</v>
      </c>
      <c r="B181" s="105" t="s">
        <v>48</v>
      </c>
      <c r="C181" s="106" t="s">
        <v>746</v>
      </c>
      <c r="D181" s="105" t="s">
        <v>735</v>
      </c>
      <c r="E181" s="107">
        <v>1.506944444444444</v>
      </c>
      <c r="F181" s="105" t="s">
        <v>56</v>
      </c>
      <c r="G181" s="108">
        <v>1</v>
      </c>
      <c r="H181" s="105" t="s">
        <v>806</v>
      </c>
    </row>
    <row r="182" spans="1:8" ht="18" x14ac:dyDescent="0.3">
      <c r="A182" s="119">
        <v>45990</v>
      </c>
      <c r="B182" s="120" t="s">
        <v>48</v>
      </c>
      <c r="C182" s="121" t="s">
        <v>745</v>
      </c>
      <c r="D182" s="120" t="s">
        <v>735</v>
      </c>
      <c r="E182" s="122">
        <v>1.5590277777777779</v>
      </c>
      <c r="F182" s="120" t="s">
        <v>50</v>
      </c>
      <c r="G182" s="123">
        <v>6</v>
      </c>
      <c r="H182" s="120" t="s">
        <v>395</v>
      </c>
    </row>
    <row r="183" spans="1:8" ht="18" x14ac:dyDescent="0.3">
      <c r="A183" s="104">
        <v>45990</v>
      </c>
      <c r="B183" s="105" t="s">
        <v>48</v>
      </c>
      <c r="C183" s="106" t="s">
        <v>745</v>
      </c>
      <c r="D183" s="105" t="s">
        <v>735</v>
      </c>
      <c r="E183" s="107">
        <v>1.5590277777777779</v>
      </c>
      <c r="F183" s="105" t="s">
        <v>53</v>
      </c>
      <c r="G183" s="108">
        <v>6</v>
      </c>
      <c r="H183" s="105" t="s">
        <v>396</v>
      </c>
    </row>
    <row r="184" spans="1:8" ht="18" x14ac:dyDescent="0.3">
      <c r="A184" s="104">
        <v>45990</v>
      </c>
      <c r="B184" s="105" t="s">
        <v>48</v>
      </c>
      <c r="C184" s="106" t="s">
        <v>745</v>
      </c>
      <c r="D184" s="105" t="s">
        <v>735</v>
      </c>
      <c r="E184" s="107">
        <v>1.5590277777777779</v>
      </c>
      <c r="F184" s="105" t="s">
        <v>56</v>
      </c>
      <c r="G184" s="108">
        <v>6</v>
      </c>
      <c r="H184" s="105" t="s">
        <v>397</v>
      </c>
    </row>
    <row r="185" spans="1:8" ht="18" x14ac:dyDescent="0.3">
      <c r="A185" s="119">
        <v>45990</v>
      </c>
      <c r="B185" s="120" t="s">
        <v>48</v>
      </c>
      <c r="C185" s="121" t="s">
        <v>744</v>
      </c>
      <c r="D185" s="120" t="s">
        <v>735</v>
      </c>
      <c r="E185" s="122">
        <v>1.631944444444444</v>
      </c>
      <c r="F185" s="120" t="s">
        <v>50</v>
      </c>
      <c r="G185" s="123">
        <v>9</v>
      </c>
      <c r="H185" s="120" t="s">
        <v>819</v>
      </c>
    </row>
    <row r="186" spans="1:8" ht="18" x14ac:dyDescent="0.3">
      <c r="A186" s="104">
        <v>45990</v>
      </c>
      <c r="B186" s="105" t="s">
        <v>48</v>
      </c>
      <c r="C186" s="106" t="s">
        <v>744</v>
      </c>
      <c r="D186" s="105" t="s">
        <v>735</v>
      </c>
      <c r="E186" s="107">
        <v>1.631944444444444</v>
      </c>
      <c r="F186" s="105" t="s">
        <v>53</v>
      </c>
      <c r="G186" s="108">
        <v>9</v>
      </c>
      <c r="H186" s="105" t="s">
        <v>820</v>
      </c>
    </row>
    <row r="187" spans="1:8" ht="18" x14ac:dyDescent="0.3">
      <c r="A187" s="104">
        <v>45990</v>
      </c>
      <c r="B187" s="105" t="s">
        <v>48</v>
      </c>
      <c r="C187" s="106" t="s">
        <v>744</v>
      </c>
      <c r="D187" s="105" t="s">
        <v>735</v>
      </c>
      <c r="E187" s="107">
        <v>1.631944444444444</v>
      </c>
      <c r="F187" s="105" t="s">
        <v>56</v>
      </c>
      <c r="G187" s="108">
        <v>9</v>
      </c>
      <c r="H187" s="105" t="s">
        <v>821</v>
      </c>
    </row>
    <row r="188" spans="1:8" ht="18" x14ac:dyDescent="0.3">
      <c r="A188" s="119">
        <v>45990</v>
      </c>
      <c r="B188" s="120" t="s">
        <v>48</v>
      </c>
      <c r="C188" s="121" t="s">
        <v>749</v>
      </c>
      <c r="D188" s="120" t="s">
        <v>735</v>
      </c>
      <c r="E188" s="122">
        <v>1.697916666666667</v>
      </c>
      <c r="F188" s="120" t="s">
        <v>50</v>
      </c>
      <c r="G188" s="123">
        <v>4</v>
      </c>
      <c r="H188" s="120" t="s">
        <v>819</v>
      </c>
    </row>
    <row r="189" spans="1:8" ht="18" x14ac:dyDescent="0.3">
      <c r="A189" s="104">
        <v>45990</v>
      </c>
      <c r="B189" s="105" t="s">
        <v>48</v>
      </c>
      <c r="C189" s="106" t="s">
        <v>749</v>
      </c>
      <c r="D189" s="105" t="s">
        <v>735</v>
      </c>
      <c r="E189" s="107">
        <v>1.697916666666667</v>
      </c>
      <c r="F189" s="105" t="s">
        <v>53</v>
      </c>
      <c r="G189" s="108">
        <v>4</v>
      </c>
      <c r="H189" s="105" t="s">
        <v>820</v>
      </c>
    </row>
    <row r="190" spans="1:8" ht="18" x14ac:dyDescent="0.3">
      <c r="A190" s="104">
        <v>45990</v>
      </c>
      <c r="B190" s="105" t="s">
        <v>48</v>
      </c>
      <c r="C190" s="106" t="s">
        <v>749</v>
      </c>
      <c r="D190" s="105" t="s">
        <v>735</v>
      </c>
      <c r="E190" s="107">
        <v>1.697916666666667</v>
      </c>
      <c r="F190" s="105" t="s">
        <v>56</v>
      </c>
      <c r="G190" s="108">
        <v>4</v>
      </c>
      <c r="H190" s="105" t="s">
        <v>821</v>
      </c>
    </row>
    <row r="191" spans="1:8" ht="18" x14ac:dyDescent="0.3">
      <c r="A191" s="119">
        <v>45990</v>
      </c>
      <c r="B191" s="120" t="s">
        <v>48</v>
      </c>
      <c r="C191" s="121" t="s">
        <v>750</v>
      </c>
      <c r="D191" s="120" t="s">
        <v>735</v>
      </c>
      <c r="E191" s="122">
        <v>1.958333333333333</v>
      </c>
      <c r="F191" s="120" t="s">
        <v>50</v>
      </c>
      <c r="G191" s="123">
        <v>9</v>
      </c>
      <c r="H191" s="120" t="s">
        <v>822</v>
      </c>
    </row>
    <row r="192" spans="1:8" ht="18" x14ac:dyDescent="0.3">
      <c r="A192" s="104">
        <v>45990</v>
      </c>
      <c r="B192" s="105" t="s">
        <v>48</v>
      </c>
      <c r="C192" s="106" t="s">
        <v>750</v>
      </c>
      <c r="D192" s="105" t="s">
        <v>735</v>
      </c>
      <c r="E192" s="107">
        <v>1.958333333333333</v>
      </c>
      <c r="F192" s="105" t="s">
        <v>53</v>
      </c>
      <c r="G192" s="108">
        <v>9</v>
      </c>
      <c r="H192" s="105" t="s">
        <v>823</v>
      </c>
    </row>
    <row r="193" spans="1:8" ht="18" x14ac:dyDescent="0.3">
      <c r="A193" s="104">
        <v>45990</v>
      </c>
      <c r="B193" s="105" t="s">
        <v>48</v>
      </c>
      <c r="C193" s="106" t="s">
        <v>750</v>
      </c>
      <c r="D193" s="105" t="s">
        <v>735</v>
      </c>
      <c r="E193" s="107">
        <v>1.958333333333333</v>
      </c>
      <c r="F193" s="105" t="s">
        <v>56</v>
      </c>
      <c r="G193" s="108">
        <v>9</v>
      </c>
      <c r="H193" s="105" t="s">
        <v>824</v>
      </c>
    </row>
    <row r="194" spans="1:8" ht="18" x14ac:dyDescent="0.3">
      <c r="A194" s="119">
        <v>45990</v>
      </c>
      <c r="B194" s="120" t="s">
        <v>48</v>
      </c>
      <c r="C194" s="121" t="s">
        <v>747</v>
      </c>
      <c r="D194" s="120" t="s">
        <v>735</v>
      </c>
      <c r="E194" s="122">
        <v>1.819444444444444</v>
      </c>
      <c r="F194" s="120" t="s">
        <v>50</v>
      </c>
      <c r="G194" s="123">
        <v>4</v>
      </c>
      <c r="H194" s="120" t="s">
        <v>822</v>
      </c>
    </row>
    <row r="195" spans="1:8" ht="18" x14ac:dyDescent="0.3">
      <c r="A195" s="104">
        <v>45990</v>
      </c>
      <c r="B195" s="105" t="s">
        <v>48</v>
      </c>
      <c r="C195" s="106" t="s">
        <v>747</v>
      </c>
      <c r="D195" s="105" t="s">
        <v>735</v>
      </c>
      <c r="E195" s="107">
        <v>1.819444444444444</v>
      </c>
      <c r="F195" s="105" t="s">
        <v>53</v>
      </c>
      <c r="G195" s="108">
        <v>4</v>
      </c>
      <c r="H195" s="105" t="s">
        <v>823</v>
      </c>
    </row>
    <row r="196" spans="1:8" ht="18" x14ac:dyDescent="0.3">
      <c r="A196" s="104">
        <v>45990</v>
      </c>
      <c r="B196" s="105" t="s">
        <v>48</v>
      </c>
      <c r="C196" s="106" t="s">
        <v>747</v>
      </c>
      <c r="D196" s="105" t="s">
        <v>735</v>
      </c>
      <c r="E196" s="107">
        <v>1.819444444444444</v>
      </c>
      <c r="F196" s="105" t="s">
        <v>56</v>
      </c>
      <c r="G196" s="108">
        <v>4</v>
      </c>
      <c r="H196" s="105" t="s">
        <v>824</v>
      </c>
    </row>
    <row r="197" spans="1:8" ht="18" x14ac:dyDescent="0.3">
      <c r="A197" s="118">
        <v>45990</v>
      </c>
      <c r="B197" s="99" t="s">
        <v>25</v>
      </c>
      <c r="C197" s="100" t="s">
        <v>736</v>
      </c>
      <c r="D197" s="99" t="s">
        <v>735</v>
      </c>
      <c r="E197" s="101">
        <v>1.5763888888888891</v>
      </c>
      <c r="F197" s="99" t="s">
        <v>27</v>
      </c>
      <c r="G197" s="102">
        <v>7</v>
      </c>
      <c r="H197" s="99" t="s">
        <v>825</v>
      </c>
    </row>
    <row r="198" spans="1:8" ht="18" x14ac:dyDescent="0.3">
      <c r="A198" s="104">
        <v>45990</v>
      </c>
      <c r="B198" s="105" t="s">
        <v>25</v>
      </c>
      <c r="C198" s="106" t="s">
        <v>736</v>
      </c>
      <c r="D198" s="105" t="s">
        <v>735</v>
      </c>
      <c r="E198" s="107">
        <v>1.5763888888888891</v>
      </c>
      <c r="F198" s="105" t="s">
        <v>33</v>
      </c>
      <c r="G198" s="108">
        <v>7</v>
      </c>
      <c r="H198" s="105" t="s">
        <v>826</v>
      </c>
    </row>
    <row r="199" spans="1:8" ht="18" x14ac:dyDescent="0.3">
      <c r="A199" s="104">
        <v>45990</v>
      </c>
      <c r="B199" s="105" t="s">
        <v>25</v>
      </c>
      <c r="C199" s="106" t="s">
        <v>736</v>
      </c>
      <c r="D199" s="105" t="s">
        <v>735</v>
      </c>
      <c r="E199" s="107">
        <v>1.5763888888888891</v>
      </c>
      <c r="F199" s="105" t="s">
        <v>30</v>
      </c>
      <c r="G199" s="108">
        <v>7</v>
      </c>
      <c r="H199" s="105" t="s">
        <v>791</v>
      </c>
    </row>
    <row r="200" spans="1:8" ht="18" x14ac:dyDescent="0.3">
      <c r="A200" s="119">
        <v>45990</v>
      </c>
      <c r="B200" s="120" t="s">
        <v>25</v>
      </c>
      <c r="C200" s="121" t="s">
        <v>738</v>
      </c>
      <c r="D200" s="120" t="s">
        <v>735</v>
      </c>
      <c r="E200" s="122">
        <v>1.6284722222222221</v>
      </c>
      <c r="F200" s="120" t="s">
        <v>27</v>
      </c>
      <c r="G200" s="123">
        <v>9</v>
      </c>
      <c r="H200" s="120" t="s">
        <v>827</v>
      </c>
    </row>
    <row r="201" spans="1:8" ht="18" x14ac:dyDescent="0.3">
      <c r="A201" s="104">
        <v>45990</v>
      </c>
      <c r="B201" s="105" t="s">
        <v>25</v>
      </c>
      <c r="C201" s="106" t="s">
        <v>738</v>
      </c>
      <c r="D201" s="105" t="s">
        <v>735</v>
      </c>
      <c r="E201" s="107">
        <v>1.6284722222222221</v>
      </c>
      <c r="F201" s="105" t="s">
        <v>33</v>
      </c>
      <c r="G201" s="108">
        <v>9</v>
      </c>
      <c r="H201" s="105" t="s">
        <v>828</v>
      </c>
    </row>
    <row r="202" spans="1:8" ht="18" x14ac:dyDescent="0.3">
      <c r="A202" s="104">
        <v>45990</v>
      </c>
      <c r="B202" s="105" t="s">
        <v>25</v>
      </c>
      <c r="C202" s="106" t="s">
        <v>738</v>
      </c>
      <c r="D202" s="105" t="s">
        <v>735</v>
      </c>
      <c r="E202" s="107">
        <v>1.6284722222222221</v>
      </c>
      <c r="F202" s="105" t="s">
        <v>30</v>
      </c>
      <c r="G202" s="108">
        <v>9</v>
      </c>
      <c r="H202" s="105" t="s">
        <v>791</v>
      </c>
    </row>
    <row r="203" spans="1:8" ht="18" x14ac:dyDescent="0.3">
      <c r="A203" s="119">
        <v>45990</v>
      </c>
      <c r="B203" s="120" t="s">
        <v>25</v>
      </c>
      <c r="C203" s="121" t="s">
        <v>740</v>
      </c>
      <c r="D203" s="120" t="s">
        <v>735</v>
      </c>
      <c r="E203" s="122">
        <v>1.8888888888888891</v>
      </c>
      <c r="F203" s="120" t="s">
        <v>27</v>
      </c>
      <c r="G203" s="123">
        <v>6</v>
      </c>
      <c r="H203" s="120" t="s">
        <v>827</v>
      </c>
    </row>
    <row r="204" spans="1:8" ht="18" x14ac:dyDescent="0.3">
      <c r="A204" s="104">
        <v>45990</v>
      </c>
      <c r="B204" s="105" t="s">
        <v>25</v>
      </c>
      <c r="C204" s="106" t="s">
        <v>740</v>
      </c>
      <c r="D204" s="105" t="s">
        <v>735</v>
      </c>
      <c r="E204" s="107">
        <v>1.8888888888888891</v>
      </c>
      <c r="F204" s="105" t="s">
        <v>33</v>
      </c>
      <c r="G204" s="108">
        <v>6</v>
      </c>
      <c r="H204" s="105" t="s">
        <v>828</v>
      </c>
    </row>
    <row r="205" spans="1:8" ht="18" x14ac:dyDescent="0.3">
      <c r="A205" s="104">
        <v>45990</v>
      </c>
      <c r="B205" s="105" t="s">
        <v>25</v>
      </c>
      <c r="C205" s="106" t="s">
        <v>740</v>
      </c>
      <c r="D205" s="105" t="s">
        <v>735</v>
      </c>
      <c r="E205" s="107">
        <v>1.8888888888888891</v>
      </c>
      <c r="F205" s="105" t="s">
        <v>30</v>
      </c>
      <c r="G205" s="108">
        <v>6</v>
      </c>
      <c r="H205" s="105" t="s">
        <v>829</v>
      </c>
    </row>
    <row r="206" spans="1:8" ht="18" x14ac:dyDescent="0.3">
      <c r="A206" s="119">
        <v>45990</v>
      </c>
      <c r="B206" s="120" t="s">
        <v>25</v>
      </c>
      <c r="C206" s="121" t="s">
        <v>739</v>
      </c>
      <c r="D206" s="120" t="s">
        <v>735</v>
      </c>
      <c r="E206" s="122">
        <v>1.944444444444444</v>
      </c>
      <c r="F206" s="120" t="s">
        <v>27</v>
      </c>
      <c r="G206" s="123">
        <v>17</v>
      </c>
      <c r="H206" s="120" t="s">
        <v>831</v>
      </c>
    </row>
    <row r="207" spans="1:8" ht="18" x14ac:dyDescent="0.3">
      <c r="A207" s="104">
        <v>45990</v>
      </c>
      <c r="B207" s="105" t="s">
        <v>25</v>
      </c>
      <c r="C207" s="106" t="s">
        <v>739</v>
      </c>
      <c r="D207" s="105" t="s">
        <v>735</v>
      </c>
      <c r="E207" s="107">
        <v>1.944444444444444</v>
      </c>
      <c r="F207" s="105" t="s">
        <v>33</v>
      </c>
      <c r="G207" s="108">
        <v>17</v>
      </c>
      <c r="H207" s="105" t="s">
        <v>791</v>
      </c>
    </row>
    <row r="208" spans="1:8" ht="18" x14ac:dyDescent="0.3">
      <c r="A208" s="104">
        <v>45990</v>
      </c>
      <c r="B208" s="105" t="s">
        <v>25</v>
      </c>
      <c r="C208" s="106" t="s">
        <v>739</v>
      </c>
      <c r="D208" s="105" t="s">
        <v>735</v>
      </c>
      <c r="E208" s="107">
        <v>1.944444444444444</v>
      </c>
      <c r="F208" s="105" t="s">
        <v>30</v>
      </c>
      <c r="G208" s="108">
        <v>17</v>
      </c>
      <c r="H208" s="105" t="s">
        <v>829</v>
      </c>
    </row>
    <row r="209" spans="1:8" ht="18" x14ac:dyDescent="0.3">
      <c r="A209" s="109">
        <v>45990</v>
      </c>
      <c r="B209" s="110" t="s">
        <v>35</v>
      </c>
      <c r="C209" s="111" t="s">
        <v>779</v>
      </c>
      <c r="D209" s="110" t="s">
        <v>735</v>
      </c>
      <c r="E209" s="112">
        <v>1.413194444444444</v>
      </c>
      <c r="F209" s="110" t="s">
        <v>37</v>
      </c>
      <c r="G209" s="113">
        <v>9</v>
      </c>
      <c r="H209" s="110" t="s">
        <v>833</v>
      </c>
    </row>
    <row r="210" spans="1:8" ht="18" x14ac:dyDescent="0.3">
      <c r="A210" s="118">
        <v>45990</v>
      </c>
      <c r="B210" s="99" t="s">
        <v>58</v>
      </c>
      <c r="C210" s="100" t="s">
        <v>769</v>
      </c>
      <c r="D210" s="99" t="s">
        <v>735</v>
      </c>
      <c r="E210" s="101">
        <v>1.9826388888888891</v>
      </c>
      <c r="F210" s="99" t="s">
        <v>63</v>
      </c>
      <c r="G210" s="102">
        <v>1</v>
      </c>
      <c r="H210" s="99" t="s">
        <v>768</v>
      </c>
    </row>
    <row r="211" spans="1:8" ht="18" x14ac:dyDescent="0.3">
      <c r="A211" s="119">
        <v>45990</v>
      </c>
      <c r="B211" s="120" t="s">
        <v>58</v>
      </c>
      <c r="C211" s="121" t="s">
        <v>763</v>
      </c>
      <c r="D211" s="120" t="s">
        <v>735</v>
      </c>
      <c r="E211" s="122">
        <v>1.8888888888888891</v>
      </c>
      <c r="F211" s="120" t="s">
        <v>63</v>
      </c>
      <c r="G211" s="123">
        <v>4</v>
      </c>
      <c r="H211" s="120" t="s">
        <v>813</v>
      </c>
    </row>
    <row r="212" spans="1:8" ht="18" x14ac:dyDescent="0.3">
      <c r="A212" s="119">
        <v>45990</v>
      </c>
      <c r="B212" s="120" t="s">
        <v>58</v>
      </c>
      <c r="C212" s="121" t="s">
        <v>765</v>
      </c>
      <c r="D212" s="120" t="s">
        <v>735</v>
      </c>
      <c r="E212" s="122">
        <v>1.6284722222222221</v>
      </c>
      <c r="F212" s="120" t="s">
        <v>63</v>
      </c>
      <c r="G212" s="123">
        <v>4</v>
      </c>
      <c r="H212" s="120" t="s">
        <v>813</v>
      </c>
    </row>
    <row r="213" spans="1:8" ht="18" x14ac:dyDescent="0.3">
      <c r="A213" s="169">
        <v>45990</v>
      </c>
      <c r="B213" s="170" t="s">
        <v>75</v>
      </c>
      <c r="C213" s="171" t="s">
        <v>771</v>
      </c>
      <c r="D213" s="170" t="s">
        <v>735</v>
      </c>
      <c r="E213" s="172">
        <v>1.9861111111111109</v>
      </c>
      <c r="F213" s="170" t="s">
        <v>60</v>
      </c>
      <c r="G213" s="173">
        <v>9</v>
      </c>
      <c r="H213" s="170" t="s">
        <v>803</v>
      </c>
    </row>
    <row r="214" spans="1:8" ht="18" x14ac:dyDescent="0.3">
      <c r="A214" s="98">
        <v>45991</v>
      </c>
      <c r="B214" s="99" t="s">
        <v>25</v>
      </c>
      <c r="C214" s="100" t="s">
        <v>736</v>
      </c>
      <c r="D214" s="99" t="s">
        <v>735</v>
      </c>
      <c r="E214" s="101">
        <v>1.5763888888888891</v>
      </c>
      <c r="F214" s="99" t="s">
        <v>27</v>
      </c>
      <c r="G214" s="102">
        <v>5</v>
      </c>
      <c r="H214" s="103" t="s">
        <v>29</v>
      </c>
    </row>
    <row r="215" spans="1:8" ht="18" x14ac:dyDescent="0.3">
      <c r="A215" s="104">
        <v>45991</v>
      </c>
      <c r="B215" s="105" t="s">
        <v>25</v>
      </c>
      <c r="C215" s="106" t="s">
        <v>736</v>
      </c>
      <c r="D215" s="105" t="s">
        <v>735</v>
      </c>
      <c r="E215" s="107">
        <v>1.5763888888888891</v>
      </c>
      <c r="F215" s="105" t="s">
        <v>33</v>
      </c>
      <c r="G215" s="108">
        <v>5</v>
      </c>
      <c r="H215" s="105" t="s">
        <v>34</v>
      </c>
    </row>
    <row r="216" spans="1:8" ht="18" x14ac:dyDescent="0.3">
      <c r="A216" s="104">
        <v>45991</v>
      </c>
      <c r="B216" s="105" t="s">
        <v>25</v>
      </c>
      <c r="C216" s="106" t="s">
        <v>736</v>
      </c>
      <c r="D216" s="105" t="s">
        <v>735</v>
      </c>
      <c r="E216" s="107">
        <v>1.5763888888888891</v>
      </c>
      <c r="F216" s="105" t="s">
        <v>30</v>
      </c>
      <c r="G216" s="108">
        <v>5</v>
      </c>
      <c r="H216" s="105" t="s">
        <v>791</v>
      </c>
    </row>
    <row r="217" spans="1:8" ht="18" x14ac:dyDescent="0.3">
      <c r="A217" s="119">
        <v>45991</v>
      </c>
      <c r="B217" s="120" t="s">
        <v>25</v>
      </c>
      <c r="C217" s="121" t="s">
        <v>739</v>
      </c>
      <c r="D217" s="120" t="s">
        <v>735</v>
      </c>
      <c r="E217" s="122">
        <v>1.944444444444444</v>
      </c>
      <c r="F217" s="120" t="s">
        <v>27</v>
      </c>
      <c r="G217" s="123">
        <v>1</v>
      </c>
      <c r="H217" s="120" t="s">
        <v>29</v>
      </c>
    </row>
    <row r="218" spans="1:8" ht="18" x14ac:dyDescent="0.3">
      <c r="A218" s="104">
        <v>45991</v>
      </c>
      <c r="B218" s="105" t="s">
        <v>25</v>
      </c>
      <c r="C218" s="106" t="s">
        <v>739</v>
      </c>
      <c r="D218" s="105" t="s">
        <v>735</v>
      </c>
      <c r="E218" s="107">
        <v>1.944444444444444</v>
      </c>
      <c r="F218" s="105" t="s">
        <v>33</v>
      </c>
      <c r="G218" s="108">
        <v>1</v>
      </c>
      <c r="H218" s="105" t="s">
        <v>34</v>
      </c>
    </row>
    <row r="219" spans="1:8" ht="18" x14ac:dyDescent="0.3">
      <c r="A219" s="104">
        <v>45991</v>
      </c>
      <c r="B219" s="105" t="s">
        <v>25</v>
      </c>
      <c r="C219" s="106" t="s">
        <v>739</v>
      </c>
      <c r="D219" s="105" t="s">
        <v>735</v>
      </c>
      <c r="E219" s="107">
        <v>1.944444444444444</v>
      </c>
      <c r="F219" s="105" t="s">
        <v>30</v>
      </c>
      <c r="G219" s="108">
        <v>1</v>
      </c>
      <c r="H219" s="105" t="s">
        <v>791</v>
      </c>
    </row>
    <row r="220" spans="1:8" ht="18" x14ac:dyDescent="0.3">
      <c r="A220" s="119">
        <v>45991</v>
      </c>
      <c r="B220" s="120" t="s">
        <v>25</v>
      </c>
      <c r="C220" s="121" t="s">
        <v>738</v>
      </c>
      <c r="D220" s="120" t="s">
        <v>735</v>
      </c>
      <c r="E220" s="122">
        <v>1.6284722222222221</v>
      </c>
      <c r="F220" s="120" t="s">
        <v>27</v>
      </c>
      <c r="G220" s="123">
        <v>7</v>
      </c>
      <c r="H220" s="120" t="s">
        <v>751</v>
      </c>
    </row>
    <row r="221" spans="1:8" ht="18" x14ac:dyDescent="0.3">
      <c r="A221" s="104">
        <v>45991</v>
      </c>
      <c r="B221" s="105" t="s">
        <v>25</v>
      </c>
      <c r="C221" s="106" t="s">
        <v>738</v>
      </c>
      <c r="D221" s="105" t="s">
        <v>735</v>
      </c>
      <c r="E221" s="107">
        <v>1.6284722222222221</v>
      </c>
      <c r="F221" s="105" t="s">
        <v>33</v>
      </c>
      <c r="G221" s="108">
        <v>7</v>
      </c>
      <c r="H221" s="105" t="s">
        <v>804</v>
      </c>
    </row>
    <row r="222" spans="1:8" ht="18" x14ac:dyDescent="0.3">
      <c r="A222" s="104">
        <v>45991</v>
      </c>
      <c r="B222" s="105" t="s">
        <v>25</v>
      </c>
      <c r="C222" s="106" t="s">
        <v>738</v>
      </c>
      <c r="D222" s="105" t="s">
        <v>735</v>
      </c>
      <c r="E222" s="107">
        <v>1.6284722222222221</v>
      </c>
      <c r="F222" s="105" t="s">
        <v>30</v>
      </c>
      <c r="G222" s="108">
        <v>7</v>
      </c>
      <c r="H222" s="105" t="s">
        <v>791</v>
      </c>
    </row>
    <row r="223" spans="1:8" ht="18" x14ac:dyDescent="0.3">
      <c r="A223" s="119">
        <v>45991</v>
      </c>
      <c r="B223" s="120" t="s">
        <v>25</v>
      </c>
      <c r="C223" s="121" t="s">
        <v>740</v>
      </c>
      <c r="D223" s="120" t="s">
        <v>735</v>
      </c>
      <c r="E223" s="122">
        <v>1.8888888888888891</v>
      </c>
      <c r="F223" s="120" t="s">
        <v>27</v>
      </c>
      <c r="G223" s="123">
        <v>16</v>
      </c>
      <c r="H223" s="120" t="s">
        <v>751</v>
      </c>
    </row>
    <row r="224" spans="1:8" ht="18" x14ac:dyDescent="0.3">
      <c r="A224" s="104">
        <v>45991</v>
      </c>
      <c r="B224" s="105" t="s">
        <v>25</v>
      </c>
      <c r="C224" s="106" t="s">
        <v>740</v>
      </c>
      <c r="D224" s="105" t="s">
        <v>735</v>
      </c>
      <c r="E224" s="107">
        <v>1.8888888888888891</v>
      </c>
      <c r="F224" s="105" t="s">
        <v>33</v>
      </c>
      <c r="G224" s="108">
        <v>16</v>
      </c>
      <c r="H224" s="105" t="s">
        <v>804</v>
      </c>
    </row>
    <row r="225" spans="1:8" ht="18" x14ac:dyDescent="0.3">
      <c r="A225" s="104">
        <v>45991</v>
      </c>
      <c r="B225" s="105" t="s">
        <v>25</v>
      </c>
      <c r="C225" s="106" t="s">
        <v>740</v>
      </c>
      <c r="D225" s="105" t="s">
        <v>735</v>
      </c>
      <c r="E225" s="107">
        <v>1.8888888888888891</v>
      </c>
      <c r="F225" s="105" t="s">
        <v>30</v>
      </c>
      <c r="G225" s="108">
        <v>16</v>
      </c>
      <c r="H225" s="105" t="s">
        <v>791</v>
      </c>
    </row>
    <row r="226" spans="1:8" ht="18" x14ac:dyDescent="0.3">
      <c r="A226" s="118">
        <v>45991</v>
      </c>
      <c r="B226" s="99" t="s">
        <v>300</v>
      </c>
      <c r="C226" s="100" t="s">
        <v>838</v>
      </c>
      <c r="D226" s="99" t="s">
        <v>735</v>
      </c>
      <c r="E226" s="101">
        <v>1.399305555555556</v>
      </c>
      <c r="F226" s="99" t="s">
        <v>37</v>
      </c>
      <c r="G226" s="102">
        <v>9</v>
      </c>
      <c r="H226" s="99" t="s">
        <v>801</v>
      </c>
    </row>
    <row r="227" spans="1:8" ht="18" x14ac:dyDescent="0.3">
      <c r="A227" s="109">
        <v>45991</v>
      </c>
      <c r="B227" s="110" t="s">
        <v>35</v>
      </c>
      <c r="C227" s="111" t="s">
        <v>779</v>
      </c>
      <c r="D227" s="110" t="s">
        <v>735</v>
      </c>
      <c r="E227" s="112">
        <v>1.427083333333333</v>
      </c>
      <c r="F227" s="110" t="s">
        <v>37</v>
      </c>
      <c r="G227" s="113">
        <v>5</v>
      </c>
      <c r="H227" s="110" t="s">
        <v>839</v>
      </c>
    </row>
    <row r="228" spans="1:8" ht="18" x14ac:dyDescent="0.3">
      <c r="A228" s="118">
        <v>45991</v>
      </c>
      <c r="B228" s="99" t="s">
        <v>48</v>
      </c>
      <c r="C228" s="100" t="s">
        <v>744</v>
      </c>
      <c r="D228" s="99" t="s">
        <v>735</v>
      </c>
      <c r="E228" s="101">
        <v>1.631944444444444</v>
      </c>
      <c r="F228" s="99" t="s">
        <v>50</v>
      </c>
      <c r="G228" s="102">
        <v>1</v>
      </c>
      <c r="H228" s="99" t="s">
        <v>117</v>
      </c>
    </row>
    <row r="229" spans="1:8" ht="18" x14ac:dyDescent="0.3">
      <c r="A229" s="104">
        <v>45991</v>
      </c>
      <c r="B229" s="105" t="s">
        <v>48</v>
      </c>
      <c r="C229" s="106" t="s">
        <v>744</v>
      </c>
      <c r="D229" s="105" t="s">
        <v>735</v>
      </c>
      <c r="E229" s="107">
        <v>1.631944444444444</v>
      </c>
      <c r="F229" s="105" t="s">
        <v>53</v>
      </c>
      <c r="G229" s="108">
        <v>1</v>
      </c>
      <c r="H229" s="105" t="s">
        <v>804</v>
      </c>
    </row>
    <row r="230" spans="1:8" ht="18" x14ac:dyDescent="0.3">
      <c r="A230" s="104">
        <v>45991</v>
      </c>
      <c r="B230" s="105" t="s">
        <v>48</v>
      </c>
      <c r="C230" s="106" t="s">
        <v>744</v>
      </c>
      <c r="D230" s="105" t="s">
        <v>735</v>
      </c>
      <c r="E230" s="107">
        <v>1.631944444444444</v>
      </c>
      <c r="F230" s="105" t="s">
        <v>56</v>
      </c>
      <c r="G230" s="108">
        <v>1</v>
      </c>
      <c r="H230" s="105" t="s">
        <v>805</v>
      </c>
    </row>
    <row r="231" spans="1:8" ht="18" x14ac:dyDescent="0.3">
      <c r="A231" s="119">
        <v>45991</v>
      </c>
      <c r="B231" s="120" t="s">
        <v>48</v>
      </c>
      <c r="C231" s="121" t="s">
        <v>745</v>
      </c>
      <c r="D231" s="120" t="s">
        <v>735</v>
      </c>
      <c r="E231" s="122">
        <v>1.5590277777777779</v>
      </c>
      <c r="F231" s="120" t="s">
        <v>50</v>
      </c>
      <c r="G231" s="123">
        <v>3</v>
      </c>
      <c r="H231" s="120" t="s">
        <v>117</v>
      </c>
    </row>
    <row r="232" spans="1:8" ht="18" x14ac:dyDescent="0.3">
      <c r="A232" s="104">
        <v>45991</v>
      </c>
      <c r="B232" s="105" t="s">
        <v>48</v>
      </c>
      <c r="C232" s="106" t="s">
        <v>745</v>
      </c>
      <c r="D232" s="105" t="s">
        <v>735</v>
      </c>
      <c r="E232" s="107">
        <v>1.5590277777777779</v>
      </c>
      <c r="F232" s="105" t="s">
        <v>53</v>
      </c>
      <c r="G232" s="108">
        <v>3</v>
      </c>
      <c r="H232" s="105" t="s">
        <v>804</v>
      </c>
    </row>
    <row r="233" spans="1:8" ht="18" x14ac:dyDescent="0.3">
      <c r="A233" s="104">
        <v>45991</v>
      </c>
      <c r="B233" s="105" t="s">
        <v>48</v>
      </c>
      <c r="C233" s="106" t="s">
        <v>745</v>
      </c>
      <c r="D233" s="105" t="s">
        <v>735</v>
      </c>
      <c r="E233" s="107">
        <v>1.5590277777777779</v>
      </c>
      <c r="F233" s="105" t="s">
        <v>56</v>
      </c>
      <c r="G233" s="108">
        <v>3</v>
      </c>
      <c r="H233" s="105" t="s">
        <v>805</v>
      </c>
    </row>
    <row r="234" spans="1:8" ht="18" x14ac:dyDescent="0.3">
      <c r="A234" s="119">
        <v>45991</v>
      </c>
      <c r="B234" s="120" t="s">
        <v>48</v>
      </c>
      <c r="C234" s="121" t="s">
        <v>746</v>
      </c>
      <c r="D234" s="120" t="s">
        <v>735</v>
      </c>
      <c r="E234" s="122">
        <v>1.506944444444444</v>
      </c>
      <c r="F234" s="120" t="s">
        <v>50</v>
      </c>
      <c r="G234" s="123">
        <v>9</v>
      </c>
      <c r="H234" s="120" t="s">
        <v>117</v>
      </c>
    </row>
    <row r="235" spans="1:8" ht="18" x14ac:dyDescent="0.3">
      <c r="A235" s="104">
        <v>45991</v>
      </c>
      <c r="B235" s="105" t="s">
        <v>48</v>
      </c>
      <c r="C235" s="106" t="s">
        <v>746</v>
      </c>
      <c r="D235" s="105" t="s">
        <v>735</v>
      </c>
      <c r="E235" s="107">
        <v>1.506944444444444</v>
      </c>
      <c r="F235" s="105" t="s">
        <v>53</v>
      </c>
      <c r="G235" s="108">
        <v>9</v>
      </c>
      <c r="H235" s="105" t="s">
        <v>804</v>
      </c>
    </row>
    <row r="236" spans="1:8" ht="18" x14ac:dyDescent="0.3">
      <c r="A236" s="104">
        <v>45991</v>
      </c>
      <c r="B236" s="105" t="s">
        <v>48</v>
      </c>
      <c r="C236" s="106" t="s">
        <v>746</v>
      </c>
      <c r="D236" s="105" t="s">
        <v>735</v>
      </c>
      <c r="E236" s="107">
        <v>1.506944444444444</v>
      </c>
      <c r="F236" s="105" t="s">
        <v>56</v>
      </c>
      <c r="G236" s="108">
        <v>9</v>
      </c>
      <c r="H236" s="105" t="s">
        <v>805</v>
      </c>
    </row>
    <row r="237" spans="1:8" ht="18" x14ac:dyDescent="0.3">
      <c r="A237" s="119">
        <v>45991</v>
      </c>
      <c r="B237" s="120" t="s">
        <v>48</v>
      </c>
      <c r="C237" s="121" t="s">
        <v>749</v>
      </c>
      <c r="D237" s="120" t="s">
        <v>735</v>
      </c>
      <c r="E237" s="122">
        <v>1.697916666666667</v>
      </c>
      <c r="F237" s="120" t="s">
        <v>50</v>
      </c>
      <c r="G237" s="123">
        <v>2</v>
      </c>
      <c r="H237" s="120" t="s">
        <v>117</v>
      </c>
    </row>
    <row r="238" spans="1:8" ht="18" x14ac:dyDescent="0.3">
      <c r="A238" s="104">
        <v>45991</v>
      </c>
      <c r="B238" s="105" t="s">
        <v>48</v>
      </c>
      <c r="C238" s="106" t="s">
        <v>749</v>
      </c>
      <c r="D238" s="105" t="s">
        <v>735</v>
      </c>
      <c r="E238" s="107">
        <v>1.697916666666667</v>
      </c>
      <c r="F238" s="105" t="s">
        <v>53</v>
      </c>
      <c r="G238" s="108">
        <v>2</v>
      </c>
      <c r="H238" s="105" t="s">
        <v>804</v>
      </c>
    </row>
    <row r="239" spans="1:8" ht="18" x14ac:dyDescent="0.3">
      <c r="A239" s="104">
        <v>45991</v>
      </c>
      <c r="B239" s="105" t="s">
        <v>48</v>
      </c>
      <c r="C239" s="106" t="s">
        <v>749</v>
      </c>
      <c r="D239" s="105" t="s">
        <v>735</v>
      </c>
      <c r="E239" s="107">
        <v>1.697916666666667</v>
      </c>
      <c r="F239" s="105" t="s">
        <v>56</v>
      </c>
      <c r="G239" s="108">
        <v>2</v>
      </c>
      <c r="H239" s="105" t="s">
        <v>805</v>
      </c>
    </row>
    <row r="240" spans="1:8" ht="18" x14ac:dyDescent="0.3">
      <c r="A240" s="119">
        <v>45991</v>
      </c>
      <c r="B240" s="120" t="s">
        <v>48</v>
      </c>
      <c r="C240" s="121" t="s">
        <v>742</v>
      </c>
      <c r="D240" s="120" t="s">
        <v>735</v>
      </c>
      <c r="E240" s="122">
        <v>1.4375</v>
      </c>
      <c r="F240" s="120" t="s">
        <v>50</v>
      </c>
      <c r="G240" s="123">
        <v>3</v>
      </c>
      <c r="H240" s="120" t="s">
        <v>275</v>
      </c>
    </row>
    <row r="241" spans="1:8" ht="18" x14ac:dyDescent="0.3">
      <c r="A241" s="104">
        <v>45991</v>
      </c>
      <c r="B241" s="105" t="s">
        <v>48</v>
      </c>
      <c r="C241" s="106" t="s">
        <v>742</v>
      </c>
      <c r="D241" s="105" t="s">
        <v>735</v>
      </c>
      <c r="E241" s="107">
        <v>1.4375</v>
      </c>
      <c r="F241" s="105" t="s">
        <v>53</v>
      </c>
      <c r="G241" s="108">
        <v>3</v>
      </c>
      <c r="H241" s="105" t="s">
        <v>112</v>
      </c>
    </row>
    <row r="242" spans="1:8" ht="18" x14ac:dyDescent="0.3">
      <c r="A242" s="104">
        <v>45991</v>
      </c>
      <c r="B242" s="105" t="s">
        <v>48</v>
      </c>
      <c r="C242" s="106" t="s">
        <v>742</v>
      </c>
      <c r="D242" s="105" t="s">
        <v>735</v>
      </c>
      <c r="E242" s="107">
        <v>1.4375</v>
      </c>
      <c r="F242" s="105" t="s">
        <v>56</v>
      </c>
      <c r="G242" s="108">
        <v>3</v>
      </c>
      <c r="H242" s="105" t="s">
        <v>394</v>
      </c>
    </row>
    <row r="243" spans="1:8" ht="18" x14ac:dyDescent="0.3">
      <c r="A243" s="119">
        <v>45991</v>
      </c>
      <c r="B243" s="120" t="s">
        <v>48</v>
      </c>
      <c r="C243" s="121" t="s">
        <v>750</v>
      </c>
      <c r="D243" s="120" t="s">
        <v>735</v>
      </c>
      <c r="E243" s="122">
        <v>1.958333333333333</v>
      </c>
      <c r="F243" s="120" t="s">
        <v>50</v>
      </c>
      <c r="G243" s="123">
        <v>6</v>
      </c>
      <c r="H243" s="120" t="s">
        <v>275</v>
      </c>
    </row>
    <row r="244" spans="1:8" ht="18" x14ac:dyDescent="0.3">
      <c r="A244" s="104">
        <v>45991</v>
      </c>
      <c r="B244" s="105" t="s">
        <v>48</v>
      </c>
      <c r="C244" s="106" t="s">
        <v>750</v>
      </c>
      <c r="D244" s="105" t="s">
        <v>735</v>
      </c>
      <c r="E244" s="107">
        <v>1.958333333333333</v>
      </c>
      <c r="F244" s="105" t="s">
        <v>53</v>
      </c>
      <c r="G244" s="108">
        <v>6</v>
      </c>
      <c r="H244" s="105" t="s">
        <v>112</v>
      </c>
    </row>
    <row r="245" spans="1:8" ht="18" x14ac:dyDescent="0.3">
      <c r="A245" s="104">
        <v>45991</v>
      </c>
      <c r="B245" s="105" t="s">
        <v>48</v>
      </c>
      <c r="C245" s="106" t="s">
        <v>750</v>
      </c>
      <c r="D245" s="105" t="s">
        <v>735</v>
      </c>
      <c r="E245" s="107">
        <v>1.958333333333333</v>
      </c>
      <c r="F245" s="105" t="s">
        <v>56</v>
      </c>
      <c r="G245" s="108">
        <v>6</v>
      </c>
      <c r="H245" s="105" t="s">
        <v>394</v>
      </c>
    </row>
    <row r="246" spans="1:8" ht="18" x14ac:dyDescent="0.3">
      <c r="A246" s="119">
        <v>45991</v>
      </c>
      <c r="B246" s="120" t="s">
        <v>48</v>
      </c>
      <c r="C246" s="121" t="s">
        <v>747</v>
      </c>
      <c r="D246" s="120" t="s">
        <v>735</v>
      </c>
      <c r="E246" s="122">
        <v>1.819444444444444</v>
      </c>
      <c r="F246" s="120" t="s">
        <v>50</v>
      </c>
      <c r="G246" s="123">
        <v>4</v>
      </c>
      <c r="H246" s="120" t="s">
        <v>112</v>
      </c>
    </row>
    <row r="247" spans="1:8" ht="18" x14ac:dyDescent="0.3">
      <c r="A247" s="104">
        <v>45991</v>
      </c>
      <c r="B247" s="105" t="s">
        <v>48</v>
      </c>
      <c r="C247" s="106" t="s">
        <v>747</v>
      </c>
      <c r="D247" s="105" t="s">
        <v>735</v>
      </c>
      <c r="E247" s="107">
        <v>1.819444444444444</v>
      </c>
      <c r="F247" s="105" t="s">
        <v>53</v>
      </c>
      <c r="G247" s="108">
        <v>4</v>
      </c>
      <c r="H247" s="105" t="s">
        <v>395</v>
      </c>
    </row>
    <row r="248" spans="1:8" ht="18" x14ac:dyDescent="0.3">
      <c r="A248" s="104">
        <v>45991</v>
      </c>
      <c r="B248" s="105" t="s">
        <v>48</v>
      </c>
      <c r="C248" s="106" t="s">
        <v>747</v>
      </c>
      <c r="D248" s="105" t="s">
        <v>735</v>
      </c>
      <c r="E248" s="107">
        <v>1.819444444444444</v>
      </c>
      <c r="F248" s="105" t="s">
        <v>56</v>
      </c>
      <c r="G248" s="108">
        <v>4</v>
      </c>
      <c r="H248" s="105" t="s">
        <v>806</v>
      </c>
    </row>
    <row r="249" spans="1:8" ht="18" x14ac:dyDescent="0.3">
      <c r="A249" s="118">
        <v>45991</v>
      </c>
      <c r="B249" s="99" t="s">
        <v>295</v>
      </c>
      <c r="C249" s="100" t="s">
        <v>793</v>
      </c>
      <c r="D249" s="99" t="s">
        <v>735</v>
      </c>
      <c r="E249" s="101">
        <v>1.1736111111111109</v>
      </c>
      <c r="F249" s="99" t="s">
        <v>37</v>
      </c>
      <c r="G249" s="102">
        <v>9</v>
      </c>
      <c r="H249" s="99" t="s">
        <v>815</v>
      </c>
    </row>
    <row r="250" spans="1:8" ht="18" x14ac:dyDescent="0.3">
      <c r="A250" s="119">
        <v>45991</v>
      </c>
      <c r="B250" s="120" t="s">
        <v>295</v>
      </c>
      <c r="C250" s="121" t="s">
        <v>841</v>
      </c>
      <c r="D250" s="120" t="s">
        <v>735</v>
      </c>
      <c r="E250" s="122">
        <v>1.131944444444444</v>
      </c>
      <c r="F250" s="120" t="s">
        <v>37</v>
      </c>
      <c r="G250" s="123">
        <v>9</v>
      </c>
      <c r="H250" s="120" t="s">
        <v>815</v>
      </c>
    </row>
    <row r="251" spans="1:8" ht="18" x14ac:dyDescent="0.3">
      <c r="A251" s="118">
        <v>45991</v>
      </c>
      <c r="B251" s="99" t="s">
        <v>58</v>
      </c>
      <c r="C251" s="100" t="s">
        <v>760</v>
      </c>
      <c r="D251" s="99" t="s">
        <v>735</v>
      </c>
      <c r="E251" s="101">
        <v>1.444444444444444</v>
      </c>
      <c r="F251" s="99" t="s">
        <v>63</v>
      </c>
      <c r="G251" s="102">
        <v>9</v>
      </c>
      <c r="H251" s="99" t="s">
        <v>842</v>
      </c>
    </row>
    <row r="252" spans="1:8" ht="18" x14ac:dyDescent="0.3">
      <c r="A252" s="119">
        <v>45991</v>
      </c>
      <c r="B252" s="120" t="s">
        <v>58</v>
      </c>
      <c r="C252" s="121" t="s">
        <v>767</v>
      </c>
      <c r="D252" s="120" t="s">
        <v>735</v>
      </c>
      <c r="E252" s="122">
        <v>1.8298611111111109</v>
      </c>
      <c r="F252" s="120" t="s">
        <v>63</v>
      </c>
      <c r="G252" s="123">
        <v>3</v>
      </c>
      <c r="H252" s="120" t="s">
        <v>842</v>
      </c>
    </row>
    <row r="253" spans="1:8" ht="18" x14ac:dyDescent="0.3">
      <c r="A253" s="119">
        <v>45991</v>
      </c>
      <c r="B253" s="120" t="s">
        <v>58</v>
      </c>
      <c r="C253" s="121" t="s">
        <v>769</v>
      </c>
      <c r="D253" s="120" t="s">
        <v>735</v>
      </c>
      <c r="E253" s="122">
        <v>1.9826388888888891</v>
      </c>
      <c r="F253" s="120" t="s">
        <v>63</v>
      </c>
      <c r="G253" s="123">
        <v>2</v>
      </c>
      <c r="H253" s="120" t="s">
        <v>842</v>
      </c>
    </row>
    <row r="254" spans="1:8" ht="18" x14ac:dyDescent="0.3">
      <c r="A254" s="119">
        <v>45991</v>
      </c>
      <c r="B254" s="120" t="s">
        <v>58</v>
      </c>
      <c r="C254" s="121" t="s">
        <v>770</v>
      </c>
      <c r="D254" s="120" t="s">
        <v>735</v>
      </c>
      <c r="E254" s="122">
        <v>1.697916666666667</v>
      </c>
      <c r="F254" s="120" t="s">
        <v>63</v>
      </c>
      <c r="G254" s="123">
        <v>9</v>
      </c>
      <c r="H254" s="120" t="s">
        <v>842</v>
      </c>
    </row>
    <row r="255" spans="1:8" ht="18" x14ac:dyDescent="0.3">
      <c r="A255" s="119">
        <v>45991</v>
      </c>
      <c r="B255" s="120" t="s">
        <v>58</v>
      </c>
      <c r="C255" s="121" t="s">
        <v>762</v>
      </c>
      <c r="D255" s="120" t="s">
        <v>735</v>
      </c>
      <c r="E255" s="122">
        <v>1.6284722222222221</v>
      </c>
      <c r="F255" s="120" t="s">
        <v>63</v>
      </c>
      <c r="G255" s="123">
        <v>5</v>
      </c>
      <c r="H255" s="120" t="s">
        <v>768</v>
      </c>
    </row>
    <row r="256" spans="1:8" ht="18" x14ac:dyDescent="0.3">
      <c r="A256" s="119">
        <v>45991</v>
      </c>
      <c r="B256" s="120" t="s">
        <v>58</v>
      </c>
      <c r="C256" s="121" t="s">
        <v>763</v>
      </c>
      <c r="D256" s="120" t="s">
        <v>735</v>
      </c>
      <c r="E256" s="122">
        <v>1.8888888888888891</v>
      </c>
      <c r="F256" s="120" t="s">
        <v>63</v>
      </c>
      <c r="G256" s="123">
        <v>4</v>
      </c>
      <c r="H256" s="120" t="s">
        <v>800</v>
      </c>
    </row>
    <row r="257" spans="1:8" ht="18" x14ac:dyDescent="0.3">
      <c r="A257" s="119">
        <v>45991</v>
      </c>
      <c r="B257" s="120" t="s">
        <v>58</v>
      </c>
      <c r="C257" s="121" t="s">
        <v>765</v>
      </c>
      <c r="D257" s="120" t="s">
        <v>735</v>
      </c>
      <c r="E257" s="122">
        <v>1.6284722222222221</v>
      </c>
      <c r="F257" s="120" t="s">
        <v>63</v>
      </c>
      <c r="G257" s="123">
        <v>4</v>
      </c>
      <c r="H257" s="120" t="s">
        <v>800</v>
      </c>
    </row>
    <row r="258" spans="1:8" ht="18" x14ac:dyDescent="0.3">
      <c r="A258" s="119">
        <v>45991</v>
      </c>
      <c r="B258" s="120" t="s">
        <v>58</v>
      </c>
      <c r="C258" s="121" t="s">
        <v>766</v>
      </c>
      <c r="D258" s="120" t="s">
        <v>735</v>
      </c>
      <c r="E258" s="122">
        <v>1.944444444444444</v>
      </c>
      <c r="F258" s="120" t="s">
        <v>63</v>
      </c>
      <c r="G258" s="123">
        <v>4</v>
      </c>
      <c r="H258" s="120" t="s">
        <v>800</v>
      </c>
    </row>
    <row r="259" spans="1:8" ht="18" x14ac:dyDescent="0.3">
      <c r="A259" s="118">
        <v>45991</v>
      </c>
      <c r="B259" s="99" t="s">
        <v>75</v>
      </c>
      <c r="C259" s="100" t="s">
        <v>771</v>
      </c>
      <c r="D259" s="99" t="s">
        <v>735</v>
      </c>
      <c r="E259" s="101">
        <v>1.9826388888888891</v>
      </c>
      <c r="F259" s="99" t="s">
        <v>60</v>
      </c>
      <c r="G259" s="102">
        <v>9</v>
      </c>
      <c r="H259" s="99" t="s">
        <v>843</v>
      </c>
    </row>
    <row r="260" spans="1:8" ht="18" x14ac:dyDescent="0.3">
      <c r="A260" s="119">
        <v>45991</v>
      </c>
      <c r="B260" s="120" t="s">
        <v>75</v>
      </c>
      <c r="C260" s="121" t="s">
        <v>774</v>
      </c>
      <c r="D260" s="120" t="s">
        <v>735</v>
      </c>
      <c r="E260" s="122">
        <v>1.729166666666667</v>
      </c>
      <c r="F260" s="120" t="s">
        <v>60</v>
      </c>
      <c r="G260" s="123">
        <v>9</v>
      </c>
      <c r="H260" s="120" t="s">
        <v>57</v>
      </c>
    </row>
    <row r="261" spans="1:8" ht="18" x14ac:dyDescent="0.3">
      <c r="A261" s="124">
        <v>45991</v>
      </c>
      <c r="B261" s="125" t="s">
        <v>75</v>
      </c>
      <c r="C261" s="126" t="s">
        <v>773</v>
      </c>
      <c r="D261" s="125" t="s">
        <v>735</v>
      </c>
      <c r="E261" s="127">
        <v>1.333333333333333</v>
      </c>
      <c r="F261" s="125" t="s">
        <v>60</v>
      </c>
      <c r="G261" s="128">
        <v>9</v>
      </c>
      <c r="H261" s="125" t="s">
        <v>772</v>
      </c>
    </row>
  </sheetData>
  <dataValidations count="8">
    <dataValidation type="custom" allowBlank="1" showInputMessage="1" promptTitle="LOAD FACTOR ANALYSIS" prompt="SM-469_x000d__x000a_LF 82.7%_x000d__x000a_SOLD 148_x000d__x000a_LST-SOLD 24NOV_x000d__x000a_WEEKLY 57_x000d__x000a_TO-DAY 6_x000d__x000a_Y-DAY 6_x000d__x000a_LOWEST AVAIL L1_x000d__x000a_CAPACITY 179_x000d__x000a_CLASSES V6 &amp; L8 &amp; G9 &amp; +7 more" sqref="A13 B13 C13 D13 E13 F13 G13 H13" xr:uid="{00000000-0002-0000-2100-000000000000}">
      <formula1>TRUE</formula1>
    </dataValidation>
    <dataValidation type="custom" allowBlank="1" showInputMessage="1" promptTitle="LOAD FACTOR ANALYSIS" prompt="SM-469_x000d__x000a_LF 69.3%_x000d__x000a_SOLD 124_x000d__x000a_LST-SOLD 23NOV_x000d__x000a_WEEKLY 35_x000d__x000a_TO-DAY NIL_x000d__x000a_Y-DAY 2_x000d__x000a_LOWEST AVAIL G1_x000d__x000a_CAPACITY 179_x000d__x000a_CLASSES V2 &amp; L9 &amp; G35 &amp; +7 more" sqref="A39 B39 C39 D39 E39 F39 G39 H39" xr:uid="{00000000-0002-0000-2100-000001000000}">
      <formula1>TRUE</formula1>
    </dataValidation>
    <dataValidation type="custom" allowBlank="1" showInputMessage="1" promptTitle="LOAD FACTOR ANALYSIS" prompt="SM-461_x000d__x000a_LF 78.2%_x000d__x000a_SOLD 140_x000d__x000a_LST-SOLD 23NOV_x000d__x000a_WEEKLY 79_x000d__x000a_TO-DAY NIL_x000d__x000a_Y-DAY 4_x000d__x000a_LOWEST AVAIL L2_x000d__x000a_CAPACITY 179_x000d__x000a_CLASSES L6 &amp; G18 &amp; S18 &amp; +5 more" sqref="A40 B40 C40 D40 E40 F40 G40 H40" xr:uid="{00000000-0002-0000-2100-000002000000}">
      <formula1>TRUE</formula1>
    </dataValidation>
    <dataValidation type="custom" allowBlank="1" showInputMessage="1" promptTitle="LOAD FACTOR ANALYSIS" prompt="SM-461_x000d__x000a_LF 65.9%_x000d__x000a_SOLD 118_x000d__x000a_LST-SOLD 23NOV_x000d__x000a_WEEKLY 45_x000d__x000a_TO-DAY NIL_x000d__x000a_Y-DAY 7_x000d__x000a_LOWEST AVAIL V7_x000d__x000a_CAPACITY 179_x000d__x000a_CLASSES V8 &amp; L15 &amp; G30 &amp; +7 more" sqref="A92 B92 C92 D92 E92 F92 G92 H92" xr:uid="{00000000-0002-0000-2100-000003000000}">
      <formula1>TRUE</formula1>
    </dataValidation>
    <dataValidation type="custom" allowBlank="1" showInputMessage="1" promptTitle="LOAD FACTOR ANALYSIS" prompt="SM-461_x000d__x000a_LF 59.8%_x000d__x000a_SOLD 107_x000d__x000a_LST-SOLD 23NOV_x000d__x000a_WEEKLY 4_x000d__x000a_TO-DAY NIL_x000d__x000a_Y-DAY 2_x000d__x000a_LOWEST AVAIL Q9_x000d__x000a_CAPACITY 179_x000d__x000a_CLASSES Q4 &amp; K22 &amp; V7 &amp; +9 more" sqref="A163 B163 C163 D163 E163 F163 G163 H163" xr:uid="{00000000-0002-0000-2100-000004000000}">
      <formula1>TRUE</formula1>
    </dataValidation>
    <dataValidation type="custom" allowBlank="1" showInputMessage="1" promptTitle="LOAD FACTOR ANALYSIS" prompt="SM-469_x000d__x000a_LF 61.5%_x000d__x000a_SOLD 110_x000d__x000a_LST-SOLD 23NOV_x000d__x000a_WEEKLY 17_x000d__x000a_TO-DAY NIL_x000d__x000a_Y-DAY 7_x000d__x000a_LOWEST AVAIL Q2_x000d__x000a_CAPACITY 179_x000d__x000a_CLASSES H6 &amp; Q18 &amp; K9 &amp; +10 more" sqref="A164 B164 C164 D164 E164 F164 G164 H164" xr:uid="{00000000-0002-0000-2100-000005000000}">
      <formula1>TRUE</formula1>
    </dataValidation>
    <dataValidation type="custom" allowBlank="1" showInputMessage="1" promptTitle="LOAD FACTOR ANALYSIS" prompt="SM-461_x000d__x000a_LF 68.7%_x000d__x000a_SOLD 123_x000d__x000a_LST-SOLD 22NOV_x000d__x000a_WEEKLY 25_x000d__x000a_TO-DAY NIL_x000d__x000a_Y-DAY NIL_x000d__x000a_LOWEST AVAIL M9_x000d__x000a_CAPACITY 179_x000d__x000a_CLASSES M10 &amp; H21 &amp; K12 &amp; +10 more" sqref="A209 B209 C209 D209 E209 F209 G209 H209" xr:uid="{00000000-0002-0000-2100-000006000000}">
      <formula1>TRUE</formula1>
    </dataValidation>
    <dataValidation type="custom" allowBlank="1" showInputMessage="1" promptTitle="LOAD FACTOR ANALYSIS" prompt="SM-461_x000d__x000a_LF 67.6%_x000d__x000a_SOLD 121_x000d__x000a_LST-SOLD 23NOV_x000d__x000a_WEEKLY 30_x000d__x000a_TO-DAY NIL_x000d__x000a_Y-DAY 12_x000d__x000a_LOWEST AVAIL K5_x000d__x000a_CAPACITY 179_x000d__x000a_CLASSES K10 &amp; V22 &amp; L28 &amp; +8 more" sqref="A227 B227 C227 D227 E227 F227 G227 H227" xr:uid="{00000000-0002-0000-2100-000007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8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2.77734375" bestFit="1" customWidth="1"/>
    <col min="5" max="5" width="20.7773437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4.109375" bestFit="1" customWidth="1"/>
  </cols>
  <sheetData>
    <row r="1" spans="1:92" ht="28.8" customHeight="1" x14ac:dyDescent="0.3">
      <c r="A1" s="284" t="s">
        <v>0</v>
      </c>
      <c r="B1" s="265"/>
      <c r="C1" s="265"/>
      <c r="D1" s="284" t="s">
        <v>875</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45985.362157301737</v>
      </c>
      <c r="H2" s="272"/>
      <c r="I2" s="272"/>
      <c r="J2" s="272"/>
      <c r="K2" s="282">
        <v>45985.362157302152</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5" t="s">
        <v>35</v>
      </c>
      <c r="B6" s="75" t="s">
        <v>876</v>
      </c>
      <c r="C6" s="76">
        <v>0.43055555555555558</v>
      </c>
      <c r="D6" s="75" t="s">
        <v>37</v>
      </c>
      <c r="E6" s="75" t="s">
        <v>61</v>
      </c>
      <c r="F6" s="75" t="s">
        <v>839</v>
      </c>
      <c r="G6" s="261"/>
      <c r="H6" s="29" t="s">
        <v>877</v>
      </c>
      <c r="I6" s="235">
        <v>0.70389999999999997</v>
      </c>
      <c r="J6" s="31">
        <v>126</v>
      </c>
      <c r="K6" s="32">
        <v>45984</v>
      </c>
      <c r="L6" s="31">
        <v>38</v>
      </c>
      <c r="M6" s="31">
        <v>0</v>
      </c>
      <c r="N6" s="31">
        <v>4</v>
      </c>
      <c r="O6" s="33" t="s">
        <v>367</v>
      </c>
      <c r="P6" s="34">
        <v>0.43055555555555558</v>
      </c>
      <c r="Q6" s="31">
        <v>179</v>
      </c>
      <c r="R6" s="35" t="s">
        <v>878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36" t="s">
        <v>48</v>
      </c>
      <c r="B7" s="36" t="s">
        <v>879</v>
      </c>
      <c r="C7" s="37">
        <v>0.3611111111111111</v>
      </c>
      <c r="D7" s="36" t="s">
        <v>880</v>
      </c>
      <c r="E7" s="36" t="s">
        <v>38</v>
      </c>
      <c r="F7" s="36" t="s">
        <v>386</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48</v>
      </c>
      <c r="B8" s="15" t="s">
        <v>879</v>
      </c>
      <c r="C8" s="16">
        <v>0.3611111111111111</v>
      </c>
      <c r="D8" s="15" t="s">
        <v>53</v>
      </c>
      <c r="E8" s="15" t="s">
        <v>74</v>
      </c>
      <c r="F8" s="15" t="s">
        <v>881</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5" t="s">
        <v>48</v>
      </c>
      <c r="B9" s="15" t="s">
        <v>879</v>
      </c>
      <c r="C9" s="16">
        <v>0.3611111111111111</v>
      </c>
      <c r="D9" s="15" t="s">
        <v>56</v>
      </c>
      <c r="E9" s="15" t="s">
        <v>74</v>
      </c>
      <c r="F9" s="15" t="s">
        <v>882</v>
      </c>
      <c r="G9" s="262"/>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6" t="s">
        <v>75</v>
      </c>
      <c r="B10" s="36" t="s">
        <v>883</v>
      </c>
      <c r="C10" s="37">
        <v>0.43055555555555558</v>
      </c>
      <c r="D10" s="36" t="s">
        <v>60</v>
      </c>
      <c r="E10" s="36" t="s">
        <v>38</v>
      </c>
      <c r="F10" s="36" t="s">
        <v>884</v>
      </c>
      <c r="G10" s="26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289" t="s">
        <v>885</v>
      </c>
      <c r="B11" s="290"/>
      <c r="C11" s="290"/>
      <c r="D11" s="290"/>
      <c r="E11" s="290"/>
      <c r="F11" s="290"/>
      <c r="G11" s="262"/>
      <c r="H11" s="158"/>
      <c r="I11" s="158"/>
      <c r="J11" s="158"/>
      <c r="K11" s="158"/>
      <c r="L11" s="158"/>
      <c r="M11" s="158"/>
      <c r="N11" s="158"/>
      <c r="O11" s="159"/>
      <c r="P11" s="158"/>
      <c r="Q11" s="160"/>
      <c r="R11" s="16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25</v>
      </c>
      <c r="B12" s="38" t="s">
        <v>736</v>
      </c>
      <c r="C12" s="39" t="s">
        <v>886</v>
      </c>
      <c r="D12" s="38" t="s">
        <v>335</v>
      </c>
      <c r="E12" s="38" t="s">
        <v>207</v>
      </c>
      <c r="F12" s="38" t="s">
        <v>737</v>
      </c>
      <c r="G12" s="262"/>
      <c r="H12" s="158"/>
      <c r="I12" s="158"/>
      <c r="J12" s="158"/>
      <c r="K12" s="158"/>
      <c r="L12" s="158"/>
      <c r="M12" s="158"/>
      <c r="N12" s="158"/>
      <c r="O12" s="159"/>
      <c r="P12" s="158"/>
      <c r="Q12" s="160"/>
      <c r="R12" s="16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25</v>
      </c>
      <c r="B13" s="38" t="s">
        <v>738</v>
      </c>
      <c r="C13" s="39" t="s">
        <v>887</v>
      </c>
      <c r="D13" s="38" t="s">
        <v>335</v>
      </c>
      <c r="E13" s="38" t="s">
        <v>583</v>
      </c>
      <c r="F13" s="38" t="s">
        <v>660</v>
      </c>
      <c r="G13" s="262"/>
      <c r="H13" s="158"/>
      <c r="I13" s="158"/>
      <c r="J13" s="158"/>
      <c r="K13" s="158"/>
      <c r="L13" s="158"/>
      <c r="M13" s="158"/>
      <c r="N13" s="158"/>
      <c r="O13" s="159"/>
      <c r="P13" s="158"/>
      <c r="Q13" s="160"/>
      <c r="R13" s="16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25</v>
      </c>
      <c r="B14" s="38" t="s">
        <v>739</v>
      </c>
      <c r="C14" s="39" t="s">
        <v>888</v>
      </c>
      <c r="D14" s="38" t="s">
        <v>335</v>
      </c>
      <c r="E14" s="38" t="s">
        <v>205</v>
      </c>
      <c r="F14" s="38" t="s">
        <v>660</v>
      </c>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25</v>
      </c>
      <c r="B15" s="38" t="s">
        <v>740</v>
      </c>
      <c r="C15" s="39" t="s">
        <v>584</v>
      </c>
      <c r="D15" s="38" t="s">
        <v>335</v>
      </c>
      <c r="E15" s="38" t="s">
        <v>611</v>
      </c>
      <c r="F15" s="38" t="s">
        <v>741</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48</v>
      </c>
      <c r="B16" s="38" t="s">
        <v>742</v>
      </c>
      <c r="C16" s="39" t="s">
        <v>607</v>
      </c>
      <c r="D16" s="38" t="s">
        <v>102</v>
      </c>
      <c r="E16" s="38" t="s">
        <v>218</v>
      </c>
      <c r="F16" s="38" t="s">
        <v>743</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8" t="s">
        <v>48</v>
      </c>
      <c r="B17" s="38" t="s">
        <v>744</v>
      </c>
      <c r="C17" s="39" t="s">
        <v>889</v>
      </c>
      <c r="D17" s="38" t="s">
        <v>102</v>
      </c>
      <c r="E17" s="38" t="s">
        <v>201</v>
      </c>
      <c r="F17" s="38" t="s">
        <v>743</v>
      </c>
      <c r="G17" s="262"/>
      <c r="H17" s="158"/>
      <c r="I17" s="158"/>
      <c r="J17" s="158"/>
      <c r="K17" s="158"/>
      <c r="L17" s="158"/>
      <c r="M17" s="158"/>
      <c r="N17" s="158"/>
      <c r="O17" s="159"/>
      <c r="P17" s="158"/>
      <c r="Q17" s="160"/>
      <c r="R17" s="16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8" t="s">
        <v>48</v>
      </c>
      <c r="B18" s="38" t="s">
        <v>745</v>
      </c>
      <c r="C18" s="39" t="s">
        <v>890</v>
      </c>
      <c r="D18" s="38" t="s">
        <v>102</v>
      </c>
      <c r="E18" s="38" t="s">
        <v>205</v>
      </c>
      <c r="F18" s="38" t="s">
        <v>743</v>
      </c>
      <c r="G18" s="262"/>
      <c r="H18" s="158"/>
      <c r="I18" s="158"/>
      <c r="J18" s="158"/>
      <c r="K18" s="158"/>
      <c r="L18" s="158"/>
      <c r="M18" s="158"/>
      <c r="N18" s="158"/>
      <c r="O18" s="159"/>
      <c r="P18" s="158"/>
      <c r="Q18" s="160"/>
      <c r="R18" s="16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38" t="s">
        <v>48</v>
      </c>
      <c r="B19" s="38" t="s">
        <v>746</v>
      </c>
      <c r="C19" s="39" t="s">
        <v>891</v>
      </c>
      <c r="D19" s="38" t="s">
        <v>102</v>
      </c>
      <c r="E19" s="38" t="s">
        <v>218</v>
      </c>
      <c r="F19" s="38" t="s">
        <v>743</v>
      </c>
      <c r="G19" s="262"/>
      <c r="H19" s="158"/>
      <c r="I19" s="158"/>
      <c r="J19" s="158"/>
      <c r="K19" s="158"/>
      <c r="L19" s="158"/>
      <c r="M19" s="158"/>
      <c r="N19" s="158"/>
      <c r="O19" s="159"/>
      <c r="P19" s="158"/>
      <c r="Q19" s="160"/>
      <c r="R19" s="16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38" t="s">
        <v>48</v>
      </c>
      <c r="B20" s="38" t="s">
        <v>747</v>
      </c>
      <c r="C20" s="39" t="s">
        <v>892</v>
      </c>
      <c r="D20" s="38" t="s">
        <v>102</v>
      </c>
      <c r="E20" s="38" t="s">
        <v>207</v>
      </c>
      <c r="F20" s="38" t="s">
        <v>748</v>
      </c>
      <c r="G20" s="262"/>
      <c r="H20" s="158"/>
      <c r="I20" s="158"/>
      <c r="J20" s="158"/>
      <c r="K20" s="158"/>
      <c r="L20" s="158"/>
      <c r="M20" s="158"/>
      <c r="N20" s="158"/>
      <c r="O20" s="159"/>
      <c r="P20" s="158"/>
      <c r="Q20" s="160"/>
      <c r="R20" s="16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40" t="s">
        <v>48</v>
      </c>
      <c r="B21" s="40" t="s">
        <v>749</v>
      </c>
      <c r="C21" s="41" t="s">
        <v>223</v>
      </c>
      <c r="D21" s="40" t="s">
        <v>102</v>
      </c>
      <c r="E21" s="40" t="s">
        <v>249</v>
      </c>
      <c r="F21" s="40" t="s">
        <v>748</v>
      </c>
      <c r="G21" s="263"/>
      <c r="H21" s="161"/>
      <c r="I21" s="161"/>
      <c r="J21" s="161"/>
      <c r="K21" s="161"/>
      <c r="L21" s="161"/>
      <c r="M21" s="161"/>
      <c r="N21" s="161"/>
      <c r="O21" s="162"/>
      <c r="P21" s="161"/>
      <c r="Q21" s="163"/>
      <c r="R21" s="16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5"/>
      <c r="B22" s="286"/>
      <c r="C22" s="286"/>
      <c r="D22" s="286"/>
      <c r="E22" s="286"/>
      <c r="F22" s="286"/>
      <c r="G22" s="276"/>
      <c r="H22" s="287"/>
      <c r="I22" s="287"/>
      <c r="J22" s="287"/>
      <c r="K22" s="287"/>
      <c r="L22" s="287"/>
      <c r="M22" s="287"/>
      <c r="N22" s="287"/>
      <c r="O22" s="288"/>
      <c r="P22" s="287"/>
      <c r="Q22" s="276"/>
      <c r="R22" s="27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66" t="s">
        <v>5</v>
      </c>
      <c r="B23" s="267"/>
      <c r="C23" s="267"/>
      <c r="D23" s="267"/>
      <c r="E23" s="267"/>
      <c r="F23" s="267"/>
      <c r="G23" s="5">
        <v>45987</v>
      </c>
      <c r="H23" s="270" t="s">
        <v>6</v>
      </c>
      <c r="I23" s="269"/>
      <c r="J23" s="269"/>
      <c r="K23" s="269"/>
      <c r="L23" s="269"/>
      <c r="M23" s="269"/>
      <c r="N23" s="269"/>
      <c r="O23" s="269"/>
      <c r="P23" s="269"/>
      <c r="Q23" s="269"/>
      <c r="R23" s="26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47" t="s">
        <v>7</v>
      </c>
      <c r="B24" s="47" t="s">
        <v>8</v>
      </c>
      <c r="C24" s="48" t="s">
        <v>9</v>
      </c>
      <c r="D24" s="47" t="s">
        <v>10</v>
      </c>
      <c r="E24" s="47" t="s">
        <v>11</v>
      </c>
      <c r="F24" s="47" t="s">
        <v>12</v>
      </c>
      <c r="G24" s="49" t="s">
        <v>13</v>
      </c>
      <c r="H24" s="47" t="s">
        <v>14</v>
      </c>
      <c r="I24" s="50" t="s">
        <v>15</v>
      </c>
      <c r="J24" s="51" t="s">
        <v>16</v>
      </c>
      <c r="K24" s="52" t="s">
        <v>17</v>
      </c>
      <c r="L24" s="51" t="s">
        <v>18</v>
      </c>
      <c r="M24" s="51" t="s">
        <v>19</v>
      </c>
      <c r="N24" s="51" t="s">
        <v>20</v>
      </c>
      <c r="O24" s="47" t="s">
        <v>21</v>
      </c>
      <c r="P24" s="48" t="s">
        <v>22</v>
      </c>
      <c r="Q24" s="51" t="s">
        <v>23</v>
      </c>
      <c r="R24" s="4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75" t="s">
        <v>35</v>
      </c>
      <c r="B25" s="75" t="s">
        <v>893</v>
      </c>
      <c r="C25" s="76">
        <v>0.40625</v>
      </c>
      <c r="D25" s="75" t="s">
        <v>37</v>
      </c>
      <c r="E25" s="75" t="s">
        <v>77</v>
      </c>
      <c r="F25" s="75" t="s">
        <v>894</v>
      </c>
      <c r="G25" s="261"/>
      <c r="H25" s="29" t="s">
        <v>895</v>
      </c>
      <c r="I25" s="235">
        <v>0.81010000000000004</v>
      </c>
      <c r="J25" s="31">
        <v>145</v>
      </c>
      <c r="K25" s="32">
        <v>45984</v>
      </c>
      <c r="L25" s="31">
        <v>6</v>
      </c>
      <c r="M25" s="31">
        <v>0</v>
      </c>
      <c r="N25" s="31">
        <v>1</v>
      </c>
      <c r="O25" s="33" t="s">
        <v>896</v>
      </c>
      <c r="P25" s="34">
        <v>0.40625</v>
      </c>
      <c r="Q25" s="31">
        <v>179</v>
      </c>
      <c r="R25" s="35" t="s">
        <v>897</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36" t="s">
        <v>75</v>
      </c>
      <c r="B26" s="36" t="s">
        <v>898</v>
      </c>
      <c r="C26" s="37">
        <v>0.40625</v>
      </c>
      <c r="D26" s="36" t="s">
        <v>60</v>
      </c>
      <c r="E26" s="36" t="s">
        <v>38</v>
      </c>
      <c r="F26" s="36" t="s">
        <v>899</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8" x14ac:dyDescent="0.3">
      <c r="A27" s="289" t="s">
        <v>885</v>
      </c>
      <c r="B27" s="290"/>
      <c r="C27" s="290"/>
      <c r="D27" s="290"/>
      <c r="E27" s="290"/>
      <c r="F27" s="290"/>
      <c r="G27" s="262"/>
      <c r="H27" s="158"/>
      <c r="I27" s="158"/>
      <c r="J27" s="158"/>
      <c r="K27" s="158"/>
      <c r="L27" s="158"/>
      <c r="M27" s="158"/>
      <c r="N27" s="158"/>
      <c r="O27" s="159"/>
      <c r="P27" s="158"/>
      <c r="Q27" s="160"/>
      <c r="R27" s="16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8" t="s">
        <v>25</v>
      </c>
      <c r="B28" s="38" t="s">
        <v>736</v>
      </c>
      <c r="C28" s="39" t="s">
        <v>886</v>
      </c>
      <c r="D28" s="38" t="s">
        <v>27</v>
      </c>
      <c r="E28" s="38" t="s">
        <v>213</v>
      </c>
      <c r="F28" s="38" t="s">
        <v>660</v>
      </c>
      <c r="G28" s="262"/>
      <c r="H28" s="158"/>
      <c r="I28" s="158"/>
      <c r="J28" s="158"/>
      <c r="K28" s="158"/>
      <c r="L28" s="158"/>
      <c r="M28" s="158"/>
      <c r="N28" s="158"/>
      <c r="O28" s="159"/>
      <c r="P28" s="158"/>
      <c r="Q28" s="160"/>
      <c r="R28" s="16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38" t="s">
        <v>25</v>
      </c>
      <c r="B29" s="38" t="s">
        <v>738</v>
      </c>
      <c r="C29" s="39" t="s">
        <v>887</v>
      </c>
      <c r="D29" s="38" t="s">
        <v>27</v>
      </c>
      <c r="E29" s="38" t="s">
        <v>218</v>
      </c>
      <c r="F29" s="38" t="s">
        <v>660</v>
      </c>
      <c r="G29" s="262"/>
      <c r="H29" s="158"/>
      <c r="I29" s="158"/>
      <c r="J29" s="158"/>
      <c r="K29" s="158"/>
      <c r="L29" s="158"/>
      <c r="M29" s="158"/>
      <c r="N29" s="158"/>
      <c r="O29" s="159"/>
      <c r="P29" s="158"/>
      <c r="Q29" s="160"/>
      <c r="R29" s="16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38" t="s">
        <v>25</v>
      </c>
      <c r="B30" s="38" t="s">
        <v>740</v>
      </c>
      <c r="C30" s="39" t="s">
        <v>584</v>
      </c>
      <c r="D30" s="38" t="s">
        <v>27</v>
      </c>
      <c r="E30" s="38" t="s">
        <v>201</v>
      </c>
      <c r="F30" s="38" t="s">
        <v>741</v>
      </c>
      <c r="G30" s="262"/>
      <c r="H30" s="158"/>
      <c r="I30" s="158"/>
      <c r="J30" s="158"/>
      <c r="K30" s="158"/>
      <c r="L30" s="158"/>
      <c r="M30" s="158"/>
      <c r="N30" s="158"/>
      <c r="O30" s="159"/>
      <c r="P30" s="158"/>
      <c r="Q30" s="160"/>
      <c r="R30" s="16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38" t="s">
        <v>25</v>
      </c>
      <c r="B31" s="38" t="s">
        <v>739</v>
      </c>
      <c r="C31" s="39" t="s">
        <v>888</v>
      </c>
      <c r="D31" s="38" t="s">
        <v>27</v>
      </c>
      <c r="E31" s="38" t="s">
        <v>205</v>
      </c>
      <c r="F31" s="38" t="s">
        <v>741</v>
      </c>
      <c r="G31" s="262"/>
      <c r="H31" s="158"/>
      <c r="I31" s="158"/>
      <c r="J31" s="158"/>
      <c r="K31" s="158"/>
      <c r="L31" s="158"/>
      <c r="M31" s="158"/>
      <c r="N31" s="158"/>
      <c r="O31" s="159"/>
      <c r="P31" s="158"/>
      <c r="Q31" s="160"/>
      <c r="R31" s="16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8" t="s">
        <v>35</v>
      </c>
      <c r="B32" s="38" t="s">
        <v>752</v>
      </c>
      <c r="C32" s="39" t="s">
        <v>900</v>
      </c>
      <c r="D32" s="38" t="s">
        <v>37</v>
      </c>
      <c r="E32" s="38" t="s">
        <v>207</v>
      </c>
      <c r="F32" s="38" t="s">
        <v>777</v>
      </c>
      <c r="G32" s="262"/>
      <c r="H32" s="158"/>
      <c r="I32" s="158"/>
      <c r="J32" s="158"/>
      <c r="K32" s="158"/>
      <c r="L32" s="158"/>
      <c r="M32" s="158"/>
      <c r="N32" s="158"/>
      <c r="O32" s="159"/>
      <c r="P32" s="158"/>
      <c r="Q32" s="160"/>
      <c r="R32" s="16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48</v>
      </c>
      <c r="B33" s="38" t="s">
        <v>742</v>
      </c>
      <c r="C33" s="39" t="s">
        <v>607</v>
      </c>
      <c r="D33" s="38" t="s">
        <v>50</v>
      </c>
      <c r="E33" s="38" t="s">
        <v>598</v>
      </c>
      <c r="F33" s="38" t="s">
        <v>748</v>
      </c>
      <c r="G33" s="262"/>
      <c r="H33" s="158"/>
      <c r="I33" s="158"/>
      <c r="J33" s="158"/>
      <c r="K33" s="158"/>
      <c r="L33" s="158"/>
      <c r="M33" s="158"/>
      <c r="N33" s="158"/>
      <c r="O33" s="159"/>
      <c r="P33" s="158"/>
      <c r="Q33" s="160"/>
      <c r="R33" s="16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38" t="s">
        <v>48</v>
      </c>
      <c r="B34" s="38" t="s">
        <v>744</v>
      </c>
      <c r="C34" s="39" t="s">
        <v>889</v>
      </c>
      <c r="D34" s="38" t="s">
        <v>50</v>
      </c>
      <c r="E34" s="38" t="s">
        <v>249</v>
      </c>
      <c r="F34" s="38" t="s">
        <v>748</v>
      </c>
      <c r="G34" s="262"/>
      <c r="H34" s="158"/>
      <c r="I34" s="158"/>
      <c r="J34" s="158"/>
      <c r="K34" s="158"/>
      <c r="L34" s="158"/>
      <c r="M34" s="158"/>
      <c r="N34" s="158"/>
      <c r="O34" s="159"/>
      <c r="P34" s="158"/>
      <c r="Q34" s="160"/>
      <c r="R34" s="16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38" t="s">
        <v>48</v>
      </c>
      <c r="B35" s="38" t="s">
        <v>745</v>
      </c>
      <c r="C35" s="39" t="s">
        <v>890</v>
      </c>
      <c r="D35" s="38" t="s">
        <v>50</v>
      </c>
      <c r="E35" s="38" t="s">
        <v>201</v>
      </c>
      <c r="F35" s="38" t="s">
        <v>748</v>
      </c>
      <c r="G35" s="262"/>
      <c r="H35" s="158"/>
      <c r="I35" s="158"/>
      <c r="J35" s="158"/>
      <c r="K35" s="158"/>
      <c r="L35" s="158"/>
      <c r="M35" s="158"/>
      <c r="N35" s="158"/>
      <c r="O35" s="159"/>
      <c r="P35" s="158"/>
      <c r="Q35" s="160"/>
      <c r="R35" s="16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8" t="s">
        <v>48</v>
      </c>
      <c r="B36" s="38" t="s">
        <v>747</v>
      </c>
      <c r="C36" s="39" t="s">
        <v>892</v>
      </c>
      <c r="D36" s="38" t="s">
        <v>50</v>
      </c>
      <c r="E36" s="38" t="s">
        <v>205</v>
      </c>
      <c r="F36" s="38" t="s">
        <v>748</v>
      </c>
      <c r="G36" s="262"/>
      <c r="H36" s="158"/>
      <c r="I36" s="158"/>
      <c r="J36" s="158"/>
      <c r="K36" s="158"/>
      <c r="L36" s="158"/>
      <c r="M36" s="158"/>
      <c r="N36" s="158"/>
      <c r="O36" s="159"/>
      <c r="P36" s="158"/>
      <c r="Q36" s="160"/>
      <c r="R36" s="16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40" t="s">
        <v>48</v>
      </c>
      <c r="B37" s="40" t="s">
        <v>746</v>
      </c>
      <c r="C37" s="41" t="s">
        <v>891</v>
      </c>
      <c r="D37" s="40" t="s">
        <v>50</v>
      </c>
      <c r="E37" s="40" t="s">
        <v>249</v>
      </c>
      <c r="F37" s="40" t="s">
        <v>748</v>
      </c>
      <c r="G37" s="263"/>
      <c r="H37" s="161"/>
      <c r="I37" s="161"/>
      <c r="J37" s="161"/>
      <c r="K37" s="161"/>
      <c r="L37" s="161"/>
      <c r="M37" s="161"/>
      <c r="N37" s="161"/>
      <c r="O37" s="162"/>
      <c r="P37" s="161"/>
      <c r="Q37" s="163"/>
      <c r="R37" s="16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85"/>
      <c r="B38" s="286"/>
      <c r="C38" s="286"/>
      <c r="D38" s="286"/>
      <c r="E38" s="286"/>
      <c r="F38" s="286"/>
      <c r="G38" s="276"/>
      <c r="H38" s="287"/>
      <c r="I38" s="287"/>
      <c r="J38" s="287"/>
      <c r="K38" s="287"/>
      <c r="L38" s="287"/>
      <c r="M38" s="287"/>
      <c r="N38" s="287"/>
      <c r="O38" s="288"/>
      <c r="P38" s="287"/>
      <c r="Q38" s="276"/>
      <c r="R38" s="27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66" t="s">
        <v>5</v>
      </c>
      <c r="B39" s="267"/>
      <c r="C39" s="267"/>
      <c r="D39" s="267"/>
      <c r="E39" s="267"/>
      <c r="F39" s="267"/>
      <c r="G39" s="5">
        <v>45988</v>
      </c>
      <c r="H39" s="270" t="s">
        <v>6</v>
      </c>
      <c r="I39" s="269"/>
      <c r="J39" s="269"/>
      <c r="K39" s="269"/>
      <c r="L39" s="269"/>
      <c r="M39" s="269"/>
      <c r="N39" s="269"/>
      <c r="O39" s="269"/>
      <c r="P39" s="269"/>
      <c r="Q39" s="269"/>
      <c r="R39" s="26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47" t="s">
        <v>7</v>
      </c>
      <c r="B40" s="47" t="s">
        <v>8</v>
      </c>
      <c r="C40" s="48" t="s">
        <v>9</v>
      </c>
      <c r="D40" s="47" t="s">
        <v>10</v>
      </c>
      <c r="E40" s="47" t="s">
        <v>11</v>
      </c>
      <c r="F40" s="47" t="s">
        <v>12</v>
      </c>
      <c r="G40" s="49" t="s">
        <v>13</v>
      </c>
      <c r="H40" s="47" t="s">
        <v>14</v>
      </c>
      <c r="I40" s="50" t="s">
        <v>15</v>
      </c>
      <c r="J40" s="51" t="s">
        <v>16</v>
      </c>
      <c r="K40" s="52" t="s">
        <v>17</v>
      </c>
      <c r="L40" s="51" t="s">
        <v>18</v>
      </c>
      <c r="M40" s="51" t="s">
        <v>19</v>
      </c>
      <c r="N40" s="51" t="s">
        <v>20</v>
      </c>
      <c r="O40" s="47" t="s">
        <v>21</v>
      </c>
      <c r="P40" s="48" t="s">
        <v>22</v>
      </c>
      <c r="Q40" s="51" t="s">
        <v>23</v>
      </c>
      <c r="R40" s="4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8" t="s">
        <v>48</v>
      </c>
      <c r="B41" s="8" t="s">
        <v>879</v>
      </c>
      <c r="C41" s="9">
        <v>0.3611111111111111</v>
      </c>
      <c r="D41" s="8" t="s">
        <v>880</v>
      </c>
      <c r="E41" s="8" t="s">
        <v>97</v>
      </c>
      <c r="F41" s="8" t="s">
        <v>386</v>
      </c>
      <c r="G41" s="261"/>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48</v>
      </c>
      <c r="B42" s="15" t="s">
        <v>879</v>
      </c>
      <c r="C42" s="16">
        <v>0.3611111111111111</v>
      </c>
      <c r="D42" s="15" t="s">
        <v>53</v>
      </c>
      <c r="E42" s="15" t="s">
        <v>99</v>
      </c>
      <c r="F42" s="15" t="s">
        <v>881</v>
      </c>
      <c r="G42" s="262"/>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48</v>
      </c>
      <c r="B43" s="15" t="s">
        <v>879</v>
      </c>
      <c r="C43" s="16">
        <v>0.3611111111111111</v>
      </c>
      <c r="D43" s="15" t="s">
        <v>56</v>
      </c>
      <c r="E43" s="15" t="s">
        <v>99</v>
      </c>
      <c r="F43" s="15" t="s">
        <v>882</v>
      </c>
      <c r="G43" s="26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8" x14ac:dyDescent="0.3">
      <c r="A44" s="289" t="s">
        <v>885</v>
      </c>
      <c r="B44" s="290"/>
      <c r="C44" s="290"/>
      <c r="D44" s="290"/>
      <c r="E44" s="290"/>
      <c r="F44" s="290"/>
      <c r="G44" s="262"/>
      <c r="H44" s="158"/>
      <c r="I44" s="158"/>
      <c r="J44" s="158"/>
      <c r="K44" s="158"/>
      <c r="L44" s="158"/>
      <c r="M44" s="158"/>
      <c r="N44" s="158"/>
      <c r="O44" s="159"/>
      <c r="P44" s="158"/>
      <c r="Q44" s="160"/>
      <c r="R44" s="16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38" t="s">
        <v>25</v>
      </c>
      <c r="B45" s="38" t="s">
        <v>736</v>
      </c>
      <c r="C45" s="39" t="s">
        <v>886</v>
      </c>
      <c r="D45" s="38" t="s">
        <v>27</v>
      </c>
      <c r="E45" s="38" t="s">
        <v>218</v>
      </c>
      <c r="F45" s="38" t="s">
        <v>123</v>
      </c>
      <c r="G45" s="262"/>
      <c r="H45" s="158"/>
      <c r="I45" s="158"/>
      <c r="J45" s="158"/>
      <c r="K45" s="158"/>
      <c r="L45" s="158"/>
      <c r="M45" s="158"/>
      <c r="N45" s="158"/>
      <c r="O45" s="159"/>
      <c r="P45" s="158"/>
      <c r="Q45" s="160"/>
      <c r="R45" s="16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38" t="s">
        <v>25</v>
      </c>
      <c r="B46" s="38" t="s">
        <v>738</v>
      </c>
      <c r="C46" s="39" t="s">
        <v>887</v>
      </c>
      <c r="D46" s="38" t="s">
        <v>27</v>
      </c>
      <c r="E46" s="38" t="s">
        <v>213</v>
      </c>
      <c r="F46" s="38" t="s">
        <v>123</v>
      </c>
      <c r="G46" s="262"/>
      <c r="H46" s="158"/>
      <c r="I46" s="158"/>
      <c r="J46" s="158"/>
      <c r="K46" s="158"/>
      <c r="L46" s="158"/>
      <c r="M46" s="158"/>
      <c r="N46" s="158"/>
      <c r="O46" s="159"/>
      <c r="P46" s="158"/>
      <c r="Q46" s="160"/>
      <c r="R46" s="16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8" t="s">
        <v>295</v>
      </c>
      <c r="B47" s="38" t="s">
        <v>793</v>
      </c>
      <c r="C47" s="39" t="s">
        <v>901</v>
      </c>
      <c r="D47" s="38" t="s">
        <v>37</v>
      </c>
      <c r="E47" s="38" t="s">
        <v>209</v>
      </c>
      <c r="F47" s="38" t="s">
        <v>787</v>
      </c>
      <c r="G47" s="262"/>
      <c r="H47" s="158"/>
      <c r="I47" s="158"/>
      <c r="J47" s="158"/>
      <c r="K47" s="158"/>
      <c r="L47" s="158"/>
      <c r="M47" s="158"/>
      <c r="N47" s="158"/>
      <c r="O47" s="159"/>
      <c r="P47" s="158"/>
      <c r="Q47" s="160"/>
      <c r="R47" s="16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8" t="s">
        <v>295</v>
      </c>
      <c r="B48" s="38" t="s">
        <v>786</v>
      </c>
      <c r="C48" s="39" t="s">
        <v>902</v>
      </c>
      <c r="D48" s="38" t="s">
        <v>37</v>
      </c>
      <c r="E48" s="38" t="s">
        <v>203</v>
      </c>
      <c r="F48" s="38" t="s">
        <v>787</v>
      </c>
      <c r="G48" s="262"/>
      <c r="H48" s="158"/>
      <c r="I48" s="158"/>
      <c r="J48" s="158"/>
      <c r="K48" s="158"/>
      <c r="L48" s="158"/>
      <c r="M48" s="158"/>
      <c r="N48" s="158"/>
      <c r="O48" s="159"/>
      <c r="P48" s="158"/>
      <c r="Q48" s="160"/>
      <c r="R48" s="16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8" t="s">
        <v>290</v>
      </c>
      <c r="B49" s="38" t="s">
        <v>756</v>
      </c>
      <c r="C49" s="39" t="s">
        <v>607</v>
      </c>
      <c r="D49" s="38" t="s">
        <v>292</v>
      </c>
      <c r="E49" s="38" t="s">
        <v>249</v>
      </c>
      <c r="F49" s="38" t="s">
        <v>794</v>
      </c>
      <c r="G49" s="262"/>
      <c r="H49" s="158"/>
      <c r="I49" s="158"/>
      <c r="J49" s="158"/>
      <c r="K49" s="158"/>
      <c r="L49" s="158"/>
      <c r="M49" s="158"/>
      <c r="N49" s="158"/>
      <c r="O49" s="159"/>
      <c r="P49" s="158"/>
      <c r="Q49" s="160"/>
      <c r="R49" s="16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8" t="s">
        <v>35</v>
      </c>
      <c r="B50" s="38" t="s">
        <v>779</v>
      </c>
      <c r="C50" s="39" t="s">
        <v>903</v>
      </c>
      <c r="D50" s="38" t="s">
        <v>37</v>
      </c>
      <c r="E50" s="38" t="s">
        <v>611</v>
      </c>
      <c r="F50" s="38" t="s">
        <v>796</v>
      </c>
      <c r="G50" s="262"/>
      <c r="H50" s="158"/>
      <c r="I50" s="158"/>
      <c r="J50" s="158"/>
      <c r="K50" s="158"/>
      <c r="L50" s="158"/>
      <c r="M50" s="158"/>
      <c r="N50" s="158"/>
      <c r="O50" s="159"/>
      <c r="P50" s="158"/>
      <c r="Q50" s="160"/>
      <c r="R50" s="16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48</v>
      </c>
      <c r="B51" s="38" t="s">
        <v>742</v>
      </c>
      <c r="C51" s="39" t="s">
        <v>607</v>
      </c>
      <c r="D51" s="38" t="s">
        <v>50</v>
      </c>
      <c r="E51" s="38" t="s">
        <v>598</v>
      </c>
      <c r="F51" s="38" t="s">
        <v>269</v>
      </c>
      <c r="G51" s="262"/>
      <c r="H51" s="158"/>
      <c r="I51" s="158"/>
      <c r="J51" s="158"/>
      <c r="K51" s="158"/>
      <c r="L51" s="158"/>
      <c r="M51" s="158"/>
      <c r="N51" s="158"/>
      <c r="O51" s="159"/>
      <c r="P51" s="158"/>
      <c r="Q51" s="160"/>
      <c r="R51" s="16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38" t="s">
        <v>48</v>
      </c>
      <c r="B52" s="38" t="s">
        <v>745</v>
      </c>
      <c r="C52" s="39" t="s">
        <v>890</v>
      </c>
      <c r="D52" s="38" t="s">
        <v>50</v>
      </c>
      <c r="E52" s="38" t="s">
        <v>611</v>
      </c>
      <c r="F52" s="38" t="s">
        <v>269</v>
      </c>
      <c r="G52" s="262"/>
      <c r="H52" s="158"/>
      <c r="I52" s="158"/>
      <c r="J52" s="158"/>
      <c r="K52" s="158"/>
      <c r="L52" s="158"/>
      <c r="M52" s="158"/>
      <c r="N52" s="158"/>
      <c r="O52" s="159"/>
      <c r="P52" s="158"/>
      <c r="Q52" s="160"/>
      <c r="R52" s="16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8" t="s">
        <v>48</v>
      </c>
      <c r="B53" s="38" t="s">
        <v>746</v>
      </c>
      <c r="C53" s="39" t="s">
        <v>891</v>
      </c>
      <c r="D53" s="38" t="s">
        <v>50</v>
      </c>
      <c r="E53" s="38" t="s">
        <v>249</v>
      </c>
      <c r="F53" s="38" t="s">
        <v>269</v>
      </c>
      <c r="G53" s="262"/>
      <c r="H53" s="158"/>
      <c r="I53" s="158"/>
      <c r="J53" s="158"/>
      <c r="K53" s="158"/>
      <c r="L53" s="158"/>
      <c r="M53" s="158"/>
      <c r="N53" s="158"/>
      <c r="O53" s="159"/>
      <c r="P53" s="158"/>
      <c r="Q53" s="160"/>
      <c r="R53" s="16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40" t="s">
        <v>25</v>
      </c>
      <c r="B54" s="40" t="s">
        <v>740</v>
      </c>
      <c r="C54" s="41" t="s">
        <v>584</v>
      </c>
      <c r="D54" s="40" t="s">
        <v>27</v>
      </c>
      <c r="E54" s="40" t="s">
        <v>904</v>
      </c>
      <c r="F54" s="40" t="s">
        <v>29</v>
      </c>
      <c r="G54" s="263"/>
      <c r="H54" s="161"/>
      <c r="I54" s="161"/>
      <c r="J54" s="161"/>
      <c r="K54" s="161"/>
      <c r="L54" s="161"/>
      <c r="M54" s="161"/>
      <c r="N54" s="161"/>
      <c r="O54" s="162"/>
      <c r="P54" s="161"/>
      <c r="Q54" s="163"/>
      <c r="R54" s="1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5"/>
      <c r="B55" s="276"/>
      <c r="C55" s="276"/>
      <c r="D55" s="276"/>
      <c r="E55" s="276"/>
      <c r="F55" s="276"/>
      <c r="G55" s="276"/>
      <c r="H55" s="276"/>
      <c r="I55" s="276"/>
      <c r="J55" s="276"/>
      <c r="K55" s="276"/>
      <c r="L55" s="276"/>
      <c r="M55" s="276"/>
      <c r="N55" s="276"/>
      <c r="O55" s="276"/>
      <c r="P55" s="276"/>
      <c r="Q55" s="276"/>
      <c r="R55" s="27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66" t="s">
        <v>5</v>
      </c>
      <c r="B56" s="267"/>
      <c r="C56" s="267"/>
      <c r="D56" s="267"/>
      <c r="E56" s="267"/>
      <c r="F56" s="267"/>
      <c r="G56" s="5">
        <v>45990</v>
      </c>
      <c r="H56" s="270" t="s">
        <v>6</v>
      </c>
      <c r="I56" s="269"/>
      <c r="J56" s="269"/>
      <c r="K56" s="269"/>
      <c r="L56" s="269"/>
      <c r="M56" s="269"/>
      <c r="N56" s="269"/>
      <c r="O56" s="269"/>
      <c r="P56" s="269"/>
      <c r="Q56" s="269"/>
      <c r="R56" s="26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47" t="s">
        <v>7</v>
      </c>
      <c r="B57" s="47" t="s">
        <v>8</v>
      </c>
      <c r="C57" s="48" t="s">
        <v>9</v>
      </c>
      <c r="D57" s="47" t="s">
        <v>10</v>
      </c>
      <c r="E57" s="47" t="s">
        <v>11</v>
      </c>
      <c r="F57" s="47" t="s">
        <v>12</v>
      </c>
      <c r="G57" s="49" t="s">
        <v>13</v>
      </c>
      <c r="H57" s="47" t="s">
        <v>14</v>
      </c>
      <c r="I57" s="50" t="s">
        <v>15</v>
      </c>
      <c r="J57" s="51" t="s">
        <v>16</v>
      </c>
      <c r="K57" s="52" t="s">
        <v>17</v>
      </c>
      <c r="L57" s="51" t="s">
        <v>18</v>
      </c>
      <c r="M57" s="51" t="s">
        <v>19</v>
      </c>
      <c r="N57" s="51" t="s">
        <v>20</v>
      </c>
      <c r="O57" s="47" t="s">
        <v>21</v>
      </c>
      <c r="P57" s="48" t="s">
        <v>22</v>
      </c>
      <c r="Q57" s="51" t="s">
        <v>23</v>
      </c>
      <c r="R57" s="4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8" t="s">
        <v>48</v>
      </c>
      <c r="B58" s="8" t="s">
        <v>879</v>
      </c>
      <c r="C58" s="9">
        <v>0.3611111111111111</v>
      </c>
      <c r="D58" s="8" t="s">
        <v>880</v>
      </c>
      <c r="E58" s="8" t="s">
        <v>246</v>
      </c>
      <c r="F58" s="8" t="s">
        <v>905</v>
      </c>
      <c r="G58" s="261"/>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5" t="s">
        <v>48</v>
      </c>
      <c r="B59" s="15" t="s">
        <v>879</v>
      </c>
      <c r="C59" s="16">
        <v>0.3611111111111111</v>
      </c>
      <c r="D59" s="15" t="s">
        <v>53</v>
      </c>
      <c r="E59" s="15" t="s">
        <v>284</v>
      </c>
      <c r="F59" s="15" t="s">
        <v>906</v>
      </c>
      <c r="G59" s="262"/>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48</v>
      </c>
      <c r="B60" s="15" t="s">
        <v>879</v>
      </c>
      <c r="C60" s="16">
        <v>0.3611111111111111</v>
      </c>
      <c r="D60" s="15" t="s">
        <v>56</v>
      </c>
      <c r="E60" s="15" t="s">
        <v>284</v>
      </c>
      <c r="F60" s="15" t="s">
        <v>907</v>
      </c>
      <c r="G60" s="262"/>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8" x14ac:dyDescent="0.3">
      <c r="A61" s="289" t="s">
        <v>885</v>
      </c>
      <c r="B61" s="290"/>
      <c r="C61" s="290"/>
      <c r="D61" s="290"/>
      <c r="E61" s="290"/>
      <c r="F61" s="290"/>
      <c r="G61" s="262"/>
      <c r="H61" s="158"/>
      <c r="I61" s="158"/>
      <c r="J61" s="158"/>
      <c r="K61" s="158"/>
      <c r="L61" s="158"/>
      <c r="M61" s="158"/>
      <c r="N61" s="158"/>
      <c r="O61" s="159"/>
      <c r="P61" s="158"/>
      <c r="Q61" s="160"/>
      <c r="R61" s="16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8" t="s">
        <v>300</v>
      </c>
      <c r="B62" s="38" t="s">
        <v>758</v>
      </c>
      <c r="C62" s="39" t="s">
        <v>908</v>
      </c>
      <c r="D62" s="38" t="s">
        <v>37</v>
      </c>
      <c r="E62" s="38" t="s">
        <v>207</v>
      </c>
      <c r="F62" s="38" t="s">
        <v>727</v>
      </c>
      <c r="G62" s="262"/>
      <c r="H62" s="158"/>
      <c r="I62" s="158"/>
      <c r="J62" s="158"/>
      <c r="K62" s="158"/>
      <c r="L62" s="158"/>
      <c r="M62" s="158"/>
      <c r="N62" s="158"/>
      <c r="O62" s="159"/>
      <c r="P62" s="158"/>
      <c r="Q62" s="160"/>
      <c r="R62" s="16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8" t="s">
        <v>295</v>
      </c>
      <c r="B63" s="38" t="s">
        <v>793</v>
      </c>
      <c r="C63" s="39" t="s">
        <v>901</v>
      </c>
      <c r="D63" s="38" t="s">
        <v>37</v>
      </c>
      <c r="E63" s="38" t="s">
        <v>209</v>
      </c>
      <c r="F63" s="38" t="s">
        <v>815</v>
      </c>
      <c r="G63" s="262"/>
      <c r="H63" s="158"/>
      <c r="I63" s="158"/>
      <c r="J63" s="158"/>
      <c r="K63" s="158"/>
      <c r="L63" s="158"/>
      <c r="M63" s="158"/>
      <c r="N63" s="158"/>
      <c r="O63" s="159"/>
      <c r="P63" s="158"/>
      <c r="Q63" s="160"/>
      <c r="R63" s="16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38" t="s">
        <v>295</v>
      </c>
      <c r="B64" s="38" t="s">
        <v>816</v>
      </c>
      <c r="C64" s="39" t="s">
        <v>909</v>
      </c>
      <c r="D64" s="38" t="s">
        <v>37</v>
      </c>
      <c r="E64" s="38" t="s">
        <v>598</v>
      </c>
      <c r="F64" s="38" t="s">
        <v>815</v>
      </c>
      <c r="G64" s="262"/>
      <c r="H64" s="158"/>
      <c r="I64" s="158"/>
      <c r="J64" s="158"/>
      <c r="K64" s="158"/>
      <c r="L64" s="158"/>
      <c r="M64" s="158"/>
      <c r="N64" s="158"/>
      <c r="O64" s="159"/>
      <c r="P64" s="158"/>
      <c r="Q64" s="160"/>
      <c r="R64" s="16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38" t="s">
        <v>48</v>
      </c>
      <c r="B65" s="38" t="s">
        <v>742</v>
      </c>
      <c r="C65" s="39" t="s">
        <v>607</v>
      </c>
      <c r="D65" s="38" t="s">
        <v>50</v>
      </c>
      <c r="E65" s="38" t="s">
        <v>611</v>
      </c>
      <c r="F65" s="38" t="s">
        <v>112</v>
      </c>
      <c r="G65" s="262"/>
      <c r="H65" s="158"/>
      <c r="I65" s="158"/>
      <c r="J65" s="158"/>
      <c r="K65" s="158"/>
      <c r="L65" s="158"/>
      <c r="M65" s="158"/>
      <c r="N65" s="158"/>
      <c r="O65" s="159"/>
      <c r="P65" s="158"/>
      <c r="Q65" s="160"/>
      <c r="R65" s="16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8" t="s">
        <v>48</v>
      </c>
      <c r="B66" s="38" t="s">
        <v>746</v>
      </c>
      <c r="C66" s="39" t="s">
        <v>891</v>
      </c>
      <c r="D66" s="38" t="s">
        <v>50</v>
      </c>
      <c r="E66" s="38" t="s">
        <v>207</v>
      </c>
      <c r="F66" s="38" t="s">
        <v>112</v>
      </c>
      <c r="G66" s="262"/>
      <c r="H66" s="158"/>
      <c r="I66" s="158"/>
      <c r="J66" s="158"/>
      <c r="K66" s="158"/>
      <c r="L66" s="158"/>
      <c r="M66" s="158"/>
      <c r="N66" s="158"/>
      <c r="O66" s="159"/>
      <c r="P66" s="158"/>
      <c r="Q66" s="160"/>
      <c r="R66" s="16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8" t="s">
        <v>295</v>
      </c>
      <c r="B67" s="38" t="s">
        <v>817</v>
      </c>
      <c r="C67" s="39" t="s">
        <v>910</v>
      </c>
      <c r="D67" s="38" t="s">
        <v>37</v>
      </c>
      <c r="E67" s="38" t="s">
        <v>209</v>
      </c>
      <c r="F67" s="38" t="s">
        <v>818</v>
      </c>
      <c r="G67" s="262"/>
      <c r="H67" s="158"/>
      <c r="I67" s="158"/>
      <c r="J67" s="158"/>
      <c r="K67" s="158"/>
      <c r="L67" s="158"/>
      <c r="M67" s="158"/>
      <c r="N67" s="158"/>
      <c r="O67" s="159"/>
      <c r="P67" s="158"/>
      <c r="Q67" s="160"/>
      <c r="R67" s="16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8" t="s">
        <v>300</v>
      </c>
      <c r="B68" s="38" t="s">
        <v>799</v>
      </c>
      <c r="C68" s="39" t="s">
        <v>911</v>
      </c>
      <c r="D68" s="38" t="s">
        <v>37</v>
      </c>
      <c r="E68" s="38" t="s">
        <v>213</v>
      </c>
      <c r="F68" s="38" t="s">
        <v>814</v>
      </c>
      <c r="G68" s="262"/>
      <c r="H68" s="158"/>
      <c r="I68" s="158"/>
      <c r="J68" s="158"/>
      <c r="K68" s="158"/>
      <c r="L68" s="158"/>
      <c r="M68" s="158"/>
      <c r="N68" s="158"/>
      <c r="O68" s="159"/>
      <c r="P68" s="158"/>
      <c r="Q68" s="160"/>
      <c r="R68" s="16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8" t="s">
        <v>25</v>
      </c>
      <c r="B69" s="38" t="s">
        <v>736</v>
      </c>
      <c r="C69" s="39" t="s">
        <v>886</v>
      </c>
      <c r="D69" s="38" t="s">
        <v>27</v>
      </c>
      <c r="E69" s="38" t="s">
        <v>611</v>
      </c>
      <c r="F69" s="38" t="s">
        <v>825</v>
      </c>
      <c r="G69" s="262"/>
      <c r="H69" s="158"/>
      <c r="I69" s="158"/>
      <c r="J69" s="158"/>
      <c r="K69" s="158"/>
      <c r="L69" s="158"/>
      <c r="M69" s="158"/>
      <c r="N69" s="158"/>
      <c r="O69" s="159"/>
      <c r="P69" s="158"/>
      <c r="Q69" s="160"/>
      <c r="R69" s="16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8" t="s">
        <v>48</v>
      </c>
      <c r="B70" s="38" t="s">
        <v>742</v>
      </c>
      <c r="C70" s="39" t="s">
        <v>607</v>
      </c>
      <c r="D70" s="38" t="s">
        <v>53</v>
      </c>
      <c r="E70" s="38" t="s">
        <v>611</v>
      </c>
      <c r="F70" s="38" t="s">
        <v>395</v>
      </c>
      <c r="G70" s="262"/>
      <c r="H70" s="158"/>
      <c r="I70" s="158"/>
      <c r="J70" s="158"/>
      <c r="K70" s="158"/>
      <c r="L70" s="158"/>
      <c r="M70" s="158"/>
      <c r="N70" s="158"/>
      <c r="O70" s="159"/>
      <c r="P70" s="158"/>
      <c r="Q70" s="160"/>
      <c r="R70" s="16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0" t="s">
        <v>48</v>
      </c>
      <c r="B71" s="40" t="s">
        <v>745</v>
      </c>
      <c r="C71" s="41" t="s">
        <v>890</v>
      </c>
      <c r="D71" s="40" t="s">
        <v>50</v>
      </c>
      <c r="E71" s="40" t="s">
        <v>598</v>
      </c>
      <c r="F71" s="40" t="s">
        <v>395</v>
      </c>
      <c r="G71" s="263"/>
      <c r="H71" s="161"/>
      <c r="I71" s="161"/>
      <c r="J71" s="161"/>
      <c r="K71" s="161"/>
      <c r="L71" s="161"/>
      <c r="M71" s="161"/>
      <c r="N71" s="161"/>
      <c r="O71" s="162"/>
      <c r="P71" s="161"/>
      <c r="Q71" s="163"/>
      <c r="R71" s="16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75"/>
      <c r="B72" s="276"/>
      <c r="C72" s="276"/>
      <c r="D72" s="276"/>
      <c r="E72" s="276"/>
      <c r="F72" s="276"/>
      <c r="G72" s="276"/>
      <c r="H72" s="276"/>
      <c r="I72" s="276"/>
      <c r="J72" s="276"/>
      <c r="K72" s="276"/>
      <c r="L72" s="276"/>
      <c r="M72" s="276"/>
      <c r="N72" s="276"/>
      <c r="O72" s="276"/>
      <c r="P72" s="276"/>
      <c r="Q72" s="276"/>
      <c r="R72" s="27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66" t="s">
        <v>5</v>
      </c>
      <c r="B73" s="267"/>
      <c r="C73" s="267"/>
      <c r="D73" s="267"/>
      <c r="E73" s="267"/>
      <c r="F73" s="267"/>
      <c r="G73" s="5">
        <v>45991</v>
      </c>
      <c r="H73" s="270" t="s">
        <v>6</v>
      </c>
      <c r="I73" s="269"/>
      <c r="J73" s="269"/>
      <c r="K73" s="269"/>
      <c r="L73" s="269"/>
      <c r="M73" s="269"/>
      <c r="N73" s="269"/>
      <c r="O73" s="269"/>
      <c r="P73" s="269"/>
      <c r="Q73" s="269"/>
      <c r="R73" s="26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47" t="s">
        <v>7</v>
      </c>
      <c r="B74" s="47" t="s">
        <v>8</v>
      </c>
      <c r="C74" s="48" t="s">
        <v>9</v>
      </c>
      <c r="D74" s="47" t="s">
        <v>10</v>
      </c>
      <c r="E74" s="47" t="s">
        <v>11</v>
      </c>
      <c r="F74" s="47" t="s">
        <v>12</v>
      </c>
      <c r="G74" s="49" t="s">
        <v>13</v>
      </c>
      <c r="H74" s="47" t="s">
        <v>14</v>
      </c>
      <c r="I74" s="50" t="s">
        <v>15</v>
      </c>
      <c r="J74" s="51" t="s">
        <v>16</v>
      </c>
      <c r="K74" s="52" t="s">
        <v>17</v>
      </c>
      <c r="L74" s="51" t="s">
        <v>18</v>
      </c>
      <c r="M74" s="51" t="s">
        <v>19</v>
      </c>
      <c r="N74" s="51" t="s">
        <v>20</v>
      </c>
      <c r="O74" s="47" t="s">
        <v>21</v>
      </c>
      <c r="P74" s="48" t="s">
        <v>22</v>
      </c>
      <c r="Q74" s="51" t="s">
        <v>23</v>
      </c>
      <c r="R74" s="47"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35</v>
      </c>
      <c r="B75" s="17" t="s">
        <v>876</v>
      </c>
      <c r="C75" s="18">
        <v>0.42708333333333331</v>
      </c>
      <c r="D75" s="17" t="s">
        <v>37</v>
      </c>
      <c r="E75" s="17" t="s">
        <v>97</v>
      </c>
      <c r="F75" s="17" t="s">
        <v>807</v>
      </c>
      <c r="G75" s="261"/>
      <c r="H75" s="19" t="s">
        <v>877</v>
      </c>
      <c r="I75" s="234">
        <v>0.62009999999999998</v>
      </c>
      <c r="J75" s="21">
        <v>111</v>
      </c>
      <c r="K75" s="22">
        <v>45984</v>
      </c>
      <c r="L75" s="21">
        <v>24</v>
      </c>
      <c r="M75" s="21">
        <v>0</v>
      </c>
      <c r="N75" s="21">
        <v>8</v>
      </c>
      <c r="O75" s="23" t="s">
        <v>912</v>
      </c>
      <c r="P75" s="24">
        <v>0.42708333333333331</v>
      </c>
      <c r="Q75" s="21">
        <v>179</v>
      </c>
      <c r="R75" s="25" t="s">
        <v>913</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36" t="s">
        <v>75</v>
      </c>
      <c r="B76" s="36" t="s">
        <v>883</v>
      </c>
      <c r="C76" s="37">
        <v>0.42708333333333331</v>
      </c>
      <c r="D76" s="36" t="s">
        <v>60</v>
      </c>
      <c r="E76" s="36" t="s">
        <v>38</v>
      </c>
      <c r="F76" s="36" t="s">
        <v>884</v>
      </c>
      <c r="G76" s="262"/>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8" x14ac:dyDescent="0.3">
      <c r="A77" s="289" t="s">
        <v>885</v>
      </c>
      <c r="B77" s="290"/>
      <c r="C77" s="290"/>
      <c r="D77" s="290"/>
      <c r="E77" s="290"/>
      <c r="F77" s="290"/>
      <c r="G77" s="262"/>
      <c r="H77" s="158"/>
      <c r="I77" s="158"/>
      <c r="J77" s="158"/>
      <c r="K77" s="158"/>
      <c r="L77" s="158"/>
      <c r="M77" s="158"/>
      <c r="N77" s="158"/>
      <c r="O77" s="159"/>
      <c r="P77" s="158"/>
      <c r="Q77" s="160"/>
      <c r="R77" s="16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8" t="s">
        <v>25</v>
      </c>
      <c r="B78" s="38" t="s">
        <v>736</v>
      </c>
      <c r="C78" s="39" t="s">
        <v>886</v>
      </c>
      <c r="D78" s="38" t="s">
        <v>27</v>
      </c>
      <c r="E78" s="38" t="s">
        <v>213</v>
      </c>
      <c r="F78" s="38" t="s">
        <v>29</v>
      </c>
      <c r="G78" s="262"/>
      <c r="H78" s="158"/>
      <c r="I78" s="158"/>
      <c r="J78" s="158"/>
      <c r="K78" s="158"/>
      <c r="L78" s="158"/>
      <c r="M78" s="158"/>
      <c r="N78" s="158"/>
      <c r="O78" s="159"/>
      <c r="P78" s="158"/>
      <c r="Q78" s="160"/>
      <c r="R78" s="16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38" t="s">
        <v>25</v>
      </c>
      <c r="B79" s="38" t="s">
        <v>739</v>
      </c>
      <c r="C79" s="39" t="s">
        <v>888</v>
      </c>
      <c r="D79" s="38" t="s">
        <v>27</v>
      </c>
      <c r="E79" s="38" t="s">
        <v>207</v>
      </c>
      <c r="F79" s="38" t="s">
        <v>29</v>
      </c>
      <c r="G79" s="262"/>
      <c r="H79" s="158"/>
      <c r="I79" s="158"/>
      <c r="J79" s="158"/>
      <c r="K79" s="158"/>
      <c r="L79" s="158"/>
      <c r="M79" s="158"/>
      <c r="N79" s="158"/>
      <c r="O79" s="159"/>
      <c r="P79" s="158"/>
      <c r="Q79" s="160"/>
      <c r="R79" s="16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38" t="s">
        <v>300</v>
      </c>
      <c r="B80" s="38" t="s">
        <v>838</v>
      </c>
      <c r="C80" s="39" t="s">
        <v>581</v>
      </c>
      <c r="D80" s="38" t="s">
        <v>37</v>
      </c>
      <c r="E80" s="38" t="s">
        <v>209</v>
      </c>
      <c r="F80" s="38" t="s">
        <v>801</v>
      </c>
      <c r="G80" s="262"/>
      <c r="H80" s="158"/>
      <c r="I80" s="158"/>
      <c r="J80" s="158"/>
      <c r="K80" s="158"/>
      <c r="L80" s="158"/>
      <c r="M80" s="158"/>
      <c r="N80" s="158"/>
      <c r="O80" s="159"/>
      <c r="P80" s="158"/>
      <c r="Q80" s="160"/>
      <c r="R80" s="16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38" t="s">
        <v>25</v>
      </c>
      <c r="B81" s="38" t="s">
        <v>738</v>
      </c>
      <c r="C81" s="39" t="s">
        <v>887</v>
      </c>
      <c r="D81" s="38" t="s">
        <v>27</v>
      </c>
      <c r="E81" s="38" t="s">
        <v>611</v>
      </c>
      <c r="F81" s="38" t="s">
        <v>751</v>
      </c>
      <c r="G81" s="262"/>
      <c r="H81" s="158"/>
      <c r="I81" s="158"/>
      <c r="J81" s="158"/>
      <c r="K81" s="158"/>
      <c r="L81" s="158"/>
      <c r="M81" s="158"/>
      <c r="N81" s="158"/>
      <c r="O81" s="159"/>
      <c r="P81" s="158"/>
      <c r="Q81" s="160"/>
      <c r="R81" s="16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38" t="s">
        <v>25</v>
      </c>
      <c r="B82" s="38" t="s">
        <v>740</v>
      </c>
      <c r="C82" s="39" t="s">
        <v>584</v>
      </c>
      <c r="D82" s="38" t="s">
        <v>27</v>
      </c>
      <c r="E82" s="38" t="s">
        <v>914</v>
      </c>
      <c r="F82" s="38" t="s">
        <v>751</v>
      </c>
      <c r="G82" s="262"/>
      <c r="H82" s="158"/>
      <c r="I82" s="158"/>
      <c r="J82" s="158"/>
      <c r="K82" s="158"/>
      <c r="L82" s="158"/>
      <c r="M82" s="158"/>
      <c r="N82" s="158"/>
      <c r="O82" s="159"/>
      <c r="P82" s="158"/>
      <c r="Q82" s="160"/>
      <c r="R82" s="16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38" t="s">
        <v>35</v>
      </c>
      <c r="B83" s="38" t="s">
        <v>779</v>
      </c>
      <c r="C83" s="39" t="s">
        <v>915</v>
      </c>
      <c r="D83" s="38" t="s">
        <v>37</v>
      </c>
      <c r="E83" s="38" t="s">
        <v>213</v>
      </c>
      <c r="F83" s="38" t="s">
        <v>839</v>
      </c>
      <c r="G83" s="262"/>
      <c r="H83" s="158"/>
      <c r="I83" s="158"/>
      <c r="J83" s="158"/>
      <c r="K83" s="158"/>
      <c r="L83" s="158"/>
      <c r="M83" s="158"/>
      <c r="N83" s="158"/>
      <c r="O83" s="159"/>
      <c r="P83" s="158"/>
      <c r="Q83" s="160"/>
      <c r="R83" s="16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38" t="s">
        <v>48</v>
      </c>
      <c r="B84" s="38" t="s">
        <v>744</v>
      </c>
      <c r="C84" s="39" t="s">
        <v>889</v>
      </c>
      <c r="D84" s="38" t="s">
        <v>50</v>
      </c>
      <c r="E84" s="38" t="s">
        <v>207</v>
      </c>
      <c r="F84" s="38" t="s">
        <v>117</v>
      </c>
      <c r="G84" s="262"/>
      <c r="H84" s="158"/>
      <c r="I84" s="158"/>
      <c r="J84" s="158"/>
      <c r="K84" s="158"/>
      <c r="L84" s="158"/>
      <c r="M84" s="158"/>
      <c r="N84" s="158"/>
      <c r="O84" s="159"/>
      <c r="P84" s="158"/>
      <c r="Q84" s="160"/>
      <c r="R84" s="16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38" t="s">
        <v>48</v>
      </c>
      <c r="B85" s="38" t="s">
        <v>745</v>
      </c>
      <c r="C85" s="39" t="s">
        <v>890</v>
      </c>
      <c r="D85" s="38" t="s">
        <v>50</v>
      </c>
      <c r="E85" s="38" t="s">
        <v>205</v>
      </c>
      <c r="F85" s="38" t="s">
        <v>117</v>
      </c>
      <c r="G85" s="262"/>
      <c r="H85" s="158"/>
      <c r="I85" s="158"/>
      <c r="J85" s="158"/>
      <c r="K85" s="158"/>
      <c r="L85" s="158"/>
      <c r="M85" s="158"/>
      <c r="N85" s="158"/>
      <c r="O85" s="159"/>
      <c r="P85" s="158"/>
      <c r="Q85" s="160"/>
      <c r="R85" s="16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38" t="s">
        <v>48</v>
      </c>
      <c r="B86" s="38" t="s">
        <v>746</v>
      </c>
      <c r="C86" s="39" t="s">
        <v>891</v>
      </c>
      <c r="D86" s="38" t="s">
        <v>50</v>
      </c>
      <c r="E86" s="38" t="s">
        <v>249</v>
      </c>
      <c r="F86" s="38" t="s">
        <v>117</v>
      </c>
      <c r="G86" s="262"/>
      <c r="H86" s="158"/>
      <c r="I86" s="158"/>
      <c r="J86" s="158"/>
      <c r="K86" s="158"/>
      <c r="L86" s="158"/>
      <c r="M86" s="158"/>
      <c r="N86" s="158"/>
      <c r="O86" s="159"/>
      <c r="P86" s="158"/>
      <c r="Q86" s="160"/>
      <c r="R86" s="16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40" t="s">
        <v>48</v>
      </c>
      <c r="B87" s="40" t="s">
        <v>749</v>
      </c>
      <c r="C87" s="41" t="s">
        <v>223</v>
      </c>
      <c r="D87" s="40" t="s">
        <v>50</v>
      </c>
      <c r="E87" s="40" t="s">
        <v>218</v>
      </c>
      <c r="F87" s="40" t="s">
        <v>117</v>
      </c>
      <c r="G87" s="263"/>
      <c r="H87" s="161"/>
      <c r="I87" s="161"/>
      <c r="J87" s="161"/>
      <c r="K87" s="161"/>
      <c r="L87" s="161"/>
      <c r="M87" s="161"/>
      <c r="N87" s="161"/>
      <c r="O87" s="162"/>
      <c r="P87" s="161"/>
      <c r="Q87" s="163"/>
      <c r="R87" s="16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75"/>
      <c r="B88" s="276"/>
      <c r="C88" s="276"/>
      <c r="D88" s="276"/>
      <c r="E88" s="276"/>
      <c r="F88" s="276"/>
      <c r="G88" s="276"/>
      <c r="H88" s="276"/>
      <c r="I88" s="276"/>
      <c r="J88" s="276"/>
      <c r="K88" s="276"/>
      <c r="L88" s="276"/>
      <c r="M88" s="276"/>
      <c r="N88" s="276"/>
      <c r="O88" s="276"/>
      <c r="P88" s="276"/>
      <c r="Q88" s="276"/>
      <c r="R88" s="27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sheetData>
  <mergeCells count="34">
    <mergeCell ref="A88:R88"/>
    <mergeCell ref="G58:G71"/>
    <mergeCell ref="A77:F77"/>
    <mergeCell ref="A73:F73"/>
    <mergeCell ref="A11:F11"/>
    <mergeCell ref="G75:G87"/>
    <mergeCell ref="A1:C1"/>
    <mergeCell ref="G1:H1"/>
    <mergeCell ref="A61:F61"/>
    <mergeCell ref="G6:G21"/>
    <mergeCell ref="H73:R73"/>
    <mergeCell ref="G2:J2"/>
    <mergeCell ref="A4:F4"/>
    <mergeCell ref="J1:M1"/>
    <mergeCell ref="A22:R22"/>
    <mergeCell ref="A72:R72"/>
    <mergeCell ref="A38:R38"/>
    <mergeCell ref="A44:F44"/>
    <mergeCell ref="K2:R2"/>
    <mergeCell ref="G25:G37"/>
    <mergeCell ref="A39:F39"/>
    <mergeCell ref="D1:F1"/>
    <mergeCell ref="H23:R23"/>
    <mergeCell ref="O1:Q1"/>
    <mergeCell ref="A27:F27"/>
    <mergeCell ref="A56:F56"/>
    <mergeCell ref="H4:R4"/>
    <mergeCell ref="A2:F2"/>
    <mergeCell ref="A3:R3"/>
    <mergeCell ref="A55:R55"/>
    <mergeCell ref="H56:R56"/>
    <mergeCell ref="H39:R39"/>
    <mergeCell ref="A23:F23"/>
    <mergeCell ref="G41:G5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877</v>
      </c>
      <c r="D2" s="81">
        <v>0.43055555555555558</v>
      </c>
      <c r="E2" s="80" t="s">
        <v>875</v>
      </c>
      <c r="F2" s="80" t="s">
        <v>159</v>
      </c>
      <c r="G2" s="82">
        <v>0.70389999999999997</v>
      </c>
      <c r="H2" s="83">
        <v>179</v>
      </c>
      <c r="I2" s="83">
        <v>126</v>
      </c>
      <c r="J2" s="83">
        <v>0</v>
      </c>
      <c r="K2" s="79">
        <v>45984</v>
      </c>
      <c r="L2" s="83">
        <v>0</v>
      </c>
      <c r="M2" s="83">
        <v>4</v>
      </c>
      <c r="N2" s="83">
        <v>38</v>
      </c>
      <c r="O2" s="80" t="s">
        <v>367</v>
      </c>
      <c r="P2" s="84"/>
      <c r="Q2" s="84"/>
      <c r="R2" s="84"/>
      <c r="S2" s="84"/>
      <c r="T2" s="83" t="s">
        <v>810</v>
      </c>
      <c r="U2" s="83" t="s">
        <v>916</v>
      </c>
      <c r="V2" s="83" t="s">
        <v>551</v>
      </c>
      <c r="W2" s="83" t="s">
        <v>866</v>
      </c>
      <c r="X2" s="83" t="s">
        <v>535</v>
      </c>
      <c r="Y2" s="83" t="s">
        <v>709</v>
      </c>
      <c r="Z2" s="83" t="s">
        <v>867</v>
      </c>
      <c r="AA2" s="83" t="s">
        <v>635</v>
      </c>
      <c r="AB2" s="83" t="s">
        <v>181</v>
      </c>
      <c r="AC2" s="83" t="s">
        <v>182</v>
      </c>
      <c r="AD2" s="83" t="s">
        <v>491</v>
      </c>
      <c r="AE2" s="84"/>
      <c r="AF2" s="84"/>
      <c r="AG2" s="84"/>
      <c r="AH2" s="84"/>
      <c r="AI2" s="84"/>
    </row>
    <row r="3" spans="1:35" ht="18" x14ac:dyDescent="0.3">
      <c r="A3" s="85" t="s">
        <v>232</v>
      </c>
      <c r="B3" s="86">
        <v>45987</v>
      </c>
      <c r="C3" s="87" t="s">
        <v>895</v>
      </c>
      <c r="D3" s="88">
        <v>0.40625</v>
      </c>
      <c r="E3" s="87" t="s">
        <v>875</v>
      </c>
      <c r="F3" s="87" t="s">
        <v>159</v>
      </c>
      <c r="G3" s="89">
        <v>0.81010000000000004</v>
      </c>
      <c r="H3" s="90">
        <v>179</v>
      </c>
      <c r="I3" s="90">
        <v>145</v>
      </c>
      <c r="J3" s="90">
        <v>0</v>
      </c>
      <c r="K3" s="86">
        <v>45984</v>
      </c>
      <c r="L3" s="90">
        <v>0</v>
      </c>
      <c r="M3" s="90">
        <v>1</v>
      </c>
      <c r="N3" s="90">
        <v>6</v>
      </c>
      <c r="O3" s="87" t="s">
        <v>896</v>
      </c>
      <c r="P3" s="90" t="s">
        <v>258</v>
      </c>
      <c r="Q3" s="91"/>
      <c r="R3" s="91"/>
      <c r="S3" s="90" t="s">
        <v>917</v>
      </c>
      <c r="T3" s="91"/>
      <c r="U3" s="91"/>
      <c r="V3" s="90" t="s">
        <v>851</v>
      </c>
      <c r="W3" s="90" t="s">
        <v>555</v>
      </c>
      <c r="X3" s="90" t="s">
        <v>918</v>
      </c>
      <c r="Y3" s="90" t="s">
        <v>919</v>
      </c>
      <c r="Z3" s="90" t="s">
        <v>644</v>
      </c>
      <c r="AA3" s="90" t="s">
        <v>261</v>
      </c>
      <c r="AB3" s="90" t="s">
        <v>253</v>
      </c>
      <c r="AC3" s="90" t="s">
        <v>920</v>
      </c>
      <c r="AD3" s="90" t="s">
        <v>177</v>
      </c>
      <c r="AE3" s="91"/>
      <c r="AF3" s="91"/>
      <c r="AG3" s="91"/>
      <c r="AH3" s="91"/>
      <c r="AI3" s="91"/>
    </row>
    <row r="4" spans="1:35" ht="18" x14ac:dyDescent="0.3">
      <c r="A4" s="78" t="s">
        <v>186</v>
      </c>
      <c r="B4" s="79">
        <v>45991</v>
      </c>
      <c r="C4" s="80" t="s">
        <v>877</v>
      </c>
      <c r="D4" s="81">
        <v>0.42708333333333331</v>
      </c>
      <c r="E4" s="80" t="s">
        <v>875</v>
      </c>
      <c r="F4" s="80" t="s">
        <v>159</v>
      </c>
      <c r="G4" s="82">
        <v>0.62009999999999998</v>
      </c>
      <c r="H4" s="83">
        <v>179</v>
      </c>
      <c r="I4" s="83">
        <v>111</v>
      </c>
      <c r="J4" s="83">
        <v>0</v>
      </c>
      <c r="K4" s="79">
        <v>45984</v>
      </c>
      <c r="L4" s="83">
        <v>0</v>
      </c>
      <c r="M4" s="83">
        <v>8</v>
      </c>
      <c r="N4" s="83">
        <v>24</v>
      </c>
      <c r="O4" s="80" t="s">
        <v>912</v>
      </c>
      <c r="P4" s="84"/>
      <c r="Q4" s="84"/>
      <c r="R4" s="84"/>
      <c r="S4" s="83" t="s">
        <v>921</v>
      </c>
      <c r="T4" s="83" t="s">
        <v>922</v>
      </c>
      <c r="U4" s="83" t="s">
        <v>916</v>
      </c>
      <c r="V4" s="83" t="s">
        <v>426</v>
      </c>
      <c r="W4" s="83" t="s">
        <v>126</v>
      </c>
      <c r="X4" s="84"/>
      <c r="Y4" s="83" t="s">
        <v>250</v>
      </c>
      <c r="Z4" s="83" t="s">
        <v>430</v>
      </c>
      <c r="AA4" s="83" t="s">
        <v>923</v>
      </c>
      <c r="AB4" s="83" t="s">
        <v>473</v>
      </c>
      <c r="AC4" s="83" t="s">
        <v>924</v>
      </c>
      <c r="AD4" s="83" t="s">
        <v>859</v>
      </c>
      <c r="AE4" s="83" t="s">
        <v>699</v>
      </c>
      <c r="AF4" s="84"/>
      <c r="AG4" s="84"/>
      <c r="AH4" s="84"/>
      <c r="AI4" s="84"/>
    </row>
    <row r="5" spans="1:35" ht="18" x14ac:dyDescent="0.3">
      <c r="A5" s="92" t="s">
        <v>189</v>
      </c>
      <c r="B5" s="93"/>
      <c r="C5" s="94">
        <f>COUNTA(C2:C4)</f>
        <v>3</v>
      </c>
      <c r="D5" s="93"/>
      <c r="E5" s="93"/>
      <c r="F5" s="93"/>
      <c r="G5" s="95">
        <f>AVERAGE(G2:G4)</f>
        <v>0.7113666666666667</v>
      </c>
      <c r="H5" s="96">
        <f>SUM(H2:H4)</f>
        <v>537</v>
      </c>
      <c r="I5" s="96">
        <f>SUM(I2:I4)</f>
        <v>382</v>
      </c>
      <c r="J5" s="96">
        <f>SUM(J2:J4)</f>
        <v>0</v>
      </c>
      <c r="K5" s="93"/>
      <c r="L5" s="96">
        <f>SUM(L2:L4)</f>
        <v>0</v>
      </c>
      <c r="M5" s="96">
        <f>SUM(M2:M4)</f>
        <v>13</v>
      </c>
      <c r="N5" s="96">
        <f>SUM(N2:N4)</f>
        <v>68</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82"/>
  <sheetViews>
    <sheetView workbookViewId="0"/>
  </sheetViews>
  <sheetFormatPr defaultRowHeight="14.4" x14ac:dyDescent="0.3"/>
  <cols>
    <col min="1" max="1" width="13" bestFit="1" customWidth="1"/>
    <col min="2" max="2" width="19.44140625" bestFit="1" customWidth="1"/>
    <col min="3" max="3" width="16.109375" bestFit="1" customWidth="1"/>
    <col min="4" max="4" width="11.44140625" bestFit="1" customWidth="1"/>
    <col min="5" max="5" width="32.88671875" bestFit="1" customWidth="1"/>
    <col min="6" max="6" width="36.4414062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876</v>
      </c>
      <c r="D2" s="110" t="s">
        <v>875</v>
      </c>
      <c r="E2" s="112">
        <v>1.430555555555556</v>
      </c>
      <c r="F2" s="110" t="s">
        <v>37</v>
      </c>
      <c r="G2" s="113">
        <v>1</v>
      </c>
      <c r="H2" s="166" t="s">
        <v>839</v>
      </c>
    </row>
    <row r="3" spans="1:8" ht="18" x14ac:dyDescent="0.3">
      <c r="A3" s="118">
        <v>45986</v>
      </c>
      <c r="B3" s="99" t="s">
        <v>48</v>
      </c>
      <c r="C3" s="100" t="s">
        <v>879</v>
      </c>
      <c r="D3" s="99" t="s">
        <v>875</v>
      </c>
      <c r="E3" s="101">
        <v>1.3611111111111109</v>
      </c>
      <c r="F3" s="99" t="s">
        <v>880</v>
      </c>
      <c r="G3" s="102">
        <v>4</v>
      </c>
      <c r="H3" s="99" t="s">
        <v>386</v>
      </c>
    </row>
    <row r="4" spans="1:8" ht="18" x14ac:dyDescent="0.3">
      <c r="A4" s="104">
        <v>45986</v>
      </c>
      <c r="B4" s="105" t="s">
        <v>48</v>
      </c>
      <c r="C4" s="106" t="s">
        <v>879</v>
      </c>
      <c r="D4" s="105" t="s">
        <v>875</v>
      </c>
      <c r="E4" s="107">
        <v>1.3611111111111109</v>
      </c>
      <c r="F4" s="105" t="s">
        <v>53</v>
      </c>
      <c r="G4" s="108">
        <v>4</v>
      </c>
      <c r="H4" s="105" t="s">
        <v>881</v>
      </c>
    </row>
    <row r="5" spans="1:8" ht="18" x14ac:dyDescent="0.3">
      <c r="A5" s="104">
        <v>45986</v>
      </c>
      <c r="B5" s="105" t="s">
        <v>48</v>
      </c>
      <c r="C5" s="106" t="s">
        <v>879</v>
      </c>
      <c r="D5" s="105" t="s">
        <v>875</v>
      </c>
      <c r="E5" s="107">
        <v>1.3611111111111109</v>
      </c>
      <c r="F5" s="105" t="s">
        <v>56</v>
      </c>
      <c r="G5" s="108">
        <v>4</v>
      </c>
      <c r="H5" s="105" t="s">
        <v>882</v>
      </c>
    </row>
    <row r="6" spans="1:8" ht="18" x14ac:dyDescent="0.3">
      <c r="A6" s="118">
        <v>45986</v>
      </c>
      <c r="B6" s="99" t="s">
        <v>75</v>
      </c>
      <c r="C6" s="100" t="s">
        <v>883</v>
      </c>
      <c r="D6" s="99" t="s">
        <v>875</v>
      </c>
      <c r="E6" s="101">
        <v>1.430555555555556</v>
      </c>
      <c r="F6" s="99" t="s">
        <v>60</v>
      </c>
      <c r="G6" s="102">
        <v>4</v>
      </c>
      <c r="H6" s="99" t="s">
        <v>884</v>
      </c>
    </row>
    <row r="7" spans="1:8" ht="15.6" x14ac:dyDescent="0.3">
      <c r="A7" s="167"/>
      <c r="B7" s="167"/>
      <c r="C7" s="167"/>
      <c r="D7" s="167"/>
      <c r="E7" s="168" t="s">
        <v>925</v>
      </c>
      <c r="F7" s="167"/>
      <c r="G7" s="167"/>
      <c r="H7" s="3"/>
    </row>
    <row r="8" spans="1:8" ht="18" x14ac:dyDescent="0.3">
      <c r="A8" s="118">
        <v>45986</v>
      </c>
      <c r="B8" s="99" t="s">
        <v>25</v>
      </c>
      <c r="C8" s="100" t="s">
        <v>736</v>
      </c>
      <c r="D8" s="99" t="s">
        <v>735</v>
      </c>
      <c r="E8" s="101">
        <v>1.5763888888888891</v>
      </c>
      <c r="F8" s="99" t="s">
        <v>335</v>
      </c>
      <c r="G8" s="102">
        <v>1</v>
      </c>
      <c r="H8" s="99" t="s">
        <v>737</v>
      </c>
    </row>
    <row r="9" spans="1:8" ht="18" x14ac:dyDescent="0.3">
      <c r="A9" s="119">
        <v>45986</v>
      </c>
      <c r="B9" s="120" t="s">
        <v>25</v>
      </c>
      <c r="C9" s="121" t="s">
        <v>738</v>
      </c>
      <c r="D9" s="120" t="s">
        <v>735</v>
      </c>
      <c r="E9" s="122">
        <v>1.6284722222222221</v>
      </c>
      <c r="F9" s="120" t="s">
        <v>335</v>
      </c>
      <c r="G9" s="123">
        <v>10</v>
      </c>
      <c r="H9" s="120" t="s">
        <v>660</v>
      </c>
    </row>
    <row r="10" spans="1:8" ht="18" x14ac:dyDescent="0.3">
      <c r="A10" s="119">
        <v>45986</v>
      </c>
      <c r="B10" s="120" t="s">
        <v>25</v>
      </c>
      <c r="C10" s="121" t="s">
        <v>739</v>
      </c>
      <c r="D10" s="120" t="s">
        <v>735</v>
      </c>
      <c r="E10" s="122">
        <v>1.944444444444444</v>
      </c>
      <c r="F10" s="120" t="s">
        <v>335</v>
      </c>
      <c r="G10" s="123">
        <v>3</v>
      </c>
      <c r="H10" s="120" t="s">
        <v>660</v>
      </c>
    </row>
    <row r="11" spans="1:8" ht="18" x14ac:dyDescent="0.3">
      <c r="A11" s="119">
        <v>45986</v>
      </c>
      <c r="B11" s="120" t="s">
        <v>25</v>
      </c>
      <c r="C11" s="121" t="s">
        <v>740</v>
      </c>
      <c r="D11" s="120" t="s">
        <v>735</v>
      </c>
      <c r="E11" s="122">
        <v>1.8888888888888891</v>
      </c>
      <c r="F11" s="120" t="s">
        <v>335</v>
      </c>
      <c r="G11" s="123">
        <v>7</v>
      </c>
      <c r="H11" s="120" t="s">
        <v>741</v>
      </c>
    </row>
    <row r="12" spans="1:8" ht="18" x14ac:dyDescent="0.3">
      <c r="A12" s="118">
        <v>45986</v>
      </c>
      <c r="B12" s="99" t="s">
        <v>48</v>
      </c>
      <c r="C12" s="100" t="s">
        <v>742</v>
      </c>
      <c r="D12" s="99" t="s">
        <v>735</v>
      </c>
      <c r="E12" s="101">
        <v>1.4375</v>
      </c>
      <c r="F12" s="99" t="s">
        <v>102</v>
      </c>
      <c r="G12" s="102">
        <v>2</v>
      </c>
      <c r="H12" s="99" t="s">
        <v>743</v>
      </c>
    </row>
    <row r="13" spans="1:8" ht="18" x14ac:dyDescent="0.3">
      <c r="A13" s="119">
        <v>45986</v>
      </c>
      <c r="B13" s="120" t="s">
        <v>48</v>
      </c>
      <c r="C13" s="121" t="s">
        <v>744</v>
      </c>
      <c r="D13" s="120" t="s">
        <v>735</v>
      </c>
      <c r="E13" s="122">
        <v>1.631944444444444</v>
      </c>
      <c r="F13" s="120" t="s">
        <v>102</v>
      </c>
      <c r="G13" s="123">
        <v>8</v>
      </c>
      <c r="H13" s="120" t="s">
        <v>743</v>
      </c>
    </row>
    <row r="14" spans="1:8" ht="18" x14ac:dyDescent="0.3">
      <c r="A14" s="119">
        <v>45986</v>
      </c>
      <c r="B14" s="120" t="s">
        <v>48</v>
      </c>
      <c r="C14" s="121" t="s">
        <v>745</v>
      </c>
      <c r="D14" s="120" t="s">
        <v>735</v>
      </c>
      <c r="E14" s="122">
        <v>1.5590277777777779</v>
      </c>
      <c r="F14" s="120" t="s">
        <v>102</v>
      </c>
      <c r="G14" s="123">
        <v>3</v>
      </c>
      <c r="H14" s="120" t="s">
        <v>743</v>
      </c>
    </row>
    <row r="15" spans="1:8" ht="18" x14ac:dyDescent="0.3">
      <c r="A15" s="119">
        <v>45986</v>
      </c>
      <c r="B15" s="120" t="s">
        <v>48</v>
      </c>
      <c r="C15" s="121" t="s">
        <v>746</v>
      </c>
      <c r="D15" s="120" t="s">
        <v>735</v>
      </c>
      <c r="E15" s="122">
        <v>1.506944444444444</v>
      </c>
      <c r="F15" s="120" t="s">
        <v>102</v>
      </c>
      <c r="G15" s="123">
        <v>2</v>
      </c>
      <c r="H15" s="120" t="s">
        <v>743</v>
      </c>
    </row>
    <row r="16" spans="1:8" ht="18" x14ac:dyDescent="0.3">
      <c r="A16" s="119">
        <v>45986</v>
      </c>
      <c r="B16" s="120" t="s">
        <v>48</v>
      </c>
      <c r="C16" s="121" t="s">
        <v>747</v>
      </c>
      <c r="D16" s="120" t="s">
        <v>735</v>
      </c>
      <c r="E16" s="122">
        <v>1.819444444444444</v>
      </c>
      <c r="F16" s="120" t="s">
        <v>102</v>
      </c>
      <c r="G16" s="123">
        <v>1</v>
      </c>
      <c r="H16" s="120" t="s">
        <v>748</v>
      </c>
    </row>
    <row r="17" spans="1:8" ht="18" x14ac:dyDescent="0.3">
      <c r="A17" s="124">
        <v>45986</v>
      </c>
      <c r="B17" s="125" t="s">
        <v>48</v>
      </c>
      <c r="C17" s="126" t="s">
        <v>749</v>
      </c>
      <c r="D17" s="125" t="s">
        <v>735</v>
      </c>
      <c r="E17" s="127">
        <v>1.697916666666667</v>
      </c>
      <c r="F17" s="125" t="s">
        <v>102</v>
      </c>
      <c r="G17" s="128">
        <v>9</v>
      </c>
      <c r="H17" s="125" t="s">
        <v>748</v>
      </c>
    </row>
    <row r="18" spans="1:8" ht="18" x14ac:dyDescent="0.3">
      <c r="A18" s="165">
        <v>45987</v>
      </c>
      <c r="B18" s="110" t="s">
        <v>35</v>
      </c>
      <c r="C18" s="111" t="s">
        <v>893</v>
      </c>
      <c r="D18" s="110" t="s">
        <v>875</v>
      </c>
      <c r="E18" s="112">
        <v>1.40625</v>
      </c>
      <c r="F18" s="110" t="s">
        <v>37</v>
      </c>
      <c r="G18" s="113">
        <v>9</v>
      </c>
      <c r="H18" s="166" t="s">
        <v>894</v>
      </c>
    </row>
    <row r="19" spans="1:8" ht="18" x14ac:dyDescent="0.3">
      <c r="A19" s="118">
        <v>45987</v>
      </c>
      <c r="B19" s="99" t="s">
        <v>75</v>
      </c>
      <c r="C19" s="100" t="s">
        <v>898</v>
      </c>
      <c r="D19" s="99" t="s">
        <v>875</v>
      </c>
      <c r="E19" s="101">
        <v>1.40625</v>
      </c>
      <c r="F19" s="99" t="s">
        <v>60</v>
      </c>
      <c r="G19" s="102">
        <v>4</v>
      </c>
      <c r="H19" s="99" t="s">
        <v>899</v>
      </c>
    </row>
    <row r="20" spans="1:8" ht="15.6" x14ac:dyDescent="0.3">
      <c r="A20" s="167"/>
      <c r="B20" s="167"/>
      <c r="C20" s="167"/>
      <c r="D20" s="167"/>
      <c r="E20" s="168" t="s">
        <v>925</v>
      </c>
      <c r="F20" s="167"/>
      <c r="G20" s="167"/>
      <c r="H20" s="3"/>
    </row>
    <row r="21" spans="1:8" ht="18" x14ac:dyDescent="0.3">
      <c r="A21" s="118">
        <v>45987</v>
      </c>
      <c r="B21" s="99" t="s">
        <v>25</v>
      </c>
      <c r="C21" s="100" t="s">
        <v>736</v>
      </c>
      <c r="D21" s="99" t="s">
        <v>735</v>
      </c>
      <c r="E21" s="101">
        <v>1.5763888888888891</v>
      </c>
      <c r="F21" s="99" t="s">
        <v>27</v>
      </c>
      <c r="G21" s="102">
        <v>5</v>
      </c>
      <c r="H21" s="99" t="s">
        <v>660</v>
      </c>
    </row>
    <row r="22" spans="1:8" ht="18" x14ac:dyDescent="0.3">
      <c r="A22" s="119">
        <v>45987</v>
      </c>
      <c r="B22" s="120" t="s">
        <v>25</v>
      </c>
      <c r="C22" s="121" t="s">
        <v>738</v>
      </c>
      <c r="D22" s="120" t="s">
        <v>735</v>
      </c>
      <c r="E22" s="122">
        <v>1.6284722222222221</v>
      </c>
      <c r="F22" s="120" t="s">
        <v>27</v>
      </c>
      <c r="G22" s="123">
        <v>2</v>
      </c>
      <c r="H22" s="120" t="s">
        <v>660</v>
      </c>
    </row>
    <row r="23" spans="1:8" ht="18" x14ac:dyDescent="0.3">
      <c r="A23" s="119">
        <v>45987</v>
      </c>
      <c r="B23" s="120" t="s">
        <v>25</v>
      </c>
      <c r="C23" s="121" t="s">
        <v>740</v>
      </c>
      <c r="D23" s="120" t="s">
        <v>735</v>
      </c>
      <c r="E23" s="122">
        <v>1.8888888888888891</v>
      </c>
      <c r="F23" s="120" t="s">
        <v>27</v>
      </c>
      <c r="G23" s="123">
        <v>8</v>
      </c>
      <c r="H23" s="120" t="s">
        <v>741</v>
      </c>
    </row>
    <row r="24" spans="1:8" ht="18" x14ac:dyDescent="0.3">
      <c r="A24" s="119">
        <v>45987</v>
      </c>
      <c r="B24" s="120" t="s">
        <v>25</v>
      </c>
      <c r="C24" s="121" t="s">
        <v>739</v>
      </c>
      <c r="D24" s="120" t="s">
        <v>735</v>
      </c>
      <c r="E24" s="122">
        <v>1.944444444444444</v>
      </c>
      <c r="F24" s="120" t="s">
        <v>27</v>
      </c>
      <c r="G24" s="123">
        <v>3</v>
      </c>
      <c r="H24" s="120" t="s">
        <v>741</v>
      </c>
    </row>
    <row r="25" spans="1:8" ht="18" x14ac:dyDescent="0.3">
      <c r="A25" s="109">
        <v>45987</v>
      </c>
      <c r="B25" s="110" t="s">
        <v>35</v>
      </c>
      <c r="C25" s="111" t="s">
        <v>752</v>
      </c>
      <c r="D25" s="110" t="s">
        <v>735</v>
      </c>
      <c r="E25" s="112">
        <v>1.725694444444444</v>
      </c>
      <c r="F25" s="110" t="s">
        <v>37</v>
      </c>
      <c r="G25" s="113">
        <v>1</v>
      </c>
      <c r="H25" s="110" t="s">
        <v>777</v>
      </c>
    </row>
    <row r="26" spans="1:8" ht="18" x14ac:dyDescent="0.3">
      <c r="A26" s="118">
        <v>45987</v>
      </c>
      <c r="B26" s="99" t="s">
        <v>48</v>
      </c>
      <c r="C26" s="100" t="s">
        <v>742</v>
      </c>
      <c r="D26" s="99" t="s">
        <v>735</v>
      </c>
      <c r="E26" s="101">
        <v>1.4375</v>
      </c>
      <c r="F26" s="99" t="s">
        <v>50</v>
      </c>
      <c r="G26" s="102">
        <v>6</v>
      </c>
      <c r="H26" s="99" t="s">
        <v>748</v>
      </c>
    </row>
    <row r="27" spans="1:8" ht="18" x14ac:dyDescent="0.3">
      <c r="A27" s="119">
        <v>45987</v>
      </c>
      <c r="B27" s="120" t="s">
        <v>48</v>
      </c>
      <c r="C27" s="121" t="s">
        <v>744</v>
      </c>
      <c r="D27" s="120" t="s">
        <v>735</v>
      </c>
      <c r="E27" s="122">
        <v>1.631944444444444</v>
      </c>
      <c r="F27" s="120" t="s">
        <v>50</v>
      </c>
      <c r="G27" s="123">
        <v>9</v>
      </c>
      <c r="H27" s="120" t="s">
        <v>748</v>
      </c>
    </row>
    <row r="28" spans="1:8" ht="18" x14ac:dyDescent="0.3">
      <c r="A28" s="119">
        <v>45987</v>
      </c>
      <c r="B28" s="120" t="s">
        <v>48</v>
      </c>
      <c r="C28" s="121" t="s">
        <v>745</v>
      </c>
      <c r="D28" s="120" t="s">
        <v>735</v>
      </c>
      <c r="E28" s="122">
        <v>1.5590277777777779</v>
      </c>
      <c r="F28" s="120" t="s">
        <v>50</v>
      </c>
      <c r="G28" s="123">
        <v>8</v>
      </c>
      <c r="H28" s="120" t="s">
        <v>748</v>
      </c>
    </row>
    <row r="29" spans="1:8" ht="18" x14ac:dyDescent="0.3">
      <c r="A29" s="119">
        <v>45987</v>
      </c>
      <c r="B29" s="120" t="s">
        <v>48</v>
      </c>
      <c r="C29" s="121" t="s">
        <v>747</v>
      </c>
      <c r="D29" s="120" t="s">
        <v>735</v>
      </c>
      <c r="E29" s="122">
        <v>1.819444444444444</v>
      </c>
      <c r="F29" s="120" t="s">
        <v>50</v>
      </c>
      <c r="G29" s="123">
        <v>3</v>
      </c>
      <c r="H29" s="120" t="s">
        <v>748</v>
      </c>
    </row>
    <row r="30" spans="1:8" ht="18" x14ac:dyDescent="0.3">
      <c r="A30" s="124">
        <v>45987</v>
      </c>
      <c r="B30" s="125" t="s">
        <v>48</v>
      </c>
      <c r="C30" s="126" t="s">
        <v>746</v>
      </c>
      <c r="D30" s="125" t="s">
        <v>735</v>
      </c>
      <c r="E30" s="127">
        <v>1.506944444444444</v>
      </c>
      <c r="F30" s="125" t="s">
        <v>50</v>
      </c>
      <c r="G30" s="128">
        <v>9</v>
      </c>
      <c r="H30" s="125" t="s">
        <v>748</v>
      </c>
    </row>
    <row r="31" spans="1:8" ht="18" x14ac:dyDescent="0.3">
      <c r="A31" s="98">
        <v>45988</v>
      </c>
      <c r="B31" s="99" t="s">
        <v>48</v>
      </c>
      <c r="C31" s="100" t="s">
        <v>879</v>
      </c>
      <c r="D31" s="99" t="s">
        <v>875</v>
      </c>
      <c r="E31" s="101">
        <v>1.3611111111111109</v>
      </c>
      <c r="F31" s="99" t="s">
        <v>880</v>
      </c>
      <c r="G31" s="102">
        <v>5</v>
      </c>
      <c r="H31" s="103" t="s">
        <v>386</v>
      </c>
    </row>
    <row r="32" spans="1:8" ht="18" x14ac:dyDescent="0.3">
      <c r="A32" s="104">
        <v>45988</v>
      </c>
      <c r="B32" s="105" t="s">
        <v>48</v>
      </c>
      <c r="C32" s="106" t="s">
        <v>879</v>
      </c>
      <c r="D32" s="105" t="s">
        <v>875</v>
      </c>
      <c r="E32" s="107">
        <v>1.3611111111111109</v>
      </c>
      <c r="F32" s="105" t="s">
        <v>53</v>
      </c>
      <c r="G32" s="108">
        <v>5</v>
      </c>
      <c r="H32" s="105" t="s">
        <v>881</v>
      </c>
    </row>
    <row r="33" spans="1:8" ht="18" x14ac:dyDescent="0.3">
      <c r="A33" s="104">
        <v>45988</v>
      </c>
      <c r="B33" s="105" t="s">
        <v>48</v>
      </c>
      <c r="C33" s="106" t="s">
        <v>879</v>
      </c>
      <c r="D33" s="105" t="s">
        <v>875</v>
      </c>
      <c r="E33" s="107">
        <v>1.3611111111111109</v>
      </c>
      <c r="F33" s="105" t="s">
        <v>56</v>
      </c>
      <c r="G33" s="108">
        <v>5</v>
      </c>
      <c r="H33" s="105" t="s">
        <v>882</v>
      </c>
    </row>
    <row r="34" spans="1:8" ht="15.6" x14ac:dyDescent="0.3">
      <c r="A34" s="167"/>
      <c r="B34" s="167"/>
      <c r="C34" s="167"/>
      <c r="D34" s="167"/>
      <c r="E34" s="168" t="s">
        <v>925</v>
      </c>
      <c r="F34" s="167"/>
      <c r="G34" s="167"/>
      <c r="H34" s="3"/>
    </row>
    <row r="35" spans="1:8" ht="18" x14ac:dyDescent="0.3">
      <c r="A35" s="118">
        <v>45988</v>
      </c>
      <c r="B35" s="99" t="s">
        <v>25</v>
      </c>
      <c r="C35" s="100" t="s">
        <v>736</v>
      </c>
      <c r="D35" s="99" t="s">
        <v>735</v>
      </c>
      <c r="E35" s="101">
        <v>1.5763888888888891</v>
      </c>
      <c r="F35" s="99" t="s">
        <v>27</v>
      </c>
      <c r="G35" s="102">
        <v>2</v>
      </c>
      <c r="H35" s="99" t="s">
        <v>123</v>
      </c>
    </row>
    <row r="36" spans="1:8" ht="18" x14ac:dyDescent="0.3">
      <c r="A36" s="119">
        <v>45988</v>
      </c>
      <c r="B36" s="120" t="s">
        <v>25</v>
      </c>
      <c r="C36" s="121" t="s">
        <v>738</v>
      </c>
      <c r="D36" s="120" t="s">
        <v>735</v>
      </c>
      <c r="E36" s="122">
        <v>1.6284722222222221</v>
      </c>
      <c r="F36" s="120" t="s">
        <v>27</v>
      </c>
      <c r="G36" s="123">
        <v>5</v>
      </c>
      <c r="H36" s="120" t="s">
        <v>123</v>
      </c>
    </row>
    <row r="37" spans="1:8" ht="18" x14ac:dyDescent="0.3">
      <c r="A37" s="119">
        <v>45988</v>
      </c>
      <c r="B37" s="120" t="s">
        <v>25</v>
      </c>
      <c r="C37" s="121" t="s">
        <v>740</v>
      </c>
      <c r="D37" s="120" t="s">
        <v>735</v>
      </c>
      <c r="E37" s="122">
        <v>1.8888888888888891</v>
      </c>
      <c r="F37" s="120" t="s">
        <v>27</v>
      </c>
      <c r="G37" s="123">
        <v>11</v>
      </c>
      <c r="H37" s="120" t="s">
        <v>29</v>
      </c>
    </row>
    <row r="38" spans="1:8" ht="18" x14ac:dyDescent="0.3">
      <c r="A38" s="118">
        <v>45988</v>
      </c>
      <c r="B38" s="99" t="s">
        <v>295</v>
      </c>
      <c r="C38" s="100" t="s">
        <v>793</v>
      </c>
      <c r="D38" s="99" t="s">
        <v>735</v>
      </c>
      <c r="E38" s="101">
        <v>1.1701388888888891</v>
      </c>
      <c r="F38" s="99" t="s">
        <v>37</v>
      </c>
      <c r="G38" s="102">
        <v>9</v>
      </c>
      <c r="H38" s="99" t="s">
        <v>787</v>
      </c>
    </row>
    <row r="39" spans="1:8" ht="18" x14ac:dyDescent="0.3">
      <c r="A39" s="119">
        <v>45988</v>
      </c>
      <c r="B39" s="120" t="s">
        <v>295</v>
      </c>
      <c r="C39" s="121" t="s">
        <v>786</v>
      </c>
      <c r="D39" s="120" t="s">
        <v>735</v>
      </c>
      <c r="E39" s="122">
        <v>1.6736111111111109</v>
      </c>
      <c r="F39" s="120" t="s">
        <v>37</v>
      </c>
      <c r="G39" s="123">
        <v>4</v>
      </c>
      <c r="H39" s="120" t="s">
        <v>787</v>
      </c>
    </row>
    <row r="40" spans="1:8" ht="18" x14ac:dyDescent="0.3">
      <c r="A40" s="118">
        <v>45988</v>
      </c>
      <c r="B40" s="99" t="s">
        <v>290</v>
      </c>
      <c r="C40" s="100" t="s">
        <v>756</v>
      </c>
      <c r="D40" s="99" t="s">
        <v>735</v>
      </c>
      <c r="E40" s="101">
        <v>1.4375</v>
      </c>
      <c r="F40" s="99" t="s">
        <v>292</v>
      </c>
      <c r="G40" s="102">
        <v>9</v>
      </c>
      <c r="H40" s="99" t="s">
        <v>794</v>
      </c>
    </row>
    <row r="41" spans="1:8" ht="18" x14ac:dyDescent="0.3">
      <c r="A41" s="109">
        <v>45988</v>
      </c>
      <c r="B41" s="110" t="s">
        <v>35</v>
      </c>
      <c r="C41" s="111" t="s">
        <v>779</v>
      </c>
      <c r="D41" s="110" t="s">
        <v>735</v>
      </c>
      <c r="E41" s="112">
        <v>1.413194444444444</v>
      </c>
      <c r="F41" s="110" t="s">
        <v>37</v>
      </c>
      <c r="G41" s="113">
        <v>7</v>
      </c>
      <c r="H41" s="110" t="s">
        <v>796</v>
      </c>
    </row>
    <row r="42" spans="1:8" ht="18" x14ac:dyDescent="0.3">
      <c r="A42" s="118">
        <v>45988</v>
      </c>
      <c r="B42" s="99" t="s">
        <v>48</v>
      </c>
      <c r="C42" s="100" t="s">
        <v>742</v>
      </c>
      <c r="D42" s="99" t="s">
        <v>735</v>
      </c>
      <c r="E42" s="101">
        <v>1.4375</v>
      </c>
      <c r="F42" s="99" t="s">
        <v>50</v>
      </c>
      <c r="G42" s="102">
        <v>6</v>
      </c>
      <c r="H42" s="99" t="s">
        <v>269</v>
      </c>
    </row>
    <row r="43" spans="1:8" ht="18" x14ac:dyDescent="0.3">
      <c r="A43" s="119">
        <v>45988</v>
      </c>
      <c r="B43" s="120" t="s">
        <v>48</v>
      </c>
      <c r="C43" s="121" t="s">
        <v>745</v>
      </c>
      <c r="D43" s="120" t="s">
        <v>735</v>
      </c>
      <c r="E43" s="122">
        <v>1.5590277777777779</v>
      </c>
      <c r="F43" s="120" t="s">
        <v>50</v>
      </c>
      <c r="G43" s="123">
        <v>7</v>
      </c>
      <c r="H43" s="120" t="s">
        <v>269</v>
      </c>
    </row>
    <row r="44" spans="1:8" ht="18" x14ac:dyDescent="0.3">
      <c r="A44" s="124">
        <v>45988</v>
      </c>
      <c r="B44" s="125" t="s">
        <v>48</v>
      </c>
      <c r="C44" s="126" t="s">
        <v>746</v>
      </c>
      <c r="D44" s="125" t="s">
        <v>735</v>
      </c>
      <c r="E44" s="127">
        <v>1.506944444444444</v>
      </c>
      <c r="F44" s="125" t="s">
        <v>50</v>
      </c>
      <c r="G44" s="128">
        <v>9</v>
      </c>
      <c r="H44" s="125" t="s">
        <v>269</v>
      </c>
    </row>
    <row r="45" spans="1:8" ht="15.6" x14ac:dyDescent="0.3">
      <c r="A45" s="167"/>
      <c r="B45" s="167"/>
      <c r="C45" s="167"/>
      <c r="D45" s="167"/>
      <c r="E45" s="168" t="s">
        <v>925</v>
      </c>
      <c r="F45" s="167"/>
      <c r="G45" s="167"/>
      <c r="H45" s="3"/>
    </row>
    <row r="46" spans="1:8" ht="18" x14ac:dyDescent="0.3">
      <c r="A46" s="98">
        <v>45989</v>
      </c>
      <c r="B46" s="99" t="s">
        <v>300</v>
      </c>
      <c r="C46" s="100" t="s">
        <v>758</v>
      </c>
      <c r="D46" s="99" t="s">
        <v>735</v>
      </c>
      <c r="E46" s="101">
        <v>1.0902777777777779</v>
      </c>
      <c r="F46" s="99" t="s">
        <v>37</v>
      </c>
      <c r="G46" s="102">
        <v>3</v>
      </c>
      <c r="H46" s="103" t="s">
        <v>801</v>
      </c>
    </row>
    <row r="47" spans="1:8" ht="18" x14ac:dyDescent="0.3">
      <c r="A47" s="118">
        <v>45989</v>
      </c>
      <c r="B47" s="99" t="s">
        <v>75</v>
      </c>
      <c r="C47" s="100" t="s">
        <v>773</v>
      </c>
      <c r="D47" s="99" t="s">
        <v>735</v>
      </c>
      <c r="E47" s="101">
        <v>1.354166666666667</v>
      </c>
      <c r="F47" s="99" t="s">
        <v>60</v>
      </c>
      <c r="G47" s="102">
        <v>6</v>
      </c>
      <c r="H47" s="99" t="s">
        <v>802</v>
      </c>
    </row>
    <row r="48" spans="1:8" ht="18" x14ac:dyDescent="0.3">
      <c r="A48" s="118">
        <v>45989</v>
      </c>
      <c r="B48" s="99" t="s">
        <v>295</v>
      </c>
      <c r="C48" s="100" t="s">
        <v>793</v>
      </c>
      <c r="D48" s="99" t="s">
        <v>735</v>
      </c>
      <c r="E48" s="101">
        <v>1.211805555555556</v>
      </c>
      <c r="F48" s="99" t="s">
        <v>37</v>
      </c>
      <c r="G48" s="102">
        <v>9</v>
      </c>
      <c r="H48" s="99" t="s">
        <v>338</v>
      </c>
    </row>
    <row r="49" spans="1:8" ht="18" x14ac:dyDescent="0.3">
      <c r="A49" s="118">
        <v>45989</v>
      </c>
      <c r="B49" s="99" t="s">
        <v>48</v>
      </c>
      <c r="C49" s="100" t="s">
        <v>742</v>
      </c>
      <c r="D49" s="99" t="s">
        <v>735</v>
      </c>
      <c r="E49" s="101">
        <v>1.4375</v>
      </c>
      <c r="F49" s="99" t="s">
        <v>50</v>
      </c>
      <c r="G49" s="102">
        <v>5</v>
      </c>
      <c r="H49" s="99" t="s">
        <v>117</v>
      </c>
    </row>
    <row r="50" spans="1:8" ht="18" x14ac:dyDescent="0.3">
      <c r="A50" s="119">
        <v>45989</v>
      </c>
      <c r="B50" s="120" t="s">
        <v>48</v>
      </c>
      <c r="C50" s="121" t="s">
        <v>745</v>
      </c>
      <c r="D50" s="120" t="s">
        <v>735</v>
      </c>
      <c r="E50" s="122">
        <v>1.5590277777777779</v>
      </c>
      <c r="F50" s="120" t="s">
        <v>50</v>
      </c>
      <c r="G50" s="123">
        <v>9</v>
      </c>
      <c r="H50" s="120" t="s">
        <v>275</v>
      </c>
    </row>
    <row r="51" spans="1:8" ht="18" x14ac:dyDescent="0.3">
      <c r="A51" s="119">
        <v>45989</v>
      </c>
      <c r="B51" s="120" t="s">
        <v>48</v>
      </c>
      <c r="C51" s="121" t="s">
        <v>746</v>
      </c>
      <c r="D51" s="120" t="s">
        <v>735</v>
      </c>
      <c r="E51" s="122">
        <v>1.506944444444444</v>
      </c>
      <c r="F51" s="120" t="s">
        <v>50</v>
      </c>
      <c r="G51" s="123">
        <v>9</v>
      </c>
      <c r="H51" s="120" t="s">
        <v>275</v>
      </c>
    </row>
    <row r="52" spans="1:8" ht="18" x14ac:dyDescent="0.3">
      <c r="A52" s="118">
        <v>45989</v>
      </c>
      <c r="B52" s="99" t="s">
        <v>25</v>
      </c>
      <c r="C52" s="100" t="s">
        <v>736</v>
      </c>
      <c r="D52" s="99" t="s">
        <v>735</v>
      </c>
      <c r="E52" s="101">
        <v>1.5763888888888891</v>
      </c>
      <c r="F52" s="99" t="s">
        <v>27</v>
      </c>
      <c r="G52" s="102">
        <v>9</v>
      </c>
      <c r="H52" s="99" t="s">
        <v>270</v>
      </c>
    </row>
    <row r="53" spans="1:8" ht="18" x14ac:dyDescent="0.3">
      <c r="A53" s="119">
        <v>45989</v>
      </c>
      <c r="B53" s="120" t="s">
        <v>25</v>
      </c>
      <c r="C53" s="121" t="s">
        <v>738</v>
      </c>
      <c r="D53" s="120" t="s">
        <v>735</v>
      </c>
      <c r="E53" s="122">
        <v>1.6284722222222221</v>
      </c>
      <c r="F53" s="120" t="s">
        <v>27</v>
      </c>
      <c r="G53" s="123">
        <v>1</v>
      </c>
      <c r="H53" s="120" t="s">
        <v>270</v>
      </c>
    </row>
    <row r="54" spans="1:8" ht="18" x14ac:dyDescent="0.3">
      <c r="A54" s="109">
        <v>45989</v>
      </c>
      <c r="B54" s="110" t="s">
        <v>35</v>
      </c>
      <c r="C54" s="111" t="s">
        <v>779</v>
      </c>
      <c r="D54" s="110" t="s">
        <v>735</v>
      </c>
      <c r="E54" s="112">
        <v>1.40625</v>
      </c>
      <c r="F54" s="110" t="s">
        <v>37</v>
      </c>
      <c r="G54" s="113">
        <v>9</v>
      </c>
      <c r="H54" s="110" t="s">
        <v>807</v>
      </c>
    </row>
    <row r="55" spans="1:8" ht="18" x14ac:dyDescent="0.3">
      <c r="A55" s="229">
        <v>45989</v>
      </c>
      <c r="B55" s="230" t="s">
        <v>35</v>
      </c>
      <c r="C55" s="231" t="s">
        <v>752</v>
      </c>
      <c r="D55" s="230" t="s">
        <v>735</v>
      </c>
      <c r="E55" s="232">
        <v>1.725694444444444</v>
      </c>
      <c r="F55" s="230" t="s">
        <v>37</v>
      </c>
      <c r="G55" s="247">
        <v>2</v>
      </c>
      <c r="H55" s="230" t="s">
        <v>807</v>
      </c>
    </row>
    <row r="56" spans="1:8" ht="18" x14ac:dyDescent="0.3">
      <c r="A56" s="98">
        <v>45990</v>
      </c>
      <c r="B56" s="99" t="s">
        <v>48</v>
      </c>
      <c r="C56" s="100" t="s">
        <v>879</v>
      </c>
      <c r="D56" s="99" t="s">
        <v>875</v>
      </c>
      <c r="E56" s="101">
        <v>1.3611111111111109</v>
      </c>
      <c r="F56" s="99" t="s">
        <v>880</v>
      </c>
      <c r="G56" s="102">
        <v>6</v>
      </c>
      <c r="H56" s="103" t="s">
        <v>905</v>
      </c>
    </row>
    <row r="57" spans="1:8" ht="18" x14ac:dyDescent="0.3">
      <c r="A57" s="104">
        <v>45990</v>
      </c>
      <c r="B57" s="105" t="s">
        <v>48</v>
      </c>
      <c r="C57" s="106" t="s">
        <v>879</v>
      </c>
      <c r="D57" s="105" t="s">
        <v>875</v>
      </c>
      <c r="E57" s="107">
        <v>1.3611111111111109</v>
      </c>
      <c r="F57" s="105" t="s">
        <v>53</v>
      </c>
      <c r="G57" s="108">
        <v>6</v>
      </c>
      <c r="H57" s="105" t="s">
        <v>906</v>
      </c>
    </row>
    <row r="58" spans="1:8" ht="18" x14ac:dyDescent="0.3">
      <c r="A58" s="104">
        <v>45990</v>
      </c>
      <c r="B58" s="105" t="s">
        <v>48</v>
      </c>
      <c r="C58" s="106" t="s">
        <v>879</v>
      </c>
      <c r="D58" s="105" t="s">
        <v>875</v>
      </c>
      <c r="E58" s="107">
        <v>1.3611111111111109</v>
      </c>
      <c r="F58" s="105" t="s">
        <v>56</v>
      </c>
      <c r="G58" s="108">
        <v>6</v>
      </c>
      <c r="H58" s="105" t="s">
        <v>907</v>
      </c>
    </row>
    <row r="59" spans="1:8" ht="15.6" x14ac:dyDescent="0.3">
      <c r="A59" s="167"/>
      <c r="B59" s="167"/>
      <c r="C59" s="167"/>
      <c r="D59" s="167"/>
      <c r="E59" s="168" t="s">
        <v>925</v>
      </c>
      <c r="F59" s="167"/>
      <c r="G59" s="167"/>
      <c r="H59" s="3"/>
    </row>
    <row r="60" spans="1:8" ht="18" x14ac:dyDescent="0.3">
      <c r="A60" s="118">
        <v>45990</v>
      </c>
      <c r="B60" s="99" t="s">
        <v>300</v>
      </c>
      <c r="C60" s="100" t="s">
        <v>758</v>
      </c>
      <c r="D60" s="99" t="s">
        <v>735</v>
      </c>
      <c r="E60" s="101">
        <v>1.086805555555556</v>
      </c>
      <c r="F60" s="99" t="s">
        <v>37</v>
      </c>
      <c r="G60" s="102">
        <v>1</v>
      </c>
      <c r="H60" s="99" t="s">
        <v>727</v>
      </c>
    </row>
    <row r="61" spans="1:8" ht="18" x14ac:dyDescent="0.3">
      <c r="A61" s="119">
        <v>45990</v>
      </c>
      <c r="B61" s="120" t="s">
        <v>300</v>
      </c>
      <c r="C61" s="121" t="s">
        <v>799</v>
      </c>
      <c r="D61" s="120" t="s">
        <v>735</v>
      </c>
      <c r="E61" s="122">
        <v>1.6840277777777779</v>
      </c>
      <c r="F61" s="120" t="s">
        <v>37</v>
      </c>
      <c r="G61" s="123">
        <v>5</v>
      </c>
      <c r="H61" s="120" t="s">
        <v>814</v>
      </c>
    </row>
    <row r="62" spans="1:8" ht="18" x14ac:dyDescent="0.3">
      <c r="A62" s="118">
        <v>45990</v>
      </c>
      <c r="B62" s="99" t="s">
        <v>295</v>
      </c>
      <c r="C62" s="100" t="s">
        <v>793</v>
      </c>
      <c r="D62" s="99" t="s">
        <v>735</v>
      </c>
      <c r="E62" s="101">
        <v>1.1701388888888891</v>
      </c>
      <c r="F62" s="99" t="s">
        <v>37</v>
      </c>
      <c r="G62" s="102">
        <v>9</v>
      </c>
      <c r="H62" s="99" t="s">
        <v>815</v>
      </c>
    </row>
    <row r="63" spans="1:8" ht="18" x14ac:dyDescent="0.3">
      <c r="A63" s="119">
        <v>45990</v>
      </c>
      <c r="B63" s="120" t="s">
        <v>295</v>
      </c>
      <c r="C63" s="121" t="s">
        <v>816</v>
      </c>
      <c r="D63" s="120" t="s">
        <v>735</v>
      </c>
      <c r="E63" s="122">
        <v>1.024305555555556</v>
      </c>
      <c r="F63" s="120" t="s">
        <v>37</v>
      </c>
      <c r="G63" s="123">
        <v>6</v>
      </c>
      <c r="H63" s="120" t="s">
        <v>815</v>
      </c>
    </row>
    <row r="64" spans="1:8" ht="18" x14ac:dyDescent="0.3">
      <c r="A64" s="119">
        <v>45990</v>
      </c>
      <c r="B64" s="120" t="s">
        <v>295</v>
      </c>
      <c r="C64" s="121" t="s">
        <v>817</v>
      </c>
      <c r="D64" s="120" t="s">
        <v>735</v>
      </c>
      <c r="E64" s="122">
        <v>1.538194444444444</v>
      </c>
      <c r="F64" s="120" t="s">
        <v>37</v>
      </c>
      <c r="G64" s="123">
        <v>9</v>
      </c>
      <c r="H64" s="120" t="s">
        <v>818</v>
      </c>
    </row>
    <row r="65" spans="1:8" ht="18" x14ac:dyDescent="0.3">
      <c r="A65" s="118">
        <v>45990</v>
      </c>
      <c r="B65" s="99" t="s">
        <v>48</v>
      </c>
      <c r="C65" s="100" t="s">
        <v>742</v>
      </c>
      <c r="D65" s="99" t="s">
        <v>735</v>
      </c>
      <c r="E65" s="101">
        <v>1.4375</v>
      </c>
      <c r="F65" s="99" t="s">
        <v>50</v>
      </c>
      <c r="G65" s="102">
        <v>7</v>
      </c>
      <c r="H65" s="99" t="s">
        <v>112</v>
      </c>
    </row>
    <row r="66" spans="1:8" ht="18" x14ac:dyDescent="0.3">
      <c r="A66" s="104">
        <v>45990</v>
      </c>
      <c r="B66" s="105" t="s">
        <v>48</v>
      </c>
      <c r="C66" s="106" t="s">
        <v>742</v>
      </c>
      <c r="D66" s="105" t="s">
        <v>735</v>
      </c>
      <c r="E66" s="107">
        <v>1.4375</v>
      </c>
      <c r="F66" s="105" t="s">
        <v>53</v>
      </c>
      <c r="G66" s="108">
        <v>7</v>
      </c>
      <c r="H66" s="105" t="s">
        <v>395</v>
      </c>
    </row>
    <row r="67" spans="1:8" ht="18" x14ac:dyDescent="0.3">
      <c r="A67" s="119">
        <v>45990</v>
      </c>
      <c r="B67" s="120" t="s">
        <v>48</v>
      </c>
      <c r="C67" s="121" t="s">
        <v>746</v>
      </c>
      <c r="D67" s="120" t="s">
        <v>735</v>
      </c>
      <c r="E67" s="122">
        <v>1.506944444444444</v>
      </c>
      <c r="F67" s="120" t="s">
        <v>50</v>
      </c>
      <c r="G67" s="123">
        <v>1</v>
      </c>
      <c r="H67" s="120" t="s">
        <v>112</v>
      </c>
    </row>
    <row r="68" spans="1:8" ht="18" x14ac:dyDescent="0.3">
      <c r="A68" s="119">
        <v>45990</v>
      </c>
      <c r="B68" s="120" t="s">
        <v>48</v>
      </c>
      <c r="C68" s="121" t="s">
        <v>745</v>
      </c>
      <c r="D68" s="120" t="s">
        <v>735</v>
      </c>
      <c r="E68" s="122">
        <v>1.5590277777777779</v>
      </c>
      <c r="F68" s="120" t="s">
        <v>50</v>
      </c>
      <c r="G68" s="123">
        <v>6</v>
      </c>
      <c r="H68" s="120" t="s">
        <v>395</v>
      </c>
    </row>
    <row r="69" spans="1:8" ht="18" x14ac:dyDescent="0.3">
      <c r="A69" s="169">
        <v>45990</v>
      </c>
      <c r="B69" s="170" t="s">
        <v>25</v>
      </c>
      <c r="C69" s="171" t="s">
        <v>736</v>
      </c>
      <c r="D69" s="170" t="s">
        <v>735</v>
      </c>
      <c r="E69" s="172">
        <v>1.5763888888888891</v>
      </c>
      <c r="F69" s="170" t="s">
        <v>27</v>
      </c>
      <c r="G69" s="173">
        <v>7</v>
      </c>
      <c r="H69" s="170" t="s">
        <v>825</v>
      </c>
    </row>
    <row r="70" spans="1:8" ht="18" x14ac:dyDescent="0.3">
      <c r="A70" s="165">
        <v>45991</v>
      </c>
      <c r="B70" s="110" t="s">
        <v>35</v>
      </c>
      <c r="C70" s="111" t="s">
        <v>876</v>
      </c>
      <c r="D70" s="110" t="s">
        <v>875</v>
      </c>
      <c r="E70" s="112">
        <v>1.427083333333333</v>
      </c>
      <c r="F70" s="110" t="s">
        <v>37</v>
      </c>
      <c r="G70" s="113">
        <v>5</v>
      </c>
      <c r="H70" s="166" t="s">
        <v>807</v>
      </c>
    </row>
    <row r="71" spans="1:8" ht="18" x14ac:dyDescent="0.3">
      <c r="A71" s="118">
        <v>45991</v>
      </c>
      <c r="B71" s="99" t="s">
        <v>75</v>
      </c>
      <c r="C71" s="100" t="s">
        <v>883</v>
      </c>
      <c r="D71" s="99" t="s">
        <v>875</v>
      </c>
      <c r="E71" s="101">
        <v>1.427083333333333</v>
      </c>
      <c r="F71" s="99" t="s">
        <v>60</v>
      </c>
      <c r="G71" s="102">
        <v>4</v>
      </c>
      <c r="H71" s="99" t="s">
        <v>884</v>
      </c>
    </row>
    <row r="72" spans="1:8" ht="15.6" x14ac:dyDescent="0.3">
      <c r="A72" s="167"/>
      <c r="B72" s="167"/>
      <c r="C72" s="167"/>
      <c r="D72" s="167"/>
      <c r="E72" s="168" t="s">
        <v>925</v>
      </c>
      <c r="F72" s="167"/>
      <c r="G72" s="167"/>
      <c r="H72" s="3"/>
    </row>
    <row r="73" spans="1:8" ht="18" x14ac:dyDescent="0.3">
      <c r="A73" s="118">
        <v>45991</v>
      </c>
      <c r="B73" s="99" t="s">
        <v>25</v>
      </c>
      <c r="C73" s="100" t="s">
        <v>736</v>
      </c>
      <c r="D73" s="99" t="s">
        <v>735</v>
      </c>
      <c r="E73" s="101">
        <v>1.5763888888888891</v>
      </c>
      <c r="F73" s="99" t="s">
        <v>27</v>
      </c>
      <c r="G73" s="102">
        <v>5</v>
      </c>
      <c r="H73" s="99" t="s">
        <v>29</v>
      </c>
    </row>
    <row r="74" spans="1:8" ht="18" x14ac:dyDescent="0.3">
      <c r="A74" s="119">
        <v>45991</v>
      </c>
      <c r="B74" s="120" t="s">
        <v>25</v>
      </c>
      <c r="C74" s="121" t="s">
        <v>739</v>
      </c>
      <c r="D74" s="120" t="s">
        <v>735</v>
      </c>
      <c r="E74" s="122">
        <v>1.944444444444444</v>
      </c>
      <c r="F74" s="120" t="s">
        <v>27</v>
      </c>
      <c r="G74" s="123">
        <v>1</v>
      </c>
      <c r="H74" s="120" t="s">
        <v>29</v>
      </c>
    </row>
    <row r="75" spans="1:8" ht="18" x14ac:dyDescent="0.3">
      <c r="A75" s="119">
        <v>45991</v>
      </c>
      <c r="B75" s="120" t="s">
        <v>25</v>
      </c>
      <c r="C75" s="121" t="s">
        <v>738</v>
      </c>
      <c r="D75" s="120" t="s">
        <v>735</v>
      </c>
      <c r="E75" s="122">
        <v>1.6284722222222221</v>
      </c>
      <c r="F75" s="120" t="s">
        <v>27</v>
      </c>
      <c r="G75" s="123">
        <v>7</v>
      </c>
      <c r="H75" s="120" t="s">
        <v>751</v>
      </c>
    </row>
    <row r="76" spans="1:8" ht="18" x14ac:dyDescent="0.3">
      <c r="A76" s="119">
        <v>45991</v>
      </c>
      <c r="B76" s="120" t="s">
        <v>25</v>
      </c>
      <c r="C76" s="121" t="s">
        <v>740</v>
      </c>
      <c r="D76" s="120" t="s">
        <v>735</v>
      </c>
      <c r="E76" s="122">
        <v>1.8888888888888891</v>
      </c>
      <c r="F76" s="120" t="s">
        <v>27</v>
      </c>
      <c r="G76" s="123">
        <v>16</v>
      </c>
      <c r="H76" s="120" t="s">
        <v>751</v>
      </c>
    </row>
    <row r="77" spans="1:8" ht="18" x14ac:dyDescent="0.3">
      <c r="A77" s="118">
        <v>45991</v>
      </c>
      <c r="B77" s="99" t="s">
        <v>300</v>
      </c>
      <c r="C77" s="100" t="s">
        <v>838</v>
      </c>
      <c r="D77" s="99" t="s">
        <v>735</v>
      </c>
      <c r="E77" s="101">
        <v>1.399305555555556</v>
      </c>
      <c r="F77" s="99" t="s">
        <v>37</v>
      </c>
      <c r="G77" s="102">
        <v>9</v>
      </c>
      <c r="H77" s="99" t="s">
        <v>801</v>
      </c>
    </row>
    <row r="78" spans="1:8" ht="18" x14ac:dyDescent="0.3">
      <c r="A78" s="109">
        <v>45991</v>
      </c>
      <c r="B78" s="110" t="s">
        <v>35</v>
      </c>
      <c r="C78" s="111" t="s">
        <v>779</v>
      </c>
      <c r="D78" s="110" t="s">
        <v>735</v>
      </c>
      <c r="E78" s="112">
        <v>1.427083333333333</v>
      </c>
      <c r="F78" s="110" t="s">
        <v>37</v>
      </c>
      <c r="G78" s="113">
        <v>5</v>
      </c>
      <c r="H78" s="110" t="s">
        <v>839</v>
      </c>
    </row>
    <row r="79" spans="1:8" ht="18" x14ac:dyDescent="0.3">
      <c r="A79" s="118">
        <v>45991</v>
      </c>
      <c r="B79" s="99" t="s">
        <v>48</v>
      </c>
      <c r="C79" s="100" t="s">
        <v>744</v>
      </c>
      <c r="D79" s="99" t="s">
        <v>735</v>
      </c>
      <c r="E79" s="101">
        <v>1.631944444444444</v>
      </c>
      <c r="F79" s="99" t="s">
        <v>50</v>
      </c>
      <c r="G79" s="102">
        <v>1</v>
      </c>
      <c r="H79" s="99" t="s">
        <v>117</v>
      </c>
    </row>
    <row r="80" spans="1:8" ht="18" x14ac:dyDescent="0.3">
      <c r="A80" s="119">
        <v>45991</v>
      </c>
      <c r="B80" s="120" t="s">
        <v>48</v>
      </c>
      <c r="C80" s="121" t="s">
        <v>745</v>
      </c>
      <c r="D80" s="120" t="s">
        <v>735</v>
      </c>
      <c r="E80" s="122">
        <v>1.5590277777777779</v>
      </c>
      <c r="F80" s="120" t="s">
        <v>50</v>
      </c>
      <c r="G80" s="123">
        <v>3</v>
      </c>
      <c r="H80" s="120" t="s">
        <v>117</v>
      </c>
    </row>
    <row r="81" spans="1:8" ht="18" x14ac:dyDescent="0.3">
      <c r="A81" s="119">
        <v>45991</v>
      </c>
      <c r="B81" s="120" t="s">
        <v>48</v>
      </c>
      <c r="C81" s="121" t="s">
        <v>746</v>
      </c>
      <c r="D81" s="120" t="s">
        <v>735</v>
      </c>
      <c r="E81" s="122">
        <v>1.506944444444444</v>
      </c>
      <c r="F81" s="120" t="s">
        <v>50</v>
      </c>
      <c r="G81" s="123">
        <v>9</v>
      </c>
      <c r="H81" s="120" t="s">
        <v>117</v>
      </c>
    </row>
    <row r="82" spans="1:8" ht="18" x14ac:dyDescent="0.3">
      <c r="A82" s="124">
        <v>45991</v>
      </c>
      <c r="B82" s="125" t="s">
        <v>48</v>
      </c>
      <c r="C82" s="126" t="s">
        <v>749</v>
      </c>
      <c r="D82" s="125" t="s">
        <v>735</v>
      </c>
      <c r="E82" s="127">
        <v>1.697916666666667</v>
      </c>
      <c r="F82" s="125" t="s">
        <v>50</v>
      </c>
      <c r="G82" s="128">
        <v>2</v>
      </c>
      <c r="H82" s="125" t="s">
        <v>117</v>
      </c>
    </row>
  </sheetData>
  <dataValidations count="5">
    <dataValidation type="custom" allowBlank="1" showInputMessage="1" promptTitle="LOAD FACTOR ANALYSIS" prompt="SM-463_x000d__x000a_LF 70.4%_x000d__x000a_SOLD 126_x000d__x000a_LST-SOLD 23NOV_x000d__x000a_WEEKLY 38_x000d__x000a_TO-DAY NIL_x000d__x000a_Y-DAY 4_x000d__x000a_LOWEST AVAIL K1_x000d__x000a_CAPACITY 179_x000d__x000a_CLASSES Q2 &amp; K19 &amp; V20 &amp; +8 more" sqref="A2 B2 C2 D2 E2 F2 G2 H2" xr:uid="{00000000-0002-0000-2400-000000000000}">
      <formula1>TRUE</formula1>
    </dataValidation>
    <dataValidation type="custom" allowBlank="1" showInputMessage="1" promptTitle="LOAD FACTOR ANALYSIS" prompt="SM-465_x000d__x000a_LF 81.0%_x000d__x000a_SOLD 145_x000d__x000a_LST-SOLD 23NOV_x000d__x000a_WEEKLY 6_x000d__x000a_TO-DAY NIL_x000d__x000a_Y-DAY 1_x000d__x000a_LOWEST AVAIL H9_x000d__x000a_CAPACITY 179_x000d__x000a_CLASSES Y1 &amp; H5 &amp; V2 &amp; +8 more" sqref="A18 B18 C18 D18 E18 F18 G18 H18" xr:uid="{00000000-0002-0000-2400-000001000000}">
      <formula1>TRUE</formula1>
    </dataValidation>
    <dataValidation type="custom" allowBlank="1" showInputMessage="1" promptTitle="LOAD FACTOR ANALYSIS" prompt="SM-469_x000d__x000a_LF -_x000d__x000a_SOLD -_x000d__x000a_LST-SOLD -_x000d__x000a_WEEKLY -_x000d__x000a_TO-DAY -_x000d__x000a_Y-DAY -_x000d__x000a_LOWEST AVAIL -_x000d__x000a_CAPACITY -_x000d__x000a_CLASSES -" sqref="A25 A55 B25 B55 C25 C55 D25 D55 E25 E55 F25 F55 G25 G55 H25 H55" xr:uid="{00000000-0002-0000-2400-000002000000}">
      <formula1>TRUE</formula1>
    </dataValidation>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41 A54 A78 B41 B54 B78 C41 C54 C78 D41 D54 D78 E41 E54 E78 F41 F54 F78 G41 G54 G78 H41 H54 H78" xr:uid="{00000000-0002-0000-2400-000003000000}">
      <formula1>TRUE</formula1>
    </dataValidation>
    <dataValidation type="custom" allowBlank="1" showInputMessage="1" promptTitle="LOAD FACTOR ANALYSIS" prompt="SM-463_x000d__x000a_LF 62.0%_x000d__x000a_SOLD 111_x000d__x000a_LST-SOLD 23NOV_x000d__x000a_WEEKLY 24_x000d__x000a_TO-DAY NIL_x000d__x000a_Y-DAY 8_x000d__x000a_LOWEST AVAIL Q5_x000d__x000a_CAPACITY 179_x000d__x000a_CLASSES H1 &amp; Q22 &amp; K19 &amp; +9 more" sqref="A70 B70 C70 D70 E70 F70 G70 H70" xr:uid="{00000000-0002-0000-2400-000004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10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86.33203125" bestFit="1" customWidth="1"/>
  </cols>
  <sheetData>
    <row r="1" spans="1:92" ht="28.8" customHeight="1" x14ac:dyDescent="0.3">
      <c r="A1" s="284" t="s">
        <v>0</v>
      </c>
      <c r="B1" s="265"/>
      <c r="C1" s="265"/>
      <c r="D1" s="284" t="s">
        <v>926</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45985.362161193691</v>
      </c>
      <c r="H2" s="272"/>
      <c r="I2" s="272"/>
      <c r="J2" s="272"/>
      <c r="K2" s="282">
        <v>45985.362161194163</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48" t="s">
        <v>35</v>
      </c>
      <c r="B6" s="148" t="s">
        <v>927</v>
      </c>
      <c r="C6" s="149">
        <v>6.9444444444444434E-2</v>
      </c>
      <c r="D6" s="148" t="s">
        <v>37</v>
      </c>
      <c r="E6" s="148" t="s">
        <v>77</v>
      </c>
      <c r="F6" s="148" t="s">
        <v>928</v>
      </c>
      <c r="G6" s="261"/>
      <c r="H6" s="151" t="s">
        <v>929</v>
      </c>
      <c r="I6" s="246">
        <v>0.74860000000000004</v>
      </c>
      <c r="J6" s="153">
        <v>134</v>
      </c>
      <c r="K6" s="154">
        <v>45984</v>
      </c>
      <c r="L6" s="153">
        <v>87</v>
      </c>
      <c r="M6" s="153">
        <v>0</v>
      </c>
      <c r="N6" s="153">
        <v>10</v>
      </c>
      <c r="O6" s="155" t="s">
        <v>808</v>
      </c>
      <c r="P6" s="156">
        <v>6.9444444444444434E-2</v>
      </c>
      <c r="Q6" s="153">
        <v>179</v>
      </c>
      <c r="R6" s="157" t="s">
        <v>930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36" t="s">
        <v>25</v>
      </c>
      <c r="B7" s="36" t="s">
        <v>931</v>
      </c>
      <c r="C7" s="37">
        <v>0.44791666666666669</v>
      </c>
      <c r="D7" s="36" t="s">
        <v>27</v>
      </c>
      <c r="E7" s="36" t="s">
        <v>103</v>
      </c>
      <c r="F7" s="36" t="s">
        <v>93</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931</v>
      </c>
      <c r="C8" s="16">
        <v>0.44791666666666669</v>
      </c>
      <c r="D8" s="15" t="s">
        <v>33</v>
      </c>
      <c r="E8" s="15" t="s">
        <v>68</v>
      </c>
      <c r="F8" s="15" t="s">
        <v>394</v>
      </c>
      <c r="G8" s="262"/>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5" t="s">
        <v>25</v>
      </c>
      <c r="B9" s="15" t="s">
        <v>931</v>
      </c>
      <c r="C9" s="16">
        <v>0.44791666666666669</v>
      </c>
      <c r="D9" s="15" t="s">
        <v>30</v>
      </c>
      <c r="E9" s="15" t="s">
        <v>68</v>
      </c>
      <c r="F9" s="15" t="s">
        <v>403</v>
      </c>
      <c r="G9" s="262"/>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6" t="s">
        <v>300</v>
      </c>
      <c r="B10" s="36" t="s">
        <v>932</v>
      </c>
      <c r="C10" s="37">
        <v>0.88194444444444453</v>
      </c>
      <c r="D10" s="36" t="s">
        <v>37</v>
      </c>
      <c r="E10" s="36" t="s">
        <v>38</v>
      </c>
      <c r="F10" s="36" t="s">
        <v>933</v>
      </c>
      <c r="G10" s="26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6" t="s">
        <v>295</v>
      </c>
      <c r="B11" s="36" t="s">
        <v>934</v>
      </c>
      <c r="C11" s="37">
        <v>0.75694444444444453</v>
      </c>
      <c r="D11" s="36" t="s">
        <v>37</v>
      </c>
      <c r="E11" s="36" t="s">
        <v>77</v>
      </c>
      <c r="F11" s="36" t="s">
        <v>935</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6" t="s">
        <v>48</v>
      </c>
      <c r="B12" s="36" t="s">
        <v>936</v>
      </c>
      <c r="C12" s="37">
        <v>0.97222222222222221</v>
      </c>
      <c r="D12" s="36" t="s">
        <v>50</v>
      </c>
      <c r="E12" s="36" t="s">
        <v>103</v>
      </c>
      <c r="F12" s="36" t="s">
        <v>337</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48</v>
      </c>
      <c r="B13" s="15" t="s">
        <v>936</v>
      </c>
      <c r="C13" s="16">
        <v>0.97222222222222221</v>
      </c>
      <c r="D13" s="15" t="s">
        <v>53</v>
      </c>
      <c r="E13" s="15" t="s">
        <v>68</v>
      </c>
      <c r="F13" s="15" t="s">
        <v>94</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48</v>
      </c>
      <c r="B14" s="15" t="s">
        <v>936</v>
      </c>
      <c r="C14" s="16">
        <v>0.97222222222222221</v>
      </c>
      <c r="D14" s="15" t="s">
        <v>56</v>
      </c>
      <c r="E14" s="15" t="s">
        <v>68</v>
      </c>
      <c r="F14" s="15" t="s">
        <v>937</v>
      </c>
      <c r="G14" s="262"/>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48</v>
      </c>
      <c r="B15" s="38" t="s">
        <v>938</v>
      </c>
      <c r="C15" s="39">
        <v>0.33680555555555558</v>
      </c>
      <c r="D15" s="38" t="s">
        <v>50</v>
      </c>
      <c r="E15" s="38" t="s">
        <v>66</v>
      </c>
      <c r="F15" s="38" t="s">
        <v>625</v>
      </c>
      <c r="G15" s="262"/>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48</v>
      </c>
      <c r="B16" s="15" t="s">
        <v>938</v>
      </c>
      <c r="C16" s="16">
        <v>0.33680555555555558</v>
      </c>
      <c r="D16" s="15" t="s">
        <v>56</v>
      </c>
      <c r="E16" s="15" t="s">
        <v>68</v>
      </c>
      <c r="F16" s="15" t="s">
        <v>939</v>
      </c>
      <c r="G16" s="262"/>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48</v>
      </c>
      <c r="B17" s="15" t="s">
        <v>938</v>
      </c>
      <c r="C17" s="16">
        <v>0.33680555555555558</v>
      </c>
      <c r="D17" s="15" t="s">
        <v>53</v>
      </c>
      <c r="E17" s="15" t="s">
        <v>68</v>
      </c>
      <c r="F17" s="15" t="s">
        <v>403</v>
      </c>
      <c r="G17" s="262"/>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6" t="s">
        <v>75</v>
      </c>
      <c r="B18" s="36" t="s">
        <v>940</v>
      </c>
      <c r="C18" s="37">
        <v>0.33680555555555558</v>
      </c>
      <c r="D18" s="36" t="s">
        <v>60</v>
      </c>
      <c r="E18" s="36" t="s">
        <v>246</v>
      </c>
      <c r="F18" s="36" t="s">
        <v>941</v>
      </c>
      <c r="G18" s="262"/>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38" t="s">
        <v>75</v>
      </c>
      <c r="B19" s="38" t="s">
        <v>942</v>
      </c>
      <c r="C19" s="39">
        <v>0.67361111111111116</v>
      </c>
      <c r="D19" s="38" t="s">
        <v>60</v>
      </c>
      <c r="E19" s="38" t="s">
        <v>91</v>
      </c>
      <c r="F19" s="38" t="s">
        <v>941</v>
      </c>
      <c r="G19" s="26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38" t="s">
        <v>75</v>
      </c>
      <c r="B20" s="38" t="s">
        <v>943</v>
      </c>
      <c r="C20" s="39">
        <v>0.97916666666666663</v>
      </c>
      <c r="D20" s="38" t="s">
        <v>60</v>
      </c>
      <c r="E20" s="38" t="s">
        <v>121</v>
      </c>
      <c r="F20" s="38" t="s">
        <v>944</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227" t="s">
        <v>58</v>
      </c>
      <c r="B21" s="227" t="s">
        <v>945</v>
      </c>
      <c r="C21" s="228">
        <v>0.44791666666666669</v>
      </c>
      <c r="D21" s="227" t="s">
        <v>63</v>
      </c>
      <c r="E21" s="227" t="s">
        <v>38</v>
      </c>
      <c r="F21" s="227" t="s">
        <v>946</v>
      </c>
      <c r="G21" s="263"/>
      <c r="H21" s="42"/>
      <c r="I21" s="43"/>
      <c r="J21" s="43"/>
      <c r="K21" s="43"/>
      <c r="L21" s="43"/>
      <c r="M21" s="43"/>
      <c r="N21" s="43"/>
      <c r="O21" s="44"/>
      <c r="P21" s="43"/>
      <c r="Q21" s="45"/>
      <c r="R21" s="4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5"/>
      <c r="B22" s="286"/>
      <c r="C22" s="286"/>
      <c r="D22" s="286"/>
      <c r="E22" s="286"/>
      <c r="F22" s="286"/>
      <c r="G22" s="276"/>
      <c r="H22" s="287"/>
      <c r="I22" s="287"/>
      <c r="J22" s="287"/>
      <c r="K22" s="287"/>
      <c r="L22" s="287"/>
      <c r="M22" s="287"/>
      <c r="N22" s="287"/>
      <c r="O22" s="288"/>
      <c r="P22" s="287"/>
      <c r="Q22" s="276"/>
      <c r="R22" s="27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66" t="s">
        <v>5</v>
      </c>
      <c r="B23" s="267"/>
      <c r="C23" s="267"/>
      <c r="D23" s="267"/>
      <c r="E23" s="267"/>
      <c r="F23" s="267"/>
      <c r="G23" s="5">
        <v>45987</v>
      </c>
      <c r="H23" s="270" t="s">
        <v>6</v>
      </c>
      <c r="I23" s="269"/>
      <c r="J23" s="269"/>
      <c r="K23" s="269"/>
      <c r="L23" s="269"/>
      <c r="M23" s="269"/>
      <c r="N23" s="269"/>
      <c r="O23" s="269"/>
      <c r="P23" s="269"/>
      <c r="Q23" s="269"/>
      <c r="R23" s="26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47" t="s">
        <v>7</v>
      </c>
      <c r="B24" s="47" t="s">
        <v>8</v>
      </c>
      <c r="C24" s="48" t="s">
        <v>9</v>
      </c>
      <c r="D24" s="47" t="s">
        <v>10</v>
      </c>
      <c r="E24" s="47" t="s">
        <v>11</v>
      </c>
      <c r="F24" s="47" t="s">
        <v>12</v>
      </c>
      <c r="G24" s="49" t="s">
        <v>13</v>
      </c>
      <c r="H24" s="47" t="s">
        <v>14</v>
      </c>
      <c r="I24" s="50" t="s">
        <v>15</v>
      </c>
      <c r="J24" s="51" t="s">
        <v>16</v>
      </c>
      <c r="K24" s="52" t="s">
        <v>17</v>
      </c>
      <c r="L24" s="51" t="s">
        <v>18</v>
      </c>
      <c r="M24" s="51" t="s">
        <v>19</v>
      </c>
      <c r="N24" s="51" t="s">
        <v>20</v>
      </c>
      <c r="O24" s="47" t="s">
        <v>21</v>
      </c>
      <c r="P24" s="48" t="s">
        <v>22</v>
      </c>
      <c r="Q24" s="51" t="s">
        <v>23</v>
      </c>
      <c r="R24" s="4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8" t="s">
        <v>25</v>
      </c>
      <c r="B25" s="8" t="s">
        <v>931</v>
      </c>
      <c r="C25" s="9">
        <v>0.44791666666666669</v>
      </c>
      <c r="D25" s="8" t="s">
        <v>27</v>
      </c>
      <c r="E25" s="8" t="s">
        <v>38</v>
      </c>
      <c r="F25" s="8" t="s">
        <v>270</v>
      </c>
      <c r="G25" s="261"/>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931</v>
      </c>
      <c r="C26" s="16">
        <v>0.44791666666666669</v>
      </c>
      <c r="D26" s="15" t="s">
        <v>33</v>
      </c>
      <c r="E26" s="15" t="s">
        <v>74</v>
      </c>
      <c r="F26" s="15" t="s">
        <v>112</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25</v>
      </c>
      <c r="B27" s="15" t="s">
        <v>931</v>
      </c>
      <c r="C27" s="16">
        <v>0.44791666666666669</v>
      </c>
      <c r="D27" s="15" t="s">
        <v>30</v>
      </c>
      <c r="E27" s="15" t="s">
        <v>74</v>
      </c>
      <c r="F27" s="15" t="s">
        <v>947</v>
      </c>
      <c r="G27" s="26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6" t="s">
        <v>295</v>
      </c>
      <c r="B28" s="36" t="s">
        <v>948</v>
      </c>
      <c r="C28" s="37">
        <v>0.69791666666666663</v>
      </c>
      <c r="D28" s="36" t="s">
        <v>37</v>
      </c>
      <c r="E28" s="36" t="s">
        <v>77</v>
      </c>
      <c r="F28" s="36" t="s">
        <v>935</v>
      </c>
      <c r="G28" s="262"/>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36" t="s">
        <v>48</v>
      </c>
      <c r="B29" s="36" t="s">
        <v>936</v>
      </c>
      <c r="C29" s="37">
        <v>0.97222222222222221</v>
      </c>
      <c r="D29" s="36" t="s">
        <v>50</v>
      </c>
      <c r="E29" s="36" t="s">
        <v>405</v>
      </c>
      <c r="F29" s="36" t="s">
        <v>337</v>
      </c>
      <c r="G29" s="262"/>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48</v>
      </c>
      <c r="B30" s="15" t="s">
        <v>936</v>
      </c>
      <c r="C30" s="16">
        <v>0.97222222222222221</v>
      </c>
      <c r="D30" s="15" t="s">
        <v>53</v>
      </c>
      <c r="E30" s="15" t="s">
        <v>119</v>
      </c>
      <c r="F30" s="15" t="s">
        <v>94</v>
      </c>
      <c r="G30" s="262"/>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48</v>
      </c>
      <c r="B31" s="15" t="s">
        <v>936</v>
      </c>
      <c r="C31" s="16">
        <v>0.97222222222222221</v>
      </c>
      <c r="D31" s="15" t="s">
        <v>56</v>
      </c>
      <c r="E31" s="15" t="s">
        <v>119</v>
      </c>
      <c r="F31" s="15" t="s">
        <v>937</v>
      </c>
      <c r="G31" s="262"/>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6" t="s">
        <v>75</v>
      </c>
      <c r="B32" s="36" t="s">
        <v>940</v>
      </c>
      <c r="C32" s="37">
        <v>0.33680555555555558</v>
      </c>
      <c r="D32" s="36" t="s">
        <v>60</v>
      </c>
      <c r="E32" s="36" t="s">
        <v>375</v>
      </c>
      <c r="F32" s="36" t="s">
        <v>949</v>
      </c>
      <c r="G32" s="26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8" t="s">
        <v>75</v>
      </c>
      <c r="B33" s="38" t="s">
        <v>942</v>
      </c>
      <c r="C33" s="39">
        <v>0.67708333333333337</v>
      </c>
      <c r="D33" s="38" t="s">
        <v>60</v>
      </c>
      <c r="E33" s="38" t="s">
        <v>72</v>
      </c>
      <c r="F33" s="38" t="s">
        <v>950</v>
      </c>
      <c r="G33" s="262"/>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227" t="s">
        <v>58</v>
      </c>
      <c r="B34" s="227" t="s">
        <v>945</v>
      </c>
      <c r="C34" s="228">
        <v>0.44791666666666669</v>
      </c>
      <c r="D34" s="227" t="s">
        <v>63</v>
      </c>
      <c r="E34" s="227" t="s">
        <v>38</v>
      </c>
      <c r="F34" s="227" t="s">
        <v>812</v>
      </c>
      <c r="G34" s="263"/>
      <c r="H34" s="42"/>
      <c r="I34" s="43"/>
      <c r="J34" s="43"/>
      <c r="K34" s="43"/>
      <c r="L34" s="43"/>
      <c r="M34" s="43"/>
      <c r="N34" s="43"/>
      <c r="O34" s="44"/>
      <c r="P34" s="43"/>
      <c r="Q34" s="45"/>
      <c r="R34" s="4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85"/>
      <c r="B35" s="286"/>
      <c r="C35" s="286"/>
      <c r="D35" s="286"/>
      <c r="E35" s="286"/>
      <c r="F35" s="286"/>
      <c r="G35" s="276"/>
      <c r="H35" s="287"/>
      <c r="I35" s="287"/>
      <c r="J35" s="287"/>
      <c r="K35" s="287"/>
      <c r="L35" s="287"/>
      <c r="M35" s="287"/>
      <c r="N35" s="287"/>
      <c r="O35" s="288"/>
      <c r="P35" s="287"/>
      <c r="Q35" s="276"/>
      <c r="R35" s="27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66" t="s">
        <v>5</v>
      </c>
      <c r="B36" s="267"/>
      <c r="C36" s="267"/>
      <c r="D36" s="267"/>
      <c r="E36" s="267"/>
      <c r="F36" s="267"/>
      <c r="G36" s="5">
        <v>45988</v>
      </c>
      <c r="H36" s="270" t="s">
        <v>6</v>
      </c>
      <c r="I36" s="269"/>
      <c r="J36" s="269"/>
      <c r="K36" s="269"/>
      <c r="L36" s="269"/>
      <c r="M36" s="269"/>
      <c r="N36" s="269"/>
      <c r="O36" s="269"/>
      <c r="P36" s="269"/>
      <c r="Q36" s="269"/>
      <c r="R36" s="26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47" t="s">
        <v>7</v>
      </c>
      <c r="B37" s="47" t="s">
        <v>8</v>
      </c>
      <c r="C37" s="48" t="s">
        <v>9</v>
      </c>
      <c r="D37" s="47" t="s">
        <v>10</v>
      </c>
      <c r="E37" s="47" t="s">
        <v>11</v>
      </c>
      <c r="F37" s="47" t="s">
        <v>12</v>
      </c>
      <c r="G37" s="49" t="s">
        <v>13</v>
      </c>
      <c r="H37" s="47" t="s">
        <v>14</v>
      </c>
      <c r="I37" s="50" t="s">
        <v>15</v>
      </c>
      <c r="J37" s="51" t="s">
        <v>16</v>
      </c>
      <c r="K37" s="52" t="s">
        <v>17</v>
      </c>
      <c r="L37" s="51" t="s">
        <v>18</v>
      </c>
      <c r="M37" s="51" t="s">
        <v>19</v>
      </c>
      <c r="N37" s="51" t="s">
        <v>20</v>
      </c>
      <c r="O37" s="47" t="s">
        <v>21</v>
      </c>
      <c r="P37" s="48" t="s">
        <v>22</v>
      </c>
      <c r="Q37" s="51" t="s">
        <v>23</v>
      </c>
      <c r="R37" s="47"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8" t="s">
        <v>25</v>
      </c>
      <c r="B38" s="8" t="s">
        <v>931</v>
      </c>
      <c r="C38" s="9">
        <v>0.44791666666666669</v>
      </c>
      <c r="D38" s="8" t="s">
        <v>27</v>
      </c>
      <c r="E38" s="8" t="s">
        <v>51</v>
      </c>
      <c r="F38" s="8" t="s">
        <v>751</v>
      </c>
      <c r="G38" s="261"/>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25</v>
      </c>
      <c r="B39" s="15" t="s">
        <v>931</v>
      </c>
      <c r="C39" s="16">
        <v>0.44791666666666669</v>
      </c>
      <c r="D39" s="15" t="s">
        <v>33</v>
      </c>
      <c r="E39" s="15" t="s">
        <v>54</v>
      </c>
      <c r="F39" s="15" t="s">
        <v>804</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931</v>
      </c>
      <c r="C40" s="16">
        <v>0.44791666666666669</v>
      </c>
      <c r="D40" s="15" t="s">
        <v>30</v>
      </c>
      <c r="E40" s="15" t="s">
        <v>54</v>
      </c>
      <c r="F40" s="15" t="s">
        <v>403</v>
      </c>
      <c r="G40" s="262"/>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36" t="s">
        <v>48</v>
      </c>
      <c r="B41" s="36" t="s">
        <v>938</v>
      </c>
      <c r="C41" s="37">
        <v>0.33680555555555558</v>
      </c>
      <c r="D41" s="36" t="s">
        <v>50</v>
      </c>
      <c r="E41" s="36" t="s">
        <v>246</v>
      </c>
      <c r="F41" s="36" t="s">
        <v>117</v>
      </c>
      <c r="G41" s="262"/>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48</v>
      </c>
      <c r="B42" s="15" t="s">
        <v>938</v>
      </c>
      <c r="C42" s="16">
        <v>0.33680555555555558</v>
      </c>
      <c r="D42" s="15" t="s">
        <v>53</v>
      </c>
      <c r="E42" s="15" t="s">
        <v>284</v>
      </c>
      <c r="F42" s="15" t="s">
        <v>804</v>
      </c>
      <c r="G42" s="262"/>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48</v>
      </c>
      <c r="B43" s="15" t="s">
        <v>938</v>
      </c>
      <c r="C43" s="16">
        <v>0.33680555555555558</v>
      </c>
      <c r="D43" s="15" t="s">
        <v>56</v>
      </c>
      <c r="E43" s="15" t="s">
        <v>284</v>
      </c>
      <c r="F43" s="15" t="s">
        <v>805</v>
      </c>
      <c r="G43" s="26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38" t="s">
        <v>48</v>
      </c>
      <c r="B44" s="38" t="s">
        <v>936</v>
      </c>
      <c r="C44" s="39">
        <v>0.97222222222222221</v>
      </c>
      <c r="D44" s="38" t="s">
        <v>50</v>
      </c>
      <c r="E44" s="38" t="s">
        <v>118</v>
      </c>
      <c r="F44" s="38" t="s">
        <v>337</v>
      </c>
      <c r="G44" s="262"/>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48</v>
      </c>
      <c r="B45" s="15" t="s">
        <v>936</v>
      </c>
      <c r="C45" s="16">
        <v>0.97222222222222221</v>
      </c>
      <c r="D45" s="15" t="s">
        <v>53</v>
      </c>
      <c r="E45" s="15" t="s">
        <v>119</v>
      </c>
      <c r="F45" s="15" t="s">
        <v>94</v>
      </c>
      <c r="G45" s="262"/>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48</v>
      </c>
      <c r="B46" s="15" t="s">
        <v>936</v>
      </c>
      <c r="C46" s="16">
        <v>0.97222222222222221</v>
      </c>
      <c r="D46" s="15" t="s">
        <v>56</v>
      </c>
      <c r="E46" s="15" t="s">
        <v>119</v>
      </c>
      <c r="F46" s="15" t="s">
        <v>937</v>
      </c>
      <c r="G46" s="262"/>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6" t="s">
        <v>295</v>
      </c>
      <c r="B47" s="36" t="s">
        <v>951</v>
      </c>
      <c r="C47" s="37">
        <v>0.3611111111111111</v>
      </c>
      <c r="D47" s="36" t="s">
        <v>37</v>
      </c>
      <c r="E47" s="36" t="s">
        <v>77</v>
      </c>
      <c r="F47" s="36" t="s">
        <v>952</v>
      </c>
      <c r="G47" s="262"/>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8" t="s">
        <v>295</v>
      </c>
      <c r="B48" s="38" t="s">
        <v>934</v>
      </c>
      <c r="C48" s="39">
        <v>0.75694444444444453</v>
      </c>
      <c r="D48" s="38" t="s">
        <v>37</v>
      </c>
      <c r="E48" s="38" t="s">
        <v>86</v>
      </c>
      <c r="F48" s="38" t="s">
        <v>935</v>
      </c>
      <c r="G48" s="262"/>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6" t="s">
        <v>300</v>
      </c>
      <c r="B49" s="36" t="s">
        <v>932</v>
      </c>
      <c r="C49" s="37">
        <v>0.68055555555555547</v>
      </c>
      <c r="D49" s="36" t="s">
        <v>37</v>
      </c>
      <c r="E49" s="36" t="s">
        <v>103</v>
      </c>
      <c r="F49" s="36" t="s">
        <v>105</v>
      </c>
      <c r="G49" s="26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8" t="s">
        <v>300</v>
      </c>
      <c r="B50" s="38" t="s">
        <v>953</v>
      </c>
      <c r="C50" s="39">
        <v>0.96527777777777779</v>
      </c>
      <c r="D50" s="38" t="s">
        <v>37</v>
      </c>
      <c r="E50" s="38" t="s">
        <v>72</v>
      </c>
      <c r="F50" s="38" t="s">
        <v>933</v>
      </c>
      <c r="G50" s="262"/>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8" t="s">
        <v>300</v>
      </c>
      <c r="B51" s="38" t="s">
        <v>954</v>
      </c>
      <c r="C51" s="39">
        <v>7.6388888888888895E-2</v>
      </c>
      <c r="D51" s="38" t="s">
        <v>37</v>
      </c>
      <c r="E51" s="38" t="s">
        <v>70</v>
      </c>
      <c r="F51" s="38" t="s">
        <v>933</v>
      </c>
      <c r="G51" s="262"/>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4" t="s">
        <v>35</v>
      </c>
      <c r="B52" s="174" t="s">
        <v>927</v>
      </c>
      <c r="C52" s="175">
        <v>0.72222222222222221</v>
      </c>
      <c r="D52" s="174" t="s">
        <v>37</v>
      </c>
      <c r="E52" s="174" t="s">
        <v>375</v>
      </c>
      <c r="F52" s="174" t="s">
        <v>928</v>
      </c>
      <c r="G52" s="262"/>
      <c r="H52" s="176" t="s">
        <v>929</v>
      </c>
      <c r="I52" s="202">
        <v>0.88329999999999997</v>
      </c>
      <c r="J52" s="178">
        <v>159</v>
      </c>
      <c r="K52" s="179">
        <v>45984</v>
      </c>
      <c r="L52" s="178">
        <v>37</v>
      </c>
      <c r="M52" s="178">
        <v>0</v>
      </c>
      <c r="N52" s="178">
        <v>19</v>
      </c>
      <c r="O52" s="180" t="s">
        <v>955</v>
      </c>
      <c r="P52" s="181">
        <v>0.72222222222222221</v>
      </c>
      <c r="Q52" s="178">
        <v>180</v>
      </c>
      <c r="R52" s="182" t="s">
        <v>956</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36" t="s">
        <v>75</v>
      </c>
      <c r="B53" s="36" t="s">
        <v>940</v>
      </c>
      <c r="C53" s="37">
        <v>0.33680555555555558</v>
      </c>
      <c r="D53" s="36" t="s">
        <v>60</v>
      </c>
      <c r="E53" s="36" t="s">
        <v>77</v>
      </c>
      <c r="F53" s="36" t="s">
        <v>957</v>
      </c>
      <c r="G53" s="262"/>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8" t="s">
        <v>75</v>
      </c>
      <c r="B54" s="38" t="s">
        <v>943</v>
      </c>
      <c r="C54" s="39">
        <v>0.97916666666666663</v>
      </c>
      <c r="D54" s="38" t="s">
        <v>60</v>
      </c>
      <c r="E54" s="38" t="s">
        <v>86</v>
      </c>
      <c r="F54" s="38" t="s">
        <v>941</v>
      </c>
      <c r="G54" s="262"/>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38" t="s">
        <v>75</v>
      </c>
      <c r="B55" s="38" t="s">
        <v>942</v>
      </c>
      <c r="C55" s="39">
        <v>0.69444444444444453</v>
      </c>
      <c r="D55" s="38" t="s">
        <v>60</v>
      </c>
      <c r="E55" s="38" t="s">
        <v>86</v>
      </c>
      <c r="F55" s="38" t="s">
        <v>950</v>
      </c>
      <c r="G55" s="262"/>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227" t="s">
        <v>58</v>
      </c>
      <c r="B56" s="227" t="s">
        <v>945</v>
      </c>
      <c r="C56" s="228">
        <v>0.44791666666666669</v>
      </c>
      <c r="D56" s="227" t="s">
        <v>63</v>
      </c>
      <c r="E56" s="227" t="s">
        <v>38</v>
      </c>
      <c r="F56" s="227" t="s">
        <v>812</v>
      </c>
      <c r="G56" s="263"/>
      <c r="H56" s="42"/>
      <c r="I56" s="43"/>
      <c r="J56" s="43"/>
      <c r="K56" s="43"/>
      <c r="L56" s="43"/>
      <c r="M56" s="43"/>
      <c r="N56" s="43"/>
      <c r="O56" s="44"/>
      <c r="P56" s="43"/>
      <c r="Q56" s="45"/>
      <c r="R56" s="4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85"/>
      <c r="B57" s="286"/>
      <c r="C57" s="286"/>
      <c r="D57" s="286"/>
      <c r="E57" s="286"/>
      <c r="F57" s="286"/>
      <c r="G57" s="276"/>
      <c r="H57" s="287"/>
      <c r="I57" s="287"/>
      <c r="J57" s="287"/>
      <c r="K57" s="287"/>
      <c r="L57" s="287"/>
      <c r="M57" s="287"/>
      <c r="N57" s="287"/>
      <c r="O57" s="288"/>
      <c r="P57" s="287"/>
      <c r="Q57" s="276"/>
      <c r="R57" s="27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66" t="s">
        <v>5</v>
      </c>
      <c r="B58" s="267"/>
      <c r="C58" s="267"/>
      <c r="D58" s="267"/>
      <c r="E58" s="267"/>
      <c r="F58" s="267"/>
      <c r="G58" s="5">
        <v>45989</v>
      </c>
      <c r="H58" s="270" t="s">
        <v>6</v>
      </c>
      <c r="I58" s="269"/>
      <c r="J58" s="269"/>
      <c r="K58" s="269"/>
      <c r="L58" s="269"/>
      <c r="M58" s="269"/>
      <c r="N58" s="269"/>
      <c r="O58" s="269"/>
      <c r="P58" s="269"/>
      <c r="Q58" s="269"/>
      <c r="R58" s="26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47" t="s">
        <v>7</v>
      </c>
      <c r="B59" s="47" t="s">
        <v>8</v>
      </c>
      <c r="C59" s="48" t="s">
        <v>9</v>
      </c>
      <c r="D59" s="47" t="s">
        <v>10</v>
      </c>
      <c r="E59" s="47" t="s">
        <v>11</v>
      </c>
      <c r="F59" s="47" t="s">
        <v>12</v>
      </c>
      <c r="G59" s="49" t="s">
        <v>13</v>
      </c>
      <c r="H59" s="47" t="s">
        <v>14</v>
      </c>
      <c r="I59" s="50" t="s">
        <v>15</v>
      </c>
      <c r="J59" s="51" t="s">
        <v>16</v>
      </c>
      <c r="K59" s="52" t="s">
        <v>17</v>
      </c>
      <c r="L59" s="51" t="s">
        <v>18</v>
      </c>
      <c r="M59" s="51" t="s">
        <v>19</v>
      </c>
      <c r="N59" s="51" t="s">
        <v>20</v>
      </c>
      <c r="O59" s="47" t="s">
        <v>21</v>
      </c>
      <c r="P59" s="48" t="s">
        <v>22</v>
      </c>
      <c r="Q59" s="51" t="s">
        <v>23</v>
      </c>
      <c r="R59" s="4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8" t="s">
        <v>25</v>
      </c>
      <c r="B60" s="8" t="s">
        <v>931</v>
      </c>
      <c r="C60" s="9">
        <v>0.44791666666666669</v>
      </c>
      <c r="D60" s="8" t="s">
        <v>27</v>
      </c>
      <c r="E60" s="8" t="s">
        <v>28</v>
      </c>
      <c r="F60" s="8" t="s">
        <v>93</v>
      </c>
      <c r="G60" s="261"/>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25</v>
      </c>
      <c r="B61" s="15" t="s">
        <v>931</v>
      </c>
      <c r="C61" s="16">
        <v>0.44791666666666669</v>
      </c>
      <c r="D61" s="15" t="s">
        <v>33</v>
      </c>
      <c r="E61" s="15" t="s">
        <v>31</v>
      </c>
      <c r="F61" s="15" t="s">
        <v>394</v>
      </c>
      <c r="G61" s="262"/>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25</v>
      </c>
      <c r="B62" s="15" t="s">
        <v>931</v>
      </c>
      <c r="C62" s="16">
        <v>0.44791666666666669</v>
      </c>
      <c r="D62" s="15" t="s">
        <v>30</v>
      </c>
      <c r="E62" s="15" t="s">
        <v>31</v>
      </c>
      <c r="F62" s="15" t="s">
        <v>947</v>
      </c>
      <c r="G62" s="262"/>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48" t="s">
        <v>35</v>
      </c>
      <c r="B63" s="148" t="s">
        <v>927</v>
      </c>
      <c r="C63" s="149">
        <v>0.38194444444444442</v>
      </c>
      <c r="D63" s="148" t="s">
        <v>37</v>
      </c>
      <c r="E63" s="148" t="s">
        <v>246</v>
      </c>
      <c r="F63" s="148" t="s">
        <v>935</v>
      </c>
      <c r="G63" s="262"/>
      <c r="H63" s="151" t="s">
        <v>929</v>
      </c>
      <c r="I63" s="246">
        <v>0.7833</v>
      </c>
      <c r="J63" s="153">
        <v>141</v>
      </c>
      <c r="K63" s="154">
        <v>45984</v>
      </c>
      <c r="L63" s="153">
        <v>22</v>
      </c>
      <c r="M63" s="153">
        <v>0</v>
      </c>
      <c r="N63" s="153">
        <v>7</v>
      </c>
      <c r="O63" s="155" t="s">
        <v>864</v>
      </c>
      <c r="P63" s="156">
        <v>0.38194444444444442</v>
      </c>
      <c r="Q63" s="153">
        <v>180</v>
      </c>
      <c r="R63" s="157" t="s">
        <v>958</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36" t="s">
        <v>48</v>
      </c>
      <c r="B64" s="36" t="s">
        <v>936</v>
      </c>
      <c r="C64" s="37">
        <v>0.97222222222222221</v>
      </c>
      <c r="D64" s="36" t="s">
        <v>50</v>
      </c>
      <c r="E64" s="36" t="s">
        <v>61</v>
      </c>
      <c r="F64" s="36" t="s">
        <v>395</v>
      </c>
      <c r="G64" s="262"/>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48</v>
      </c>
      <c r="B65" s="15" t="s">
        <v>936</v>
      </c>
      <c r="C65" s="16">
        <v>0.97222222222222221</v>
      </c>
      <c r="D65" s="15" t="s">
        <v>53</v>
      </c>
      <c r="E65" s="15" t="s">
        <v>64</v>
      </c>
      <c r="F65" s="15" t="s">
        <v>396</v>
      </c>
      <c r="G65" s="262"/>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48</v>
      </c>
      <c r="B66" s="15" t="s">
        <v>936</v>
      </c>
      <c r="C66" s="16">
        <v>0.97222222222222221</v>
      </c>
      <c r="D66" s="15" t="s">
        <v>56</v>
      </c>
      <c r="E66" s="15" t="s">
        <v>64</v>
      </c>
      <c r="F66" s="15" t="s">
        <v>397</v>
      </c>
      <c r="G66" s="262"/>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36" t="s">
        <v>300</v>
      </c>
      <c r="B67" s="36" t="s">
        <v>932</v>
      </c>
      <c r="C67" s="37">
        <v>0.96527777777777779</v>
      </c>
      <c r="D67" s="36" t="s">
        <v>37</v>
      </c>
      <c r="E67" s="36" t="s">
        <v>375</v>
      </c>
      <c r="F67" s="36" t="s">
        <v>959</v>
      </c>
      <c r="G67" s="262"/>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36" t="s">
        <v>295</v>
      </c>
      <c r="B68" s="36" t="s">
        <v>948</v>
      </c>
      <c r="C68" s="37">
        <v>0.75694444444444453</v>
      </c>
      <c r="D68" s="36" t="s">
        <v>37</v>
      </c>
      <c r="E68" s="36" t="s">
        <v>77</v>
      </c>
      <c r="F68" s="36" t="s">
        <v>828</v>
      </c>
      <c r="G68" s="262"/>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36" t="s">
        <v>58</v>
      </c>
      <c r="B69" s="36" t="s">
        <v>945</v>
      </c>
      <c r="C69" s="37">
        <v>0.44791666666666669</v>
      </c>
      <c r="D69" s="36" t="s">
        <v>63</v>
      </c>
      <c r="E69" s="36" t="s">
        <v>38</v>
      </c>
      <c r="F69" s="36" t="s">
        <v>812</v>
      </c>
      <c r="G69" s="262"/>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6" t="s">
        <v>75</v>
      </c>
      <c r="B70" s="36" t="s">
        <v>943</v>
      </c>
      <c r="C70" s="37">
        <v>0.97916666666666663</v>
      </c>
      <c r="D70" s="36" t="s">
        <v>60</v>
      </c>
      <c r="E70" s="36" t="s">
        <v>77</v>
      </c>
      <c r="F70" s="36" t="s">
        <v>950</v>
      </c>
      <c r="G70" s="262"/>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40" t="s">
        <v>75</v>
      </c>
      <c r="B71" s="40" t="s">
        <v>940</v>
      </c>
      <c r="C71" s="41">
        <v>0.3263888888888889</v>
      </c>
      <c r="D71" s="40" t="s">
        <v>60</v>
      </c>
      <c r="E71" s="40" t="s">
        <v>86</v>
      </c>
      <c r="F71" s="40" t="s">
        <v>960</v>
      </c>
      <c r="G71" s="263"/>
      <c r="H71" s="42"/>
      <c r="I71" s="43"/>
      <c r="J71" s="43"/>
      <c r="K71" s="43"/>
      <c r="L71" s="43"/>
      <c r="M71" s="43"/>
      <c r="N71" s="43"/>
      <c r="O71" s="44"/>
      <c r="P71" s="43"/>
      <c r="Q71" s="45"/>
      <c r="R71" s="4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85"/>
      <c r="B72" s="286"/>
      <c r="C72" s="286"/>
      <c r="D72" s="286"/>
      <c r="E72" s="286"/>
      <c r="F72" s="286"/>
      <c r="G72" s="276"/>
      <c r="H72" s="287"/>
      <c r="I72" s="287"/>
      <c r="J72" s="287"/>
      <c r="K72" s="287"/>
      <c r="L72" s="287"/>
      <c r="M72" s="287"/>
      <c r="N72" s="287"/>
      <c r="O72" s="288"/>
      <c r="P72" s="287"/>
      <c r="Q72" s="276"/>
      <c r="R72" s="27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66" t="s">
        <v>5</v>
      </c>
      <c r="B73" s="267"/>
      <c r="C73" s="267"/>
      <c r="D73" s="267"/>
      <c r="E73" s="267"/>
      <c r="F73" s="267"/>
      <c r="G73" s="5">
        <v>45990</v>
      </c>
      <c r="H73" s="270" t="s">
        <v>6</v>
      </c>
      <c r="I73" s="269"/>
      <c r="J73" s="269"/>
      <c r="K73" s="269"/>
      <c r="L73" s="269"/>
      <c r="M73" s="269"/>
      <c r="N73" s="269"/>
      <c r="O73" s="269"/>
      <c r="P73" s="269"/>
      <c r="Q73" s="269"/>
      <c r="R73" s="26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47" t="s">
        <v>7</v>
      </c>
      <c r="B74" s="47" t="s">
        <v>8</v>
      </c>
      <c r="C74" s="48" t="s">
        <v>9</v>
      </c>
      <c r="D74" s="47" t="s">
        <v>10</v>
      </c>
      <c r="E74" s="47" t="s">
        <v>11</v>
      </c>
      <c r="F74" s="47" t="s">
        <v>12</v>
      </c>
      <c r="G74" s="49" t="s">
        <v>13</v>
      </c>
      <c r="H74" s="47" t="s">
        <v>14</v>
      </c>
      <c r="I74" s="50" t="s">
        <v>15</v>
      </c>
      <c r="J74" s="51" t="s">
        <v>16</v>
      </c>
      <c r="K74" s="52" t="s">
        <v>17</v>
      </c>
      <c r="L74" s="51" t="s">
        <v>18</v>
      </c>
      <c r="M74" s="51" t="s">
        <v>19</v>
      </c>
      <c r="N74" s="51" t="s">
        <v>20</v>
      </c>
      <c r="O74" s="47" t="s">
        <v>21</v>
      </c>
      <c r="P74" s="48" t="s">
        <v>22</v>
      </c>
      <c r="Q74" s="51" t="s">
        <v>23</v>
      </c>
      <c r="R74" s="47"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8" t="s">
        <v>295</v>
      </c>
      <c r="B75" s="8" t="s">
        <v>934</v>
      </c>
      <c r="C75" s="9">
        <v>0.69444444444444453</v>
      </c>
      <c r="D75" s="8" t="s">
        <v>37</v>
      </c>
      <c r="E75" s="8" t="s">
        <v>28</v>
      </c>
      <c r="F75" s="8" t="s">
        <v>935</v>
      </c>
      <c r="G75" s="261"/>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38" t="s">
        <v>295</v>
      </c>
      <c r="B76" s="38" t="s">
        <v>961</v>
      </c>
      <c r="C76" s="39">
        <v>0.96180555555555547</v>
      </c>
      <c r="D76" s="38" t="s">
        <v>37</v>
      </c>
      <c r="E76" s="38" t="s">
        <v>86</v>
      </c>
      <c r="F76" s="38" t="s">
        <v>935</v>
      </c>
      <c r="G76" s="262"/>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6" t="s">
        <v>48</v>
      </c>
      <c r="B77" s="36" t="s">
        <v>938</v>
      </c>
      <c r="C77" s="37">
        <v>0.33680555555555558</v>
      </c>
      <c r="D77" s="36" t="s">
        <v>50</v>
      </c>
      <c r="E77" s="36" t="s">
        <v>405</v>
      </c>
      <c r="F77" s="36" t="s">
        <v>395</v>
      </c>
      <c r="G77" s="262"/>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48</v>
      </c>
      <c r="B78" s="15" t="s">
        <v>938</v>
      </c>
      <c r="C78" s="16">
        <v>0.33680555555555558</v>
      </c>
      <c r="D78" s="15" t="s">
        <v>53</v>
      </c>
      <c r="E78" s="15" t="s">
        <v>119</v>
      </c>
      <c r="F78" s="15" t="s">
        <v>396</v>
      </c>
      <c r="G78" s="26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48</v>
      </c>
      <c r="B79" s="15" t="s">
        <v>938</v>
      </c>
      <c r="C79" s="16">
        <v>0.33680555555555558</v>
      </c>
      <c r="D79" s="15" t="s">
        <v>56</v>
      </c>
      <c r="E79" s="15" t="s">
        <v>119</v>
      </c>
      <c r="F79" s="15" t="s">
        <v>397</v>
      </c>
      <c r="G79" s="26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38" t="s">
        <v>48</v>
      </c>
      <c r="B80" s="38" t="s">
        <v>936</v>
      </c>
      <c r="C80" s="39">
        <v>0.97222222222222221</v>
      </c>
      <c r="D80" s="38" t="s">
        <v>50</v>
      </c>
      <c r="E80" s="38" t="s">
        <v>66</v>
      </c>
      <c r="F80" s="38" t="s">
        <v>395</v>
      </c>
      <c r="G80" s="262"/>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48</v>
      </c>
      <c r="B81" s="15" t="s">
        <v>936</v>
      </c>
      <c r="C81" s="16">
        <v>0.97222222222222221</v>
      </c>
      <c r="D81" s="15" t="s">
        <v>53</v>
      </c>
      <c r="E81" s="15" t="s">
        <v>68</v>
      </c>
      <c r="F81" s="15" t="s">
        <v>396</v>
      </c>
      <c r="G81" s="262"/>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48</v>
      </c>
      <c r="B82" s="15" t="s">
        <v>936</v>
      </c>
      <c r="C82" s="16">
        <v>0.97222222222222221</v>
      </c>
      <c r="D82" s="15" t="s">
        <v>56</v>
      </c>
      <c r="E82" s="15" t="s">
        <v>68</v>
      </c>
      <c r="F82" s="15" t="s">
        <v>397</v>
      </c>
      <c r="G82" s="262"/>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36" t="s">
        <v>25</v>
      </c>
      <c r="B83" s="36" t="s">
        <v>931</v>
      </c>
      <c r="C83" s="37">
        <v>0.44791666666666669</v>
      </c>
      <c r="D83" s="36" t="s">
        <v>27</v>
      </c>
      <c r="E83" s="36" t="s">
        <v>51</v>
      </c>
      <c r="F83" s="36" t="s">
        <v>962</v>
      </c>
      <c r="G83" s="262"/>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25</v>
      </c>
      <c r="B84" s="15" t="s">
        <v>931</v>
      </c>
      <c r="C84" s="16">
        <v>0.44791666666666669</v>
      </c>
      <c r="D84" s="15" t="s">
        <v>33</v>
      </c>
      <c r="E84" s="15" t="s">
        <v>54</v>
      </c>
      <c r="F84" s="15" t="s">
        <v>963</v>
      </c>
      <c r="G84" s="262"/>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25</v>
      </c>
      <c r="B85" s="15" t="s">
        <v>931</v>
      </c>
      <c r="C85" s="16">
        <v>0.44791666666666669</v>
      </c>
      <c r="D85" s="15" t="s">
        <v>30</v>
      </c>
      <c r="E85" s="15" t="s">
        <v>54</v>
      </c>
      <c r="F85" s="15" t="s">
        <v>947</v>
      </c>
      <c r="G85" s="262"/>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4" t="s">
        <v>35</v>
      </c>
      <c r="B86" s="174" t="s">
        <v>927</v>
      </c>
      <c r="C86" s="175">
        <v>0.72222222222222221</v>
      </c>
      <c r="D86" s="174" t="s">
        <v>37</v>
      </c>
      <c r="E86" s="174" t="s">
        <v>77</v>
      </c>
      <c r="F86" s="174" t="s">
        <v>964</v>
      </c>
      <c r="G86" s="262"/>
      <c r="H86" s="176" t="s">
        <v>929</v>
      </c>
      <c r="I86" s="177">
        <v>0.71109999999999995</v>
      </c>
      <c r="J86" s="178">
        <v>128</v>
      </c>
      <c r="K86" s="179">
        <v>45984</v>
      </c>
      <c r="L86" s="178">
        <v>16</v>
      </c>
      <c r="M86" s="178">
        <v>0</v>
      </c>
      <c r="N86" s="178">
        <v>3</v>
      </c>
      <c r="O86" s="180" t="s">
        <v>834</v>
      </c>
      <c r="P86" s="181">
        <v>0.72222222222222221</v>
      </c>
      <c r="Q86" s="178">
        <v>180</v>
      </c>
      <c r="R86" s="182" t="s">
        <v>965</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36" t="s">
        <v>290</v>
      </c>
      <c r="B87" s="36" t="s">
        <v>966</v>
      </c>
      <c r="C87" s="37">
        <v>0.74652777777777779</v>
      </c>
      <c r="D87" s="36" t="s">
        <v>292</v>
      </c>
      <c r="E87" s="36" t="s">
        <v>405</v>
      </c>
      <c r="F87" s="36" t="s">
        <v>967</v>
      </c>
      <c r="G87" s="262"/>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290</v>
      </c>
      <c r="B88" s="15" t="s">
        <v>966</v>
      </c>
      <c r="C88" s="16">
        <v>0.74652777777777779</v>
      </c>
      <c r="D88" s="15" t="s">
        <v>30</v>
      </c>
      <c r="E88" s="15" t="s">
        <v>119</v>
      </c>
      <c r="F88" s="15" t="s">
        <v>968</v>
      </c>
      <c r="G88" s="262"/>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227" t="s">
        <v>58</v>
      </c>
      <c r="B89" s="227" t="s">
        <v>945</v>
      </c>
      <c r="C89" s="228">
        <v>0.44791666666666669</v>
      </c>
      <c r="D89" s="227" t="s">
        <v>63</v>
      </c>
      <c r="E89" s="227" t="s">
        <v>38</v>
      </c>
      <c r="F89" s="227" t="s">
        <v>969</v>
      </c>
      <c r="G89" s="263"/>
      <c r="H89" s="42"/>
      <c r="I89" s="43"/>
      <c r="J89" s="43"/>
      <c r="K89" s="43"/>
      <c r="L89" s="43"/>
      <c r="M89" s="43"/>
      <c r="N89" s="43"/>
      <c r="O89" s="44"/>
      <c r="P89" s="43"/>
      <c r="Q89" s="45"/>
      <c r="R89" s="4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75"/>
      <c r="B90" s="276"/>
      <c r="C90" s="276"/>
      <c r="D90" s="276"/>
      <c r="E90" s="276"/>
      <c r="F90" s="276"/>
      <c r="G90" s="276"/>
      <c r="H90" s="276"/>
      <c r="I90" s="276"/>
      <c r="J90" s="276"/>
      <c r="K90" s="276"/>
      <c r="L90" s="276"/>
      <c r="M90" s="276"/>
      <c r="N90" s="276"/>
      <c r="O90" s="276"/>
      <c r="P90" s="276"/>
      <c r="Q90" s="276"/>
      <c r="R90" s="27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66" t="s">
        <v>5</v>
      </c>
      <c r="B91" s="267"/>
      <c r="C91" s="267"/>
      <c r="D91" s="267"/>
      <c r="E91" s="267"/>
      <c r="F91" s="267"/>
      <c r="G91" s="5">
        <v>45991</v>
      </c>
      <c r="H91" s="270" t="s">
        <v>6</v>
      </c>
      <c r="I91" s="269"/>
      <c r="J91" s="269"/>
      <c r="K91" s="269"/>
      <c r="L91" s="269"/>
      <c r="M91" s="269"/>
      <c r="N91" s="269"/>
      <c r="O91" s="269"/>
      <c r="P91" s="269"/>
      <c r="Q91" s="269"/>
      <c r="R91" s="26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47" t="s">
        <v>7</v>
      </c>
      <c r="B92" s="47" t="s">
        <v>8</v>
      </c>
      <c r="C92" s="48" t="s">
        <v>9</v>
      </c>
      <c r="D92" s="47" t="s">
        <v>10</v>
      </c>
      <c r="E92" s="47" t="s">
        <v>11</v>
      </c>
      <c r="F92" s="47" t="s">
        <v>12</v>
      </c>
      <c r="G92" s="49" t="s">
        <v>13</v>
      </c>
      <c r="H92" s="47" t="s">
        <v>14</v>
      </c>
      <c r="I92" s="50" t="s">
        <v>15</v>
      </c>
      <c r="J92" s="51" t="s">
        <v>16</v>
      </c>
      <c r="K92" s="52" t="s">
        <v>17</v>
      </c>
      <c r="L92" s="51" t="s">
        <v>18</v>
      </c>
      <c r="M92" s="51" t="s">
        <v>19</v>
      </c>
      <c r="N92" s="51" t="s">
        <v>20</v>
      </c>
      <c r="O92" s="47" t="s">
        <v>21</v>
      </c>
      <c r="P92" s="48" t="s">
        <v>22</v>
      </c>
      <c r="Q92" s="51" t="s">
        <v>23</v>
      </c>
      <c r="R92" s="47"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8" t="s">
        <v>295</v>
      </c>
      <c r="B93" s="8" t="s">
        <v>970</v>
      </c>
      <c r="C93" s="9">
        <v>0.4826388888888889</v>
      </c>
      <c r="D93" s="8" t="s">
        <v>37</v>
      </c>
      <c r="E93" s="8" t="s">
        <v>77</v>
      </c>
      <c r="F93" s="8" t="s">
        <v>952</v>
      </c>
      <c r="G93" s="261"/>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38" t="s">
        <v>295</v>
      </c>
      <c r="B94" s="38" t="s">
        <v>951</v>
      </c>
      <c r="C94" s="39">
        <v>0.75694444444444453</v>
      </c>
      <c r="D94" s="38" t="s">
        <v>37</v>
      </c>
      <c r="E94" s="38" t="s">
        <v>86</v>
      </c>
      <c r="F94" s="38" t="s">
        <v>952</v>
      </c>
      <c r="G94" s="262"/>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36" t="s">
        <v>300</v>
      </c>
      <c r="B95" s="36" t="s">
        <v>954</v>
      </c>
      <c r="C95" s="37">
        <v>0.92013888888888884</v>
      </c>
      <c r="D95" s="36" t="s">
        <v>37</v>
      </c>
      <c r="E95" s="36" t="s">
        <v>38</v>
      </c>
      <c r="F95" s="36" t="s">
        <v>105</v>
      </c>
      <c r="G95" s="262"/>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38" t="s">
        <v>300</v>
      </c>
      <c r="B96" s="38" t="s">
        <v>953</v>
      </c>
      <c r="C96" s="39">
        <v>6.9444444444444441E-3</v>
      </c>
      <c r="D96" s="38" t="s">
        <v>37</v>
      </c>
      <c r="E96" s="38" t="s">
        <v>86</v>
      </c>
      <c r="F96" s="38" t="s">
        <v>933</v>
      </c>
      <c r="G96" s="262"/>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36" t="s">
        <v>48</v>
      </c>
      <c r="B97" s="36" t="s">
        <v>936</v>
      </c>
      <c r="C97" s="37">
        <v>0.97222222222222221</v>
      </c>
      <c r="D97" s="36" t="s">
        <v>50</v>
      </c>
      <c r="E97" s="36" t="s">
        <v>51</v>
      </c>
      <c r="F97" s="36" t="s">
        <v>105</v>
      </c>
      <c r="G97" s="262"/>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48</v>
      </c>
      <c r="B98" s="15" t="s">
        <v>936</v>
      </c>
      <c r="C98" s="16">
        <v>0.97222222222222221</v>
      </c>
      <c r="D98" s="15" t="s">
        <v>53</v>
      </c>
      <c r="E98" s="15" t="s">
        <v>54</v>
      </c>
      <c r="F98" s="15" t="s">
        <v>971</v>
      </c>
      <c r="G98" s="262"/>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48</v>
      </c>
      <c r="B99" s="15" t="s">
        <v>936</v>
      </c>
      <c r="C99" s="16">
        <v>0.97222222222222221</v>
      </c>
      <c r="D99" s="15" t="s">
        <v>56</v>
      </c>
      <c r="E99" s="15" t="s">
        <v>54</v>
      </c>
      <c r="F99" s="15" t="s">
        <v>52</v>
      </c>
      <c r="G99" s="262"/>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36" t="s">
        <v>25</v>
      </c>
      <c r="B100" s="36" t="s">
        <v>931</v>
      </c>
      <c r="C100" s="37">
        <v>0.44791666666666669</v>
      </c>
      <c r="D100" s="36" t="s">
        <v>27</v>
      </c>
      <c r="E100" s="36" t="s">
        <v>38</v>
      </c>
      <c r="F100" s="36" t="s">
        <v>825</v>
      </c>
      <c r="G100" s="26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25</v>
      </c>
      <c r="B101" s="15" t="s">
        <v>931</v>
      </c>
      <c r="C101" s="16">
        <v>0.44791666666666669</v>
      </c>
      <c r="D101" s="15" t="s">
        <v>33</v>
      </c>
      <c r="E101" s="15" t="s">
        <v>74</v>
      </c>
      <c r="F101" s="15" t="s">
        <v>826</v>
      </c>
      <c r="G101" s="262"/>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25</v>
      </c>
      <c r="B102" s="15" t="s">
        <v>931</v>
      </c>
      <c r="C102" s="16">
        <v>0.44791666666666669</v>
      </c>
      <c r="D102" s="15" t="s">
        <v>30</v>
      </c>
      <c r="E102" s="15" t="s">
        <v>74</v>
      </c>
      <c r="F102" s="15" t="s">
        <v>403</v>
      </c>
      <c r="G102" s="262"/>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36" t="s">
        <v>58</v>
      </c>
      <c r="B103" s="36" t="s">
        <v>945</v>
      </c>
      <c r="C103" s="37">
        <v>0.44791666666666669</v>
      </c>
      <c r="D103" s="36" t="s">
        <v>63</v>
      </c>
      <c r="E103" s="36" t="s">
        <v>38</v>
      </c>
      <c r="F103" s="36" t="s">
        <v>946</v>
      </c>
      <c r="G103" s="262"/>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36" t="s">
        <v>75</v>
      </c>
      <c r="B104" s="36" t="s">
        <v>943</v>
      </c>
      <c r="C104" s="37">
        <v>0.97916666666666663</v>
      </c>
      <c r="D104" s="36" t="s">
        <v>60</v>
      </c>
      <c r="E104" s="36" t="s">
        <v>28</v>
      </c>
      <c r="F104" s="36" t="s">
        <v>972</v>
      </c>
      <c r="G104" s="262"/>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40" t="s">
        <v>75</v>
      </c>
      <c r="B105" s="40" t="s">
        <v>942</v>
      </c>
      <c r="C105" s="41">
        <v>0.67361111111111116</v>
      </c>
      <c r="D105" s="40" t="s">
        <v>60</v>
      </c>
      <c r="E105" s="40" t="s">
        <v>91</v>
      </c>
      <c r="F105" s="40" t="s">
        <v>972</v>
      </c>
      <c r="G105" s="263"/>
      <c r="H105" s="42"/>
      <c r="I105" s="43"/>
      <c r="J105" s="43"/>
      <c r="K105" s="43"/>
      <c r="L105" s="43"/>
      <c r="M105" s="43"/>
      <c r="N105" s="43"/>
      <c r="O105" s="44"/>
      <c r="P105" s="43"/>
      <c r="Q105" s="45"/>
      <c r="R105" s="4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 customHeight="1" x14ac:dyDescent="0.3">
      <c r="A106" s="275"/>
      <c r="B106" s="276"/>
      <c r="C106" s="276"/>
      <c r="D106" s="276"/>
      <c r="E106" s="276"/>
      <c r="F106" s="276"/>
      <c r="G106" s="276"/>
      <c r="H106" s="276"/>
      <c r="I106" s="276"/>
      <c r="J106" s="276"/>
      <c r="K106" s="276"/>
      <c r="L106" s="276"/>
      <c r="M106" s="276"/>
      <c r="N106" s="276"/>
      <c r="O106" s="276"/>
      <c r="P106" s="276"/>
      <c r="Q106" s="276"/>
      <c r="R106" s="27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sheetData>
  <mergeCells count="33">
    <mergeCell ref="A106:R106"/>
    <mergeCell ref="A91:F91"/>
    <mergeCell ref="H36:R36"/>
    <mergeCell ref="J1:M1"/>
    <mergeCell ref="A22:R22"/>
    <mergeCell ref="A35:R35"/>
    <mergeCell ref="A72:R72"/>
    <mergeCell ref="G38:G56"/>
    <mergeCell ref="A58:F58"/>
    <mergeCell ref="K2:R2"/>
    <mergeCell ref="D1:F1"/>
    <mergeCell ref="A73:F73"/>
    <mergeCell ref="G75:G89"/>
    <mergeCell ref="A1:C1"/>
    <mergeCell ref="A36:F36"/>
    <mergeCell ref="G1:H1"/>
    <mergeCell ref="G93:G105"/>
    <mergeCell ref="A2:F2"/>
    <mergeCell ref="A3:R3"/>
    <mergeCell ref="A57:R57"/>
    <mergeCell ref="A23:F23"/>
    <mergeCell ref="H73:R73"/>
    <mergeCell ref="G2:J2"/>
    <mergeCell ref="A4:F4"/>
    <mergeCell ref="G6:G21"/>
    <mergeCell ref="H23:R23"/>
    <mergeCell ref="O1:Q1"/>
    <mergeCell ref="H91:R91"/>
    <mergeCell ref="G60:G71"/>
    <mergeCell ref="G25:G34"/>
    <mergeCell ref="A90:R90"/>
    <mergeCell ref="H4:R4"/>
    <mergeCell ref="H58:R5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6"/>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929</v>
      </c>
      <c r="D2" s="81">
        <v>6.9444444444444434E-2</v>
      </c>
      <c r="E2" s="80" t="s">
        <v>926</v>
      </c>
      <c r="F2" s="80" t="s">
        <v>159</v>
      </c>
      <c r="G2" s="82">
        <v>0.74860000000000004</v>
      </c>
      <c r="H2" s="83">
        <v>179</v>
      </c>
      <c r="I2" s="83">
        <v>134</v>
      </c>
      <c r="J2" s="83">
        <v>0</v>
      </c>
      <c r="K2" s="79">
        <v>45984</v>
      </c>
      <c r="L2" s="83">
        <v>0</v>
      </c>
      <c r="M2" s="83">
        <v>10</v>
      </c>
      <c r="N2" s="83">
        <v>87</v>
      </c>
      <c r="O2" s="80" t="s">
        <v>808</v>
      </c>
      <c r="P2" s="84"/>
      <c r="Q2" s="84"/>
      <c r="R2" s="84"/>
      <c r="S2" s="84"/>
      <c r="T2" s="83" t="s">
        <v>860</v>
      </c>
      <c r="U2" s="83" t="s">
        <v>973</v>
      </c>
      <c r="V2" s="83" t="s">
        <v>551</v>
      </c>
      <c r="W2" s="83" t="s">
        <v>974</v>
      </c>
      <c r="X2" s="83" t="s">
        <v>560</v>
      </c>
      <c r="Y2" s="83" t="s">
        <v>854</v>
      </c>
      <c r="Z2" s="84"/>
      <c r="AA2" s="83" t="s">
        <v>244</v>
      </c>
      <c r="AB2" s="83" t="s">
        <v>497</v>
      </c>
      <c r="AC2" s="83" t="s">
        <v>856</v>
      </c>
      <c r="AD2" s="83" t="s">
        <v>975</v>
      </c>
      <c r="AE2" s="83" t="s">
        <v>647</v>
      </c>
      <c r="AF2" s="84"/>
      <c r="AG2" s="84"/>
      <c r="AH2" s="84"/>
      <c r="AI2" s="84"/>
    </row>
    <row r="3" spans="1:35" ht="18" x14ac:dyDescent="0.3">
      <c r="A3" s="85" t="s">
        <v>176</v>
      </c>
      <c r="B3" s="86">
        <v>45988</v>
      </c>
      <c r="C3" s="87" t="s">
        <v>929</v>
      </c>
      <c r="D3" s="88">
        <v>0.72222222222222221</v>
      </c>
      <c r="E3" s="87" t="s">
        <v>926</v>
      </c>
      <c r="F3" s="87" t="s">
        <v>159</v>
      </c>
      <c r="G3" s="89">
        <v>0.88329999999999997</v>
      </c>
      <c r="H3" s="90">
        <v>180</v>
      </c>
      <c r="I3" s="90">
        <v>159</v>
      </c>
      <c r="J3" s="90">
        <v>0</v>
      </c>
      <c r="K3" s="86">
        <v>45984</v>
      </c>
      <c r="L3" s="90">
        <v>0</v>
      </c>
      <c r="M3" s="90">
        <v>19</v>
      </c>
      <c r="N3" s="90">
        <v>37</v>
      </c>
      <c r="O3" s="87" t="s">
        <v>955</v>
      </c>
      <c r="P3" s="91"/>
      <c r="Q3" s="91"/>
      <c r="R3" s="91"/>
      <c r="S3" s="90" t="s">
        <v>864</v>
      </c>
      <c r="T3" s="90" t="s">
        <v>976</v>
      </c>
      <c r="U3" s="90" t="s">
        <v>977</v>
      </c>
      <c r="V3" s="90" t="s">
        <v>426</v>
      </c>
      <c r="W3" s="90" t="s">
        <v>482</v>
      </c>
      <c r="X3" s="90" t="s">
        <v>525</v>
      </c>
      <c r="Y3" s="90" t="s">
        <v>643</v>
      </c>
      <c r="Z3" s="90" t="s">
        <v>978</v>
      </c>
      <c r="AA3" s="90" t="s">
        <v>489</v>
      </c>
      <c r="AB3" s="90" t="s">
        <v>181</v>
      </c>
      <c r="AC3" s="90" t="s">
        <v>634</v>
      </c>
      <c r="AD3" s="90" t="s">
        <v>868</v>
      </c>
      <c r="AE3" s="90" t="s">
        <v>869</v>
      </c>
      <c r="AF3" s="91"/>
      <c r="AG3" s="91"/>
      <c r="AH3" s="91"/>
      <c r="AI3" s="91"/>
    </row>
    <row r="4" spans="1:35" ht="18" x14ac:dyDescent="0.3">
      <c r="A4" s="78" t="s">
        <v>510</v>
      </c>
      <c r="B4" s="79">
        <v>45989</v>
      </c>
      <c r="C4" s="80" t="s">
        <v>929</v>
      </c>
      <c r="D4" s="81">
        <v>0.38194444444444442</v>
      </c>
      <c r="E4" s="80" t="s">
        <v>926</v>
      </c>
      <c r="F4" s="80" t="s">
        <v>159</v>
      </c>
      <c r="G4" s="82">
        <v>0.7833</v>
      </c>
      <c r="H4" s="83">
        <v>180</v>
      </c>
      <c r="I4" s="83">
        <v>141</v>
      </c>
      <c r="J4" s="83">
        <v>0</v>
      </c>
      <c r="K4" s="79">
        <v>45984</v>
      </c>
      <c r="L4" s="83">
        <v>0</v>
      </c>
      <c r="M4" s="83">
        <v>7</v>
      </c>
      <c r="N4" s="83">
        <v>22</v>
      </c>
      <c r="O4" s="80" t="s">
        <v>864</v>
      </c>
      <c r="P4" s="84"/>
      <c r="Q4" s="84"/>
      <c r="R4" s="83" t="s">
        <v>979</v>
      </c>
      <c r="S4" s="83" t="s">
        <v>980</v>
      </c>
      <c r="T4" s="83" t="s">
        <v>981</v>
      </c>
      <c r="U4" s="83" t="s">
        <v>982</v>
      </c>
      <c r="V4" s="83" t="s">
        <v>426</v>
      </c>
      <c r="W4" s="83" t="s">
        <v>555</v>
      </c>
      <c r="X4" s="83" t="s">
        <v>983</v>
      </c>
      <c r="Y4" s="83" t="s">
        <v>636</v>
      </c>
      <c r="Z4" s="83" t="s">
        <v>430</v>
      </c>
      <c r="AA4" s="83" t="s">
        <v>562</v>
      </c>
      <c r="AB4" s="83" t="s">
        <v>495</v>
      </c>
      <c r="AC4" s="83" t="s">
        <v>170</v>
      </c>
      <c r="AD4" s="83" t="s">
        <v>491</v>
      </c>
      <c r="AE4" s="83" t="s">
        <v>647</v>
      </c>
      <c r="AF4" s="84"/>
      <c r="AG4" s="84"/>
      <c r="AH4" s="84"/>
      <c r="AI4" s="84"/>
    </row>
    <row r="5" spans="1:35" ht="18" x14ac:dyDescent="0.3">
      <c r="A5" s="85" t="s">
        <v>179</v>
      </c>
      <c r="B5" s="86">
        <v>45990</v>
      </c>
      <c r="C5" s="87" t="s">
        <v>929</v>
      </c>
      <c r="D5" s="88">
        <v>0.72222222222222221</v>
      </c>
      <c r="E5" s="87" t="s">
        <v>926</v>
      </c>
      <c r="F5" s="87" t="s">
        <v>159</v>
      </c>
      <c r="G5" s="89">
        <v>0.71109999999999995</v>
      </c>
      <c r="H5" s="90">
        <v>180</v>
      </c>
      <c r="I5" s="90">
        <v>128</v>
      </c>
      <c r="J5" s="90">
        <v>0</v>
      </c>
      <c r="K5" s="86">
        <v>45984</v>
      </c>
      <c r="L5" s="90">
        <v>0</v>
      </c>
      <c r="M5" s="90">
        <v>3</v>
      </c>
      <c r="N5" s="90">
        <v>16</v>
      </c>
      <c r="O5" s="87" t="s">
        <v>834</v>
      </c>
      <c r="P5" s="91"/>
      <c r="Q5" s="90" t="s">
        <v>984</v>
      </c>
      <c r="R5" s="90" t="s">
        <v>985</v>
      </c>
      <c r="S5" s="90" t="s">
        <v>871</v>
      </c>
      <c r="T5" s="90" t="s">
        <v>808</v>
      </c>
      <c r="U5" s="91"/>
      <c r="V5" s="90" t="s">
        <v>986</v>
      </c>
      <c r="W5" s="90" t="s">
        <v>427</v>
      </c>
      <c r="X5" s="90" t="s">
        <v>525</v>
      </c>
      <c r="Y5" s="90" t="s">
        <v>685</v>
      </c>
      <c r="Z5" s="90" t="s">
        <v>488</v>
      </c>
      <c r="AA5" s="90" t="s">
        <v>162</v>
      </c>
      <c r="AB5" s="90" t="s">
        <v>987</v>
      </c>
      <c r="AC5" s="90" t="s">
        <v>630</v>
      </c>
      <c r="AD5" s="90" t="s">
        <v>868</v>
      </c>
      <c r="AE5" s="90" t="s">
        <v>233</v>
      </c>
      <c r="AF5" s="91"/>
      <c r="AG5" s="91"/>
      <c r="AH5" s="91"/>
      <c r="AI5" s="91"/>
    </row>
    <row r="6" spans="1:35" ht="18" x14ac:dyDescent="0.3">
      <c r="A6" s="92" t="s">
        <v>189</v>
      </c>
      <c r="B6" s="93"/>
      <c r="C6" s="94">
        <f>COUNTA(C2:C5)</f>
        <v>4</v>
      </c>
      <c r="D6" s="93"/>
      <c r="E6" s="93"/>
      <c r="F6" s="93"/>
      <c r="G6" s="95">
        <f>AVERAGE(G2:G5)</f>
        <v>0.78157500000000002</v>
      </c>
      <c r="H6" s="96">
        <f>SUM(H2:H5)</f>
        <v>719</v>
      </c>
      <c r="I6" s="96">
        <f>SUM(I2:I5)</f>
        <v>562</v>
      </c>
      <c r="J6" s="96">
        <f>SUM(J2:J5)</f>
        <v>0</v>
      </c>
      <c r="K6" s="93"/>
      <c r="L6" s="96">
        <f>SUM(L2:L5)</f>
        <v>0</v>
      </c>
      <c r="M6" s="96">
        <f>SUM(M2:M5)</f>
        <v>39</v>
      </c>
      <c r="N6" s="96">
        <f>SUM(N2:N5)</f>
        <v>162</v>
      </c>
      <c r="O6" s="93"/>
      <c r="P6" s="96">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96">
        <f t="shared" si="0"/>
        <v>0</v>
      </c>
      <c r="R6" s="96">
        <f t="shared" si="0"/>
        <v>0</v>
      </c>
      <c r="S6" s="96">
        <f t="shared" si="0"/>
        <v>0</v>
      </c>
      <c r="T6" s="96">
        <f t="shared" si="0"/>
        <v>0</v>
      </c>
      <c r="U6" s="96">
        <f t="shared" si="0"/>
        <v>0</v>
      </c>
      <c r="V6" s="96">
        <f t="shared" si="0"/>
        <v>0</v>
      </c>
      <c r="W6" s="96">
        <f t="shared" si="0"/>
        <v>0</v>
      </c>
      <c r="X6" s="96">
        <f t="shared" si="0"/>
        <v>0</v>
      </c>
      <c r="Y6" s="96">
        <f t="shared" si="0"/>
        <v>0</v>
      </c>
      <c r="Z6" s="96">
        <f t="shared" si="0"/>
        <v>0</v>
      </c>
      <c r="AA6" s="96">
        <f t="shared" si="0"/>
        <v>0</v>
      </c>
      <c r="AB6" s="96">
        <f t="shared" si="0"/>
        <v>0</v>
      </c>
      <c r="AC6" s="96">
        <f t="shared" si="0"/>
        <v>0</v>
      </c>
      <c r="AD6" s="96">
        <f t="shared" si="0"/>
        <v>0</v>
      </c>
      <c r="AE6" s="96">
        <f t="shared" si="0"/>
        <v>0</v>
      </c>
      <c r="AF6" s="96">
        <f t="shared" si="0"/>
        <v>0</v>
      </c>
      <c r="AG6" s="96">
        <f t="shared" si="0"/>
        <v>0</v>
      </c>
      <c r="AH6" s="96">
        <f t="shared" si="0"/>
        <v>0</v>
      </c>
      <c r="AI6" s="96">
        <f t="shared" si="0"/>
        <v>0</v>
      </c>
    </row>
  </sheetData>
  <autoFilter ref="A1:AI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6"/>
  <sheetViews>
    <sheetView workbookViewId="0"/>
  </sheetViews>
  <sheetFormatPr defaultRowHeight="14.4" x14ac:dyDescent="0.3"/>
  <cols>
    <col min="1" max="1" width="13"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927</v>
      </c>
      <c r="D2" s="110" t="s">
        <v>926</v>
      </c>
      <c r="E2" s="112">
        <v>1.069444444444444</v>
      </c>
      <c r="F2" s="110" t="s">
        <v>37</v>
      </c>
      <c r="G2" s="113">
        <v>9</v>
      </c>
      <c r="H2" s="166" t="s">
        <v>928</v>
      </c>
    </row>
    <row r="3" spans="1:8" ht="18" x14ac:dyDescent="0.3">
      <c r="A3" s="118">
        <v>45986</v>
      </c>
      <c r="B3" s="99" t="s">
        <v>25</v>
      </c>
      <c r="C3" s="100" t="s">
        <v>931</v>
      </c>
      <c r="D3" s="99" t="s">
        <v>926</v>
      </c>
      <c r="E3" s="101">
        <v>1.447916666666667</v>
      </c>
      <c r="F3" s="99" t="s">
        <v>27</v>
      </c>
      <c r="G3" s="102">
        <v>2</v>
      </c>
      <c r="H3" s="99" t="s">
        <v>93</v>
      </c>
    </row>
    <row r="4" spans="1:8" ht="18" x14ac:dyDescent="0.3">
      <c r="A4" s="104">
        <v>45986</v>
      </c>
      <c r="B4" s="105" t="s">
        <v>25</v>
      </c>
      <c r="C4" s="106" t="s">
        <v>931</v>
      </c>
      <c r="D4" s="105" t="s">
        <v>926</v>
      </c>
      <c r="E4" s="107">
        <v>1.447916666666667</v>
      </c>
      <c r="F4" s="105" t="s">
        <v>33</v>
      </c>
      <c r="G4" s="108">
        <v>2</v>
      </c>
      <c r="H4" s="105" t="s">
        <v>394</v>
      </c>
    </row>
    <row r="5" spans="1:8" ht="18" x14ac:dyDescent="0.3">
      <c r="A5" s="104">
        <v>45986</v>
      </c>
      <c r="B5" s="105" t="s">
        <v>25</v>
      </c>
      <c r="C5" s="106" t="s">
        <v>931</v>
      </c>
      <c r="D5" s="105" t="s">
        <v>926</v>
      </c>
      <c r="E5" s="107">
        <v>1.447916666666667</v>
      </c>
      <c r="F5" s="105" t="s">
        <v>30</v>
      </c>
      <c r="G5" s="108">
        <v>2</v>
      </c>
      <c r="H5" s="105" t="s">
        <v>403</v>
      </c>
    </row>
    <row r="6" spans="1:8" ht="18" x14ac:dyDescent="0.3">
      <c r="A6" s="118">
        <v>45986</v>
      </c>
      <c r="B6" s="99" t="s">
        <v>300</v>
      </c>
      <c r="C6" s="100" t="s">
        <v>932</v>
      </c>
      <c r="D6" s="99" t="s">
        <v>926</v>
      </c>
      <c r="E6" s="101">
        <v>1.881944444444444</v>
      </c>
      <c r="F6" s="99" t="s">
        <v>37</v>
      </c>
      <c r="G6" s="102">
        <v>4</v>
      </c>
      <c r="H6" s="99" t="s">
        <v>933</v>
      </c>
    </row>
    <row r="7" spans="1:8" ht="18" x14ac:dyDescent="0.3">
      <c r="A7" s="118">
        <v>45986</v>
      </c>
      <c r="B7" s="99" t="s">
        <v>295</v>
      </c>
      <c r="C7" s="100" t="s">
        <v>934</v>
      </c>
      <c r="D7" s="99" t="s">
        <v>926</v>
      </c>
      <c r="E7" s="101">
        <v>1.756944444444444</v>
      </c>
      <c r="F7" s="99" t="s">
        <v>37</v>
      </c>
      <c r="G7" s="102">
        <v>9</v>
      </c>
      <c r="H7" s="99" t="s">
        <v>935</v>
      </c>
    </row>
    <row r="8" spans="1:8" ht="18" x14ac:dyDescent="0.3">
      <c r="A8" s="118">
        <v>45986</v>
      </c>
      <c r="B8" s="99" t="s">
        <v>48</v>
      </c>
      <c r="C8" s="100" t="s">
        <v>936</v>
      </c>
      <c r="D8" s="99" t="s">
        <v>926</v>
      </c>
      <c r="E8" s="101">
        <v>1.9722222222222221</v>
      </c>
      <c r="F8" s="99" t="s">
        <v>50</v>
      </c>
      <c r="G8" s="102">
        <v>2</v>
      </c>
      <c r="H8" s="99" t="s">
        <v>337</v>
      </c>
    </row>
    <row r="9" spans="1:8" ht="18" x14ac:dyDescent="0.3">
      <c r="A9" s="104">
        <v>45986</v>
      </c>
      <c r="B9" s="105" t="s">
        <v>48</v>
      </c>
      <c r="C9" s="106" t="s">
        <v>936</v>
      </c>
      <c r="D9" s="105" t="s">
        <v>926</v>
      </c>
      <c r="E9" s="107">
        <v>1.9722222222222221</v>
      </c>
      <c r="F9" s="105" t="s">
        <v>53</v>
      </c>
      <c r="G9" s="108">
        <v>2</v>
      </c>
      <c r="H9" s="105" t="s">
        <v>94</v>
      </c>
    </row>
    <row r="10" spans="1:8" ht="18" x14ac:dyDescent="0.3">
      <c r="A10" s="104">
        <v>45986</v>
      </c>
      <c r="B10" s="105" t="s">
        <v>48</v>
      </c>
      <c r="C10" s="106" t="s">
        <v>936</v>
      </c>
      <c r="D10" s="105" t="s">
        <v>926</v>
      </c>
      <c r="E10" s="107">
        <v>1.9722222222222221</v>
      </c>
      <c r="F10" s="105" t="s">
        <v>56</v>
      </c>
      <c r="G10" s="108">
        <v>2</v>
      </c>
      <c r="H10" s="105" t="s">
        <v>937</v>
      </c>
    </row>
    <row r="11" spans="1:8" ht="18" x14ac:dyDescent="0.3">
      <c r="A11" s="119">
        <v>45986</v>
      </c>
      <c r="B11" s="120" t="s">
        <v>48</v>
      </c>
      <c r="C11" s="121" t="s">
        <v>938</v>
      </c>
      <c r="D11" s="120" t="s">
        <v>926</v>
      </c>
      <c r="E11" s="122">
        <v>1.336805555555556</v>
      </c>
      <c r="F11" s="120" t="s">
        <v>50</v>
      </c>
      <c r="G11" s="123">
        <v>2</v>
      </c>
      <c r="H11" s="120" t="s">
        <v>625</v>
      </c>
    </row>
    <row r="12" spans="1:8" ht="18" x14ac:dyDescent="0.3">
      <c r="A12" s="104">
        <v>45986</v>
      </c>
      <c r="B12" s="105" t="s">
        <v>48</v>
      </c>
      <c r="C12" s="106" t="s">
        <v>938</v>
      </c>
      <c r="D12" s="105" t="s">
        <v>926</v>
      </c>
      <c r="E12" s="107">
        <v>1.336805555555556</v>
      </c>
      <c r="F12" s="105" t="s">
        <v>56</v>
      </c>
      <c r="G12" s="108">
        <v>2</v>
      </c>
      <c r="H12" s="105" t="s">
        <v>939</v>
      </c>
    </row>
    <row r="13" spans="1:8" ht="18" x14ac:dyDescent="0.3">
      <c r="A13" s="104">
        <v>45986</v>
      </c>
      <c r="B13" s="105" t="s">
        <v>48</v>
      </c>
      <c r="C13" s="106" t="s">
        <v>938</v>
      </c>
      <c r="D13" s="105" t="s">
        <v>926</v>
      </c>
      <c r="E13" s="107">
        <v>1.336805555555556</v>
      </c>
      <c r="F13" s="105" t="s">
        <v>53</v>
      </c>
      <c r="G13" s="108">
        <v>2</v>
      </c>
      <c r="H13" s="105" t="s">
        <v>403</v>
      </c>
    </row>
    <row r="14" spans="1:8" ht="18" x14ac:dyDescent="0.3">
      <c r="A14" s="118">
        <v>45986</v>
      </c>
      <c r="B14" s="99" t="s">
        <v>75</v>
      </c>
      <c r="C14" s="100" t="s">
        <v>940</v>
      </c>
      <c r="D14" s="99" t="s">
        <v>926</v>
      </c>
      <c r="E14" s="101">
        <v>1.336805555555556</v>
      </c>
      <c r="F14" s="99" t="s">
        <v>60</v>
      </c>
      <c r="G14" s="102">
        <v>6</v>
      </c>
      <c r="H14" s="99" t="s">
        <v>941</v>
      </c>
    </row>
    <row r="15" spans="1:8" ht="18" x14ac:dyDescent="0.3">
      <c r="A15" s="119">
        <v>45986</v>
      </c>
      <c r="B15" s="120" t="s">
        <v>75</v>
      </c>
      <c r="C15" s="121" t="s">
        <v>942</v>
      </c>
      <c r="D15" s="120" t="s">
        <v>926</v>
      </c>
      <c r="E15" s="122">
        <v>1.6736111111111109</v>
      </c>
      <c r="F15" s="120" t="s">
        <v>60</v>
      </c>
      <c r="G15" s="123">
        <v>5</v>
      </c>
      <c r="H15" s="120" t="s">
        <v>941</v>
      </c>
    </row>
    <row r="16" spans="1:8" ht="18" x14ac:dyDescent="0.3">
      <c r="A16" s="119">
        <v>45986</v>
      </c>
      <c r="B16" s="120" t="s">
        <v>75</v>
      </c>
      <c r="C16" s="121" t="s">
        <v>943</v>
      </c>
      <c r="D16" s="120" t="s">
        <v>926</v>
      </c>
      <c r="E16" s="122">
        <v>1.979166666666667</v>
      </c>
      <c r="F16" s="120" t="s">
        <v>60</v>
      </c>
      <c r="G16" s="123">
        <v>6</v>
      </c>
      <c r="H16" s="120" t="s">
        <v>944</v>
      </c>
    </row>
    <row r="17" spans="1:8" ht="18" x14ac:dyDescent="0.3">
      <c r="A17" s="169">
        <v>45986</v>
      </c>
      <c r="B17" s="170" t="s">
        <v>58</v>
      </c>
      <c r="C17" s="171" t="s">
        <v>945</v>
      </c>
      <c r="D17" s="170" t="s">
        <v>926</v>
      </c>
      <c r="E17" s="172">
        <v>1.447916666666667</v>
      </c>
      <c r="F17" s="170" t="s">
        <v>63</v>
      </c>
      <c r="G17" s="173">
        <v>4</v>
      </c>
      <c r="H17" s="170" t="s">
        <v>946</v>
      </c>
    </row>
    <row r="18" spans="1:8" ht="18" x14ac:dyDescent="0.3">
      <c r="A18" s="98">
        <v>45987</v>
      </c>
      <c r="B18" s="99" t="s">
        <v>25</v>
      </c>
      <c r="C18" s="100" t="s">
        <v>931</v>
      </c>
      <c r="D18" s="99" t="s">
        <v>926</v>
      </c>
      <c r="E18" s="101">
        <v>1.447916666666667</v>
      </c>
      <c r="F18" s="99" t="s">
        <v>27</v>
      </c>
      <c r="G18" s="102">
        <v>4</v>
      </c>
      <c r="H18" s="103" t="s">
        <v>270</v>
      </c>
    </row>
    <row r="19" spans="1:8" ht="18" x14ac:dyDescent="0.3">
      <c r="A19" s="104">
        <v>45987</v>
      </c>
      <c r="B19" s="105" t="s">
        <v>25</v>
      </c>
      <c r="C19" s="106" t="s">
        <v>931</v>
      </c>
      <c r="D19" s="105" t="s">
        <v>926</v>
      </c>
      <c r="E19" s="107">
        <v>1.447916666666667</v>
      </c>
      <c r="F19" s="105" t="s">
        <v>33</v>
      </c>
      <c r="G19" s="108">
        <v>4</v>
      </c>
      <c r="H19" s="105" t="s">
        <v>112</v>
      </c>
    </row>
    <row r="20" spans="1:8" ht="18" x14ac:dyDescent="0.3">
      <c r="A20" s="104">
        <v>45987</v>
      </c>
      <c r="B20" s="105" t="s">
        <v>25</v>
      </c>
      <c r="C20" s="106" t="s">
        <v>931</v>
      </c>
      <c r="D20" s="105" t="s">
        <v>926</v>
      </c>
      <c r="E20" s="107">
        <v>1.447916666666667</v>
      </c>
      <c r="F20" s="105" t="s">
        <v>30</v>
      </c>
      <c r="G20" s="108">
        <v>4</v>
      </c>
      <c r="H20" s="105" t="s">
        <v>947</v>
      </c>
    </row>
    <row r="21" spans="1:8" ht="18" x14ac:dyDescent="0.3">
      <c r="A21" s="118">
        <v>45987</v>
      </c>
      <c r="B21" s="99" t="s">
        <v>295</v>
      </c>
      <c r="C21" s="100" t="s">
        <v>948</v>
      </c>
      <c r="D21" s="99" t="s">
        <v>926</v>
      </c>
      <c r="E21" s="101">
        <v>1.697916666666667</v>
      </c>
      <c r="F21" s="99" t="s">
        <v>37</v>
      </c>
      <c r="G21" s="102">
        <v>9</v>
      </c>
      <c r="H21" s="99" t="s">
        <v>935</v>
      </c>
    </row>
    <row r="22" spans="1:8" ht="18" x14ac:dyDescent="0.3">
      <c r="A22" s="118">
        <v>45987</v>
      </c>
      <c r="B22" s="99" t="s">
        <v>48</v>
      </c>
      <c r="C22" s="100" t="s">
        <v>936</v>
      </c>
      <c r="D22" s="99" t="s">
        <v>926</v>
      </c>
      <c r="E22" s="101">
        <v>1.9722222222222221</v>
      </c>
      <c r="F22" s="99" t="s">
        <v>50</v>
      </c>
      <c r="G22" s="102">
        <v>9</v>
      </c>
      <c r="H22" s="99" t="s">
        <v>337</v>
      </c>
    </row>
    <row r="23" spans="1:8" ht="18" x14ac:dyDescent="0.3">
      <c r="A23" s="104">
        <v>45987</v>
      </c>
      <c r="B23" s="105" t="s">
        <v>48</v>
      </c>
      <c r="C23" s="106" t="s">
        <v>936</v>
      </c>
      <c r="D23" s="105" t="s">
        <v>926</v>
      </c>
      <c r="E23" s="107">
        <v>1.9722222222222221</v>
      </c>
      <c r="F23" s="105" t="s">
        <v>53</v>
      </c>
      <c r="G23" s="108">
        <v>9</v>
      </c>
      <c r="H23" s="105" t="s">
        <v>94</v>
      </c>
    </row>
    <row r="24" spans="1:8" ht="18" x14ac:dyDescent="0.3">
      <c r="A24" s="104">
        <v>45987</v>
      </c>
      <c r="B24" s="105" t="s">
        <v>48</v>
      </c>
      <c r="C24" s="106" t="s">
        <v>936</v>
      </c>
      <c r="D24" s="105" t="s">
        <v>926</v>
      </c>
      <c r="E24" s="107">
        <v>1.9722222222222221</v>
      </c>
      <c r="F24" s="105" t="s">
        <v>56</v>
      </c>
      <c r="G24" s="108">
        <v>9</v>
      </c>
      <c r="H24" s="105" t="s">
        <v>937</v>
      </c>
    </row>
    <row r="25" spans="1:8" ht="18" x14ac:dyDescent="0.3">
      <c r="A25" s="118">
        <v>45987</v>
      </c>
      <c r="B25" s="99" t="s">
        <v>75</v>
      </c>
      <c r="C25" s="100" t="s">
        <v>940</v>
      </c>
      <c r="D25" s="99" t="s">
        <v>926</v>
      </c>
      <c r="E25" s="101">
        <v>1.336805555555556</v>
      </c>
      <c r="F25" s="99" t="s">
        <v>60</v>
      </c>
      <c r="G25" s="102">
        <v>7</v>
      </c>
      <c r="H25" s="99" t="s">
        <v>949</v>
      </c>
    </row>
    <row r="26" spans="1:8" ht="18" x14ac:dyDescent="0.3">
      <c r="A26" s="119">
        <v>45987</v>
      </c>
      <c r="B26" s="120" t="s">
        <v>75</v>
      </c>
      <c r="C26" s="121" t="s">
        <v>942</v>
      </c>
      <c r="D26" s="120" t="s">
        <v>926</v>
      </c>
      <c r="E26" s="122">
        <v>1.677083333333333</v>
      </c>
      <c r="F26" s="120" t="s">
        <v>60</v>
      </c>
      <c r="G26" s="123">
        <v>4</v>
      </c>
      <c r="H26" s="120" t="s">
        <v>950</v>
      </c>
    </row>
    <row r="27" spans="1:8" ht="18" x14ac:dyDescent="0.3">
      <c r="A27" s="169">
        <v>45987</v>
      </c>
      <c r="B27" s="170" t="s">
        <v>58</v>
      </c>
      <c r="C27" s="171" t="s">
        <v>945</v>
      </c>
      <c r="D27" s="170" t="s">
        <v>926</v>
      </c>
      <c r="E27" s="172">
        <v>1.447916666666667</v>
      </c>
      <c r="F27" s="170" t="s">
        <v>63</v>
      </c>
      <c r="G27" s="173">
        <v>4</v>
      </c>
      <c r="H27" s="170" t="s">
        <v>812</v>
      </c>
    </row>
    <row r="28" spans="1:8" ht="18" x14ac:dyDescent="0.3">
      <c r="A28" s="98">
        <v>45988</v>
      </c>
      <c r="B28" s="99" t="s">
        <v>25</v>
      </c>
      <c r="C28" s="100" t="s">
        <v>931</v>
      </c>
      <c r="D28" s="99" t="s">
        <v>926</v>
      </c>
      <c r="E28" s="101">
        <v>1.447916666666667</v>
      </c>
      <c r="F28" s="99" t="s">
        <v>27</v>
      </c>
      <c r="G28" s="102">
        <v>3</v>
      </c>
      <c r="H28" s="103" t="s">
        <v>751</v>
      </c>
    </row>
    <row r="29" spans="1:8" ht="18" x14ac:dyDescent="0.3">
      <c r="A29" s="104">
        <v>45988</v>
      </c>
      <c r="B29" s="105" t="s">
        <v>25</v>
      </c>
      <c r="C29" s="106" t="s">
        <v>931</v>
      </c>
      <c r="D29" s="105" t="s">
        <v>926</v>
      </c>
      <c r="E29" s="107">
        <v>1.447916666666667</v>
      </c>
      <c r="F29" s="105" t="s">
        <v>33</v>
      </c>
      <c r="G29" s="108">
        <v>3</v>
      </c>
      <c r="H29" s="105" t="s">
        <v>804</v>
      </c>
    </row>
    <row r="30" spans="1:8" ht="18" x14ac:dyDescent="0.3">
      <c r="A30" s="104">
        <v>45988</v>
      </c>
      <c r="B30" s="105" t="s">
        <v>25</v>
      </c>
      <c r="C30" s="106" t="s">
        <v>931</v>
      </c>
      <c r="D30" s="105" t="s">
        <v>926</v>
      </c>
      <c r="E30" s="107">
        <v>1.447916666666667</v>
      </c>
      <c r="F30" s="105" t="s">
        <v>30</v>
      </c>
      <c r="G30" s="108">
        <v>3</v>
      </c>
      <c r="H30" s="105" t="s">
        <v>403</v>
      </c>
    </row>
    <row r="31" spans="1:8" ht="18" x14ac:dyDescent="0.3">
      <c r="A31" s="118">
        <v>45988</v>
      </c>
      <c r="B31" s="99" t="s">
        <v>48</v>
      </c>
      <c r="C31" s="100" t="s">
        <v>938</v>
      </c>
      <c r="D31" s="99" t="s">
        <v>926</v>
      </c>
      <c r="E31" s="101">
        <v>1.336805555555556</v>
      </c>
      <c r="F31" s="99" t="s">
        <v>50</v>
      </c>
      <c r="G31" s="102">
        <v>6</v>
      </c>
      <c r="H31" s="99" t="s">
        <v>117</v>
      </c>
    </row>
    <row r="32" spans="1:8" ht="18" x14ac:dyDescent="0.3">
      <c r="A32" s="104">
        <v>45988</v>
      </c>
      <c r="B32" s="105" t="s">
        <v>48</v>
      </c>
      <c r="C32" s="106" t="s">
        <v>938</v>
      </c>
      <c r="D32" s="105" t="s">
        <v>926</v>
      </c>
      <c r="E32" s="107">
        <v>1.336805555555556</v>
      </c>
      <c r="F32" s="105" t="s">
        <v>53</v>
      </c>
      <c r="G32" s="108">
        <v>6</v>
      </c>
      <c r="H32" s="105" t="s">
        <v>804</v>
      </c>
    </row>
    <row r="33" spans="1:8" ht="18" x14ac:dyDescent="0.3">
      <c r="A33" s="104">
        <v>45988</v>
      </c>
      <c r="B33" s="105" t="s">
        <v>48</v>
      </c>
      <c r="C33" s="106" t="s">
        <v>938</v>
      </c>
      <c r="D33" s="105" t="s">
        <v>926</v>
      </c>
      <c r="E33" s="107">
        <v>1.336805555555556</v>
      </c>
      <c r="F33" s="105" t="s">
        <v>56</v>
      </c>
      <c r="G33" s="108">
        <v>6</v>
      </c>
      <c r="H33" s="105" t="s">
        <v>805</v>
      </c>
    </row>
    <row r="34" spans="1:8" ht="18" x14ac:dyDescent="0.3">
      <c r="A34" s="119">
        <v>45988</v>
      </c>
      <c r="B34" s="120" t="s">
        <v>48</v>
      </c>
      <c r="C34" s="121" t="s">
        <v>936</v>
      </c>
      <c r="D34" s="120" t="s">
        <v>926</v>
      </c>
      <c r="E34" s="122">
        <v>1.9722222222222221</v>
      </c>
      <c r="F34" s="120" t="s">
        <v>50</v>
      </c>
      <c r="G34" s="123">
        <v>9</v>
      </c>
      <c r="H34" s="120" t="s">
        <v>337</v>
      </c>
    </row>
    <row r="35" spans="1:8" ht="18" x14ac:dyDescent="0.3">
      <c r="A35" s="104">
        <v>45988</v>
      </c>
      <c r="B35" s="105" t="s">
        <v>48</v>
      </c>
      <c r="C35" s="106" t="s">
        <v>936</v>
      </c>
      <c r="D35" s="105" t="s">
        <v>926</v>
      </c>
      <c r="E35" s="107">
        <v>1.9722222222222221</v>
      </c>
      <c r="F35" s="105" t="s">
        <v>53</v>
      </c>
      <c r="G35" s="108">
        <v>9</v>
      </c>
      <c r="H35" s="105" t="s">
        <v>94</v>
      </c>
    </row>
    <row r="36" spans="1:8" ht="18" x14ac:dyDescent="0.3">
      <c r="A36" s="104">
        <v>45988</v>
      </c>
      <c r="B36" s="105" t="s">
        <v>48</v>
      </c>
      <c r="C36" s="106" t="s">
        <v>936</v>
      </c>
      <c r="D36" s="105" t="s">
        <v>926</v>
      </c>
      <c r="E36" s="107">
        <v>1.9722222222222221</v>
      </c>
      <c r="F36" s="105" t="s">
        <v>56</v>
      </c>
      <c r="G36" s="108">
        <v>9</v>
      </c>
      <c r="H36" s="105" t="s">
        <v>937</v>
      </c>
    </row>
    <row r="37" spans="1:8" ht="18" x14ac:dyDescent="0.3">
      <c r="A37" s="118">
        <v>45988</v>
      </c>
      <c r="B37" s="99" t="s">
        <v>295</v>
      </c>
      <c r="C37" s="100" t="s">
        <v>951</v>
      </c>
      <c r="D37" s="99" t="s">
        <v>926</v>
      </c>
      <c r="E37" s="101">
        <v>1.3611111111111109</v>
      </c>
      <c r="F37" s="99" t="s">
        <v>37</v>
      </c>
      <c r="G37" s="102">
        <v>9</v>
      </c>
      <c r="H37" s="99" t="s">
        <v>952</v>
      </c>
    </row>
    <row r="38" spans="1:8" ht="18" x14ac:dyDescent="0.3">
      <c r="A38" s="119">
        <v>45988</v>
      </c>
      <c r="B38" s="120" t="s">
        <v>295</v>
      </c>
      <c r="C38" s="121" t="s">
        <v>934</v>
      </c>
      <c r="D38" s="120" t="s">
        <v>926</v>
      </c>
      <c r="E38" s="122">
        <v>1.756944444444444</v>
      </c>
      <c r="F38" s="120" t="s">
        <v>37</v>
      </c>
      <c r="G38" s="123">
        <v>9</v>
      </c>
      <c r="H38" s="120" t="s">
        <v>935</v>
      </c>
    </row>
    <row r="39" spans="1:8" ht="18" x14ac:dyDescent="0.3">
      <c r="A39" s="118">
        <v>45988</v>
      </c>
      <c r="B39" s="99" t="s">
        <v>300</v>
      </c>
      <c r="C39" s="100" t="s">
        <v>932</v>
      </c>
      <c r="D39" s="99" t="s">
        <v>926</v>
      </c>
      <c r="E39" s="101">
        <v>1.680555555555556</v>
      </c>
      <c r="F39" s="99" t="s">
        <v>37</v>
      </c>
      <c r="G39" s="102">
        <v>2</v>
      </c>
      <c r="H39" s="99" t="s">
        <v>105</v>
      </c>
    </row>
    <row r="40" spans="1:8" ht="18" x14ac:dyDescent="0.3">
      <c r="A40" s="119">
        <v>45988</v>
      </c>
      <c r="B40" s="120" t="s">
        <v>300</v>
      </c>
      <c r="C40" s="121" t="s">
        <v>953</v>
      </c>
      <c r="D40" s="120" t="s">
        <v>926</v>
      </c>
      <c r="E40" s="122">
        <v>1.9652777777777779</v>
      </c>
      <c r="F40" s="120" t="s">
        <v>37</v>
      </c>
      <c r="G40" s="123">
        <v>4</v>
      </c>
      <c r="H40" s="120" t="s">
        <v>933</v>
      </c>
    </row>
    <row r="41" spans="1:8" ht="18" x14ac:dyDescent="0.3">
      <c r="A41" s="119">
        <v>45988</v>
      </c>
      <c r="B41" s="120" t="s">
        <v>300</v>
      </c>
      <c r="C41" s="121" t="s">
        <v>954</v>
      </c>
      <c r="D41" s="120" t="s">
        <v>926</v>
      </c>
      <c r="E41" s="122">
        <v>1.0763888888888891</v>
      </c>
      <c r="F41" s="120" t="s">
        <v>37</v>
      </c>
      <c r="G41" s="123">
        <v>3</v>
      </c>
      <c r="H41" s="120" t="s">
        <v>933</v>
      </c>
    </row>
    <row r="42" spans="1:8" ht="18" x14ac:dyDescent="0.3">
      <c r="A42" s="109">
        <v>45988</v>
      </c>
      <c r="B42" s="110" t="s">
        <v>35</v>
      </c>
      <c r="C42" s="111" t="s">
        <v>927</v>
      </c>
      <c r="D42" s="110" t="s">
        <v>926</v>
      </c>
      <c r="E42" s="112">
        <v>1.7222222222222221</v>
      </c>
      <c r="F42" s="110" t="s">
        <v>37</v>
      </c>
      <c r="G42" s="113">
        <v>7</v>
      </c>
      <c r="H42" s="110" t="s">
        <v>928</v>
      </c>
    </row>
    <row r="43" spans="1:8" ht="18" x14ac:dyDescent="0.3">
      <c r="A43" s="118">
        <v>45988</v>
      </c>
      <c r="B43" s="99" t="s">
        <v>75</v>
      </c>
      <c r="C43" s="100" t="s">
        <v>940</v>
      </c>
      <c r="D43" s="99" t="s">
        <v>926</v>
      </c>
      <c r="E43" s="101">
        <v>1.336805555555556</v>
      </c>
      <c r="F43" s="99" t="s">
        <v>60</v>
      </c>
      <c r="G43" s="102">
        <v>9</v>
      </c>
      <c r="H43" s="99" t="s">
        <v>957</v>
      </c>
    </row>
    <row r="44" spans="1:8" ht="18" x14ac:dyDescent="0.3">
      <c r="A44" s="119">
        <v>45988</v>
      </c>
      <c r="B44" s="120" t="s">
        <v>75</v>
      </c>
      <c r="C44" s="121" t="s">
        <v>943</v>
      </c>
      <c r="D44" s="120" t="s">
        <v>926</v>
      </c>
      <c r="E44" s="122">
        <v>1.979166666666667</v>
      </c>
      <c r="F44" s="120" t="s">
        <v>60</v>
      </c>
      <c r="G44" s="123">
        <v>9</v>
      </c>
      <c r="H44" s="120" t="s">
        <v>941</v>
      </c>
    </row>
    <row r="45" spans="1:8" ht="18" x14ac:dyDescent="0.3">
      <c r="A45" s="119">
        <v>45988</v>
      </c>
      <c r="B45" s="120" t="s">
        <v>75</v>
      </c>
      <c r="C45" s="121" t="s">
        <v>942</v>
      </c>
      <c r="D45" s="120" t="s">
        <v>926</v>
      </c>
      <c r="E45" s="122">
        <v>1.694444444444444</v>
      </c>
      <c r="F45" s="120" t="s">
        <v>60</v>
      </c>
      <c r="G45" s="123">
        <v>9</v>
      </c>
      <c r="H45" s="120" t="s">
        <v>950</v>
      </c>
    </row>
    <row r="46" spans="1:8" ht="18" x14ac:dyDescent="0.3">
      <c r="A46" s="169">
        <v>45988</v>
      </c>
      <c r="B46" s="170" t="s">
        <v>58</v>
      </c>
      <c r="C46" s="171" t="s">
        <v>945</v>
      </c>
      <c r="D46" s="170" t="s">
        <v>926</v>
      </c>
      <c r="E46" s="172">
        <v>1.447916666666667</v>
      </c>
      <c r="F46" s="170" t="s">
        <v>63</v>
      </c>
      <c r="G46" s="173">
        <v>4</v>
      </c>
      <c r="H46" s="170" t="s">
        <v>812</v>
      </c>
    </row>
    <row r="47" spans="1:8" ht="18" x14ac:dyDescent="0.3">
      <c r="A47" s="98">
        <v>45989</v>
      </c>
      <c r="B47" s="99" t="s">
        <v>25</v>
      </c>
      <c r="C47" s="100" t="s">
        <v>931</v>
      </c>
      <c r="D47" s="99" t="s">
        <v>926</v>
      </c>
      <c r="E47" s="101">
        <v>1.447916666666667</v>
      </c>
      <c r="F47" s="99" t="s">
        <v>27</v>
      </c>
      <c r="G47" s="102">
        <v>8</v>
      </c>
      <c r="H47" s="103" t="s">
        <v>93</v>
      </c>
    </row>
    <row r="48" spans="1:8" ht="18" x14ac:dyDescent="0.3">
      <c r="A48" s="104">
        <v>45989</v>
      </c>
      <c r="B48" s="105" t="s">
        <v>25</v>
      </c>
      <c r="C48" s="106" t="s">
        <v>931</v>
      </c>
      <c r="D48" s="105" t="s">
        <v>926</v>
      </c>
      <c r="E48" s="107">
        <v>1.447916666666667</v>
      </c>
      <c r="F48" s="105" t="s">
        <v>33</v>
      </c>
      <c r="G48" s="108">
        <v>8</v>
      </c>
      <c r="H48" s="105" t="s">
        <v>394</v>
      </c>
    </row>
    <row r="49" spans="1:8" ht="18" x14ac:dyDescent="0.3">
      <c r="A49" s="104">
        <v>45989</v>
      </c>
      <c r="B49" s="105" t="s">
        <v>25</v>
      </c>
      <c r="C49" s="106" t="s">
        <v>931</v>
      </c>
      <c r="D49" s="105" t="s">
        <v>926</v>
      </c>
      <c r="E49" s="107">
        <v>1.447916666666667</v>
      </c>
      <c r="F49" s="105" t="s">
        <v>30</v>
      </c>
      <c r="G49" s="108">
        <v>8</v>
      </c>
      <c r="H49" s="105" t="s">
        <v>947</v>
      </c>
    </row>
    <row r="50" spans="1:8" ht="18" x14ac:dyDescent="0.3">
      <c r="A50" s="109">
        <v>45989</v>
      </c>
      <c r="B50" s="110" t="s">
        <v>35</v>
      </c>
      <c r="C50" s="111" t="s">
        <v>927</v>
      </c>
      <c r="D50" s="110" t="s">
        <v>926</v>
      </c>
      <c r="E50" s="112">
        <v>1.381944444444444</v>
      </c>
      <c r="F50" s="110" t="s">
        <v>37</v>
      </c>
      <c r="G50" s="113">
        <v>6</v>
      </c>
      <c r="H50" s="110" t="s">
        <v>935</v>
      </c>
    </row>
    <row r="51" spans="1:8" ht="18" x14ac:dyDescent="0.3">
      <c r="A51" s="118">
        <v>45989</v>
      </c>
      <c r="B51" s="99" t="s">
        <v>48</v>
      </c>
      <c r="C51" s="100" t="s">
        <v>936</v>
      </c>
      <c r="D51" s="99" t="s">
        <v>926</v>
      </c>
      <c r="E51" s="101">
        <v>1.9722222222222221</v>
      </c>
      <c r="F51" s="99" t="s">
        <v>50</v>
      </c>
      <c r="G51" s="102">
        <v>1</v>
      </c>
      <c r="H51" s="99" t="s">
        <v>395</v>
      </c>
    </row>
    <row r="52" spans="1:8" ht="18" x14ac:dyDescent="0.3">
      <c r="A52" s="104">
        <v>45989</v>
      </c>
      <c r="B52" s="105" t="s">
        <v>48</v>
      </c>
      <c r="C52" s="106" t="s">
        <v>936</v>
      </c>
      <c r="D52" s="105" t="s">
        <v>926</v>
      </c>
      <c r="E52" s="107">
        <v>1.9722222222222221</v>
      </c>
      <c r="F52" s="105" t="s">
        <v>53</v>
      </c>
      <c r="G52" s="108">
        <v>1</v>
      </c>
      <c r="H52" s="105" t="s">
        <v>396</v>
      </c>
    </row>
    <row r="53" spans="1:8" ht="18" x14ac:dyDescent="0.3">
      <c r="A53" s="104">
        <v>45989</v>
      </c>
      <c r="B53" s="105" t="s">
        <v>48</v>
      </c>
      <c r="C53" s="106" t="s">
        <v>936</v>
      </c>
      <c r="D53" s="105" t="s">
        <v>926</v>
      </c>
      <c r="E53" s="107">
        <v>1.9722222222222221</v>
      </c>
      <c r="F53" s="105" t="s">
        <v>56</v>
      </c>
      <c r="G53" s="108">
        <v>1</v>
      </c>
      <c r="H53" s="105" t="s">
        <v>397</v>
      </c>
    </row>
    <row r="54" spans="1:8" ht="18" x14ac:dyDescent="0.3">
      <c r="A54" s="118">
        <v>45989</v>
      </c>
      <c r="B54" s="99" t="s">
        <v>300</v>
      </c>
      <c r="C54" s="100" t="s">
        <v>932</v>
      </c>
      <c r="D54" s="99" t="s">
        <v>926</v>
      </c>
      <c r="E54" s="101">
        <v>1.9652777777777779</v>
      </c>
      <c r="F54" s="99" t="s">
        <v>37</v>
      </c>
      <c r="G54" s="102">
        <v>7</v>
      </c>
      <c r="H54" s="99" t="s">
        <v>959</v>
      </c>
    </row>
    <row r="55" spans="1:8" ht="18" x14ac:dyDescent="0.3">
      <c r="A55" s="118">
        <v>45989</v>
      </c>
      <c r="B55" s="99" t="s">
        <v>295</v>
      </c>
      <c r="C55" s="100" t="s">
        <v>948</v>
      </c>
      <c r="D55" s="99" t="s">
        <v>926</v>
      </c>
      <c r="E55" s="101">
        <v>1.756944444444444</v>
      </c>
      <c r="F55" s="99" t="s">
        <v>37</v>
      </c>
      <c r="G55" s="102">
        <v>9</v>
      </c>
      <c r="H55" s="99" t="s">
        <v>828</v>
      </c>
    </row>
    <row r="56" spans="1:8" ht="18" x14ac:dyDescent="0.3">
      <c r="A56" s="118">
        <v>45989</v>
      </c>
      <c r="B56" s="99" t="s">
        <v>58</v>
      </c>
      <c r="C56" s="100" t="s">
        <v>945</v>
      </c>
      <c r="D56" s="99" t="s">
        <v>926</v>
      </c>
      <c r="E56" s="101">
        <v>1.447916666666667</v>
      </c>
      <c r="F56" s="99" t="s">
        <v>63</v>
      </c>
      <c r="G56" s="102">
        <v>4</v>
      </c>
      <c r="H56" s="99" t="s">
        <v>812</v>
      </c>
    </row>
    <row r="57" spans="1:8" ht="18" x14ac:dyDescent="0.3">
      <c r="A57" s="118">
        <v>45989</v>
      </c>
      <c r="B57" s="99" t="s">
        <v>75</v>
      </c>
      <c r="C57" s="100" t="s">
        <v>943</v>
      </c>
      <c r="D57" s="99" t="s">
        <v>926</v>
      </c>
      <c r="E57" s="101">
        <v>1.979166666666667</v>
      </c>
      <c r="F57" s="99" t="s">
        <v>60</v>
      </c>
      <c r="G57" s="102">
        <v>9</v>
      </c>
      <c r="H57" s="99" t="s">
        <v>950</v>
      </c>
    </row>
    <row r="58" spans="1:8" ht="18" x14ac:dyDescent="0.3">
      <c r="A58" s="124">
        <v>45989</v>
      </c>
      <c r="B58" s="125" t="s">
        <v>75</v>
      </c>
      <c r="C58" s="126" t="s">
        <v>940</v>
      </c>
      <c r="D58" s="125" t="s">
        <v>926</v>
      </c>
      <c r="E58" s="127">
        <v>1.3263888888888891</v>
      </c>
      <c r="F58" s="125" t="s">
        <v>60</v>
      </c>
      <c r="G58" s="128">
        <v>9</v>
      </c>
      <c r="H58" s="125" t="s">
        <v>960</v>
      </c>
    </row>
    <row r="59" spans="1:8" ht="18" x14ac:dyDescent="0.3">
      <c r="A59" s="98">
        <v>45990</v>
      </c>
      <c r="B59" s="99" t="s">
        <v>295</v>
      </c>
      <c r="C59" s="100" t="s">
        <v>934</v>
      </c>
      <c r="D59" s="99" t="s">
        <v>926</v>
      </c>
      <c r="E59" s="101">
        <v>1.694444444444444</v>
      </c>
      <c r="F59" s="99" t="s">
        <v>37</v>
      </c>
      <c r="G59" s="102">
        <v>8</v>
      </c>
      <c r="H59" s="103" t="s">
        <v>935</v>
      </c>
    </row>
    <row r="60" spans="1:8" ht="18" x14ac:dyDescent="0.3">
      <c r="A60" s="119">
        <v>45990</v>
      </c>
      <c r="B60" s="120" t="s">
        <v>295</v>
      </c>
      <c r="C60" s="121" t="s">
        <v>961</v>
      </c>
      <c r="D60" s="120" t="s">
        <v>926</v>
      </c>
      <c r="E60" s="122">
        <v>1.961805555555556</v>
      </c>
      <c r="F60" s="120" t="s">
        <v>37</v>
      </c>
      <c r="G60" s="123">
        <v>9</v>
      </c>
      <c r="H60" s="120" t="s">
        <v>935</v>
      </c>
    </row>
    <row r="61" spans="1:8" ht="18" x14ac:dyDescent="0.3">
      <c r="A61" s="118">
        <v>45990</v>
      </c>
      <c r="B61" s="99" t="s">
        <v>48</v>
      </c>
      <c r="C61" s="100" t="s">
        <v>938</v>
      </c>
      <c r="D61" s="99" t="s">
        <v>926</v>
      </c>
      <c r="E61" s="101">
        <v>1.336805555555556</v>
      </c>
      <c r="F61" s="99" t="s">
        <v>50</v>
      </c>
      <c r="G61" s="102">
        <v>9</v>
      </c>
      <c r="H61" s="99" t="s">
        <v>395</v>
      </c>
    </row>
    <row r="62" spans="1:8" ht="18" x14ac:dyDescent="0.3">
      <c r="A62" s="104">
        <v>45990</v>
      </c>
      <c r="B62" s="105" t="s">
        <v>48</v>
      </c>
      <c r="C62" s="106" t="s">
        <v>938</v>
      </c>
      <c r="D62" s="105" t="s">
        <v>926</v>
      </c>
      <c r="E62" s="107">
        <v>1.336805555555556</v>
      </c>
      <c r="F62" s="105" t="s">
        <v>53</v>
      </c>
      <c r="G62" s="108">
        <v>9</v>
      </c>
      <c r="H62" s="105" t="s">
        <v>396</v>
      </c>
    </row>
    <row r="63" spans="1:8" ht="18" x14ac:dyDescent="0.3">
      <c r="A63" s="104">
        <v>45990</v>
      </c>
      <c r="B63" s="105" t="s">
        <v>48</v>
      </c>
      <c r="C63" s="106" t="s">
        <v>938</v>
      </c>
      <c r="D63" s="105" t="s">
        <v>926</v>
      </c>
      <c r="E63" s="107">
        <v>1.336805555555556</v>
      </c>
      <c r="F63" s="105" t="s">
        <v>56</v>
      </c>
      <c r="G63" s="108">
        <v>9</v>
      </c>
      <c r="H63" s="105" t="s">
        <v>397</v>
      </c>
    </row>
    <row r="64" spans="1:8" ht="18" x14ac:dyDescent="0.3">
      <c r="A64" s="119">
        <v>45990</v>
      </c>
      <c r="B64" s="120" t="s">
        <v>48</v>
      </c>
      <c r="C64" s="121" t="s">
        <v>936</v>
      </c>
      <c r="D64" s="120" t="s">
        <v>926</v>
      </c>
      <c r="E64" s="122">
        <v>1.9722222222222221</v>
      </c>
      <c r="F64" s="120" t="s">
        <v>50</v>
      </c>
      <c r="G64" s="123">
        <v>2</v>
      </c>
      <c r="H64" s="120" t="s">
        <v>395</v>
      </c>
    </row>
    <row r="65" spans="1:8" ht="18" x14ac:dyDescent="0.3">
      <c r="A65" s="104">
        <v>45990</v>
      </c>
      <c r="B65" s="105" t="s">
        <v>48</v>
      </c>
      <c r="C65" s="106" t="s">
        <v>936</v>
      </c>
      <c r="D65" s="105" t="s">
        <v>926</v>
      </c>
      <c r="E65" s="107">
        <v>1.9722222222222221</v>
      </c>
      <c r="F65" s="105" t="s">
        <v>53</v>
      </c>
      <c r="G65" s="108">
        <v>2</v>
      </c>
      <c r="H65" s="105" t="s">
        <v>396</v>
      </c>
    </row>
    <row r="66" spans="1:8" ht="18" x14ac:dyDescent="0.3">
      <c r="A66" s="104">
        <v>45990</v>
      </c>
      <c r="B66" s="105" t="s">
        <v>48</v>
      </c>
      <c r="C66" s="106" t="s">
        <v>936</v>
      </c>
      <c r="D66" s="105" t="s">
        <v>926</v>
      </c>
      <c r="E66" s="107">
        <v>1.9722222222222221</v>
      </c>
      <c r="F66" s="105" t="s">
        <v>56</v>
      </c>
      <c r="G66" s="108">
        <v>2</v>
      </c>
      <c r="H66" s="105" t="s">
        <v>397</v>
      </c>
    </row>
    <row r="67" spans="1:8" ht="18" x14ac:dyDescent="0.3">
      <c r="A67" s="118">
        <v>45990</v>
      </c>
      <c r="B67" s="99" t="s">
        <v>25</v>
      </c>
      <c r="C67" s="100" t="s">
        <v>931</v>
      </c>
      <c r="D67" s="99" t="s">
        <v>926</v>
      </c>
      <c r="E67" s="101">
        <v>1.447916666666667</v>
      </c>
      <c r="F67" s="99" t="s">
        <v>27</v>
      </c>
      <c r="G67" s="102">
        <v>3</v>
      </c>
      <c r="H67" s="99" t="s">
        <v>962</v>
      </c>
    </row>
    <row r="68" spans="1:8" ht="18" x14ac:dyDescent="0.3">
      <c r="A68" s="104">
        <v>45990</v>
      </c>
      <c r="B68" s="105" t="s">
        <v>25</v>
      </c>
      <c r="C68" s="106" t="s">
        <v>931</v>
      </c>
      <c r="D68" s="105" t="s">
        <v>926</v>
      </c>
      <c r="E68" s="107">
        <v>1.447916666666667</v>
      </c>
      <c r="F68" s="105" t="s">
        <v>33</v>
      </c>
      <c r="G68" s="108">
        <v>3</v>
      </c>
      <c r="H68" s="105" t="s">
        <v>963</v>
      </c>
    </row>
    <row r="69" spans="1:8" ht="18" x14ac:dyDescent="0.3">
      <c r="A69" s="104">
        <v>45990</v>
      </c>
      <c r="B69" s="105" t="s">
        <v>25</v>
      </c>
      <c r="C69" s="106" t="s">
        <v>931</v>
      </c>
      <c r="D69" s="105" t="s">
        <v>926</v>
      </c>
      <c r="E69" s="107">
        <v>1.447916666666667</v>
      </c>
      <c r="F69" s="105" t="s">
        <v>30</v>
      </c>
      <c r="G69" s="108">
        <v>3</v>
      </c>
      <c r="H69" s="105" t="s">
        <v>947</v>
      </c>
    </row>
    <row r="70" spans="1:8" ht="18" x14ac:dyDescent="0.3">
      <c r="A70" s="109">
        <v>45990</v>
      </c>
      <c r="B70" s="110" t="s">
        <v>35</v>
      </c>
      <c r="C70" s="111" t="s">
        <v>927</v>
      </c>
      <c r="D70" s="110" t="s">
        <v>926</v>
      </c>
      <c r="E70" s="112">
        <v>1.7222222222222221</v>
      </c>
      <c r="F70" s="110" t="s">
        <v>37</v>
      </c>
      <c r="G70" s="113">
        <v>9</v>
      </c>
      <c r="H70" s="110" t="s">
        <v>964</v>
      </c>
    </row>
    <row r="71" spans="1:8" ht="18" x14ac:dyDescent="0.3">
      <c r="A71" s="118">
        <v>45990</v>
      </c>
      <c r="B71" s="99" t="s">
        <v>290</v>
      </c>
      <c r="C71" s="100" t="s">
        <v>966</v>
      </c>
      <c r="D71" s="99" t="s">
        <v>926</v>
      </c>
      <c r="E71" s="101">
        <v>1.7465277777777779</v>
      </c>
      <c r="F71" s="99" t="s">
        <v>292</v>
      </c>
      <c r="G71" s="102">
        <v>9</v>
      </c>
      <c r="H71" s="99" t="s">
        <v>967</v>
      </c>
    </row>
    <row r="72" spans="1:8" ht="18" x14ac:dyDescent="0.3">
      <c r="A72" s="104">
        <v>45990</v>
      </c>
      <c r="B72" s="105" t="s">
        <v>290</v>
      </c>
      <c r="C72" s="106" t="s">
        <v>966</v>
      </c>
      <c r="D72" s="105" t="s">
        <v>926</v>
      </c>
      <c r="E72" s="107">
        <v>1.7465277777777779</v>
      </c>
      <c r="F72" s="105" t="s">
        <v>30</v>
      </c>
      <c r="G72" s="108">
        <v>9</v>
      </c>
      <c r="H72" s="105" t="s">
        <v>968</v>
      </c>
    </row>
    <row r="73" spans="1:8" ht="18" x14ac:dyDescent="0.3">
      <c r="A73" s="169">
        <v>45990</v>
      </c>
      <c r="B73" s="170" t="s">
        <v>58</v>
      </c>
      <c r="C73" s="171" t="s">
        <v>945</v>
      </c>
      <c r="D73" s="170" t="s">
        <v>926</v>
      </c>
      <c r="E73" s="172">
        <v>1.447916666666667</v>
      </c>
      <c r="F73" s="170" t="s">
        <v>63</v>
      </c>
      <c r="G73" s="173">
        <v>4</v>
      </c>
      <c r="H73" s="170" t="s">
        <v>969</v>
      </c>
    </row>
    <row r="74" spans="1:8" ht="18" x14ac:dyDescent="0.3">
      <c r="A74" s="98">
        <v>45991</v>
      </c>
      <c r="B74" s="99" t="s">
        <v>295</v>
      </c>
      <c r="C74" s="100" t="s">
        <v>970</v>
      </c>
      <c r="D74" s="99" t="s">
        <v>926</v>
      </c>
      <c r="E74" s="101">
        <v>1.4826388888888891</v>
      </c>
      <c r="F74" s="99" t="s">
        <v>37</v>
      </c>
      <c r="G74" s="102">
        <v>9</v>
      </c>
      <c r="H74" s="103" t="s">
        <v>952</v>
      </c>
    </row>
    <row r="75" spans="1:8" ht="18" x14ac:dyDescent="0.3">
      <c r="A75" s="119">
        <v>45991</v>
      </c>
      <c r="B75" s="120" t="s">
        <v>295</v>
      </c>
      <c r="C75" s="121" t="s">
        <v>951</v>
      </c>
      <c r="D75" s="120" t="s">
        <v>926</v>
      </c>
      <c r="E75" s="122">
        <v>1.756944444444444</v>
      </c>
      <c r="F75" s="120" t="s">
        <v>37</v>
      </c>
      <c r="G75" s="123">
        <v>9</v>
      </c>
      <c r="H75" s="120" t="s">
        <v>952</v>
      </c>
    </row>
    <row r="76" spans="1:8" ht="18" x14ac:dyDescent="0.3">
      <c r="A76" s="118">
        <v>45991</v>
      </c>
      <c r="B76" s="99" t="s">
        <v>300</v>
      </c>
      <c r="C76" s="100" t="s">
        <v>954</v>
      </c>
      <c r="D76" s="99" t="s">
        <v>926</v>
      </c>
      <c r="E76" s="101">
        <v>1.9201388888888891</v>
      </c>
      <c r="F76" s="99" t="s">
        <v>37</v>
      </c>
      <c r="G76" s="102">
        <v>4</v>
      </c>
      <c r="H76" s="99" t="s">
        <v>105</v>
      </c>
    </row>
    <row r="77" spans="1:8" ht="18" x14ac:dyDescent="0.3">
      <c r="A77" s="119">
        <v>45991</v>
      </c>
      <c r="B77" s="120" t="s">
        <v>300</v>
      </c>
      <c r="C77" s="121" t="s">
        <v>953</v>
      </c>
      <c r="D77" s="120" t="s">
        <v>926</v>
      </c>
      <c r="E77" s="122">
        <v>1.006944444444444</v>
      </c>
      <c r="F77" s="120" t="s">
        <v>37</v>
      </c>
      <c r="G77" s="123">
        <v>9</v>
      </c>
      <c r="H77" s="120" t="s">
        <v>933</v>
      </c>
    </row>
    <row r="78" spans="1:8" ht="18" x14ac:dyDescent="0.3">
      <c r="A78" s="118">
        <v>45991</v>
      </c>
      <c r="B78" s="99" t="s">
        <v>48</v>
      </c>
      <c r="C78" s="100" t="s">
        <v>936</v>
      </c>
      <c r="D78" s="99" t="s">
        <v>926</v>
      </c>
      <c r="E78" s="101">
        <v>1.9722222222222221</v>
      </c>
      <c r="F78" s="99" t="s">
        <v>50</v>
      </c>
      <c r="G78" s="102">
        <v>3</v>
      </c>
      <c r="H78" s="99" t="s">
        <v>105</v>
      </c>
    </row>
    <row r="79" spans="1:8" ht="18" x14ac:dyDescent="0.3">
      <c r="A79" s="104">
        <v>45991</v>
      </c>
      <c r="B79" s="105" t="s">
        <v>48</v>
      </c>
      <c r="C79" s="106" t="s">
        <v>936</v>
      </c>
      <c r="D79" s="105" t="s">
        <v>926</v>
      </c>
      <c r="E79" s="107">
        <v>1.9722222222222221</v>
      </c>
      <c r="F79" s="105" t="s">
        <v>53</v>
      </c>
      <c r="G79" s="108">
        <v>3</v>
      </c>
      <c r="H79" s="105" t="s">
        <v>971</v>
      </c>
    </row>
    <row r="80" spans="1:8" ht="18" x14ac:dyDescent="0.3">
      <c r="A80" s="104">
        <v>45991</v>
      </c>
      <c r="B80" s="105" t="s">
        <v>48</v>
      </c>
      <c r="C80" s="106" t="s">
        <v>936</v>
      </c>
      <c r="D80" s="105" t="s">
        <v>926</v>
      </c>
      <c r="E80" s="107">
        <v>1.9722222222222221</v>
      </c>
      <c r="F80" s="105" t="s">
        <v>56</v>
      </c>
      <c r="G80" s="108">
        <v>3</v>
      </c>
      <c r="H80" s="105" t="s">
        <v>52</v>
      </c>
    </row>
    <row r="81" spans="1:8" ht="18" x14ac:dyDescent="0.3">
      <c r="A81" s="118">
        <v>45991</v>
      </c>
      <c r="B81" s="99" t="s">
        <v>25</v>
      </c>
      <c r="C81" s="100" t="s">
        <v>931</v>
      </c>
      <c r="D81" s="99" t="s">
        <v>926</v>
      </c>
      <c r="E81" s="101">
        <v>1.447916666666667</v>
      </c>
      <c r="F81" s="99" t="s">
        <v>27</v>
      </c>
      <c r="G81" s="102">
        <v>4</v>
      </c>
      <c r="H81" s="99" t="s">
        <v>825</v>
      </c>
    </row>
    <row r="82" spans="1:8" ht="18" x14ac:dyDescent="0.3">
      <c r="A82" s="104">
        <v>45991</v>
      </c>
      <c r="B82" s="105" t="s">
        <v>25</v>
      </c>
      <c r="C82" s="106" t="s">
        <v>931</v>
      </c>
      <c r="D82" s="105" t="s">
        <v>926</v>
      </c>
      <c r="E82" s="107">
        <v>1.447916666666667</v>
      </c>
      <c r="F82" s="105" t="s">
        <v>33</v>
      </c>
      <c r="G82" s="108">
        <v>4</v>
      </c>
      <c r="H82" s="105" t="s">
        <v>826</v>
      </c>
    </row>
    <row r="83" spans="1:8" ht="18" x14ac:dyDescent="0.3">
      <c r="A83" s="104">
        <v>45991</v>
      </c>
      <c r="B83" s="105" t="s">
        <v>25</v>
      </c>
      <c r="C83" s="106" t="s">
        <v>931</v>
      </c>
      <c r="D83" s="105" t="s">
        <v>926</v>
      </c>
      <c r="E83" s="107">
        <v>1.447916666666667</v>
      </c>
      <c r="F83" s="105" t="s">
        <v>30</v>
      </c>
      <c r="G83" s="108">
        <v>4</v>
      </c>
      <c r="H83" s="105" t="s">
        <v>403</v>
      </c>
    </row>
    <row r="84" spans="1:8" ht="18" x14ac:dyDescent="0.3">
      <c r="A84" s="118">
        <v>45991</v>
      </c>
      <c r="B84" s="99" t="s">
        <v>58</v>
      </c>
      <c r="C84" s="100" t="s">
        <v>945</v>
      </c>
      <c r="D84" s="99" t="s">
        <v>926</v>
      </c>
      <c r="E84" s="101">
        <v>1.447916666666667</v>
      </c>
      <c r="F84" s="99" t="s">
        <v>63</v>
      </c>
      <c r="G84" s="102">
        <v>4</v>
      </c>
      <c r="H84" s="99" t="s">
        <v>946</v>
      </c>
    </row>
    <row r="85" spans="1:8" ht="18" x14ac:dyDescent="0.3">
      <c r="A85" s="118">
        <v>45991</v>
      </c>
      <c r="B85" s="99" t="s">
        <v>75</v>
      </c>
      <c r="C85" s="100" t="s">
        <v>943</v>
      </c>
      <c r="D85" s="99" t="s">
        <v>926</v>
      </c>
      <c r="E85" s="101">
        <v>1.979166666666667</v>
      </c>
      <c r="F85" s="99" t="s">
        <v>60</v>
      </c>
      <c r="G85" s="102">
        <v>8</v>
      </c>
      <c r="H85" s="99" t="s">
        <v>972</v>
      </c>
    </row>
    <row r="86" spans="1:8" ht="18" x14ac:dyDescent="0.3">
      <c r="A86" s="124">
        <v>45991</v>
      </c>
      <c r="B86" s="125" t="s">
        <v>75</v>
      </c>
      <c r="C86" s="126" t="s">
        <v>942</v>
      </c>
      <c r="D86" s="125" t="s">
        <v>926</v>
      </c>
      <c r="E86" s="127">
        <v>1.6736111111111109</v>
      </c>
      <c r="F86" s="125" t="s">
        <v>60</v>
      </c>
      <c r="G86" s="128">
        <v>5</v>
      </c>
      <c r="H86" s="125" t="s">
        <v>972</v>
      </c>
    </row>
  </sheetData>
  <dataValidations count="4">
    <dataValidation type="custom" allowBlank="1" showInputMessage="1" promptTitle="LOAD FACTOR ANALYSIS" prompt="SM-433_x000d__x000a_LF 74.9%_x000d__x000a_SOLD 134_x000d__x000a_LST-SOLD 23NOV_x000d__x000a_WEEKLY 87_x000d__x000a_TO-DAY NIL_x000d__x000a_Y-DAY 10_x000d__x000a_LOWEST AVAIL Q9_x000d__x000a_CAPACITY 179_x000d__x000a_CLASSES Q4 &amp; K20 &amp; V20 &amp; +8 more" sqref="A2 B2 C2 D2 E2 F2 G2 H2" xr:uid="{00000000-0002-0000-2700-000000000000}">
      <formula1>TRUE</formula1>
    </dataValidation>
    <dataValidation type="custom" allowBlank="1" showInputMessage="1" promptTitle="LOAD FACTOR ANALYSIS" prompt="SM-433_x000d__x000a_LF 88.3%_x000d__x000a_SOLD 159_x000d__x000a_LST-SOLD 23NOV_x000d__x000a_WEEKLY 37_x000d__x000a_TO-DAY NIL_x000d__x000a_Y-DAY 19_x000d__x000a_LOWEST AVAIL Q7_x000d__x000a_CAPACITY 180_x000d__x000a_CLASSES H6 &amp; Q46 &amp; K18 &amp; +10 more" sqref="A42 B42 C42 D42 E42 F42 G42 H42" xr:uid="{00000000-0002-0000-2700-000001000000}">
      <formula1>TRUE</formula1>
    </dataValidation>
    <dataValidation type="custom" allowBlank="1" showInputMessage="1" promptTitle="LOAD FACTOR ANALYSIS" prompt="SM-433_x000d__x000a_LF 78.3%_x000d__x000a_SOLD 141_x000d__x000a_LST-SOLD 23NOV_x000d__x000a_WEEKLY 22_x000d__x000a_TO-DAY NIL_x000d__x000a_Y-DAY 7_x000d__x000a_LOWEST AVAIL H6_x000d__x000a_CAPACITY 180_x000d__x000a_CLASSES M7 &amp; H20 &amp; Q3 &amp; +11 more" sqref="A50 B50 C50 D50 E50 F50 G50 H50" xr:uid="{00000000-0002-0000-2700-000002000000}">
      <formula1>TRUE</formula1>
    </dataValidation>
    <dataValidation type="custom" allowBlank="1" showInputMessage="1" promptTitle="LOAD FACTOR ANALYSIS" prompt="SM-433_x000d__x000a_LF 71.1%_x000d__x000a_SOLD 128_x000d__x000a_LST-SOLD 23NOV_x000d__x000a_WEEKLY 16_x000d__x000a_TO-DAY NIL_x000d__x000a_Y-DAY 3_x000d__x000a_LOWEST AVAIL M9_x000d__x000a_CAPACITY 180_x000d__x000a_CLASSES B1 &amp; M24 &amp; H21 &amp; +11 more" sqref="A70 B70 C70 D70 E70 F70 G70 H70" xr:uid="{00000000-0002-0000-2700-000003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3" bestFit="1" customWidth="1"/>
    <col min="5" max="5" width="20.664062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95.5546875" bestFit="1" customWidth="1"/>
  </cols>
  <sheetData>
    <row r="1" spans="1:92" ht="28.8" customHeight="1" x14ac:dyDescent="0.3">
      <c r="A1" s="284" t="s">
        <v>0</v>
      </c>
      <c r="B1" s="265"/>
      <c r="C1" s="265"/>
      <c r="D1" s="284" t="s">
        <v>988</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45985.362165493309</v>
      </c>
      <c r="H2" s="272"/>
      <c r="I2" s="272"/>
      <c r="J2" s="272"/>
      <c r="K2" s="282">
        <v>45985.36216549368</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45989</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5" t="s">
        <v>35</v>
      </c>
      <c r="B6" s="75" t="s">
        <v>989</v>
      </c>
      <c r="C6" s="76">
        <v>7.2916666666666671E-2</v>
      </c>
      <c r="D6" s="75" t="s">
        <v>37</v>
      </c>
      <c r="E6" s="75" t="s">
        <v>246</v>
      </c>
      <c r="F6" s="75" t="s">
        <v>935</v>
      </c>
      <c r="G6" s="261"/>
      <c r="H6" s="29" t="s">
        <v>990</v>
      </c>
      <c r="I6" s="30">
        <v>0.96109999999999995</v>
      </c>
      <c r="J6" s="31">
        <v>173</v>
      </c>
      <c r="K6" s="32">
        <v>45985</v>
      </c>
      <c r="L6" s="31">
        <v>50</v>
      </c>
      <c r="M6" s="31">
        <v>1</v>
      </c>
      <c r="N6" s="31">
        <v>18</v>
      </c>
      <c r="O6" s="33" t="s">
        <v>864</v>
      </c>
      <c r="P6" s="34">
        <v>7.2916666666666671E-2</v>
      </c>
      <c r="Q6" s="31">
        <v>180</v>
      </c>
      <c r="R6" s="35" t="s">
        <v>991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992</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38" t="s">
        <v>25</v>
      </c>
      <c r="B8" s="38" t="s">
        <v>931</v>
      </c>
      <c r="C8" s="39" t="s">
        <v>993</v>
      </c>
      <c r="D8" s="38" t="s">
        <v>27</v>
      </c>
      <c r="E8" s="38" t="s">
        <v>201</v>
      </c>
      <c r="F8" s="38" t="s">
        <v>93</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38" t="s">
        <v>35</v>
      </c>
      <c r="B9" s="38" t="s">
        <v>927</v>
      </c>
      <c r="C9" s="39" t="s">
        <v>994</v>
      </c>
      <c r="D9" s="38" t="s">
        <v>37</v>
      </c>
      <c r="E9" s="38" t="s">
        <v>598</v>
      </c>
      <c r="F9" s="38" t="s">
        <v>935</v>
      </c>
      <c r="G9" s="262"/>
      <c r="H9" s="158"/>
      <c r="I9" s="158"/>
      <c r="J9" s="158"/>
      <c r="K9" s="158"/>
      <c r="L9" s="158"/>
      <c r="M9" s="158"/>
      <c r="N9" s="158"/>
      <c r="O9" s="159"/>
      <c r="P9" s="158"/>
      <c r="Q9" s="160"/>
      <c r="R9" s="16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38" t="s">
        <v>25</v>
      </c>
      <c r="B10" s="38" t="s">
        <v>931</v>
      </c>
      <c r="C10" s="39" t="s">
        <v>993</v>
      </c>
      <c r="D10" s="38" t="s">
        <v>33</v>
      </c>
      <c r="E10" s="38" t="s">
        <v>201</v>
      </c>
      <c r="F10" s="38" t="s">
        <v>394</v>
      </c>
      <c r="G10" s="262"/>
      <c r="H10" s="158"/>
      <c r="I10" s="158"/>
      <c r="J10" s="158"/>
      <c r="K10" s="158"/>
      <c r="L10" s="158"/>
      <c r="M10" s="158"/>
      <c r="N10" s="158"/>
      <c r="O10" s="159"/>
      <c r="P10" s="158"/>
      <c r="Q10" s="160"/>
      <c r="R10" s="16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38" t="s">
        <v>48</v>
      </c>
      <c r="B11" s="38" t="s">
        <v>936</v>
      </c>
      <c r="C11" s="39" t="s">
        <v>620</v>
      </c>
      <c r="D11" s="38" t="s">
        <v>50</v>
      </c>
      <c r="E11" s="38" t="s">
        <v>207</v>
      </c>
      <c r="F11" s="38" t="s">
        <v>395</v>
      </c>
      <c r="G11" s="262"/>
      <c r="H11" s="158"/>
      <c r="I11" s="158"/>
      <c r="J11" s="158"/>
      <c r="K11" s="158"/>
      <c r="L11" s="158"/>
      <c r="M11" s="158"/>
      <c r="N11" s="158"/>
      <c r="O11" s="159"/>
      <c r="P11" s="158"/>
      <c r="Q11" s="160"/>
      <c r="R11" s="16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8" t="s">
        <v>300</v>
      </c>
      <c r="B12" s="38" t="s">
        <v>932</v>
      </c>
      <c r="C12" s="39" t="s">
        <v>995</v>
      </c>
      <c r="D12" s="38" t="s">
        <v>37</v>
      </c>
      <c r="E12" s="38" t="s">
        <v>611</v>
      </c>
      <c r="F12" s="38" t="s">
        <v>959</v>
      </c>
      <c r="G12" s="262"/>
      <c r="H12" s="158"/>
      <c r="I12" s="158"/>
      <c r="J12" s="158"/>
      <c r="K12" s="158"/>
      <c r="L12" s="158"/>
      <c r="M12" s="158"/>
      <c r="N12" s="158"/>
      <c r="O12" s="159"/>
      <c r="P12" s="158"/>
      <c r="Q12" s="160"/>
      <c r="R12" s="16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38" t="s">
        <v>48</v>
      </c>
      <c r="B13" s="38" t="s">
        <v>936</v>
      </c>
      <c r="C13" s="39" t="s">
        <v>620</v>
      </c>
      <c r="D13" s="38" t="s">
        <v>53</v>
      </c>
      <c r="E13" s="38" t="s">
        <v>207</v>
      </c>
      <c r="F13" s="38" t="s">
        <v>396</v>
      </c>
      <c r="G13" s="262"/>
      <c r="H13" s="158"/>
      <c r="I13" s="158"/>
      <c r="J13" s="158"/>
      <c r="K13" s="158"/>
      <c r="L13" s="158"/>
      <c r="M13" s="158"/>
      <c r="N13" s="158"/>
      <c r="O13" s="159"/>
      <c r="P13" s="158"/>
      <c r="Q13" s="160"/>
      <c r="R13" s="16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38" t="s">
        <v>295</v>
      </c>
      <c r="B14" s="38" t="s">
        <v>948</v>
      </c>
      <c r="C14" s="39" t="s">
        <v>996</v>
      </c>
      <c r="D14" s="38" t="s">
        <v>37</v>
      </c>
      <c r="E14" s="38" t="s">
        <v>209</v>
      </c>
      <c r="F14" s="38" t="s">
        <v>828</v>
      </c>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38" t="s">
        <v>48</v>
      </c>
      <c r="B15" s="38" t="s">
        <v>936</v>
      </c>
      <c r="C15" s="39" t="s">
        <v>620</v>
      </c>
      <c r="D15" s="38" t="s">
        <v>56</v>
      </c>
      <c r="E15" s="38" t="s">
        <v>207</v>
      </c>
      <c r="F15" s="38" t="s">
        <v>397</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38" t="s">
        <v>58</v>
      </c>
      <c r="B16" s="38" t="s">
        <v>945</v>
      </c>
      <c r="C16" s="39" t="s">
        <v>993</v>
      </c>
      <c r="D16" s="38" t="s">
        <v>63</v>
      </c>
      <c r="E16" s="38" t="s">
        <v>203</v>
      </c>
      <c r="F16" s="38" t="s">
        <v>812</v>
      </c>
      <c r="G16" s="262"/>
      <c r="H16" s="158"/>
      <c r="I16" s="158"/>
      <c r="J16" s="158"/>
      <c r="K16" s="158"/>
      <c r="L16" s="158"/>
      <c r="M16" s="158"/>
      <c r="N16" s="158"/>
      <c r="O16" s="159"/>
      <c r="P16" s="158"/>
      <c r="Q16" s="160"/>
      <c r="R16" s="16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40" t="s">
        <v>75</v>
      </c>
      <c r="B17" s="40" t="s">
        <v>943</v>
      </c>
      <c r="C17" s="41" t="s">
        <v>997</v>
      </c>
      <c r="D17" s="40" t="s">
        <v>60</v>
      </c>
      <c r="E17" s="40" t="s">
        <v>209</v>
      </c>
      <c r="F17" s="40" t="s">
        <v>950</v>
      </c>
      <c r="G17" s="263"/>
      <c r="H17" s="161"/>
      <c r="I17" s="161"/>
      <c r="J17" s="161"/>
      <c r="K17" s="161"/>
      <c r="L17" s="161"/>
      <c r="M17" s="161"/>
      <c r="N17" s="161"/>
      <c r="O17" s="162"/>
      <c r="P17" s="161"/>
      <c r="Q17" s="163"/>
      <c r="R17" s="1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14">
    <mergeCell ref="A18:R18"/>
    <mergeCell ref="A2:F2"/>
    <mergeCell ref="A3:R3"/>
    <mergeCell ref="O1:Q1"/>
    <mergeCell ref="H4:R4"/>
    <mergeCell ref="G6:G17"/>
    <mergeCell ref="A1:C1"/>
    <mergeCell ref="G1:H1"/>
    <mergeCell ref="K2:R2"/>
    <mergeCell ref="G2:J2"/>
    <mergeCell ref="A4:F4"/>
    <mergeCell ref="D1:F1"/>
    <mergeCell ref="J1:M1"/>
    <mergeCell ref="A7:F7"/>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2.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510</v>
      </c>
      <c r="B2" s="79">
        <v>45989</v>
      </c>
      <c r="C2" s="80" t="s">
        <v>990</v>
      </c>
      <c r="D2" s="81">
        <v>7.2916666666666671E-2</v>
      </c>
      <c r="E2" s="80" t="s">
        <v>988</v>
      </c>
      <c r="F2" s="80" t="s">
        <v>159</v>
      </c>
      <c r="G2" s="82">
        <v>0.96109999999999995</v>
      </c>
      <c r="H2" s="83">
        <v>180</v>
      </c>
      <c r="I2" s="83">
        <v>173</v>
      </c>
      <c r="J2" s="83">
        <v>0</v>
      </c>
      <c r="K2" s="79">
        <v>45985</v>
      </c>
      <c r="L2" s="83">
        <v>1</v>
      </c>
      <c r="M2" s="83">
        <v>18</v>
      </c>
      <c r="N2" s="83">
        <v>50</v>
      </c>
      <c r="O2" s="80" t="s">
        <v>864</v>
      </c>
      <c r="P2" s="83" t="s">
        <v>707</v>
      </c>
      <c r="Q2" s="84"/>
      <c r="R2" s="83" t="s">
        <v>998</v>
      </c>
      <c r="S2" s="83" t="s">
        <v>548</v>
      </c>
      <c r="T2" s="83" t="s">
        <v>549</v>
      </c>
      <c r="U2" s="83" t="s">
        <v>999</v>
      </c>
      <c r="V2" s="83" t="s">
        <v>519</v>
      </c>
      <c r="W2" s="83" t="s">
        <v>546</v>
      </c>
      <c r="X2" s="83" t="s">
        <v>857</v>
      </c>
      <c r="Y2" s="83" t="s">
        <v>705</v>
      </c>
      <c r="Z2" s="83" t="s">
        <v>715</v>
      </c>
      <c r="AA2" s="83" t="s">
        <v>486</v>
      </c>
      <c r="AB2" s="83" t="s">
        <v>468</v>
      </c>
      <c r="AC2" s="83" t="s">
        <v>263</v>
      </c>
      <c r="AD2" s="83" t="s">
        <v>264</v>
      </c>
      <c r="AE2" s="83" t="s">
        <v>699</v>
      </c>
      <c r="AF2" s="84"/>
      <c r="AG2" s="84"/>
      <c r="AH2" s="84"/>
      <c r="AI2" s="84"/>
    </row>
    <row r="3" spans="1:35" ht="18" x14ac:dyDescent="0.3">
      <c r="A3" s="92" t="s">
        <v>189</v>
      </c>
      <c r="B3" s="93"/>
      <c r="C3" s="94">
        <f>COUNTA(C2:C2)</f>
        <v>1</v>
      </c>
      <c r="D3" s="93"/>
      <c r="E3" s="93"/>
      <c r="F3" s="93"/>
      <c r="G3" s="95">
        <f>AVERAGE(G2:G2)</f>
        <v>0.96109999999999995</v>
      </c>
      <c r="H3" s="96">
        <f>SUM(H2:H2)</f>
        <v>180</v>
      </c>
      <c r="I3" s="96">
        <f>SUM(I2:I2)</f>
        <v>173</v>
      </c>
      <c r="J3" s="96">
        <f>SUM(J2:J2)</f>
        <v>0</v>
      </c>
      <c r="K3" s="93"/>
      <c r="L3" s="96">
        <f>SUM(L2:L2)</f>
        <v>1</v>
      </c>
      <c r="M3" s="96">
        <f>SUM(M2:M2)</f>
        <v>18</v>
      </c>
      <c r="N3" s="96">
        <f>SUM(N2:N2)</f>
        <v>50</v>
      </c>
      <c r="O3" s="93"/>
      <c r="P3" s="96">
        <f t="shared" ref="P3:AI3" si="0">SUMPRODUCT(--IFERROR(VALUE(SUBSTITUTE(SUBSTITUTE(SUBSTITUTE(SUBSTITUTE(SUBSTITUTE(SUBSTITUTE(SUBSTITUTE(SUBSTITUTE(SUBSTITUTE(SUBSTITUTE(SUBSTITUTE(SUBSTITUTE(SUBSTITUTE(SUBSTITUTE(SUBSTITUTE(SUBSTITUTE(SUBSTITUTE(SUBSTITUTE(SUBSTITUTE(SUBSTITUTE(P2:P2,"Y",""),"B",""),"M",""),"H",""),"Q",""),"K",""),"V",""),"L",""),"G",""),"S",""),"W",""),"T",""),"X",""),"U",""),"O",""),"I",""),"E",""),"A",""),"P",""),"N","")),0))</f>
        <v>2</v>
      </c>
      <c r="Q3" s="96">
        <f t="shared" si="0"/>
        <v>0</v>
      </c>
      <c r="R3" s="96">
        <f t="shared" si="0"/>
        <v>2</v>
      </c>
      <c r="S3" s="96">
        <f t="shared" si="0"/>
        <v>4</v>
      </c>
      <c r="T3" s="96">
        <f t="shared" si="0"/>
        <v>10</v>
      </c>
      <c r="U3" s="96">
        <f t="shared" si="0"/>
        <v>15</v>
      </c>
      <c r="V3" s="96">
        <f t="shared" si="0"/>
        <v>10</v>
      </c>
      <c r="W3" s="96">
        <f t="shared" si="0"/>
        <v>15</v>
      </c>
      <c r="X3" s="96">
        <f t="shared" si="0"/>
        <v>30</v>
      </c>
      <c r="Y3" s="96">
        <f t="shared" si="0"/>
        <v>16</v>
      </c>
      <c r="Z3" s="96">
        <f t="shared" si="0"/>
        <v>19</v>
      </c>
      <c r="AA3" s="96">
        <f t="shared" si="0"/>
        <v>20</v>
      </c>
      <c r="AB3" s="96">
        <f t="shared" si="0"/>
        <v>20</v>
      </c>
      <c r="AC3" s="96">
        <f t="shared" si="0"/>
        <v>5</v>
      </c>
      <c r="AD3" s="96">
        <f t="shared" si="0"/>
        <v>4</v>
      </c>
      <c r="AE3" s="96">
        <f t="shared" si="0"/>
        <v>1</v>
      </c>
      <c r="AF3" s="96">
        <f t="shared" si="0"/>
        <v>0</v>
      </c>
      <c r="AG3" s="96">
        <f t="shared" si="0"/>
        <v>0</v>
      </c>
      <c r="AH3" s="96">
        <f t="shared" si="0"/>
        <v>0</v>
      </c>
      <c r="AI3" s="96">
        <f t="shared" si="0"/>
        <v>0</v>
      </c>
    </row>
  </sheetData>
  <autoFilter ref="A1:AI2"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68"/>
  <sheetViews>
    <sheetView workbookViewId="0"/>
  </sheetViews>
  <sheetFormatPr defaultRowHeight="14.4" x14ac:dyDescent="0.3"/>
  <cols>
    <col min="1" max="1" width="13" bestFit="1" customWidth="1"/>
    <col min="2" max="2" width="19.44140625" bestFit="1" customWidth="1"/>
    <col min="3" max="3" width="16.109375" bestFit="1" customWidth="1"/>
    <col min="4" max="4" width="12.77734375" bestFit="1" customWidth="1"/>
    <col min="5" max="5" width="34.1093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5.6" x14ac:dyDescent="0.3">
      <c r="A2" s="167"/>
      <c r="B2" s="167"/>
      <c r="C2" s="167"/>
      <c r="D2" s="167"/>
      <c r="E2" s="168" t="s">
        <v>1000</v>
      </c>
      <c r="F2" s="167"/>
      <c r="G2" s="167"/>
      <c r="H2" s="3"/>
    </row>
    <row r="3" spans="1:8" ht="18" x14ac:dyDescent="0.3">
      <c r="A3" s="165">
        <v>45986</v>
      </c>
      <c r="B3" s="110" t="s">
        <v>35</v>
      </c>
      <c r="C3" s="111" t="s">
        <v>927</v>
      </c>
      <c r="D3" s="110" t="s">
        <v>926</v>
      </c>
      <c r="E3" s="112">
        <v>1.069444444444444</v>
      </c>
      <c r="F3" s="110" t="s">
        <v>37</v>
      </c>
      <c r="G3" s="113">
        <v>9</v>
      </c>
      <c r="H3" s="166" t="s">
        <v>928</v>
      </c>
    </row>
    <row r="4" spans="1:8" ht="18" x14ac:dyDescent="0.3">
      <c r="A4" s="118">
        <v>45986</v>
      </c>
      <c r="B4" s="99" t="s">
        <v>25</v>
      </c>
      <c r="C4" s="100" t="s">
        <v>931</v>
      </c>
      <c r="D4" s="99" t="s">
        <v>926</v>
      </c>
      <c r="E4" s="101">
        <v>1.447916666666667</v>
      </c>
      <c r="F4" s="99" t="s">
        <v>27</v>
      </c>
      <c r="G4" s="102">
        <v>2</v>
      </c>
      <c r="H4" s="99" t="s">
        <v>93</v>
      </c>
    </row>
    <row r="5" spans="1:8" ht="18" x14ac:dyDescent="0.3">
      <c r="A5" s="104">
        <v>45986</v>
      </c>
      <c r="B5" s="105" t="s">
        <v>25</v>
      </c>
      <c r="C5" s="106" t="s">
        <v>931</v>
      </c>
      <c r="D5" s="105" t="s">
        <v>926</v>
      </c>
      <c r="E5" s="107">
        <v>1.447916666666667</v>
      </c>
      <c r="F5" s="105" t="s">
        <v>33</v>
      </c>
      <c r="G5" s="108">
        <v>2</v>
      </c>
      <c r="H5" s="105" t="s">
        <v>394</v>
      </c>
    </row>
    <row r="6" spans="1:8" ht="18" x14ac:dyDescent="0.3">
      <c r="A6" s="118">
        <v>45986</v>
      </c>
      <c r="B6" s="99" t="s">
        <v>300</v>
      </c>
      <c r="C6" s="100" t="s">
        <v>932</v>
      </c>
      <c r="D6" s="99" t="s">
        <v>926</v>
      </c>
      <c r="E6" s="101">
        <v>1.881944444444444</v>
      </c>
      <c r="F6" s="99" t="s">
        <v>37</v>
      </c>
      <c r="G6" s="102">
        <v>4</v>
      </c>
      <c r="H6" s="99" t="s">
        <v>933</v>
      </c>
    </row>
    <row r="7" spans="1:8" ht="18" x14ac:dyDescent="0.3">
      <c r="A7" s="118">
        <v>45986</v>
      </c>
      <c r="B7" s="99" t="s">
        <v>295</v>
      </c>
      <c r="C7" s="100" t="s">
        <v>934</v>
      </c>
      <c r="D7" s="99" t="s">
        <v>926</v>
      </c>
      <c r="E7" s="101">
        <v>1.756944444444444</v>
      </c>
      <c r="F7" s="99" t="s">
        <v>37</v>
      </c>
      <c r="G7" s="102">
        <v>9</v>
      </c>
      <c r="H7" s="99" t="s">
        <v>935</v>
      </c>
    </row>
    <row r="8" spans="1:8" ht="18" x14ac:dyDescent="0.3">
      <c r="A8" s="118">
        <v>45986</v>
      </c>
      <c r="B8" s="99" t="s">
        <v>48</v>
      </c>
      <c r="C8" s="100" t="s">
        <v>936</v>
      </c>
      <c r="D8" s="99" t="s">
        <v>926</v>
      </c>
      <c r="E8" s="101">
        <v>1.9722222222222221</v>
      </c>
      <c r="F8" s="99" t="s">
        <v>50</v>
      </c>
      <c r="G8" s="102">
        <v>2</v>
      </c>
      <c r="H8" s="99" t="s">
        <v>337</v>
      </c>
    </row>
    <row r="9" spans="1:8" ht="18" x14ac:dyDescent="0.3">
      <c r="A9" s="104">
        <v>45986</v>
      </c>
      <c r="B9" s="105" t="s">
        <v>48</v>
      </c>
      <c r="C9" s="106" t="s">
        <v>936</v>
      </c>
      <c r="D9" s="105" t="s">
        <v>926</v>
      </c>
      <c r="E9" s="107">
        <v>1.9722222222222221</v>
      </c>
      <c r="F9" s="105" t="s">
        <v>53</v>
      </c>
      <c r="G9" s="108">
        <v>2</v>
      </c>
      <c r="H9" s="105" t="s">
        <v>94</v>
      </c>
    </row>
    <row r="10" spans="1:8" ht="18" x14ac:dyDescent="0.3">
      <c r="A10" s="104">
        <v>45986</v>
      </c>
      <c r="B10" s="105" t="s">
        <v>48</v>
      </c>
      <c r="C10" s="106" t="s">
        <v>936</v>
      </c>
      <c r="D10" s="105" t="s">
        <v>926</v>
      </c>
      <c r="E10" s="107">
        <v>1.9722222222222221</v>
      </c>
      <c r="F10" s="105" t="s">
        <v>56</v>
      </c>
      <c r="G10" s="108">
        <v>2</v>
      </c>
      <c r="H10" s="105" t="s">
        <v>937</v>
      </c>
    </row>
    <row r="11" spans="1:8" ht="18" x14ac:dyDescent="0.3">
      <c r="A11" s="119">
        <v>45986</v>
      </c>
      <c r="B11" s="120" t="s">
        <v>48</v>
      </c>
      <c r="C11" s="121" t="s">
        <v>938</v>
      </c>
      <c r="D11" s="120" t="s">
        <v>926</v>
      </c>
      <c r="E11" s="122">
        <v>1.336805555555556</v>
      </c>
      <c r="F11" s="120" t="s">
        <v>50</v>
      </c>
      <c r="G11" s="123">
        <v>2</v>
      </c>
      <c r="H11" s="120" t="s">
        <v>625</v>
      </c>
    </row>
    <row r="12" spans="1:8" ht="18" x14ac:dyDescent="0.3">
      <c r="A12" s="129">
        <v>45986</v>
      </c>
      <c r="B12" s="130" t="s">
        <v>48</v>
      </c>
      <c r="C12" s="131" t="s">
        <v>938</v>
      </c>
      <c r="D12" s="130" t="s">
        <v>926</v>
      </c>
      <c r="E12" s="132">
        <v>1.336805555555556</v>
      </c>
      <c r="F12" s="130" t="s">
        <v>56</v>
      </c>
      <c r="G12" s="133">
        <v>2</v>
      </c>
      <c r="H12" s="130" t="s">
        <v>939</v>
      </c>
    </row>
    <row r="13" spans="1:8" ht="15.6" x14ac:dyDescent="0.3">
      <c r="A13" s="167"/>
      <c r="B13" s="167"/>
      <c r="C13" s="167"/>
      <c r="D13" s="167"/>
      <c r="E13" s="168" t="s">
        <v>1000</v>
      </c>
      <c r="F13" s="167"/>
      <c r="G13" s="167"/>
      <c r="H13" s="3"/>
    </row>
    <row r="14" spans="1:8" ht="18" x14ac:dyDescent="0.3">
      <c r="A14" s="98">
        <v>45987</v>
      </c>
      <c r="B14" s="99" t="s">
        <v>25</v>
      </c>
      <c r="C14" s="100" t="s">
        <v>931</v>
      </c>
      <c r="D14" s="99" t="s">
        <v>926</v>
      </c>
      <c r="E14" s="101">
        <v>1.447916666666667</v>
      </c>
      <c r="F14" s="99" t="s">
        <v>27</v>
      </c>
      <c r="G14" s="102">
        <v>4</v>
      </c>
      <c r="H14" s="103" t="s">
        <v>270</v>
      </c>
    </row>
    <row r="15" spans="1:8" ht="18" x14ac:dyDescent="0.3">
      <c r="A15" s="104">
        <v>45987</v>
      </c>
      <c r="B15" s="105" t="s">
        <v>25</v>
      </c>
      <c r="C15" s="106" t="s">
        <v>931</v>
      </c>
      <c r="D15" s="105" t="s">
        <v>926</v>
      </c>
      <c r="E15" s="107">
        <v>1.447916666666667</v>
      </c>
      <c r="F15" s="105" t="s">
        <v>33</v>
      </c>
      <c r="G15" s="108">
        <v>4</v>
      </c>
      <c r="H15" s="105" t="s">
        <v>112</v>
      </c>
    </row>
    <row r="16" spans="1:8" ht="18" x14ac:dyDescent="0.3">
      <c r="A16" s="104">
        <v>45987</v>
      </c>
      <c r="B16" s="105" t="s">
        <v>25</v>
      </c>
      <c r="C16" s="106" t="s">
        <v>931</v>
      </c>
      <c r="D16" s="105" t="s">
        <v>926</v>
      </c>
      <c r="E16" s="107">
        <v>1.447916666666667</v>
      </c>
      <c r="F16" s="105" t="s">
        <v>30</v>
      </c>
      <c r="G16" s="108">
        <v>4</v>
      </c>
      <c r="H16" s="105" t="s">
        <v>947</v>
      </c>
    </row>
    <row r="17" spans="1:8" ht="18" x14ac:dyDescent="0.3">
      <c r="A17" s="118">
        <v>45987</v>
      </c>
      <c r="B17" s="99" t="s">
        <v>295</v>
      </c>
      <c r="C17" s="100" t="s">
        <v>948</v>
      </c>
      <c r="D17" s="99" t="s">
        <v>926</v>
      </c>
      <c r="E17" s="101">
        <v>1.697916666666667</v>
      </c>
      <c r="F17" s="99" t="s">
        <v>37</v>
      </c>
      <c r="G17" s="102">
        <v>9</v>
      </c>
      <c r="H17" s="99" t="s">
        <v>935</v>
      </c>
    </row>
    <row r="18" spans="1:8" ht="18" x14ac:dyDescent="0.3">
      <c r="A18" s="118">
        <v>45987</v>
      </c>
      <c r="B18" s="99" t="s">
        <v>48</v>
      </c>
      <c r="C18" s="100" t="s">
        <v>936</v>
      </c>
      <c r="D18" s="99" t="s">
        <v>926</v>
      </c>
      <c r="E18" s="101">
        <v>1.9722222222222221</v>
      </c>
      <c r="F18" s="99" t="s">
        <v>50</v>
      </c>
      <c r="G18" s="102">
        <v>9</v>
      </c>
      <c r="H18" s="99" t="s">
        <v>337</v>
      </c>
    </row>
    <row r="19" spans="1:8" ht="18" x14ac:dyDescent="0.3">
      <c r="A19" s="104">
        <v>45987</v>
      </c>
      <c r="B19" s="105" t="s">
        <v>48</v>
      </c>
      <c r="C19" s="106" t="s">
        <v>936</v>
      </c>
      <c r="D19" s="105" t="s">
        <v>926</v>
      </c>
      <c r="E19" s="107">
        <v>1.9722222222222221</v>
      </c>
      <c r="F19" s="105" t="s">
        <v>53</v>
      </c>
      <c r="G19" s="108">
        <v>9</v>
      </c>
      <c r="H19" s="105" t="s">
        <v>94</v>
      </c>
    </row>
    <row r="20" spans="1:8" ht="18" x14ac:dyDescent="0.3">
      <c r="A20" s="104">
        <v>45987</v>
      </c>
      <c r="B20" s="105" t="s">
        <v>48</v>
      </c>
      <c r="C20" s="106" t="s">
        <v>936</v>
      </c>
      <c r="D20" s="105" t="s">
        <v>926</v>
      </c>
      <c r="E20" s="107">
        <v>1.9722222222222221</v>
      </c>
      <c r="F20" s="105" t="s">
        <v>56</v>
      </c>
      <c r="G20" s="108">
        <v>9</v>
      </c>
      <c r="H20" s="105" t="s">
        <v>937</v>
      </c>
    </row>
    <row r="21" spans="1:8" ht="18" x14ac:dyDescent="0.3">
      <c r="A21" s="118">
        <v>45987</v>
      </c>
      <c r="B21" s="99" t="s">
        <v>75</v>
      </c>
      <c r="C21" s="100" t="s">
        <v>940</v>
      </c>
      <c r="D21" s="99" t="s">
        <v>926</v>
      </c>
      <c r="E21" s="101">
        <v>1.336805555555556</v>
      </c>
      <c r="F21" s="99" t="s">
        <v>60</v>
      </c>
      <c r="G21" s="102">
        <v>7</v>
      </c>
      <c r="H21" s="99" t="s">
        <v>949</v>
      </c>
    </row>
    <row r="22" spans="1:8" ht="18" x14ac:dyDescent="0.3">
      <c r="A22" s="119">
        <v>45987</v>
      </c>
      <c r="B22" s="120" t="s">
        <v>75</v>
      </c>
      <c r="C22" s="121" t="s">
        <v>942</v>
      </c>
      <c r="D22" s="120" t="s">
        <v>926</v>
      </c>
      <c r="E22" s="122">
        <v>1.677083333333333</v>
      </c>
      <c r="F22" s="120" t="s">
        <v>60</v>
      </c>
      <c r="G22" s="123">
        <v>4</v>
      </c>
      <c r="H22" s="120" t="s">
        <v>950</v>
      </c>
    </row>
    <row r="23" spans="1:8" ht="18" x14ac:dyDescent="0.3">
      <c r="A23" s="169">
        <v>45987</v>
      </c>
      <c r="B23" s="170" t="s">
        <v>58</v>
      </c>
      <c r="C23" s="171" t="s">
        <v>945</v>
      </c>
      <c r="D23" s="170" t="s">
        <v>926</v>
      </c>
      <c r="E23" s="172">
        <v>1.447916666666667</v>
      </c>
      <c r="F23" s="170" t="s">
        <v>63</v>
      </c>
      <c r="G23" s="173">
        <v>4</v>
      </c>
      <c r="H23" s="170" t="s">
        <v>812</v>
      </c>
    </row>
    <row r="24" spans="1:8" ht="15.6" x14ac:dyDescent="0.3">
      <c r="A24" s="167"/>
      <c r="B24" s="167"/>
      <c r="C24" s="167"/>
      <c r="D24" s="167"/>
      <c r="E24" s="168" t="s">
        <v>1000</v>
      </c>
      <c r="F24" s="167"/>
      <c r="G24" s="167"/>
      <c r="H24" s="3"/>
    </row>
    <row r="25" spans="1:8" ht="18" x14ac:dyDescent="0.3">
      <c r="A25" s="98">
        <v>45988</v>
      </c>
      <c r="B25" s="99" t="s">
        <v>25</v>
      </c>
      <c r="C25" s="100" t="s">
        <v>931</v>
      </c>
      <c r="D25" s="99" t="s">
        <v>926</v>
      </c>
      <c r="E25" s="101">
        <v>1.447916666666667</v>
      </c>
      <c r="F25" s="99" t="s">
        <v>27</v>
      </c>
      <c r="G25" s="102">
        <v>3</v>
      </c>
      <c r="H25" s="103" t="s">
        <v>751</v>
      </c>
    </row>
    <row r="26" spans="1:8" ht="18" x14ac:dyDescent="0.3">
      <c r="A26" s="104">
        <v>45988</v>
      </c>
      <c r="B26" s="105" t="s">
        <v>25</v>
      </c>
      <c r="C26" s="106" t="s">
        <v>931</v>
      </c>
      <c r="D26" s="105" t="s">
        <v>926</v>
      </c>
      <c r="E26" s="107">
        <v>1.447916666666667</v>
      </c>
      <c r="F26" s="105" t="s">
        <v>33</v>
      </c>
      <c r="G26" s="108">
        <v>3</v>
      </c>
      <c r="H26" s="105" t="s">
        <v>804</v>
      </c>
    </row>
    <row r="27" spans="1:8" ht="18" x14ac:dyDescent="0.3">
      <c r="A27" s="118">
        <v>45988</v>
      </c>
      <c r="B27" s="99" t="s">
        <v>48</v>
      </c>
      <c r="C27" s="100" t="s">
        <v>938</v>
      </c>
      <c r="D27" s="99" t="s">
        <v>926</v>
      </c>
      <c r="E27" s="101">
        <v>1.336805555555556</v>
      </c>
      <c r="F27" s="99" t="s">
        <v>50</v>
      </c>
      <c r="G27" s="102">
        <v>6</v>
      </c>
      <c r="H27" s="99" t="s">
        <v>117</v>
      </c>
    </row>
    <row r="28" spans="1:8" ht="18" x14ac:dyDescent="0.3">
      <c r="A28" s="104">
        <v>45988</v>
      </c>
      <c r="B28" s="105" t="s">
        <v>48</v>
      </c>
      <c r="C28" s="106" t="s">
        <v>938</v>
      </c>
      <c r="D28" s="105" t="s">
        <v>926</v>
      </c>
      <c r="E28" s="107">
        <v>1.336805555555556</v>
      </c>
      <c r="F28" s="105" t="s">
        <v>53</v>
      </c>
      <c r="G28" s="108">
        <v>6</v>
      </c>
      <c r="H28" s="105" t="s">
        <v>804</v>
      </c>
    </row>
    <row r="29" spans="1:8" ht="18" x14ac:dyDescent="0.3">
      <c r="A29" s="104">
        <v>45988</v>
      </c>
      <c r="B29" s="105" t="s">
        <v>48</v>
      </c>
      <c r="C29" s="106" t="s">
        <v>938</v>
      </c>
      <c r="D29" s="105" t="s">
        <v>926</v>
      </c>
      <c r="E29" s="107">
        <v>1.336805555555556</v>
      </c>
      <c r="F29" s="105" t="s">
        <v>56</v>
      </c>
      <c r="G29" s="108">
        <v>6</v>
      </c>
      <c r="H29" s="105" t="s">
        <v>805</v>
      </c>
    </row>
    <row r="30" spans="1:8" ht="18" x14ac:dyDescent="0.3">
      <c r="A30" s="118">
        <v>45988</v>
      </c>
      <c r="B30" s="99" t="s">
        <v>295</v>
      </c>
      <c r="C30" s="100" t="s">
        <v>951</v>
      </c>
      <c r="D30" s="99" t="s">
        <v>926</v>
      </c>
      <c r="E30" s="101">
        <v>1.3611111111111109</v>
      </c>
      <c r="F30" s="99" t="s">
        <v>37</v>
      </c>
      <c r="G30" s="102">
        <v>9</v>
      </c>
      <c r="H30" s="99" t="s">
        <v>952</v>
      </c>
    </row>
    <row r="31" spans="1:8" ht="18" x14ac:dyDescent="0.3">
      <c r="A31" s="118">
        <v>45988</v>
      </c>
      <c r="B31" s="99" t="s">
        <v>300</v>
      </c>
      <c r="C31" s="100" t="s">
        <v>932</v>
      </c>
      <c r="D31" s="99" t="s">
        <v>926</v>
      </c>
      <c r="E31" s="101">
        <v>1.680555555555556</v>
      </c>
      <c r="F31" s="99" t="s">
        <v>37</v>
      </c>
      <c r="G31" s="102">
        <v>2</v>
      </c>
      <c r="H31" s="99" t="s">
        <v>105</v>
      </c>
    </row>
    <row r="32" spans="1:8" ht="18" x14ac:dyDescent="0.3">
      <c r="A32" s="119">
        <v>45988</v>
      </c>
      <c r="B32" s="120" t="s">
        <v>300</v>
      </c>
      <c r="C32" s="121" t="s">
        <v>953</v>
      </c>
      <c r="D32" s="120" t="s">
        <v>926</v>
      </c>
      <c r="E32" s="122">
        <v>1.9652777777777779</v>
      </c>
      <c r="F32" s="120" t="s">
        <v>37</v>
      </c>
      <c r="G32" s="123">
        <v>4</v>
      </c>
      <c r="H32" s="120" t="s">
        <v>933</v>
      </c>
    </row>
    <row r="33" spans="1:8" ht="18" x14ac:dyDescent="0.3">
      <c r="A33" s="119">
        <v>45988</v>
      </c>
      <c r="B33" s="120" t="s">
        <v>300</v>
      </c>
      <c r="C33" s="121" t="s">
        <v>954</v>
      </c>
      <c r="D33" s="120" t="s">
        <v>926</v>
      </c>
      <c r="E33" s="122">
        <v>1.0763888888888891</v>
      </c>
      <c r="F33" s="120" t="s">
        <v>37</v>
      </c>
      <c r="G33" s="123">
        <v>3</v>
      </c>
      <c r="H33" s="120" t="s">
        <v>933</v>
      </c>
    </row>
    <row r="34" spans="1:8" ht="18" x14ac:dyDescent="0.3">
      <c r="A34" s="134">
        <v>45988</v>
      </c>
      <c r="B34" s="135" t="s">
        <v>35</v>
      </c>
      <c r="C34" s="136" t="s">
        <v>927</v>
      </c>
      <c r="D34" s="135" t="s">
        <v>926</v>
      </c>
      <c r="E34" s="137">
        <v>1.7222222222222221</v>
      </c>
      <c r="F34" s="135" t="s">
        <v>37</v>
      </c>
      <c r="G34" s="248">
        <v>7</v>
      </c>
      <c r="H34" s="135" t="s">
        <v>928</v>
      </c>
    </row>
    <row r="35" spans="1:8" ht="18" x14ac:dyDescent="0.3">
      <c r="A35" s="165">
        <v>45989</v>
      </c>
      <c r="B35" s="110" t="s">
        <v>35</v>
      </c>
      <c r="C35" s="111" t="s">
        <v>989</v>
      </c>
      <c r="D35" s="110" t="s">
        <v>988</v>
      </c>
      <c r="E35" s="112">
        <v>1.072916666666667</v>
      </c>
      <c r="F35" s="110" t="s">
        <v>37</v>
      </c>
      <c r="G35" s="113">
        <v>6</v>
      </c>
      <c r="H35" s="166" t="s">
        <v>935</v>
      </c>
    </row>
    <row r="36" spans="1:8" ht="15.6" x14ac:dyDescent="0.3">
      <c r="A36" s="167"/>
      <c r="B36" s="167"/>
      <c r="C36" s="167"/>
      <c r="D36" s="167"/>
      <c r="E36" s="168" t="s">
        <v>1000</v>
      </c>
      <c r="F36" s="167"/>
      <c r="G36" s="167"/>
      <c r="H36" s="3"/>
    </row>
    <row r="37" spans="1:8" ht="18" x14ac:dyDescent="0.3">
      <c r="A37" s="118">
        <v>45989</v>
      </c>
      <c r="B37" s="99" t="s">
        <v>25</v>
      </c>
      <c r="C37" s="100" t="s">
        <v>931</v>
      </c>
      <c r="D37" s="99" t="s">
        <v>926</v>
      </c>
      <c r="E37" s="101">
        <v>1.447916666666667</v>
      </c>
      <c r="F37" s="99" t="s">
        <v>27</v>
      </c>
      <c r="G37" s="102">
        <v>8</v>
      </c>
      <c r="H37" s="99" t="s">
        <v>93</v>
      </c>
    </row>
    <row r="38" spans="1:8" ht="18" x14ac:dyDescent="0.3">
      <c r="A38" s="104">
        <v>45989</v>
      </c>
      <c r="B38" s="105" t="s">
        <v>25</v>
      </c>
      <c r="C38" s="106" t="s">
        <v>931</v>
      </c>
      <c r="D38" s="105" t="s">
        <v>926</v>
      </c>
      <c r="E38" s="107">
        <v>1.447916666666667</v>
      </c>
      <c r="F38" s="105" t="s">
        <v>33</v>
      </c>
      <c r="G38" s="108">
        <v>8</v>
      </c>
      <c r="H38" s="105" t="s">
        <v>394</v>
      </c>
    </row>
    <row r="39" spans="1:8" ht="18" x14ac:dyDescent="0.3">
      <c r="A39" s="109">
        <v>45989</v>
      </c>
      <c r="B39" s="110" t="s">
        <v>35</v>
      </c>
      <c r="C39" s="111" t="s">
        <v>927</v>
      </c>
      <c r="D39" s="110" t="s">
        <v>926</v>
      </c>
      <c r="E39" s="112">
        <v>1.381944444444444</v>
      </c>
      <c r="F39" s="110" t="s">
        <v>37</v>
      </c>
      <c r="G39" s="113">
        <v>6</v>
      </c>
      <c r="H39" s="110" t="s">
        <v>935</v>
      </c>
    </row>
    <row r="40" spans="1:8" ht="18" x14ac:dyDescent="0.3">
      <c r="A40" s="118">
        <v>45989</v>
      </c>
      <c r="B40" s="99" t="s">
        <v>48</v>
      </c>
      <c r="C40" s="100" t="s">
        <v>936</v>
      </c>
      <c r="D40" s="99" t="s">
        <v>926</v>
      </c>
      <c r="E40" s="101">
        <v>1.9722222222222221</v>
      </c>
      <c r="F40" s="99" t="s">
        <v>50</v>
      </c>
      <c r="G40" s="102">
        <v>1</v>
      </c>
      <c r="H40" s="99" t="s">
        <v>395</v>
      </c>
    </row>
    <row r="41" spans="1:8" ht="18" x14ac:dyDescent="0.3">
      <c r="A41" s="104">
        <v>45989</v>
      </c>
      <c r="B41" s="105" t="s">
        <v>48</v>
      </c>
      <c r="C41" s="106" t="s">
        <v>936</v>
      </c>
      <c r="D41" s="105" t="s">
        <v>926</v>
      </c>
      <c r="E41" s="107">
        <v>1.9722222222222221</v>
      </c>
      <c r="F41" s="105" t="s">
        <v>53</v>
      </c>
      <c r="G41" s="108">
        <v>1</v>
      </c>
      <c r="H41" s="105" t="s">
        <v>396</v>
      </c>
    </row>
    <row r="42" spans="1:8" ht="18" x14ac:dyDescent="0.3">
      <c r="A42" s="104">
        <v>45989</v>
      </c>
      <c r="B42" s="105" t="s">
        <v>48</v>
      </c>
      <c r="C42" s="106" t="s">
        <v>936</v>
      </c>
      <c r="D42" s="105" t="s">
        <v>926</v>
      </c>
      <c r="E42" s="107">
        <v>1.9722222222222221</v>
      </c>
      <c r="F42" s="105" t="s">
        <v>56</v>
      </c>
      <c r="G42" s="108">
        <v>1</v>
      </c>
      <c r="H42" s="105" t="s">
        <v>397</v>
      </c>
    </row>
    <row r="43" spans="1:8" ht="18" x14ac:dyDescent="0.3">
      <c r="A43" s="118">
        <v>45989</v>
      </c>
      <c r="B43" s="99" t="s">
        <v>300</v>
      </c>
      <c r="C43" s="100" t="s">
        <v>932</v>
      </c>
      <c r="D43" s="99" t="s">
        <v>926</v>
      </c>
      <c r="E43" s="101">
        <v>1.9652777777777779</v>
      </c>
      <c r="F43" s="99" t="s">
        <v>37</v>
      </c>
      <c r="G43" s="102">
        <v>7</v>
      </c>
      <c r="H43" s="99" t="s">
        <v>959</v>
      </c>
    </row>
    <row r="44" spans="1:8" ht="18" x14ac:dyDescent="0.3">
      <c r="A44" s="118">
        <v>45989</v>
      </c>
      <c r="B44" s="99" t="s">
        <v>295</v>
      </c>
      <c r="C44" s="100" t="s">
        <v>948</v>
      </c>
      <c r="D44" s="99" t="s">
        <v>926</v>
      </c>
      <c r="E44" s="101">
        <v>1.756944444444444</v>
      </c>
      <c r="F44" s="99" t="s">
        <v>37</v>
      </c>
      <c r="G44" s="102">
        <v>9</v>
      </c>
      <c r="H44" s="99" t="s">
        <v>828</v>
      </c>
    </row>
    <row r="45" spans="1:8" ht="18" x14ac:dyDescent="0.3">
      <c r="A45" s="118">
        <v>45989</v>
      </c>
      <c r="B45" s="99" t="s">
        <v>58</v>
      </c>
      <c r="C45" s="100" t="s">
        <v>945</v>
      </c>
      <c r="D45" s="99" t="s">
        <v>926</v>
      </c>
      <c r="E45" s="101">
        <v>1.447916666666667</v>
      </c>
      <c r="F45" s="99" t="s">
        <v>63</v>
      </c>
      <c r="G45" s="102">
        <v>4</v>
      </c>
      <c r="H45" s="99" t="s">
        <v>812</v>
      </c>
    </row>
    <row r="46" spans="1:8" ht="18" x14ac:dyDescent="0.3">
      <c r="A46" s="169">
        <v>45989</v>
      </c>
      <c r="B46" s="170" t="s">
        <v>75</v>
      </c>
      <c r="C46" s="171" t="s">
        <v>943</v>
      </c>
      <c r="D46" s="170" t="s">
        <v>926</v>
      </c>
      <c r="E46" s="172">
        <v>1.979166666666667</v>
      </c>
      <c r="F46" s="170" t="s">
        <v>60</v>
      </c>
      <c r="G46" s="173">
        <v>9</v>
      </c>
      <c r="H46" s="170" t="s">
        <v>950</v>
      </c>
    </row>
    <row r="47" spans="1:8" ht="15.6" x14ac:dyDescent="0.3">
      <c r="A47" s="167"/>
      <c r="B47" s="167"/>
      <c r="C47" s="167"/>
      <c r="D47" s="167"/>
      <c r="E47" s="168" t="s">
        <v>1000</v>
      </c>
      <c r="F47" s="167"/>
      <c r="G47" s="167"/>
      <c r="H47" s="3"/>
    </row>
    <row r="48" spans="1:8" ht="18" x14ac:dyDescent="0.3">
      <c r="A48" s="98">
        <v>45990</v>
      </c>
      <c r="B48" s="99" t="s">
        <v>295</v>
      </c>
      <c r="C48" s="100" t="s">
        <v>934</v>
      </c>
      <c r="D48" s="99" t="s">
        <v>926</v>
      </c>
      <c r="E48" s="101">
        <v>1.694444444444444</v>
      </c>
      <c r="F48" s="99" t="s">
        <v>37</v>
      </c>
      <c r="G48" s="102">
        <v>8</v>
      </c>
      <c r="H48" s="103" t="s">
        <v>935</v>
      </c>
    </row>
    <row r="49" spans="1:8" ht="18" x14ac:dyDescent="0.3">
      <c r="A49" s="119">
        <v>45990</v>
      </c>
      <c r="B49" s="120" t="s">
        <v>295</v>
      </c>
      <c r="C49" s="121" t="s">
        <v>961</v>
      </c>
      <c r="D49" s="120" t="s">
        <v>926</v>
      </c>
      <c r="E49" s="122">
        <v>1.961805555555556</v>
      </c>
      <c r="F49" s="120" t="s">
        <v>37</v>
      </c>
      <c r="G49" s="123">
        <v>9</v>
      </c>
      <c r="H49" s="120" t="s">
        <v>935</v>
      </c>
    </row>
    <row r="50" spans="1:8" ht="18" x14ac:dyDescent="0.3">
      <c r="A50" s="118">
        <v>45990</v>
      </c>
      <c r="B50" s="99" t="s">
        <v>48</v>
      </c>
      <c r="C50" s="100" t="s">
        <v>938</v>
      </c>
      <c r="D50" s="99" t="s">
        <v>926</v>
      </c>
      <c r="E50" s="101">
        <v>1.336805555555556</v>
      </c>
      <c r="F50" s="99" t="s">
        <v>50</v>
      </c>
      <c r="G50" s="102">
        <v>9</v>
      </c>
      <c r="H50" s="99" t="s">
        <v>395</v>
      </c>
    </row>
    <row r="51" spans="1:8" ht="18" x14ac:dyDescent="0.3">
      <c r="A51" s="104">
        <v>45990</v>
      </c>
      <c r="B51" s="105" t="s">
        <v>48</v>
      </c>
      <c r="C51" s="106" t="s">
        <v>938</v>
      </c>
      <c r="D51" s="105" t="s">
        <v>926</v>
      </c>
      <c r="E51" s="107">
        <v>1.336805555555556</v>
      </c>
      <c r="F51" s="105" t="s">
        <v>53</v>
      </c>
      <c r="G51" s="108">
        <v>9</v>
      </c>
      <c r="H51" s="105" t="s">
        <v>396</v>
      </c>
    </row>
    <row r="52" spans="1:8" ht="18" x14ac:dyDescent="0.3">
      <c r="A52" s="119">
        <v>45990</v>
      </c>
      <c r="B52" s="120" t="s">
        <v>48</v>
      </c>
      <c r="C52" s="121" t="s">
        <v>936</v>
      </c>
      <c r="D52" s="120" t="s">
        <v>926</v>
      </c>
      <c r="E52" s="122">
        <v>1.9722222222222221</v>
      </c>
      <c r="F52" s="120" t="s">
        <v>50</v>
      </c>
      <c r="G52" s="123">
        <v>2</v>
      </c>
      <c r="H52" s="120" t="s">
        <v>395</v>
      </c>
    </row>
    <row r="53" spans="1:8" ht="18" x14ac:dyDescent="0.3">
      <c r="A53" s="104">
        <v>45990</v>
      </c>
      <c r="B53" s="105" t="s">
        <v>48</v>
      </c>
      <c r="C53" s="106" t="s">
        <v>936</v>
      </c>
      <c r="D53" s="105" t="s">
        <v>926</v>
      </c>
      <c r="E53" s="107">
        <v>1.9722222222222221</v>
      </c>
      <c r="F53" s="105" t="s">
        <v>53</v>
      </c>
      <c r="G53" s="108">
        <v>2</v>
      </c>
      <c r="H53" s="105" t="s">
        <v>396</v>
      </c>
    </row>
    <row r="54" spans="1:8" ht="18" x14ac:dyDescent="0.3">
      <c r="A54" s="118">
        <v>45990</v>
      </c>
      <c r="B54" s="99" t="s">
        <v>25</v>
      </c>
      <c r="C54" s="100" t="s">
        <v>931</v>
      </c>
      <c r="D54" s="99" t="s">
        <v>926</v>
      </c>
      <c r="E54" s="101">
        <v>1.447916666666667</v>
      </c>
      <c r="F54" s="99" t="s">
        <v>27</v>
      </c>
      <c r="G54" s="102">
        <v>3</v>
      </c>
      <c r="H54" s="99" t="s">
        <v>962</v>
      </c>
    </row>
    <row r="55" spans="1:8" ht="18" x14ac:dyDescent="0.3">
      <c r="A55" s="104">
        <v>45990</v>
      </c>
      <c r="B55" s="105" t="s">
        <v>25</v>
      </c>
      <c r="C55" s="106" t="s">
        <v>931</v>
      </c>
      <c r="D55" s="105" t="s">
        <v>926</v>
      </c>
      <c r="E55" s="107">
        <v>1.447916666666667</v>
      </c>
      <c r="F55" s="105" t="s">
        <v>33</v>
      </c>
      <c r="G55" s="108">
        <v>3</v>
      </c>
      <c r="H55" s="105" t="s">
        <v>963</v>
      </c>
    </row>
    <row r="56" spans="1:8" ht="18" x14ac:dyDescent="0.3">
      <c r="A56" s="109">
        <v>45990</v>
      </c>
      <c r="B56" s="110" t="s">
        <v>35</v>
      </c>
      <c r="C56" s="111" t="s">
        <v>927</v>
      </c>
      <c r="D56" s="110" t="s">
        <v>926</v>
      </c>
      <c r="E56" s="112">
        <v>1.7222222222222221</v>
      </c>
      <c r="F56" s="110" t="s">
        <v>37</v>
      </c>
      <c r="G56" s="113">
        <v>9</v>
      </c>
      <c r="H56" s="110" t="s">
        <v>964</v>
      </c>
    </row>
    <row r="57" spans="1:8" ht="18" x14ac:dyDescent="0.3">
      <c r="A57" s="169">
        <v>45990</v>
      </c>
      <c r="B57" s="170" t="s">
        <v>290</v>
      </c>
      <c r="C57" s="171" t="s">
        <v>966</v>
      </c>
      <c r="D57" s="170" t="s">
        <v>926</v>
      </c>
      <c r="E57" s="172">
        <v>1.7465277777777779</v>
      </c>
      <c r="F57" s="170" t="s">
        <v>292</v>
      </c>
      <c r="G57" s="173">
        <v>9</v>
      </c>
      <c r="H57" s="170" t="s">
        <v>967</v>
      </c>
    </row>
    <row r="58" spans="1:8" ht="15.6" x14ac:dyDescent="0.3">
      <c r="A58" s="167"/>
      <c r="B58" s="167"/>
      <c r="C58" s="167"/>
      <c r="D58" s="167"/>
      <c r="E58" s="168" t="s">
        <v>1000</v>
      </c>
      <c r="F58" s="167"/>
      <c r="G58" s="167"/>
      <c r="H58" s="3"/>
    </row>
    <row r="59" spans="1:8" ht="18" x14ac:dyDescent="0.3">
      <c r="A59" s="98">
        <v>45991</v>
      </c>
      <c r="B59" s="99" t="s">
        <v>295</v>
      </c>
      <c r="C59" s="100" t="s">
        <v>970</v>
      </c>
      <c r="D59" s="99" t="s">
        <v>926</v>
      </c>
      <c r="E59" s="101">
        <v>1.4826388888888891</v>
      </c>
      <c r="F59" s="99" t="s">
        <v>37</v>
      </c>
      <c r="G59" s="102">
        <v>9</v>
      </c>
      <c r="H59" s="103" t="s">
        <v>952</v>
      </c>
    </row>
    <row r="60" spans="1:8" ht="18" x14ac:dyDescent="0.3">
      <c r="A60" s="119">
        <v>45991</v>
      </c>
      <c r="B60" s="120" t="s">
        <v>295</v>
      </c>
      <c r="C60" s="121" t="s">
        <v>951</v>
      </c>
      <c r="D60" s="120" t="s">
        <v>926</v>
      </c>
      <c r="E60" s="122">
        <v>1.756944444444444</v>
      </c>
      <c r="F60" s="120" t="s">
        <v>37</v>
      </c>
      <c r="G60" s="123">
        <v>9</v>
      </c>
      <c r="H60" s="120" t="s">
        <v>952</v>
      </c>
    </row>
    <row r="61" spans="1:8" ht="18" x14ac:dyDescent="0.3">
      <c r="A61" s="118">
        <v>45991</v>
      </c>
      <c r="B61" s="99" t="s">
        <v>300</v>
      </c>
      <c r="C61" s="100" t="s">
        <v>954</v>
      </c>
      <c r="D61" s="99" t="s">
        <v>926</v>
      </c>
      <c r="E61" s="101">
        <v>1.9201388888888891</v>
      </c>
      <c r="F61" s="99" t="s">
        <v>37</v>
      </c>
      <c r="G61" s="102">
        <v>4</v>
      </c>
      <c r="H61" s="99" t="s">
        <v>105</v>
      </c>
    </row>
    <row r="62" spans="1:8" ht="18" x14ac:dyDescent="0.3">
      <c r="A62" s="119">
        <v>45991</v>
      </c>
      <c r="B62" s="120" t="s">
        <v>300</v>
      </c>
      <c r="C62" s="121" t="s">
        <v>953</v>
      </c>
      <c r="D62" s="120" t="s">
        <v>926</v>
      </c>
      <c r="E62" s="122">
        <v>1.006944444444444</v>
      </c>
      <c r="F62" s="120" t="s">
        <v>37</v>
      </c>
      <c r="G62" s="123">
        <v>9</v>
      </c>
      <c r="H62" s="120" t="s">
        <v>933</v>
      </c>
    </row>
    <row r="63" spans="1:8" ht="18" x14ac:dyDescent="0.3">
      <c r="A63" s="118">
        <v>45991</v>
      </c>
      <c r="B63" s="99" t="s">
        <v>48</v>
      </c>
      <c r="C63" s="100" t="s">
        <v>936</v>
      </c>
      <c r="D63" s="99" t="s">
        <v>926</v>
      </c>
      <c r="E63" s="101">
        <v>1.9722222222222221</v>
      </c>
      <c r="F63" s="99" t="s">
        <v>50</v>
      </c>
      <c r="G63" s="102">
        <v>3</v>
      </c>
      <c r="H63" s="99" t="s">
        <v>105</v>
      </c>
    </row>
    <row r="64" spans="1:8" ht="18" x14ac:dyDescent="0.3">
      <c r="A64" s="104">
        <v>45991</v>
      </c>
      <c r="B64" s="105" t="s">
        <v>48</v>
      </c>
      <c r="C64" s="106" t="s">
        <v>936</v>
      </c>
      <c r="D64" s="105" t="s">
        <v>926</v>
      </c>
      <c r="E64" s="107">
        <v>1.9722222222222221</v>
      </c>
      <c r="F64" s="105" t="s">
        <v>53</v>
      </c>
      <c r="G64" s="108">
        <v>3</v>
      </c>
      <c r="H64" s="105" t="s">
        <v>971</v>
      </c>
    </row>
    <row r="65" spans="1:8" ht="18" x14ac:dyDescent="0.3">
      <c r="A65" s="104">
        <v>45991</v>
      </c>
      <c r="B65" s="105" t="s">
        <v>48</v>
      </c>
      <c r="C65" s="106" t="s">
        <v>936</v>
      </c>
      <c r="D65" s="105" t="s">
        <v>926</v>
      </c>
      <c r="E65" s="107">
        <v>1.9722222222222221</v>
      </c>
      <c r="F65" s="105" t="s">
        <v>56</v>
      </c>
      <c r="G65" s="108">
        <v>3</v>
      </c>
      <c r="H65" s="105" t="s">
        <v>52</v>
      </c>
    </row>
    <row r="66" spans="1:8" ht="18" x14ac:dyDescent="0.3">
      <c r="A66" s="118">
        <v>45991</v>
      </c>
      <c r="B66" s="99" t="s">
        <v>25</v>
      </c>
      <c r="C66" s="100" t="s">
        <v>931</v>
      </c>
      <c r="D66" s="99" t="s">
        <v>926</v>
      </c>
      <c r="E66" s="101">
        <v>1.447916666666667</v>
      </c>
      <c r="F66" s="99" t="s">
        <v>27</v>
      </c>
      <c r="G66" s="102">
        <v>4</v>
      </c>
      <c r="H66" s="99" t="s">
        <v>825</v>
      </c>
    </row>
    <row r="67" spans="1:8" ht="18" x14ac:dyDescent="0.3">
      <c r="A67" s="104">
        <v>45991</v>
      </c>
      <c r="B67" s="105" t="s">
        <v>25</v>
      </c>
      <c r="C67" s="106" t="s">
        <v>931</v>
      </c>
      <c r="D67" s="105" t="s">
        <v>926</v>
      </c>
      <c r="E67" s="107">
        <v>1.447916666666667</v>
      </c>
      <c r="F67" s="105" t="s">
        <v>33</v>
      </c>
      <c r="G67" s="108">
        <v>4</v>
      </c>
      <c r="H67" s="105" t="s">
        <v>826</v>
      </c>
    </row>
    <row r="68" spans="1:8" ht="18" x14ac:dyDescent="0.3">
      <c r="A68" s="129">
        <v>45991</v>
      </c>
      <c r="B68" s="130" t="s">
        <v>25</v>
      </c>
      <c r="C68" s="131" t="s">
        <v>931</v>
      </c>
      <c r="D68" s="130" t="s">
        <v>926</v>
      </c>
      <c r="E68" s="132">
        <v>1.447916666666667</v>
      </c>
      <c r="F68" s="130" t="s">
        <v>30</v>
      </c>
      <c r="G68" s="133">
        <v>4</v>
      </c>
      <c r="H68" s="130" t="s">
        <v>403</v>
      </c>
    </row>
  </sheetData>
  <dataValidations count="2">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3 A34 A39 A56 B3 B34 B39 B56 C3 C34 C39 C56 D3 D34 D39 D56 E3 E34 E39 E56 F3 F34 F39 F56 G3 G34 G39 G56 H3 H34 H39 H56" xr:uid="{00000000-0002-0000-2A00-000000000000}">
      <formula1>TRUE</formula1>
    </dataValidation>
    <dataValidation type="custom" allowBlank="1" showInputMessage="1" promptTitle="LOAD FACTOR ANALYSIS" prompt="SM-437_x000d__x000a_LF 96.1%_x000d__x000a_SOLD 173_x000d__x000a_LST-SOLD 24NOV_x000d__x000a_WEEKLY 50_x000d__x000a_TO-DAY 1_x000d__x000a_Y-DAY 18_x000d__x000a_LOWEST AVAIL H6_x000d__x000a_CAPACITY 180_x000d__x000a_CLASSES Y2 &amp; M2 &amp; H4 &amp; +12 more" sqref="A35 B35 C35 D35 E35 F35 G35 H35" xr:uid="{00000000-0002-0000-2A00-000001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4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6.77734375" bestFit="1" customWidth="1"/>
  </cols>
  <sheetData>
    <row r="1" spans="1:92" ht="28.8" customHeight="1" x14ac:dyDescent="0.3">
      <c r="A1" s="284" t="s">
        <v>0</v>
      </c>
      <c r="B1" s="265"/>
      <c r="C1" s="265"/>
      <c r="D1" s="284" t="s">
        <v>1001</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45985.362166900282</v>
      </c>
      <c r="H2" s="272"/>
      <c r="I2" s="272"/>
      <c r="J2" s="272"/>
      <c r="K2" s="282">
        <v>45985.362166900777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300</v>
      </c>
      <c r="B6" s="238" t="s">
        <v>1002</v>
      </c>
      <c r="C6" s="239">
        <v>0.78125</v>
      </c>
      <c r="D6" s="238" t="s">
        <v>37</v>
      </c>
      <c r="E6" s="238" t="s">
        <v>77</v>
      </c>
      <c r="F6" s="238" t="s">
        <v>1003</v>
      </c>
      <c r="G6" s="291"/>
      <c r="H6" s="42"/>
      <c r="I6" s="43"/>
      <c r="J6" s="43"/>
      <c r="K6" s="43"/>
      <c r="L6" s="43"/>
      <c r="M6" s="43"/>
      <c r="N6" s="43"/>
      <c r="O6" s="44"/>
      <c r="P6" s="43"/>
      <c r="Q6" s="45"/>
      <c r="R6" s="46"/>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75"/>
      <c r="B7" s="276"/>
      <c r="C7" s="276"/>
      <c r="D7" s="276"/>
      <c r="E7" s="276"/>
      <c r="F7" s="276"/>
      <c r="G7" s="276"/>
      <c r="H7" s="276"/>
      <c r="I7" s="276"/>
      <c r="J7" s="276"/>
      <c r="K7" s="276"/>
      <c r="L7" s="276"/>
      <c r="M7" s="276"/>
      <c r="N7" s="276"/>
      <c r="O7" s="276"/>
      <c r="P7" s="276"/>
      <c r="Q7" s="276"/>
      <c r="R7" s="27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66" t="s">
        <v>5</v>
      </c>
      <c r="B8" s="267"/>
      <c r="C8" s="267"/>
      <c r="D8" s="267"/>
      <c r="E8" s="267"/>
      <c r="F8" s="267"/>
      <c r="G8" s="5">
        <v>45987</v>
      </c>
      <c r="H8" s="270" t="s">
        <v>6</v>
      </c>
      <c r="I8" s="269"/>
      <c r="J8" s="269"/>
      <c r="K8" s="269"/>
      <c r="L8" s="269"/>
      <c r="M8" s="269"/>
      <c r="N8" s="269"/>
      <c r="O8" s="269"/>
      <c r="P8" s="269"/>
      <c r="Q8" s="269"/>
      <c r="R8" s="26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47" t="s">
        <v>7</v>
      </c>
      <c r="B9" s="47" t="s">
        <v>8</v>
      </c>
      <c r="C9" s="48" t="s">
        <v>9</v>
      </c>
      <c r="D9" s="47" t="s">
        <v>10</v>
      </c>
      <c r="E9" s="47" t="s">
        <v>11</v>
      </c>
      <c r="F9" s="47" t="s">
        <v>12</v>
      </c>
      <c r="G9" s="49" t="s">
        <v>13</v>
      </c>
      <c r="H9" s="47" t="s">
        <v>14</v>
      </c>
      <c r="I9" s="50" t="s">
        <v>15</v>
      </c>
      <c r="J9" s="51" t="s">
        <v>16</v>
      </c>
      <c r="K9" s="52" t="s">
        <v>17</v>
      </c>
      <c r="L9" s="51" t="s">
        <v>18</v>
      </c>
      <c r="M9" s="51" t="s">
        <v>19</v>
      </c>
      <c r="N9" s="51" t="s">
        <v>20</v>
      </c>
      <c r="O9" s="47" t="s">
        <v>21</v>
      </c>
      <c r="P9" s="48" t="s">
        <v>22</v>
      </c>
      <c r="Q9" s="51" t="s">
        <v>23</v>
      </c>
      <c r="R9" s="4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290</v>
      </c>
      <c r="B10" s="8" t="s">
        <v>1004</v>
      </c>
      <c r="C10" s="9">
        <v>0.49652777777777768</v>
      </c>
      <c r="D10" s="8" t="s">
        <v>292</v>
      </c>
      <c r="E10" s="8" t="s">
        <v>405</v>
      </c>
      <c r="F10" s="8" t="s">
        <v>1005</v>
      </c>
      <c r="G10" s="261"/>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5" t="s">
        <v>290</v>
      </c>
      <c r="B11" s="15" t="s">
        <v>1004</v>
      </c>
      <c r="C11" s="16">
        <v>0.49652777777777768</v>
      </c>
      <c r="D11" s="15" t="s">
        <v>30</v>
      </c>
      <c r="E11" s="15" t="s">
        <v>119</v>
      </c>
      <c r="F11" s="15" t="s">
        <v>1006</v>
      </c>
      <c r="G11" s="26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74" t="s">
        <v>35</v>
      </c>
      <c r="B12" s="174" t="s">
        <v>1007</v>
      </c>
      <c r="C12" s="175">
        <v>0.71180555555555547</v>
      </c>
      <c r="D12" s="174" t="s">
        <v>37</v>
      </c>
      <c r="E12" s="174" t="s">
        <v>77</v>
      </c>
      <c r="F12" s="174" t="s">
        <v>1008</v>
      </c>
      <c r="G12" s="262"/>
      <c r="H12" s="176" t="s">
        <v>1009</v>
      </c>
      <c r="I12" s="177">
        <v>0.58099999999999996</v>
      </c>
      <c r="J12" s="178">
        <v>104</v>
      </c>
      <c r="K12" s="179">
        <v>45984</v>
      </c>
      <c r="L12" s="178">
        <v>55</v>
      </c>
      <c r="M12" s="178">
        <v>0</v>
      </c>
      <c r="N12" s="178">
        <v>11</v>
      </c>
      <c r="O12" s="180" t="s">
        <v>436</v>
      </c>
      <c r="P12" s="181">
        <v>0.71180555555555547</v>
      </c>
      <c r="Q12" s="178">
        <v>179</v>
      </c>
      <c r="R12" s="182" t="s">
        <v>1010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36" t="s">
        <v>295</v>
      </c>
      <c r="B13" s="36" t="s">
        <v>1011</v>
      </c>
      <c r="C13" s="37">
        <v>0.75694444444444453</v>
      </c>
      <c r="D13" s="36" t="s">
        <v>37</v>
      </c>
      <c r="E13" s="36" t="s">
        <v>77</v>
      </c>
      <c r="F13" s="36" t="s">
        <v>1012</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27" t="s">
        <v>75</v>
      </c>
      <c r="B14" s="227" t="s">
        <v>1013</v>
      </c>
      <c r="C14" s="228">
        <v>0.98263888888888884</v>
      </c>
      <c r="D14" s="227" t="s">
        <v>60</v>
      </c>
      <c r="E14" s="227" t="s">
        <v>77</v>
      </c>
      <c r="F14" s="227" t="s">
        <v>1014</v>
      </c>
      <c r="G14" s="263"/>
      <c r="H14" s="42"/>
      <c r="I14" s="43"/>
      <c r="J14" s="43"/>
      <c r="K14" s="43"/>
      <c r="L14" s="43"/>
      <c r="M14" s="43"/>
      <c r="N14" s="43"/>
      <c r="O14" s="44"/>
      <c r="P14" s="43"/>
      <c r="Q14" s="45"/>
      <c r="R14" s="4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85"/>
      <c r="B15" s="286"/>
      <c r="C15" s="286"/>
      <c r="D15" s="286"/>
      <c r="E15" s="286"/>
      <c r="F15" s="286"/>
      <c r="G15" s="276"/>
      <c r="H15" s="287"/>
      <c r="I15" s="287"/>
      <c r="J15" s="287"/>
      <c r="K15" s="287"/>
      <c r="L15" s="287"/>
      <c r="M15" s="287"/>
      <c r="N15" s="287"/>
      <c r="O15" s="288"/>
      <c r="P15" s="287"/>
      <c r="Q15" s="276"/>
      <c r="R15" s="27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66" t="s">
        <v>5</v>
      </c>
      <c r="B16" s="267"/>
      <c r="C16" s="267"/>
      <c r="D16" s="267"/>
      <c r="E16" s="267"/>
      <c r="F16" s="267"/>
      <c r="G16" s="5">
        <v>45988</v>
      </c>
      <c r="H16" s="270" t="s">
        <v>6</v>
      </c>
      <c r="I16" s="269"/>
      <c r="J16" s="269"/>
      <c r="K16" s="269"/>
      <c r="L16" s="269"/>
      <c r="M16" s="269"/>
      <c r="N16" s="269"/>
      <c r="O16" s="269"/>
      <c r="P16" s="269"/>
      <c r="Q16" s="269"/>
      <c r="R16" s="26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47" t="s">
        <v>7</v>
      </c>
      <c r="B17" s="47" t="s">
        <v>8</v>
      </c>
      <c r="C17" s="48" t="s">
        <v>9</v>
      </c>
      <c r="D17" s="47" t="s">
        <v>10</v>
      </c>
      <c r="E17" s="47" t="s">
        <v>11</v>
      </c>
      <c r="F17" s="47" t="s">
        <v>12</v>
      </c>
      <c r="G17" s="49" t="s">
        <v>13</v>
      </c>
      <c r="H17" s="47" t="s">
        <v>14</v>
      </c>
      <c r="I17" s="50" t="s">
        <v>15</v>
      </c>
      <c r="J17" s="51" t="s">
        <v>16</v>
      </c>
      <c r="K17" s="52" t="s">
        <v>17</v>
      </c>
      <c r="L17" s="51" t="s">
        <v>18</v>
      </c>
      <c r="M17" s="51" t="s">
        <v>19</v>
      </c>
      <c r="N17" s="51" t="s">
        <v>20</v>
      </c>
      <c r="O17" s="47" t="s">
        <v>21</v>
      </c>
      <c r="P17" s="48" t="s">
        <v>22</v>
      </c>
      <c r="Q17" s="51" t="s">
        <v>23</v>
      </c>
      <c r="R17" s="4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8" t="s">
        <v>300</v>
      </c>
      <c r="B18" s="8" t="s">
        <v>1002</v>
      </c>
      <c r="C18" s="9">
        <v>0.80555555555555547</v>
      </c>
      <c r="D18" s="8" t="s">
        <v>37</v>
      </c>
      <c r="E18" s="8" t="s">
        <v>77</v>
      </c>
      <c r="F18" s="8" t="s">
        <v>1015</v>
      </c>
      <c r="G18" s="261"/>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48" t="s">
        <v>35</v>
      </c>
      <c r="B19" s="148" t="s">
        <v>1007</v>
      </c>
      <c r="C19" s="149">
        <v>0.71180555555555547</v>
      </c>
      <c r="D19" s="148" t="s">
        <v>37</v>
      </c>
      <c r="E19" s="148" t="s">
        <v>77</v>
      </c>
      <c r="F19" s="148" t="s">
        <v>1008</v>
      </c>
      <c r="G19" s="262"/>
      <c r="H19" s="151" t="s">
        <v>1009</v>
      </c>
      <c r="I19" s="249">
        <v>0.51959999999999995</v>
      </c>
      <c r="J19" s="153">
        <v>93</v>
      </c>
      <c r="K19" s="154">
        <v>45984</v>
      </c>
      <c r="L19" s="153">
        <v>20</v>
      </c>
      <c r="M19" s="153">
        <v>0</v>
      </c>
      <c r="N19" s="153">
        <v>1</v>
      </c>
      <c r="O19" s="155" t="s">
        <v>436</v>
      </c>
      <c r="P19" s="156">
        <v>0.71180555555555547</v>
      </c>
      <c r="Q19" s="153">
        <v>179</v>
      </c>
      <c r="R19" s="157" t="s">
        <v>1016</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36" t="s">
        <v>295</v>
      </c>
      <c r="B20" s="36" t="s">
        <v>1017</v>
      </c>
      <c r="C20" s="37">
        <v>0.75694444444444453</v>
      </c>
      <c r="D20" s="36" t="s">
        <v>37</v>
      </c>
      <c r="E20" s="36" t="s">
        <v>61</v>
      </c>
      <c r="F20" s="36" t="s">
        <v>1012</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27" t="s">
        <v>75</v>
      </c>
      <c r="B21" s="227" t="s">
        <v>1013</v>
      </c>
      <c r="C21" s="228">
        <v>0.98263888888888884</v>
      </c>
      <c r="D21" s="227" t="s">
        <v>60</v>
      </c>
      <c r="E21" s="227" t="s">
        <v>246</v>
      </c>
      <c r="F21" s="227" t="s">
        <v>1018</v>
      </c>
      <c r="G21" s="263"/>
      <c r="H21" s="42"/>
      <c r="I21" s="43"/>
      <c r="J21" s="43"/>
      <c r="K21" s="43"/>
      <c r="L21" s="43"/>
      <c r="M21" s="43"/>
      <c r="N21" s="43"/>
      <c r="O21" s="44"/>
      <c r="P21" s="43"/>
      <c r="Q21" s="45"/>
      <c r="R21" s="4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5"/>
      <c r="B22" s="286"/>
      <c r="C22" s="286"/>
      <c r="D22" s="286"/>
      <c r="E22" s="286"/>
      <c r="F22" s="286"/>
      <c r="G22" s="276"/>
      <c r="H22" s="287"/>
      <c r="I22" s="287"/>
      <c r="J22" s="287"/>
      <c r="K22" s="287"/>
      <c r="L22" s="287"/>
      <c r="M22" s="287"/>
      <c r="N22" s="287"/>
      <c r="O22" s="288"/>
      <c r="P22" s="287"/>
      <c r="Q22" s="276"/>
      <c r="R22" s="27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66" t="s">
        <v>5</v>
      </c>
      <c r="B23" s="267"/>
      <c r="C23" s="267"/>
      <c r="D23" s="267"/>
      <c r="E23" s="267"/>
      <c r="F23" s="267"/>
      <c r="G23" s="5">
        <v>45989</v>
      </c>
      <c r="H23" s="270" t="s">
        <v>6</v>
      </c>
      <c r="I23" s="269"/>
      <c r="J23" s="269"/>
      <c r="K23" s="269"/>
      <c r="L23" s="269"/>
      <c r="M23" s="269"/>
      <c r="N23" s="269"/>
      <c r="O23" s="269"/>
      <c r="P23" s="269"/>
      <c r="Q23" s="269"/>
      <c r="R23" s="26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47" t="s">
        <v>7</v>
      </c>
      <c r="B24" s="47" t="s">
        <v>8</v>
      </c>
      <c r="C24" s="48" t="s">
        <v>9</v>
      </c>
      <c r="D24" s="47" t="s">
        <v>10</v>
      </c>
      <c r="E24" s="47" t="s">
        <v>11</v>
      </c>
      <c r="F24" s="47" t="s">
        <v>12</v>
      </c>
      <c r="G24" s="49" t="s">
        <v>13</v>
      </c>
      <c r="H24" s="47" t="s">
        <v>14</v>
      </c>
      <c r="I24" s="50" t="s">
        <v>15</v>
      </c>
      <c r="J24" s="51" t="s">
        <v>16</v>
      </c>
      <c r="K24" s="52" t="s">
        <v>17</v>
      </c>
      <c r="L24" s="51" t="s">
        <v>18</v>
      </c>
      <c r="M24" s="51" t="s">
        <v>19</v>
      </c>
      <c r="N24" s="51" t="s">
        <v>20</v>
      </c>
      <c r="O24" s="47" t="s">
        <v>21</v>
      </c>
      <c r="P24" s="48" t="s">
        <v>22</v>
      </c>
      <c r="Q24" s="51" t="s">
        <v>23</v>
      </c>
      <c r="R24" s="4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8" t="s">
        <v>290</v>
      </c>
      <c r="B25" s="8" t="s">
        <v>1004</v>
      </c>
      <c r="C25" s="9">
        <v>0.49652777777777768</v>
      </c>
      <c r="D25" s="8" t="s">
        <v>292</v>
      </c>
      <c r="E25" s="8" t="s">
        <v>405</v>
      </c>
      <c r="F25" s="8" t="s">
        <v>1019</v>
      </c>
      <c r="G25" s="261"/>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15" t="s">
        <v>290</v>
      </c>
      <c r="B26" s="15" t="s">
        <v>1004</v>
      </c>
      <c r="C26" s="16">
        <v>0.49652777777777768</v>
      </c>
      <c r="D26" s="15" t="s">
        <v>30</v>
      </c>
      <c r="E26" s="15" t="s">
        <v>119</v>
      </c>
      <c r="F26" s="15" t="s">
        <v>1020</v>
      </c>
      <c r="G26" s="262"/>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227" t="s">
        <v>295</v>
      </c>
      <c r="B27" s="227" t="s">
        <v>1011</v>
      </c>
      <c r="C27" s="228">
        <v>0.75694444444444453</v>
      </c>
      <c r="D27" s="227" t="s">
        <v>37</v>
      </c>
      <c r="E27" s="227" t="s">
        <v>28</v>
      </c>
      <c r="F27" s="227" t="s">
        <v>1021</v>
      </c>
      <c r="G27" s="263"/>
      <c r="H27" s="42"/>
      <c r="I27" s="43"/>
      <c r="J27" s="43"/>
      <c r="K27" s="43"/>
      <c r="L27" s="43"/>
      <c r="M27" s="43"/>
      <c r="N27" s="43"/>
      <c r="O27" s="44"/>
      <c r="P27" s="43"/>
      <c r="Q27" s="45"/>
      <c r="R27" s="4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85"/>
      <c r="B28" s="286"/>
      <c r="C28" s="286"/>
      <c r="D28" s="286"/>
      <c r="E28" s="286"/>
      <c r="F28" s="286"/>
      <c r="G28" s="276"/>
      <c r="H28" s="287"/>
      <c r="I28" s="287"/>
      <c r="J28" s="287"/>
      <c r="K28" s="287"/>
      <c r="L28" s="287"/>
      <c r="M28" s="287"/>
      <c r="N28" s="287"/>
      <c r="O28" s="288"/>
      <c r="P28" s="287"/>
      <c r="Q28" s="276"/>
      <c r="R28" s="27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66" t="s">
        <v>5</v>
      </c>
      <c r="B29" s="267"/>
      <c r="C29" s="267"/>
      <c r="D29" s="267"/>
      <c r="E29" s="267"/>
      <c r="F29" s="267"/>
      <c r="G29" s="5">
        <v>45990</v>
      </c>
      <c r="H29" s="270" t="s">
        <v>6</v>
      </c>
      <c r="I29" s="269"/>
      <c r="J29" s="269"/>
      <c r="K29" s="269"/>
      <c r="L29" s="269"/>
      <c r="M29" s="269"/>
      <c r="N29" s="269"/>
      <c r="O29" s="269"/>
      <c r="P29" s="269"/>
      <c r="Q29" s="269"/>
      <c r="R29" s="26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47" t="s">
        <v>7</v>
      </c>
      <c r="B30" s="47" t="s">
        <v>8</v>
      </c>
      <c r="C30" s="48" t="s">
        <v>9</v>
      </c>
      <c r="D30" s="47" t="s">
        <v>10</v>
      </c>
      <c r="E30" s="47" t="s">
        <v>11</v>
      </c>
      <c r="F30" s="47" t="s">
        <v>12</v>
      </c>
      <c r="G30" s="49" t="s">
        <v>13</v>
      </c>
      <c r="H30" s="47" t="s">
        <v>14</v>
      </c>
      <c r="I30" s="50" t="s">
        <v>15</v>
      </c>
      <c r="J30" s="51" t="s">
        <v>16</v>
      </c>
      <c r="K30" s="52" t="s">
        <v>17</v>
      </c>
      <c r="L30" s="51" t="s">
        <v>18</v>
      </c>
      <c r="M30" s="51" t="s">
        <v>19</v>
      </c>
      <c r="N30" s="51" t="s">
        <v>20</v>
      </c>
      <c r="O30" s="47" t="s">
        <v>21</v>
      </c>
      <c r="P30" s="48" t="s">
        <v>22</v>
      </c>
      <c r="Q30" s="51" t="s">
        <v>23</v>
      </c>
      <c r="R30" s="4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8" t="s">
        <v>300</v>
      </c>
      <c r="B31" s="8" t="s">
        <v>1002</v>
      </c>
      <c r="C31" s="9">
        <v>2.0833333333333329E-2</v>
      </c>
      <c r="D31" s="8" t="s">
        <v>37</v>
      </c>
      <c r="E31" s="8" t="s">
        <v>246</v>
      </c>
      <c r="F31" s="8" t="s">
        <v>1022</v>
      </c>
      <c r="G31" s="261"/>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36" t="s">
        <v>295</v>
      </c>
      <c r="B32" s="36" t="s">
        <v>1017</v>
      </c>
      <c r="C32" s="37">
        <v>0.75694444444444453</v>
      </c>
      <c r="D32" s="36" t="s">
        <v>37</v>
      </c>
      <c r="E32" s="36" t="s">
        <v>28</v>
      </c>
      <c r="F32" s="36" t="s">
        <v>1023</v>
      </c>
      <c r="G32" s="26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65" t="s">
        <v>35</v>
      </c>
      <c r="B33" s="65" t="s">
        <v>1007</v>
      </c>
      <c r="C33" s="66">
        <v>0.83680555555555547</v>
      </c>
      <c r="D33" s="65" t="s">
        <v>37</v>
      </c>
      <c r="E33" s="65" t="s">
        <v>375</v>
      </c>
      <c r="F33" s="65" t="s">
        <v>1024</v>
      </c>
      <c r="G33" s="263"/>
      <c r="H33" s="68" t="s">
        <v>1009</v>
      </c>
      <c r="I33" s="250">
        <v>0.64249999999999996</v>
      </c>
      <c r="J33" s="70">
        <v>115</v>
      </c>
      <c r="K33" s="71">
        <v>45985</v>
      </c>
      <c r="L33" s="70">
        <v>8</v>
      </c>
      <c r="M33" s="70">
        <v>1</v>
      </c>
      <c r="N33" s="70">
        <v>2</v>
      </c>
      <c r="O33" s="72" t="s">
        <v>518</v>
      </c>
      <c r="P33" s="73">
        <v>0.83680555555555547</v>
      </c>
      <c r="Q33" s="70">
        <v>179</v>
      </c>
      <c r="R33" s="74" t="s">
        <v>1025</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85"/>
      <c r="B34" s="286"/>
      <c r="C34" s="286"/>
      <c r="D34" s="286"/>
      <c r="E34" s="286"/>
      <c r="F34" s="286"/>
      <c r="G34" s="276"/>
      <c r="H34" s="287"/>
      <c r="I34" s="287"/>
      <c r="J34" s="287"/>
      <c r="K34" s="287"/>
      <c r="L34" s="287"/>
      <c r="M34" s="287"/>
      <c r="N34" s="287"/>
      <c r="O34" s="288"/>
      <c r="P34" s="287"/>
      <c r="Q34" s="276"/>
      <c r="R34" s="27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66" t="s">
        <v>5</v>
      </c>
      <c r="B35" s="267"/>
      <c r="C35" s="267"/>
      <c r="D35" s="267"/>
      <c r="E35" s="267"/>
      <c r="F35" s="267"/>
      <c r="G35" s="5">
        <v>45991</v>
      </c>
      <c r="H35" s="270" t="s">
        <v>6</v>
      </c>
      <c r="I35" s="269"/>
      <c r="J35" s="269"/>
      <c r="K35" s="269"/>
      <c r="L35" s="269"/>
      <c r="M35" s="269"/>
      <c r="N35" s="269"/>
      <c r="O35" s="269"/>
      <c r="P35" s="269"/>
      <c r="Q35" s="269"/>
      <c r="R35" s="26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47" t="s">
        <v>7</v>
      </c>
      <c r="B36" s="47" t="s">
        <v>8</v>
      </c>
      <c r="C36" s="48" t="s">
        <v>9</v>
      </c>
      <c r="D36" s="47" t="s">
        <v>10</v>
      </c>
      <c r="E36" s="47" t="s">
        <v>11</v>
      </c>
      <c r="F36" s="47" t="s">
        <v>12</v>
      </c>
      <c r="G36" s="49" t="s">
        <v>13</v>
      </c>
      <c r="H36" s="47" t="s">
        <v>14</v>
      </c>
      <c r="I36" s="50" t="s">
        <v>15</v>
      </c>
      <c r="J36" s="51" t="s">
        <v>16</v>
      </c>
      <c r="K36" s="52" t="s">
        <v>17</v>
      </c>
      <c r="L36" s="51" t="s">
        <v>18</v>
      </c>
      <c r="M36" s="51" t="s">
        <v>19</v>
      </c>
      <c r="N36" s="51" t="s">
        <v>20</v>
      </c>
      <c r="O36" s="47" t="s">
        <v>21</v>
      </c>
      <c r="P36" s="48" t="s">
        <v>22</v>
      </c>
      <c r="Q36" s="51" t="s">
        <v>23</v>
      </c>
      <c r="R36" s="4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8" t="s">
        <v>300</v>
      </c>
      <c r="B37" s="8" t="s">
        <v>1002</v>
      </c>
      <c r="C37" s="9">
        <v>0.71527777777777779</v>
      </c>
      <c r="D37" s="8" t="s">
        <v>37</v>
      </c>
      <c r="E37" s="8" t="s">
        <v>61</v>
      </c>
      <c r="F37" s="8" t="s">
        <v>1015</v>
      </c>
      <c r="G37" s="261"/>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36" t="s">
        <v>290</v>
      </c>
      <c r="B38" s="36" t="s">
        <v>1004</v>
      </c>
      <c r="C38" s="37">
        <v>0.53819444444444442</v>
      </c>
      <c r="D38" s="36" t="s">
        <v>292</v>
      </c>
      <c r="E38" s="36" t="s">
        <v>405</v>
      </c>
      <c r="F38" s="36" t="s">
        <v>1026</v>
      </c>
      <c r="G38" s="262"/>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15" t="s">
        <v>290</v>
      </c>
      <c r="B39" s="15" t="s">
        <v>1004</v>
      </c>
      <c r="C39" s="16">
        <v>0.53819444444444442</v>
      </c>
      <c r="D39" s="15" t="s">
        <v>30</v>
      </c>
      <c r="E39" s="15" t="s">
        <v>119</v>
      </c>
      <c r="F39" s="15" t="s">
        <v>1027</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227" t="s">
        <v>295</v>
      </c>
      <c r="B40" s="227" t="s">
        <v>1028</v>
      </c>
      <c r="C40" s="228">
        <v>0.75694444444444453</v>
      </c>
      <c r="D40" s="227" t="s">
        <v>37</v>
      </c>
      <c r="E40" s="227" t="s">
        <v>246</v>
      </c>
      <c r="F40" s="227" t="s">
        <v>1029</v>
      </c>
      <c r="G40" s="263"/>
      <c r="H40" s="42"/>
      <c r="I40" s="43"/>
      <c r="J40" s="43"/>
      <c r="K40" s="43"/>
      <c r="L40" s="43"/>
      <c r="M40" s="43"/>
      <c r="N40" s="43"/>
      <c r="O40" s="44"/>
      <c r="P40" s="43"/>
      <c r="Q40" s="45"/>
      <c r="R40" s="4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75"/>
      <c r="B41" s="276"/>
      <c r="C41" s="276"/>
      <c r="D41" s="276"/>
      <c r="E41" s="276"/>
      <c r="F41" s="276"/>
      <c r="G41" s="276"/>
      <c r="H41" s="276"/>
      <c r="I41" s="276"/>
      <c r="J41" s="276"/>
      <c r="K41" s="276"/>
      <c r="L41" s="276"/>
      <c r="M41" s="276"/>
      <c r="N41" s="276"/>
      <c r="O41" s="276"/>
      <c r="P41" s="276"/>
      <c r="Q41" s="276"/>
      <c r="R41" s="27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sheetData>
  <mergeCells count="33">
    <mergeCell ref="A34:R34"/>
    <mergeCell ref="G10:G14"/>
    <mergeCell ref="A15:R15"/>
    <mergeCell ref="A1:C1"/>
    <mergeCell ref="G1:H1"/>
    <mergeCell ref="A29:F29"/>
    <mergeCell ref="H16:R16"/>
    <mergeCell ref="A28:R28"/>
    <mergeCell ref="K2:R2"/>
    <mergeCell ref="D1:F1"/>
    <mergeCell ref="G6"/>
    <mergeCell ref="H35:R35"/>
    <mergeCell ref="A41:R41"/>
    <mergeCell ref="H29:R29"/>
    <mergeCell ref="H4:R4"/>
    <mergeCell ref="A2:F2"/>
    <mergeCell ref="A3:R3"/>
    <mergeCell ref="G31:G33"/>
    <mergeCell ref="G18:G21"/>
    <mergeCell ref="G25:G27"/>
    <mergeCell ref="A23:F23"/>
    <mergeCell ref="A8:F8"/>
    <mergeCell ref="G2:J2"/>
    <mergeCell ref="A35:F35"/>
    <mergeCell ref="A4:F4"/>
    <mergeCell ref="G37:G40"/>
    <mergeCell ref="A22:R22"/>
    <mergeCell ref="H23:R23"/>
    <mergeCell ref="A16:F16"/>
    <mergeCell ref="H8:R8"/>
    <mergeCell ref="O1:Q1"/>
    <mergeCell ref="A7:R7"/>
    <mergeCell ref="J1:M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232</v>
      </c>
      <c r="B2" s="79">
        <v>45987</v>
      </c>
      <c r="C2" s="80" t="s">
        <v>1009</v>
      </c>
      <c r="D2" s="81">
        <v>0.71180555555555547</v>
      </c>
      <c r="E2" s="80" t="s">
        <v>1001</v>
      </c>
      <c r="F2" s="80" t="s">
        <v>159</v>
      </c>
      <c r="G2" s="82">
        <v>0.58099999999999996</v>
      </c>
      <c r="H2" s="83">
        <v>179</v>
      </c>
      <c r="I2" s="83">
        <v>104</v>
      </c>
      <c r="J2" s="83">
        <v>0</v>
      </c>
      <c r="K2" s="79">
        <v>45984</v>
      </c>
      <c r="L2" s="83">
        <v>0</v>
      </c>
      <c r="M2" s="83">
        <v>11</v>
      </c>
      <c r="N2" s="83">
        <v>55</v>
      </c>
      <c r="O2" s="80" t="s">
        <v>436</v>
      </c>
      <c r="P2" s="84"/>
      <c r="Q2" s="84"/>
      <c r="R2" s="84"/>
      <c r="S2" s="84"/>
      <c r="T2" s="84"/>
      <c r="U2" s="84"/>
      <c r="V2" s="84"/>
      <c r="W2" s="84"/>
      <c r="X2" s="84"/>
      <c r="Y2" s="83" t="s">
        <v>250</v>
      </c>
      <c r="Z2" s="84"/>
      <c r="AA2" s="84"/>
      <c r="AB2" s="83" t="s">
        <v>987</v>
      </c>
      <c r="AC2" s="83" t="s">
        <v>164</v>
      </c>
      <c r="AD2" s="83" t="s">
        <v>1030</v>
      </c>
      <c r="AE2" s="83" t="s">
        <v>1031</v>
      </c>
      <c r="AF2" s="84"/>
      <c r="AG2" s="84"/>
      <c r="AH2" s="84"/>
      <c r="AI2" s="84"/>
    </row>
    <row r="3" spans="1:35" ht="18" x14ac:dyDescent="0.3">
      <c r="A3" s="85" t="s">
        <v>176</v>
      </c>
      <c r="B3" s="86">
        <v>45988</v>
      </c>
      <c r="C3" s="87" t="s">
        <v>1009</v>
      </c>
      <c r="D3" s="88">
        <v>0.71180555555555547</v>
      </c>
      <c r="E3" s="87" t="s">
        <v>1001</v>
      </c>
      <c r="F3" s="87" t="s">
        <v>159</v>
      </c>
      <c r="G3" s="89">
        <v>0.51959999999999995</v>
      </c>
      <c r="H3" s="90">
        <v>179</v>
      </c>
      <c r="I3" s="90">
        <v>93</v>
      </c>
      <c r="J3" s="90">
        <v>0</v>
      </c>
      <c r="K3" s="86">
        <v>45984</v>
      </c>
      <c r="L3" s="90">
        <v>0</v>
      </c>
      <c r="M3" s="90">
        <v>1</v>
      </c>
      <c r="N3" s="90">
        <v>20</v>
      </c>
      <c r="O3" s="87" t="s">
        <v>436</v>
      </c>
      <c r="P3" s="91"/>
      <c r="Q3" s="91"/>
      <c r="R3" s="91"/>
      <c r="S3" s="91"/>
      <c r="T3" s="91"/>
      <c r="U3" s="91"/>
      <c r="V3" s="91"/>
      <c r="W3" s="91"/>
      <c r="X3" s="91"/>
      <c r="Y3" s="91"/>
      <c r="Z3" s="91"/>
      <c r="AA3" s="90" t="s">
        <v>489</v>
      </c>
      <c r="AB3" s="90" t="s">
        <v>1032</v>
      </c>
      <c r="AC3" s="90" t="s">
        <v>164</v>
      </c>
      <c r="AD3" s="90" t="s">
        <v>1033</v>
      </c>
      <c r="AE3" s="90" t="s">
        <v>1034</v>
      </c>
      <c r="AF3" s="91"/>
      <c r="AG3" s="91"/>
      <c r="AH3" s="91"/>
      <c r="AI3" s="91"/>
    </row>
    <row r="4" spans="1:35" ht="18" x14ac:dyDescent="0.3">
      <c r="A4" s="78" t="s">
        <v>179</v>
      </c>
      <c r="B4" s="79">
        <v>45990</v>
      </c>
      <c r="C4" s="80" t="s">
        <v>1009</v>
      </c>
      <c r="D4" s="81">
        <v>0.83680555555555547</v>
      </c>
      <c r="E4" s="80" t="s">
        <v>1001</v>
      </c>
      <c r="F4" s="80" t="s">
        <v>159</v>
      </c>
      <c r="G4" s="82">
        <v>0.64249999999999996</v>
      </c>
      <c r="H4" s="83">
        <v>179</v>
      </c>
      <c r="I4" s="83">
        <v>115</v>
      </c>
      <c r="J4" s="83">
        <v>0</v>
      </c>
      <c r="K4" s="79">
        <v>45985</v>
      </c>
      <c r="L4" s="83">
        <v>1</v>
      </c>
      <c r="M4" s="83">
        <v>2</v>
      </c>
      <c r="N4" s="83">
        <v>8</v>
      </c>
      <c r="O4" s="80" t="s">
        <v>518</v>
      </c>
      <c r="P4" s="84"/>
      <c r="Q4" s="84"/>
      <c r="R4" s="84"/>
      <c r="S4" s="83" t="s">
        <v>921</v>
      </c>
      <c r="T4" s="83" t="s">
        <v>1035</v>
      </c>
      <c r="U4" s="83" t="s">
        <v>550</v>
      </c>
      <c r="V4" s="83" t="s">
        <v>1036</v>
      </c>
      <c r="W4" s="83" t="s">
        <v>552</v>
      </c>
      <c r="X4" s="83" t="s">
        <v>542</v>
      </c>
      <c r="Y4" s="84"/>
      <c r="Z4" s="84"/>
      <c r="AA4" s="83" t="s">
        <v>858</v>
      </c>
      <c r="AB4" s="83" t="s">
        <v>473</v>
      </c>
      <c r="AC4" s="83" t="s">
        <v>634</v>
      </c>
      <c r="AD4" s="83" t="s">
        <v>527</v>
      </c>
      <c r="AE4" s="83" t="s">
        <v>464</v>
      </c>
      <c r="AF4" s="84"/>
      <c r="AG4" s="84"/>
      <c r="AH4" s="84"/>
      <c r="AI4" s="84"/>
    </row>
    <row r="5" spans="1:35" ht="18" x14ac:dyDescent="0.3">
      <c r="A5" s="92" t="s">
        <v>189</v>
      </c>
      <c r="B5" s="93"/>
      <c r="C5" s="94">
        <f>COUNTA(C2:C4)</f>
        <v>3</v>
      </c>
      <c r="D5" s="93"/>
      <c r="E5" s="93"/>
      <c r="F5" s="93"/>
      <c r="G5" s="95">
        <f>AVERAGE(G2:G4)</f>
        <v>0.5810333333333334</v>
      </c>
      <c r="H5" s="96">
        <f>SUM(H2:H4)</f>
        <v>537</v>
      </c>
      <c r="I5" s="96">
        <f>SUM(I2:I4)</f>
        <v>312</v>
      </c>
      <c r="J5" s="96">
        <f>SUM(J2:J4)</f>
        <v>0</v>
      </c>
      <c r="K5" s="93"/>
      <c r="L5" s="96">
        <f>SUM(L2:L4)</f>
        <v>1</v>
      </c>
      <c r="M5" s="96">
        <f>SUM(M2:M4)</f>
        <v>14</v>
      </c>
      <c r="N5" s="96">
        <f>SUM(N2:N4)</f>
        <v>83</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1"/>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240">
        <v>45986</v>
      </c>
      <c r="B2" s="170" t="s">
        <v>300</v>
      </c>
      <c r="C2" s="171" t="s">
        <v>1002</v>
      </c>
      <c r="D2" s="170" t="s">
        <v>1001</v>
      </c>
      <c r="E2" s="172">
        <v>1.78125</v>
      </c>
      <c r="F2" s="170" t="s">
        <v>37</v>
      </c>
      <c r="G2" s="173">
        <v>9</v>
      </c>
      <c r="H2" s="241" t="s">
        <v>1003</v>
      </c>
    </row>
    <row r="3" spans="1:8" ht="18" x14ac:dyDescent="0.3">
      <c r="A3" s="98">
        <v>45987</v>
      </c>
      <c r="B3" s="99" t="s">
        <v>290</v>
      </c>
      <c r="C3" s="100" t="s">
        <v>1004</v>
      </c>
      <c r="D3" s="99" t="s">
        <v>1001</v>
      </c>
      <c r="E3" s="101">
        <v>1.4965277777777779</v>
      </c>
      <c r="F3" s="99" t="s">
        <v>292</v>
      </c>
      <c r="G3" s="102">
        <v>9</v>
      </c>
      <c r="H3" s="103" t="s">
        <v>1005</v>
      </c>
    </row>
    <row r="4" spans="1:8" ht="18" x14ac:dyDescent="0.3">
      <c r="A4" s="104">
        <v>45987</v>
      </c>
      <c r="B4" s="105" t="s">
        <v>290</v>
      </c>
      <c r="C4" s="106" t="s">
        <v>1004</v>
      </c>
      <c r="D4" s="105" t="s">
        <v>1001</v>
      </c>
      <c r="E4" s="107">
        <v>1.4965277777777779</v>
      </c>
      <c r="F4" s="105" t="s">
        <v>30</v>
      </c>
      <c r="G4" s="108">
        <v>9</v>
      </c>
      <c r="H4" s="105" t="s">
        <v>1006</v>
      </c>
    </row>
    <row r="5" spans="1:8" ht="18" x14ac:dyDescent="0.3">
      <c r="A5" s="109">
        <v>45987</v>
      </c>
      <c r="B5" s="110" t="s">
        <v>35</v>
      </c>
      <c r="C5" s="111" t="s">
        <v>1007</v>
      </c>
      <c r="D5" s="110" t="s">
        <v>1001</v>
      </c>
      <c r="E5" s="112">
        <v>1.711805555555556</v>
      </c>
      <c r="F5" s="110" t="s">
        <v>37</v>
      </c>
      <c r="G5" s="113">
        <v>9</v>
      </c>
      <c r="H5" s="110" t="s">
        <v>1008</v>
      </c>
    </row>
    <row r="6" spans="1:8" ht="18" x14ac:dyDescent="0.3">
      <c r="A6" s="118">
        <v>45987</v>
      </c>
      <c r="B6" s="99" t="s">
        <v>295</v>
      </c>
      <c r="C6" s="100" t="s">
        <v>1011</v>
      </c>
      <c r="D6" s="99" t="s">
        <v>1001</v>
      </c>
      <c r="E6" s="101">
        <v>1.756944444444444</v>
      </c>
      <c r="F6" s="99" t="s">
        <v>37</v>
      </c>
      <c r="G6" s="102">
        <v>9</v>
      </c>
      <c r="H6" s="99" t="s">
        <v>1012</v>
      </c>
    </row>
    <row r="7" spans="1:8" ht="18" x14ac:dyDescent="0.3">
      <c r="A7" s="169">
        <v>45987</v>
      </c>
      <c r="B7" s="170" t="s">
        <v>75</v>
      </c>
      <c r="C7" s="171" t="s">
        <v>1013</v>
      </c>
      <c r="D7" s="170" t="s">
        <v>1001</v>
      </c>
      <c r="E7" s="172">
        <v>1.9826388888888891</v>
      </c>
      <c r="F7" s="170" t="s">
        <v>60</v>
      </c>
      <c r="G7" s="173">
        <v>9</v>
      </c>
      <c r="H7" s="170" t="s">
        <v>1014</v>
      </c>
    </row>
    <row r="8" spans="1:8" ht="18" x14ac:dyDescent="0.3">
      <c r="A8" s="98">
        <v>45988</v>
      </c>
      <c r="B8" s="99" t="s">
        <v>300</v>
      </c>
      <c r="C8" s="100" t="s">
        <v>1002</v>
      </c>
      <c r="D8" s="99" t="s">
        <v>1001</v>
      </c>
      <c r="E8" s="101">
        <v>1.805555555555556</v>
      </c>
      <c r="F8" s="99" t="s">
        <v>37</v>
      </c>
      <c r="G8" s="102">
        <v>9</v>
      </c>
      <c r="H8" s="103" t="s">
        <v>1015</v>
      </c>
    </row>
    <row r="9" spans="1:8" ht="18" x14ac:dyDescent="0.3">
      <c r="A9" s="109">
        <v>45988</v>
      </c>
      <c r="B9" s="110" t="s">
        <v>35</v>
      </c>
      <c r="C9" s="111" t="s">
        <v>1007</v>
      </c>
      <c r="D9" s="110" t="s">
        <v>1001</v>
      </c>
      <c r="E9" s="112">
        <v>1.711805555555556</v>
      </c>
      <c r="F9" s="110" t="s">
        <v>37</v>
      </c>
      <c r="G9" s="113">
        <v>9</v>
      </c>
      <c r="H9" s="110" t="s">
        <v>1008</v>
      </c>
    </row>
    <row r="10" spans="1:8" ht="18" x14ac:dyDescent="0.3">
      <c r="A10" s="118">
        <v>45988</v>
      </c>
      <c r="B10" s="99" t="s">
        <v>295</v>
      </c>
      <c r="C10" s="100" t="s">
        <v>1017</v>
      </c>
      <c r="D10" s="99" t="s">
        <v>1001</v>
      </c>
      <c r="E10" s="101">
        <v>1.756944444444444</v>
      </c>
      <c r="F10" s="99" t="s">
        <v>37</v>
      </c>
      <c r="G10" s="102">
        <v>1</v>
      </c>
      <c r="H10" s="99" t="s">
        <v>1012</v>
      </c>
    </row>
    <row r="11" spans="1:8" ht="18" x14ac:dyDescent="0.3">
      <c r="A11" s="169">
        <v>45988</v>
      </c>
      <c r="B11" s="170" t="s">
        <v>75</v>
      </c>
      <c r="C11" s="171" t="s">
        <v>1013</v>
      </c>
      <c r="D11" s="170" t="s">
        <v>1001</v>
      </c>
      <c r="E11" s="172">
        <v>1.9826388888888891</v>
      </c>
      <c r="F11" s="170" t="s">
        <v>60</v>
      </c>
      <c r="G11" s="173">
        <v>6</v>
      </c>
      <c r="H11" s="170" t="s">
        <v>1018</v>
      </c>
    </row>
    <row r="12" spans="1:8" ht="18" x14ac:dyDescent="0.3">
      <c r="A12" s="98">
        <v>45989</v>
      </c>
      <c r="B12" s="99" t="s">
        <v>290</v>
      </c>
      <c r="C12" s="100" t="s">
        <v>1004</v>
      </c>
      <c r="D12" s="99" t="s">
        <v>1001</v>
      </c>
      <c r="E12" s="101">
        <v>1.4965277777777779</v>
      </c>
      <c r="F12" s="99" t="s">
        <v>292</v>
      </c>
      <c r="G12" s="102">
        <v>9</v>
      </c>
      <c r="H12" s="103" t="s">
        <v>1019</v>
      </c>
    </row>
    <row r="13" spans="1:8" ht="18" x14ac:dyDescent="0.3">
      <c r="A13" s="104">
        <v>45989</v>
      </c>
      <c r="B13" s="105" t="s">
        <v>290</v>
      </c>
      <c r="C13" s="106" t="s">
        <v>1004</v>
      </c>
      <c r="D13" s="105" t="s">
        <v>1001</v>
      </c>
      <c r="E13" s="107">
        <v>1.4965277777777779</v>
      </c>
      <c r="F13" s="105" t="s">
        <v>30</v>
      </c>
      <c r="G13" s="108">
        <v>9</v>
      </c>
      <c r="H13" s="105" t="s">
        <v>1020</v>
      </c>
    </row>
    <row r="14" spans="1:8" ht="18" x14ac:dyDescent="0.3">
      <c r="A14" s="169">
        <v>45989</v>
      </c>
      <c r="B14" s="170" t="s">
        <v>295</v>
      </c>
      <c r="C14" s="171" t="s">
        <v>1011</v>
      </c>
      <c r="D14" s="170" t="s">
        <v>1001</v>
      </c>
      <c r="E14" s="172">
        <v>1.756944444444444</v>
      </c>
      <c r="F14" s="170" t="s">
        <v>37</v>
      </c>
      <c r="G14" s="173">
        <v>8</v>
      </c>
      <c r="H14" s="170" t="s">
        <v>1021</v>
      </c>
    </row>
    <row r="15" spans="1:8" ht="18" x14ac:dyDescent="0.3">
      <c r="A15" s="98">
        <v>45990</v>
      </c>
      <c r="B15" s="99" t="s">
        <v>300</v>
      </c>
      <c r="C15" s="100" t="s">
        <v>1002</v>
      </c>
      <c r="D15" s="99" t="s">
        <v>1001</v>
      </c>
      <c r="E15" s="101">
        <v>1.020833333333333</v>
      </c>
      <c r="F15" s="99" t="s">
        <v>37</v>
      </c>
      <c r="G15" s="102">
        <v>6</v>
      </c>
      <c r="H15" s="103" t="s">
        <v>1022</v>
      </c>
    </row>
    <row r="16" spans="1:8" ht="18" x14ac:dyDescent="0.3">
      <c r="A16" s="118">
        <v>45990</v>
      </c>
      <c r="B16" s="99" t="s">
        <v>295</v>
      </c>
      <c r="C16" s="100" t="s">
        <v>1017</v>
      </c>
      <c r="D16" s="99" t="s">
        <v>1001</v>
      </c>
      <c r="E16" s="101">
        <v>1.756944444444444</v>
      </c>
      <c r="F16" s="99" t="s">
        <v>37</v>
      </c>
      <c r="G16" s="102">
        <v>8</v>
      </c>
      <c r="H16" s="99" t="s">
        <v>1023</v>
      </c>
    </row>
    <row r="17" spans="1:8" ht="18" x14ac:dyDescent="0.3">
      <c r="A17" s="134">
        <v>45990</v>
      </c>
      <c r="B17" s="135" t="s">
        <v>35</v>
      </c>
      <c r="C17" s="136" t="s">
        <v>1007</v>
      </c>
      <c r="D17" s="135" t="s">
        <v>1001</v>
      </c>
      <c r="E17" s="137">
        <v>1.836805555555556</v>
      </c>
      <c r="F17" s="135" t="s">
        <v>37</v>
      </c>
      <c r="G17" s="248">
        <v>7</v>
      </c>
      <c r="H17" s="135" t="s">
        <v>1024</v>
      </c>
    </row>
    <row r="18" spans="1:8" ht="18" x14ac:dyDescent="0.3">
      <c r="A18" s="98">
        <v>45991</v>
      </c>
      <c r="B18" s="99" t="s">
        <v>300</v>
      </c>
      <c r="C18" s="100" t="s">
        <v>1002</v>
      </c>
      <c r="D18" s="99" t="s">
        <v>1001</v>
      </c>
      <c r="E18" s="101">
        <v>1.7152777777777779</v>
      </c>
      <c r="F18" s="99" t="s">
        <v>37</v>
      </c>
      <c r="G18" s="102">
        <v>1</v>
      </c>
      <c r="H18" s="103" t="s">
        <v>1015</v>
      </c>
    </row>
    <row r="19" spans="1:8" ht="18" x14ac:dyDescent="0.3">
      <c r="A19" s="118">
        <v>45991</v>
      </c>
      <c r="B19" s="99" t="s">
        <v>290</v>
      </c>
      <c r="C19" s="100" t="s">
        <v>1004</v>
      </c>
      <c r="D19" s="99" t="s">
        <v>1001</v>
      </c>
      <c r="E19" s="101">
        <v>1.538194444444444</v>
      </c>
      <c r="F19" s="99" t="s">
        <v>292</v>
      </c>
      <c r="G19" s="102">
        <v>9</v>
      </c>
      <c r="H19" s="99" t="s">
        <v>1026</v>
      </c>
    </row>
    <row r="20" spans="1:8" ht="18" x14ac:dyDescent="0.3">
      <c r="A20" s="104">
        <v>45991</v>
      </c>
      <c r="B20" s="105" t="s">
        <v>290</v>
      </c>
      <c r="C20" s="106" t="s">
        <v>1004</v>
      </c>
      <c r="D20" s="105" t="s">
        <v>1001</v>
      </c>
      <c r="E20" s="107">
        <v>1.538194444444444</v>
      </c>
      <c r="F20" s="105" t="s">
        <v>30</v>
      </c>
      <c r="G20" s="108">
        <v>9</v>
      </c>
      <c r="H20" s="105" t="s">
        <v>1027</v>
      </c>
    </row>
    <row r="21" spans="1:8" ht="18" x14ac:dyDescent="0.3">
      <c r="A21" s="169">
        <v>45991</v>
      </c>
      <c r="B21" s="170" t="s">
        <v>295</v>
      </c>
      <c r="C21" s="171" t="s">
        <v>1028</v>
      </c>
      <c r="D21" s="170" t="s">
        <v>1001</v>
      </c>
      <c r="E21" s="172">
        <v>1.756944444444444</v>
      </c>
      <c r="F21" s="170" t="s">
        <v>37</v>
      </c>
      <c r="G21" s="173">
        <v>6</v>
      </c>
      <c r="H21" s="170" t="s">
        <v>1029</v>
      </c>
    </row>
  </sheetData>
  <dataValidations count="3">
    <dataValidation type="custom" allowBlank="1" showInputMessage="1" promptTitle="LOAD FACTOR ANALYSIS" prompt="SM-325_x000d__x000a_LF 58.1%_x000d__x000a_SOLD 104_x000d__x000a_LST-SOLD 23NOV_x000d__x000a_WEEKLY 55_x000d__x000a_TO-DAY NIL_x000d__x000a_Y-DAY 11_x000d__x000a_LOWEST AVAIL X9_x000d__x000a_CAPACITY 179_x000d__x000a_CLASSES S1 &amp; X2 &amp; U10 &amp; +2 more" sqref="A5 B5 C5 D5 E5 F5 G5 H5" xr:uid="{00000000-0002-0000-2D00-000000000000}">
      <formula1>TRUE</formula1>
    </dataValidation>
    <dataValidation type="custom" allowBlank="1" showInputMessage="1" promptTitle="LOAD FACTOR ANALYSIS" prompt="SM-325_x000d__x000a_LF 52.0%_x000d__x000a_SOLD 93_x000d__x000a_LST-SOLD 23NOV_x000d__x000a_WEEKLY 20_x000d__x000a_TO-DAY NIL_x000d__x000a_Y-DAY 1_x000d__x000a_LOWEST AVAIL X9_x000d__x000a_CAPACITY 179_x000d__x000a_CLASSES T9 &amp; X14 &amp; U10 &amp; +2 more" sqref="A9 B9 C9 D9 E9 F9 G9 H9" xr:uid="{00000000-0002-0000-2D00-000001000000}">
      <formula1>TRUE</formula1>
    </dataValidation>
    <dataValidation type="custom" allowBlank="1" showInputMessage="1" promptTitle="LOAD FACTOR ANALYSIS" prompt="SM-325_x000d__x000a_LF 64.2%_x000d__x000a_SOLD 115_x000d__x000a_LST-SOLD 24NOV_x000d__x000a_WEEKLY 8_x000d__x000a_TO-DAY 1_x000d__x000a_Y-DAY 2_x000d__x000a_LOWEST AVAIL K7_x000d__x000a_CAPACITY 179_x000d__x000a_CLASSES H1 &amp; Q1 &amp; K13 &amp; +8 more" sqref="A17 B17 C17 D17 E17 F17 G17 H17" xr:uid="{00000000-0002-0000-2D00-000002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1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2" bestFit="1" customWidth="1"/>
  </cols>
  <sheetData>
    <row r="1" spans="1:92" ht="28.8" customHeight="1" x14ac:dyDescent="0.3">
      <c r="A1" s="284" t="s">
        <v>0</v>
      </c>
      <c r="B1" s="265"/>
      <c r="C1" s="265"/>
      <c r="D1" s="284" t="s">
        <v>1037</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45985.362168598818</v>
      </c>
      <c r="H2" s="272"/>
      <c r="I2" s="272"/>
      <c r="J2" s="272"/>
      <c r="K2" s="282">
        <v>45985.362168599328</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45989</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75" t="s">
        <v>35</v>
      </c>
      <c r="B6" s="75" t="s">
        <v>1038</v>
      </c>
      <c r="C6" s="76">
        <v>0.37847222222222232</v>
      </c>
      <c r="D6" s="75" t="s">
        <v>37</v>
      </c>
      <c r="E6" s="75" t="s">
        <v>97</v>
      </c>
      <c r="F6" s="75" t="s">
        <v>1039</v>
      </c>
      <c r="G6" s="261"/>
      <c r="H6" s="29" t="s">
        <v>1040</v>
      </c>
      <c r="I6" s="251">
        <v>0.53069999999999995</v>
      </c>
      <c r="J6" s="31">
        <v>95</v>
      </c>
      <c r="K6" s="32">
        <v>45984</v>
      </c>
      <c r="L6" s="31">
        <v>52</v>
      </c>
      <c r="M6" s="31">
        <v>0</v>
      </c>
      <c r="N6" s="31">
        <v>9</v>
      </c>
      <c r="O6" s="33" t="s">
        <v>491</v>
      </c>
      <c r="P6" s="34">
        <v>0.37847222222222232</v>
      </c>
      <c r="Q6" s="31">
        <v>179</v>
      </c>
      <c r="R6" s="35" t="s">
        <v>1041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1042</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38" t="s">
        <v>290</v>
      </c>
      <c r="B8" s="38" t="s">
        <v>1004</v>
      </c>
      <c r="C8" s="39" t="s">
        <v>1043</v>
      </c>
      <c r="D8" s="38" t="s">
        <v>292</v>
      </c>
      <c r="E8" s="38" t="s">
        <v>249</v>
      </c>
      <c r="F8" s="38" t="s">
        <v>1019</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38" t="s">
        <v>295</v>
      </c>
      <c r="B9" s="38" t="s">
        <v>1011</v>
      </c>
      <c r="C9" s="39" t="s">
        <v>996</v>
      </c>
      <c r="D9" s="38" t="s">
        <v>37</v>
      </c>
      <c r="E9" s="38" t="s">
        <v>201</v>
      </c>
      <c r="F9" s="38" t="s">
        <v>1021</v>
      </c>
      <c r="G9" s="262"/>
      <c r="H9" s="158"/>
      <c r="I9" s="158"/>
      <c r="J9" s="158"/>
      <c r="K9" s="158"/>
      <c r="L9" s="158"/>
      <c r="M9" s="158"/>
      <c r="N9" s="158"/>
      <c r="O9" s="159"/>
      <c r="P9" s="158"/>
      <c r="Q9" s="160"/>
      <c r="R9" s="16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0" t="s">
        <v>290</v>
      </c>
      <c r="B10" s="40" t="s">
        <v>1004</v>
      </c>
      <c r="C10" s="41" t="s">
        <v>1043</v>
      </c>
      <c r="D10" s="40" t="s">
        <v>30</v>
      </c>
      <c r="E10" s="40" t="s">
        <v>249</v>
      </c>
      <c r="F10" s="40" t="s">
        <v>1020</v>
      </c>
      <c r="G10" s="263"/>
      <c r="H10" s="161"/>
      <c r="I10" s="161"/>
      <c r="J10" s="161"/>
      <c r="K10" s="161"/>
      <c r="L10" s="161"/>
      <c r="M10" s="161"/>
      <c r="N10" s="161"/>
      <c r="O10" s="162"/>
      <c r="P10" s="161"/>
      <c r="Q10" s="163"/>
      <c r="R10" s="16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75"/>
      <c r="B11" s="276"/>
      <c r="C11" s="276"/>
      <c r="D11" s="276"/>
      <c r="E11" s="276"/>
      <c r="F11" s="276"/>
      <c r="G11" s="276"/>
      <c r="H11" s="276"/>
      <c r="I11" s="276"/>
      <c r="J11" s="276"/>
      <c r="K11" s="276"/>
      <c r="L11" s="276"/>
      <c r="M11" s="276"/>
      <c r="N11" s="276"/>
      <c r="O11" s="276"/>
      <c r="P11" s="276"/>
      <c r="Q11" s="276"/>
      <c r="R11" s="27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sheetData>
  <mergeCells count="14">
    <mergeCell ref="A11:R11"/>
    <mergeCell ref="K2:R2"/>
    <mergeCell ref="G2:J2"/>
    <mergeCell ref="A4:F4"/>
    <mergeCell ref="G6:G10"/>
    <mergeCell ref="A7:F7"/>
    <mergeCell ref="A2:F2"/>
    <mergeCell ref="A3:R3"/>
    <mergeCell ref="O1:Q1"/>
    <mergeCell ref="H4:R4"/>
    <mergeCell ref="A1:C1"/>
    <mergeCell ref="G1:H1"/>
    <mergeCell ref="D1:F1"/>
    <mergeCell ref="J1:M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510</v>
      </c>
      <c r="B2" s="79">
        <v>45989</v>
      </c>
      <c r="C2" s="80" t="s">
        <v>1040</v>
      </c>
      <c r="D2" s="81">
        <v>0.37847222222222232</v>
      </c>
      <c r="E2" s="80" t="s">
        <v>1037</v>
      </c>
      <c r="F2" s="80" t="s">
        <v>159</v>
      </c>
      <c r="G2" s="82">
        <v>0.53069999999999995</v>
      </c>
      <c r="H2" s="83">
        <v>179</v>
      </c>
      <c r="I2" s="83">
        <v>95</v>
      </c>
      <c r="J2" s="83">
        <v>0</v>
      </c>
      <c r="K2" s="79">
        <v>45984</v>
      </c>
      <c r="L2" s="83">
        <v>0</v>
      </c>
      <c r="M2" s="83">
        <v>9</v>
      </c>
      <c r="N2" s="83">
        <v>52</v>
      </c>
      <c r="O2" s="80" t="s">
        <v>491</v>
      </c>
      <c r="P2" s="84"/>
      <c r="Q2" s="84"/>
      <c r="R2" s="84"/>
      <c r="S2" s="84"/>
      <c r="T2" s="84"/>
      <c r="U2" s="84"/>
      <c r="V2" s="84"/>
      <c r="W2" s="84"/>
      <c r="X2" s="84"/>
      <c r="Y2" s="84"/>
      <c r="Z2" s="84"/>
      <c r="AA2" s="84"/>
      <c r="AB2" s="84"/>
      <c r="AC2" s="84"/>
      <c r="AD2" s="83" t="s">
        <v>1044</v>
      </c>
      <c r="AE2" s="83" t="s">
        <v>1045</v>
      </c>
      <c r="AF2" s="84"/>
      <c r="AG2" s="84"/>
      <c r="AH2" s="84"/>
      <c r="AI2" s="84"/>
    </row>
    <row r="3" spans="1:35" ht="18" x14ac:dyDescent="0.3">
      <c r="A3" s="92" t="s">
        <v>189</v>
      </c>
      <c r="B3" s="93"/>
      <c r="C3" s="94">
        <f>COUNTA(C2:C2)</f>
        <v>1</v>
      </c>
      <c r="D3" s="93"/>
      <c r="E3" s="93"/>
      <c r="F3" s="93"/>
      <c r="G3" s="95">
        <f>AVERAGE(G2:G2)</f>
        <v>0.53069999999999995</v>
      </c>
      <c r="H3" s="96">
        <f>SUM(H2:H2)</f>
        <v>179</v>
      </c>
      <c r="I3" s="96">
        <f>SUM(I2:I2)</f>
        <v>95</v>
      </c>
      <c r="J3" s="96">
        <f>SUM(J2:J2)</f>
        <v>0</v>
      </c>
      <c r="K3" s="93"/>
      <c r="L3" s="96">
        <f>SUM(L2:L2)</f>
        <v>0</v>
      </c>
      <c r="M3" s="96">
        <f>SUM(M2:M2)</f>
        <v>9</v>
      </c>
      <c r="N3" s="96">
        <f>SUM(N2:N2)</f>
        <v>52</v>
      </c>
      <c r="O3" s="93"/>
      <c r="P3" s="96">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96">
        <f t="shared" si="0"/>
        <v>0</v>
      </c>
      <c r="R3" s="96">
        <f t="shared" si="0"/>
        <v>0</v>
      </c>
      <c r="S3" s="96">
        <f t="shared" si="0"/>
        <v>0</v>
      </c>
      <c r="T3" s="96">
        <f t="shared" si="0"/>
        <v>0</v>
      </c>
      <c r="U3" s="96">
        <f t="shared" si="0"/>
        <v>0</v>
      </c>
      <c r="V3" s="96">
        <f t="shared" si="0"/>
        <v>0</v>
      </c>
      <c r="W3" s="96">
        <f t="shared" si="0"/>
        <v>0</v>
      </c>
      <c r="X3" s="96">
        <f t="shared" si="0"/>
        <v>0</v>
      </c>
      <c r="Y3" s="96">
        <f t="shared" si="0"/>
        <v>0</v>
      </c>
      <c r="Z3" s="96">
        <f t="shared" si="0"/>
        <v>0</v>
      </c>
      <c r="AA3" s="96">
        <f t="shared" si="0"/>
        <v>0</v>
      </c>
      <c r="AB3" s="96">
        <f t="shared" si="0"/>
        <v>0</v>
      </c>
      <c r="AC3" s="96">
        <f t="shared" si="0"/>
        <v>0</v>
      </c>
      <c r="AD3" s="96">
        <f t="shared" si="0"/>
        <v>45</v>
      </c>
      <c r="AE3" s="96">
        <f t="shared" si="0"/>
        <v>50</v>
      </c>
      <c r="AF3" s="96">
        <f t="shared" si="0"/>
        <v>0</v>
      </c>
      <c r="AG3" s="96">
        <f t="shared" si="0"/>
        <v>0</v>
      </c>
      <c r="AH3" s="96">
        <f t="shared" si="0"/>
        <v>0</v>
      </c>
      <c r="AI3" s="96">
        <f t="shared" si="0"/>
        <v>0</v>
      </c>
    </row>
  </sheetData>
  <autoFilter ref="A1:AI2"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8"/>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5.6" x14ac:dyDescent="0.3">
      <c r="A2" s="167"/>
      <c r="B2" s="167"/>
      <c r="C2" s="167"/>
      <c r="D2" s="167"/>
      <c r="E2" s="168" t="s">
        <v>1046</v>
      </c>
      <c r="F2" s="167"/>
      <c r="G2" s="167"/>
      <c r="H2" s="3"/>
    </row>
    <row r="3" spans="1:8" ht="18" x14ac:dyDescent="0.3">
      <c r="A3" s="240">
        <v>45986</v>
      </c>
      <c r="B3" s="170" t="s">
        <v>300</v>
      </c>
      <c r="C3" s="171" t="s">
        <v>1002</v>
      </c>
      <c r="D3" s="170" t="s">
        <v>1001</v>
      </c>
      <c r="E3" s="172">
        <v>1.78125</v>
      </c>
      <c r="F3" s="170" t="s">
        <v>37</v>
      </c>
      <c r="G3" s="173">
        <v>9</v>
      </c>
      <c r="H3" s="241" t="s">
        <v>1003</v>
      </c>
    </row>
    <row r="4" spans="1:8" ht="15.6" x14ac:dyDescent="0.3">
      <c r="A4" s="167"/>
      <c r="B4" s="167"/>
      <c r="C4" s="167"/>
      <c r="D4" s="167"/>
      <c r="E4" s="168" t="s">
        <v>1046</v>
      </c>
      <c r="F4" s="167"/>
      <c r="G4" s="167"/>
      <c r="H4" s="3"/>
    </row>
    <row r="5" spans="1:8" ht="18" x14ac:dyDescent="0.3">
      <c r="A5" s="98">
        <v>45987</v>
      </c>
      <c r="B5" s="99" t="s">
        <v>290</v>
      </c>
      <c r="C5" s="100" t="s">
        <v>1004</v>
      </c>
      <c r="D5" s="99" t="s">
        <v>1001</v>
      </c>
      <c r="E5" s="101">
        <v>1.4965277777777779</v>
      </c>
      <c r="F5" s="99" t="s">
        <v>292</v>
      </c>
      <c r="G5" s="102">
        <v>9</v>
      </c>
      <c r="H5" s="103" t="s">
        <v>1005</v>
      </c>
    </row>
    <row r="6" spans="1:8" ht="18" x14ac:dyDescent="0.3">
      <c r="A6" s="104">
        <v>45987</v>
      </c>
      <c r="B6" s="105" t="s">
        <v>290</v>
      </c>
      <c r="C6" s="106" t="s">
        <v>1004</v>
      </c>
      <c r="D6" s="105" t="s">
        <v>1001</v>
      </c>
      <c r="E6" s="107">
        <v>1.4965277777777779</v>
      </c>
      <c r="F6" s="105" t="s">
        <v>30</v>
      </c>
      <c r="G6" s="108">
        <v>9</v>
      </c>
      <c r="H6" s="105" t="s">
        <v>1006</v>
      </c>
    </row>
    <row r="7" spans="1:8" ht="18" x14ac:dyDescent="0.3">
      <c r="A7" s="109">
        <v>45987</v>
      </c>
      <c r="B7" s="110" t="s">
        <v>35</v>
      </c>
      <c r="C7" s="111" t="s">
        <v>1007</v>
      </c>
      <c r="D7" s="110" t="s">
        <v>1001</v>
      </c>
      <c r="E7" s="112">
        <v>1.711805555555556</v>
      </c>
      <c r="F7" s="110" t="s">
        <v>37</v>
      </c>
      <c r="G7" s="113">
        <v>9</v>
      </c>
      <c r="H7" s="110" t="s">
        <v>1008</v>
      </c>
    </row>
    <row r="8" spans="1:8" ht="18" x14ac:dyDescent="0.3">
      <c r="A8" s="118">
        <v>45987</v>
      </c>
      <c r="B8" s="99" t="s">
        <v>295</v>
      </c>
      <c r="C8" s="100" t="s">
        <v>1011</v>
      </c>
      <c r="D8" s="99" t="s">
        <v>1001</v>
      </c>
      <c r="E8" s="101">
        <v>1.756944444444444</v>
      </c>
      <c r="F8" s="99" t="s">
        <v>37</v>
      </c>
      <c r="G8" s="102">
        <v>9</v>
      </c>
      <c r="H8" s="99" t="s">
        <v>1012</v>
      </c>
    </row>
    <row r="9" spans="1:8" ht="18" x14ac:dyDescent="0.3">
      <c r="A9" s="169">
        <v>45987</v>
      </c>
      <c r="B9" s="170" t="s">
        <v>75</v>
      </c>
      <c r="C9" s="171" t="s">
        <v>1013</v>
      </c>
      <c r="D9" s="170" t="s">
        <v>1001</v>
      </c>
      <c r="E9" s="172">
        <v>1.9826388888888891</v>
      </c>
      <c r="F9" s="170" t="s">
        <v>60</v>
      </c>
      <c r="G9" s="173">
        <v>9</v>
      </c>
      <c r="H9" s="170" t="s">
        <v>1014</v>
      </c>
    </row>
    <row r="10" spans="1:8" ht="15.6" x14ac:dyDescent="0.3">
      <c r="A10" s="167"/>
      <c r="B10" s="167"/>
      <c r="C10" s="167"/>
      <c r="D10" s="167"/>
      <c r="E10" s="168" t="s">
        <v>1046</v>
      </c>
      <c r="F10" s="167"/>
      <c r="G10" s="167"/>
      <c r="H10" s="3"/>
    </row>
    <row r="11" spans="1:8" ht="18" x14ac:dyDescent="0.3">
      <c r="A11" s="98">
        <v>45988</v>
      </c>
      <c r="B11" s="99" t="s">
        <v>300</v>
      </c>
      <c r="C11" s="100" t="s">
        <v>1002</v>
      </c>
      <c r="D11" s="99" t="s">
        <v>1001</v>
      </c>
      <c r="E11" s="101">
        <v>1.805555555555556</v>
      </c>
      <c r="F11" s="99" t="s">
        <v>37</v>
      </c>
      <c r="G11" s="102">
        <v>9</v>
      </c>
      <c r="H11" s="103" t="s">
        <v>1015</v>
      </c>
    </row>
    <row r="12" spans="1:8" ht="18" x14ac:dyDescent="0.3">
      <c r="A12" s="109">
        <v>45988</v>
      </c>
      <c r="B12" s="110" t="s">
        <v>35</v>
      </c>
      <c r="C12" s="111" t="s">
        <v>1007</v>
      </c>
      <c r="D12" s="110" t="s">
        <v>1001</v>
      </c>
      <c r="E12" s="112">
        <v>1.711805555555556</v>
      </c>
      <c r="F12" s="110" t="s">
        <v>37</v>
      </c>
      <c r="G12" s="113">
        <v>9</v>
      </c>
      <c r="H12" s="110" t="s">
        <v>1008</v>
      </c>
    </row>
    <row r="13" spans="1:8" ht="18" x14ac:dyDescent="0.3">
      <c r="A13" s="118">
        <v>45988</v>
      </c>
      <c r="B13" s="99" t="s">
        <v>295</v>
      </c>
      <c r="C13" s="100" t="s">
        <v>1017</v>
      </c>
      <c r="D13" s="99" t="s">
        <v>1001</v>
      </c>
      <c r="E13" s="101">
        <v>1.756944444444444</v>
      </c>
      <c r="F13" s="99" t="s">
        <v>37</v>
      </c>
      <c r="G13" s="102">
        <v>1</v>
      </c>
      <c r="H13" s="99" t="s">
        <v>1012</v>
      </c>
    </row>
    <row r="14" spans="1:8" ht="18" x14ac:dyDescent="0.3">
      <c r="A14" s="169">
        <v>45988</v>
      </c>
      <c r="B14" s="170" t="s">
        <v>75</v>
      </c>
      <c r="C14" s="171" t="s">
        <v>1013</v>
      </c>
      <c r="D14" s="170" t="s">
        <v>1001</v>
      </c>
      <c r="E14" s="172">
        <v>1.9826388888888891</v>
      </c>
      <c r="F14" s="170" t="s">
        <v>60</v>
      </c>
      <c r="G14" s="173">
        <v>6</v>
      </c>
      <c r="H14" s="170" t="s">
        <v>1018</v>
      </c>
    </row>
    <row r="15" spans="1:8" ht="18" x14ac:dyDescent="0.3">
      <c r="A15" s="165">
        <v>45989</v>
      </c>
      <c r="B15" s="110" t="s">
        <v>35</v>
      </c>
      <c r="C15" s="111" t="s">
        <v>1038</v>
      </c>
      <c r="D15" s="110" t="s">
        <v>1037</v>
      </c>
      <c r="E15" s="112">
        <v>1.3784722222222221</v>
      </c>
      <c r="F15" s="110" t="s">
        <v>37</v>
      </c>
      <c r="G15" s="113">
        <v>5</v>
      </c>
      <c r="H15" s="166" t="s">
        <v>1039</v>
      </c>
    </row>
    <row r="16" spans="1:8" ht="15.6" x14ac:dyDescent="0.3">
      <c r="A16" s="167"/>
      <c r="B16" s="167"/>
      <c r="C16" s="167"/>
      <c r="D16" s="167"/>
      <c r="E16" s="168" t="s">
        <v>1046</v>
      </c>
      <c r="F16" s="167"/>
      <c r="G16" s="167"/>
      <c r="H16" s="3"/>
    </row>
    <row r="17" spans="1:8" ht="18" x14ac:dyDescent="0.3">
      <c r="A17" s="118">
        <v>45989</v>
      </c>
      <c r="B17" s="99" t="s">
        <v>290</v>
      </c>
      <c r="C17" s="100" t="s">
        <v>1004</v>
      </c>
      <c r="D17" s="99" t="s">
        <v>1001</v>
      </c>
      <c r="E17" s="101">
        <v>1.4965277777777779</v>
      </c>
      <c r="F17" s="99" t="s">
        <v>292</v>
      </c>
      <c r="G17" s="102">
        <v>9</v>
      </c>
      <c r="H17" s="99" t="s">
        <v>1019</v>
      </c>
    </row>
    <row r="18" spans="1:8" ht="18" x14ac:dyDescent="0.3">
      <c r="A18" s="104">
        <v>45989</v>
      </c>
      <c r="B18" s="105" t="s">
        <v>290</v>
      </c>
      <c r="C18" s="106" t="s">
        <v>1004</v>
      </c>
      <c r="D18" s="105" t="s">
        <v>1001</v>
      </c>
      <c r="E18" s="107">
        <v>1.4965277777777779</v>
      </c>
      <c r="F18" s="105" t="s">
        <v>30</v>
      </c>
      <c r="G18" s="108">
        <v>9</v>
      </c>
      <c r="H18" s="105" t="s">
        <v>1020</v>
      </c>
    </row>
    <row r="19" spans="1:8" ht="18" x14ac:dyDescent="0.3">
      <c r="A19" s="169">
        <v>45989</v>
      </c>
      <c r="B19" s="170" t="s">
        <v>295</v>
      </c>
      <c r="C19" s="171" t="s">
        <v>1011</v>
      </c>
      <c r="D19" s="170" t="s">
        <v>1001</v>
      </c>
      <c r="E19" s="172">
        <v>1.756944444444444</v>
      </c>
      <c r="F19" s="170" t="s">
        <v>37</v>
      </c>
      <c r="G19" s="173">
        <v>8</v>
      </c>
      <c r="H19" s="170" t="s">
        <v>1021</v>
      </c>
    </row>
    <row r="20" spans="1:8" ht="15.6" x14ac:dyDescent="0.3">
      <c r="A20" s="167"/>
      <c r="B20" s="167"/>
      <c r="C20" s="167"/>
      <c r="D20" s="167"/>
      <c r="E20" s="168" t="s">
        <v>1046</v>
      </c>
      <c r="F20" s="167"/>
      <c r="G20" s="167"/>
      <c r="H20" s="3"/>
    </row>
    <row r="21" spans="1:8" ht="18" x14ac:dyDescent="0.3">
      <c r="A21" s="98">
        <v>45990</v>
      </c>
      <c r="B21" s="99" t="s">
        <v>300</v>
      </c>
      <c r="C21" s="100" t="s">
        <v>1002</v>
      </c>
      <c r="D21" s="99" t="s">
        <v>1001</v>
      </c>
      <c r="E21" s="101">
        <v>1.020833333333333</v>
      </c>
      <c r="F21" s="99" t="s">
        <v>37</v>
      </c>
      <c r="G21" s="102">
        <v>6</v>
      </c>
      <c r="H21" s="103" t="s">
        <v>1022</v>
      </c>
    </row>
    <row r="22" spans="1:8" ht="18" x14ac:dyDescent="0.3">
      <c r="A22" s="118">
        <v>45990</v>
      </c>
      <c r="B22" s="99" t="s">
        <v>295</v>
      </c>
      <c r="C22" s="100" t="s">
        <v>1017</v>
      </c>
      <c r="D22" s="99" t="s">
        <v>1001</v>
      </c>
      <c r="E22" s="101">
        <v>1.756944444444444</v>
      </c>
      <c r="F22" s="99" t="s">
        <v>37</v>
      </c>
      <c r="G22" s="102">
        <v>8</v>
      </c>
      <c r="H22" s="99" t="s">
        <v>1023</v>
      </c>
    </row>
    <row r="23" spans="1:8" ht="18" x14ac:dyDescent="0.3">
      <c r="A23" s="134">
        <v>45990</v>
      </c>
      <c r="B23" s="135" t="s">
        <v>35</v>
      </c>
      <c r="C23" s="136" t="s">
        <v>1007</v>
      </c>
      <c r="D23" s="135" t="s">
        <v>1001</v>
      </c>
      <c r="E23" s="137">
        <v>1.836805555555556</v>
      </c>
      <c r="F23" s="135" t="s">
        <v>37</v>
      </c>
      <c r="G23" s="248">
        <v>7</v>
      </c>
      <c r="H23" s="135" t="s">
        <v>1024</v>
      </c>
    </row>
    <row r="24" spans="1:8" ht="15.6" x14ac:dyDescent="0.3">
      <c r="A24" s="167"/>
      <c r="B24" s="167"/>
      <c r="C24" s="167"/>
      <c r="D24" s="167"/>
      <c r="E24" s="168" t="s">
        <v>1046</v>
      </c>
      <c r="F24" s="167"/>
      <c r="G24" s="167"/>
      <c r="H24" s="3"/>
    </row>
    <row r="25" spans="1:8" ht="18" x14ac:dyDescent="0.3">
      <c r="A25" s="98">
        <v>45991</v>
      </c>
      <c r="B25" s="99" t="s">
        <v>300</v>
      </c>
      <c r="C25" s="100" t="s">
        <v>1002</v>
      </c>
      <c r="D25" s="99" t="s">
        <v>1001</v>
      </c>
      <c r="E25" s="101">
        <v>1.7152777777777779</v>
      </c>
      <c r="F25" s="99" t="s">
        <v>37</v>
      </c>
      <c r="G25" s="102">
        <v>1</v>
      </c>
      <c r="H25" s="103" t="s">
        <v>1015</v>
      </c>
    </row>
    <row r="26" spans="1:8" ht="18" x14ac:dyDescent="0.3">
      <c r="A26" s="118">
        <v>45991</v>
      </c>
      <c r="B26" s="99" t="s">
        <v>290</v>
      </c>
      <c r="C26" s="100" t="s">
        <v>1004</v>
      </c>
      <c r="D26" s="99" t="s">
        <v>1001</v>
      </c>
      <c r="E26" s="101">
        <v>1.538194444444444</v>
      </c>
      <c r="F26" s="99" t="s">
        <v>292</v>
      </c>
      <c r="G26" s="102">
        <v>9</v>
      </c>
      <c r="H26" s="99" t="s">
        <v>1026</v>
      </c>
    </row>
    <row r="27" spans="1:8" ht="18" x14ac:dyDescent="0.3">
      <c r="A27" s="104">
        <v>45991</v>
      </c>
      <c r="B27" s="105" t="s">
        <v>290</v>
      </c>
      <c r="C27" s="106" t="s">
        <v>1004</v>
      </c>
      <c r="D27" s="105" t="s">
        <v>1001</v>
      </c>
      <c r="E27" s="107">
        <v>1.538194444444444</v>
      </c>
      <c r="F27" s="105" t="s">
        <v>30</v>
      </c>
      <c r="G27" s="108">
        <v>9</v>
      </c>
      <c r="H27" s="105" t="s">
        <v>1027</v>
      </c>
    </row>
    <row r="28" spans="1:8" ht="18" x14ac:dyDescent="0.3">
      <c r="A28" s="169">
        <v>45991</v>
      </c>
      <c r="B28" s="170" t="s">
        <v>295</v>
      </c>
      <c r="C28" s="171" t="s">
        <v>1028</v>
      </c>
      <c r="D28" s="170" t="s">
        <v>1001</v>
      </c>
      <c r="E28" s="172">
        <v>1.756944444444444</v>
      </c>
      <c r="F28" s="170" t="s">
        <v>37</v>
      </c>
      <c r="G28" s="173">
        <v>6</v>
      </c>
      <c r="H28" s="170" t="s">
        <v>1029</v>
      </c>
    </row>
  </sheetData>
  <dataValidations count="2">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7 A12 A23 B7 B12 B23 C7 C12 C23 D7 D12 D23 E7 E12 E23 F7 F12 F23 G7 G12 G23 H7 H12 H23" xr:uid="{00000000-0002-0000-3000-000000000000}">
      <formula1>TRUE</formula1>
    </dataValidation>
    <dataValidation type="custom" allowBlank="1" showInputMessage="1" promptTitle="LOAD FACTOR ANALYSIS" prompt="SM-327_x000d__x000a_LF 53.1%_x000d__x000a_SOLD 95_x000d__x000a_LST-SOLD 23NOV_x000d__x000a_WEEKLY 52_x000d__x000a_TO-DAY NIL_x000d__x000a_Y-DAY 9_x000d__x000a_LOWEST AVAIL O5_x000d__x000a_CAPACITY 179_x000d__x000a_CLASSES O45 &amp; I50" sqref="A15 B15 C15 D15 E15 F15 G15 H15" xr:uid="{00000000-0002-0000-3000-000001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24"/>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81.21875" bestFit="1" customWidth="1"/>
  </cols>
  <sheetData>
    <row r="1" spans="1:92" ht="28.8" customHeight="1" x14ac:dyDescent="0.3">
      <c r="A1" s="284" t="s">
        <v>0</v>
      </c>
      <c r="B1" s="265"/>
      <c r="C1" s="265"/>
      <c r="D1" s="284" t="s">
        <v>1047</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45985.362169563203</v>
      </c>
      <c r="H2" s="272"/>
      <c r="I2" s="272"/>
      <c r="J2" s="272"/>
      <c r="K2" s="282">
        <v>45985.362169563698</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83" t="s">
        <v>35</v>
      </c>
      <c r="B6" s="183" t="s">
        <v>1048</v>
      </c>
      <c r="C6" s="184">
        <v>0.3125</v>
      </c>
      <c r="D6" s="183" t="s">
        <v>37</v>
      </c>
      <c r="E6" s="183" t="s">
        <v>77</v>
      </c>
      <c r="F6" s="183" t="s">
        <v>1049</v>
      </c>
      <c r="G6" s="291"/>
      <c r="H6" s="68" t="s">
        <v>1050</v>
      </c>
      <c r="I6" s="69">
        <v>0.94969999999999999</v>
      </c>
      <c r="J6" s="70">
        <v>170</v>
      </c>
      <c r="K6" s="71">
        <v>45985</v>
      </c>
      <c r="L6" s="70">
        <v>126</v>
      </c>
      <c r="M6" s="70">
        <v>1</v>
      </c>
      <c r="N6" s="70">
        <v>22</v>
      </c>
      <c r="O6" s="72" t="s">
        <v>511</v>
      </c>
      <c r="P6" s="73">
        <v>0.3125</v>
      </c>
      <c r="Q6" s="70">
        <v>179</v>
      </c>
      <c r="R6" s="74" t="s">
        <v>1051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75"/>
      <c r="B7" s="276"/>
      <c r="C7" s="276"/>
      <c r="D7" s="276"/>
      <c r="E7" s="276"/>
      <c r="F7" s="276"/>
      <c r="G7" s="276"/>
      <c r="H7" s="276"/>
      <c r="I7" s="276"/>
      <c r="J7" s="276"/>
      <c r="K7" s="276"/>
      <c r="L7" s="276"/>
      <c r="M7" s="276"/>
      <c r="N7" s="276"/>
      <c r="O7" s="276"/>
      <c r="P7" s="276"/>
      <c r="Q7" s="276"/>
      <c r="R7" s="27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66" t="s">
        <v>5</v>
      </c>
      <c r="B8" s="267"/>
      <c r="C8" s="267"/>
      <c r="D8" s="267"/>
      <c r="E8" s="267"/>
      <c r="F8" s="267"/>
      <c r="G8" s="5">
        <v>45988</v>
      </c>
      <c r="H8" s="270" t="s">
        <v>6</v>
      </c>
      <c r="I8" s="269"/>
      <c r="J8" s="269"/>
      <c r="K8" s="269"/>
      <c r="L8" s="269"/>
      <c r="M8" s="269"/>
      <c r="N8" s="269"/>
      <c r="O8" s="269"/>
      <c r="P8" s="269"/>
      <c r="Q8" s="269"/>
      <c r="R8" s="26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47" t="s">
        <v>7</v>
      </c>
      <c r="B9" s="47" t="s">
        <v>8</v>
      </c>
      <c r="C9" s="48" t="s">
        <v>9</v>
      </c>
      <c r="D9" s="47" t="s">
        <v>10</v>
      </c>
      <c r="E9" s="47" t="s">
        <v>11</v>
      </c>
      <c r="F9" s="47" t="s">
        <v>12</v>
      </c>
      <c r="G9" s="49" t="s">
        <v>13</v>
      </c>
      <c r="H9" s="47" t="s">
        <v>14</v>
      </c>
      <c r="I9" s="50" t="s">
        <v>15</v>
      </c>
      <c r="J9" s="51" t="s">
        <v>16</v>
      </c>
      <c r="K9" s="52" t="s">
        <v>17</v>
      </c>
      <c r="L9" s="51" t="s">
        <v>18</v>
      </c>
      <c r="M9" s="51" t="s">
        <v>19</v>
      </c>
      <c r="N9" s="51" t="s">
        <v>20</v>
      </c>
      <c r="O9" s="47" t="s">
        <v>21</v>
      </c>
      <c r="P9" s="48" t="s">
        <v>22</v>
      </c>
      <c r="Q9" s="51" t="s">
        <v>23</v>
      </c>
      <c r="R9" s="4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295</v>
      </c>
      <c r="B10" s="8" t="s">
        <v>1052</v>
      </c>
      <c r="C10" s="9">
        <v>0.76041666666666663</v>
      </c>
      <c r="D10" s="8" t="s">
        <v>37</v>
      </c>
      <c r="E10" s="8" t="s">
        <v>28</v>
      </c>
      <c r="F10" s="8" t="s">
        <v>1053</v>
      </c>
      <c r="G10" s="261"/>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5" t="s">
        <v>35</v>
      </c>
      <c r="B11" s="65" t="s">
        <v>1048</v>
      </c>
      <c r="C11" s="66">
        <v>0.76736111111111116</v>
      </c>
      <c r="D11" s="65" t="s">
        <v>37</v>
      </c>
      <c r="E11" s="65" t="s">
        <v>77</v>
      </c>
      <c r="F11" s="65" t="s">
        <v>1049</v>
      </c>
      <c r="G11" s="263"/>
      <c r="H11" s="68" t="s">
        <v>1050</v>
      </c>
      <c r="I11" s="69">
        <v>0.91059999999999997</v>
      </c>
      <c r="J11" s="70">
        <v>163</v>
      </c>
      <c r="K11" s="71">
        <v>45984</v>
      </c>
      <c r="L11" s="70">
        <v>69</v>
      </c>
      <c r="M11" s="70">
        <v>0</v>
      </c>
      <c r="N11" s="70">
        <v>8</v>
      </c>
      <c r="O11" s="72" t="s">
        <v>511</v>
      </c>
      <c r="P11" s="73">
        <v>0.76736111111111116</v>
      </c>
      <c r="Q11" s="70">
        <v>179</v>
      </c>
      <c r="R11" s="74" t="s">
        <v>1054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85"/>
      <c r="B12" s="286"/>
      <c r="C12" s="286"/>
      <c r="D12" s="286"/>
      <c r="E12" s="286"/>
      <c r="F12" s="286"/>
      <c r="G12" s="276"/>
      <c r="H12" s="287"/>
      <c r="I12" s="287"/>
      <c r="J12" s="287"/>
      <c r="K12" s="287"/>
      <c r="L12" s="287"/>
      <c r="M12" s="287"/>
      <c r="N12" s="287"/>
      <c r="O12" s="288"/>
      <c r="P12" s="287"/>
      <c r="Q12" s="276"/>
      <c r="R12" s="27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66" t="s">
        <v>5</v>
      </c>
      <c r="B13" s="267"/>
      <c r="C13" s="267"/>
      <c r="D13" s="267"/>
      <c r="E13" s="267"/>
      <c r="F13" s="267"/>
      <c r="G13" s="5">
        <v>45989</v>
      </c>
      <c r="H13" s="270" t="s">
        <v>6</v>
      </c>
      <c r="I13" s="269"/>
      <c r="J13" s="269"/>
      <c r="K13" s="269"/>
      <c r="L13" s="269"/>
      <c r="M13" s="269"/>
      <c r="N13" s="269"/>
      <c r="O13" s="269"/>
      <c r="P13" s="269"/>
      <c r="Q13" s="269"/>
      <c r="R13" s="26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47" t="s">
        <v>7</v>
      </c>
      <c r="B14" s="47" t="s">
        <v>8</v>
      </c>
      <c r="C14" s="48" t="s">
        <v>9</v>
      </c>
      <c r="D14" s="47" t="s">
        <v>10</v>
      </c>
      <c r="E14" s="47" t="s">
        <v>11</v>
      </c>
      <c r="F14" s="47" t="s">
        <v>12</v>
      </c>
      <c r="G14" s="49" t="s">
        <v>13</v>
      </c>
      <c r="H14" s="47" t="s">
        <v>14</v>
      </c>
      <c r="I14" s="50" t="s">
        <v>15</v>
      </c>
      <c r="J14" s="51" t="s">
        <v>16</v>
      </c>
      <c r="K14" s="52" t="s">
        <v>17</v>
      </c>
      <c r="L14" s="51" t="s">
        <v>18</v>
      </c>
      <c r="M14" s="51" t="s">
        <v>19</v>
      </c>
      <c r="N14" s="51" t="s">
        <v>20</v>
      </c>
      <c r="O14" s="47" t="s">
        <v>21</v>
      </c>
      <c r="P14" s="48" t="s">
        <v>22</v>
      </c>
      <c r="Q14" s="51" t="s">
        <v>23</v>
      </c>
      <c r="R14" s="4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38" t="s">
        <v>295</v>
      </c>
      <c r="B15" s="238" t="s">
        <v>1055</v>
      </c>
      <c r="C15" s="239">
        <v>0.30902777777777779</v>
      </c>
      <c r="D15" s="238" t="s">
        <v>37</v>
      </c>
      <c r="E15" s="238" t="s">
        <v>51</v>
      </c>
      <c r="F15" s="238" t="s">
        <v>1056</v>
      </c>
      <c r="G15" s="291"/>
      <c r="H15" s="42"/>
      <c r="I15" s="43"/>
      <c r="J15" s="43"/>
      <c r="K15" s="43"/>
      <c r="L15" s="43"/>
      <c r="M15" s="43"/>
      <c r="N15" s="43"/>
      <c r="O15" s="44"/>
      <c r="P15" s="43"/>
      <c r="Q15" s="45"/>
      <c r="R15" s="4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75"/>
      <c r="B16" s="276"/>
      <c r="C16" s="276"/>
      <c r="D16" s="276"/>
      <c r="E16" s="276"/>
      <c r="F16" s="276"/>
      <c r="G16" s="276"/>
      <c r="H16" s="276"/>
      <c r="I16" s="276"/>
      <c r="J16" s="276"/>
      <c r="K16" s="276"/>
      <c r="L16" s="276"/>
      <c r="M16" s="276"/>
      <c r="N16" s="276"/>
      <c r="O16" s="276"/>
      <c r="P16" s="276"/>
      <c r="Q16" s="276"/>
      <c r="R16" s="27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66" t="s">
        <v>5</v>
      </c>
      <c r="B17" s="267"/>
      <c r="C17" s="267"/>
      <c r="D17" s="267"/>
      <c r="E17" s="267"/>
      <c r="F17" s="267"/>
      <c r="G17" s="5">
        <v>45990</v>
      </c>
      <c r="H17" s="270" t="s">
        <v>6</v>
      </c>
      <c r="I17" s="269"/>
      <c r="J17" s="269"/>
      <c r="K17" s="269"/>
      <c r="L17" s="269"/>
      <c r="M17" s="269"/>
      <c r="N17" s="269"/>
      <c r="O17" s="269"/>
      <c r="P17" s="269"/>
      <c r="Q17" s="269"/>
      <c r="R17" s="26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47" t="s">
        <v>7</v>
      </c>
      <c r="B18" s="47" t="s">
        <v>8</v>
      </c>
      <c r="C18" s="48" t="s">
        <v>9</v>
      </c>
      <c r="D18" s="47" t="s">
        <v>10</v>
      </c>
      <c r="E18" s="47" t="s">
        <v>11</v>
      </c>
      <c r="F18" s="47" t="s">
        <v>12</v>
      </c>
      <c r="G18" s="49" t="s">
        <v>13</v>
      </c>
      <c r="H18" s="47" t="s">
        <v>14</v>
      </c>
      <c r="I18" s="50" t="s">
        <v>15</v>
      </c>
      <c r="J18" s="51" t="s">
        <v>16</v>
      </c>
      <c r="K18" s="52" t="s">
        <v>17</v>
      </c>
      <c r="L18" s="51" t="s">
        <v>18</v>
      </c>
      <c r="M18" s="51" t="s">
        <v>19</v>
      </c>
      <c r="N18" s="51" t="s">
        <v>20</v>
      </c>
      <c r="O18" s="47" t="s">
        <v>21</v>
      </c>
      <c r="P18" s="48" t="s">
        <v>22</v>
      </c>
      <c r="Q18" s="51" t="s">
        <v>23</v>
      </c>
      <c r="R18" s="47"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7" t="s">
        <v>35</v>
      </c>
      <c r="B19" s="17" t="s">
        <v>1048</v>
      </c>
      <c r="C19" s="18">
        <v>0.71875</v>
      </c>
      <c r="D19" s="17" t="s">
        <v>37</v>
      </c>
      <c r="E19" s="17" t="s">
        <v>51</v>
      </c>
      <c r="F19" s="17" t="s">
        <v>1057</v>
      </c>
      <c r="G19" s="291"/>
      <c r="H19" s="220" t="s">
        <v>1050</v>
      </c>
      <c r="I19" s="221">
        <v>0.88270000000000004</v>
      </c>
      <c r="J19" s="222">
        <v>158</v>
      </c>
      <c r="K19" s="223">
        <v>45984</v>
      </c>
      <c r="L19" s="222">
        <v>36</v>
      </c>
      <c r="M19" s="222">
        <v>0</v>
      </c>
      <c r="N19" s="222">
        <v>10</v>
      </c>
      <c r="O19" s="224" t="s">
        <v>981</v>
      </c>
      <c r="P19" s="225">
        <v>0.71875</v>
      </c>
      <c r="Q19" s="222">
        <v>179</v>
      </c>
      <c r="R19" s="226" t="s">
        <v>1058</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75"/>
      <c r="B20" s="276"/>
      <c r="C20" s="276"/>
      <c r="D20" s="276"/>
      <c r="E20" s="276"/>
      <c r="F20" s="276"/>
      <c r="G20" s="276"/>
      <c r="H20" s="276"/>
      <c r="I20" s="276"/>
      <c r="J20" s="276"/>
      <c r="K20" s="276"/>
      <c r="L20" s="276"/>
      <c r="M20" s="276"/>
      <c r="N20" s="276"/>
      <c r="O20" s="276"/>
      <c r="P20" s="276"/>
      <c r="Q20" s="276"/>
      <c r="R20" s="27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66" t="s">
        <v>5</v>
      </c>
      <c r="B21" s="267"/>
      <c r="C21" s="267"/>
      <c r="D21" s="267"/>
      <c r="E21" s="267"/>
      <c r="F21" s="267"/>
      <c r="G21" s="5">
        <v>45991</v>
      </c>
      <c r="H21" s="270" t="s">
        <v>6</v>
      </c>
      <c r="I21" s="269"/>
      <c r="J21" s="269"/>
      <c r="K21" s="269"/>
      <c r="L21" s="269"/>
      <c r="M21" s="269"/>
      <c r="N21" s="269"/>
      <c r="O21" s="269"/>
      <c r="P21" s="269"/>
      <c r="Q21" s="269"/>
      <c r="R21" s="26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47" t="s">
        <v>7</v>
      </c>
      <c r="B22" s="47" t="s">
        <v>8</v>
      </c>
      <c r="C22" s="48" t="s">
        <v>9</v>
      </c>
      <c r="D22" s="47" t="s">
        <v>10</v>
      </c>
      <c r="E22" s="47" t="s">
        <v>11</v>
      </c>
      <c r="F22" s="47" t="s">
        <v>12</v>
      </c>
      <c r="G22" s="49" t="s">
        <v>13</v>
      </c>
      <c r="H22" s="47" t="s">
        <v>14</v>
      </c>
      <c r="I22" s="50" t="s">
        <v>15</v>
      </c>
      <c r="J22" s="51" t="s">
        <v>16</v>
      </c>
      <c r="K22" s="52" t="s">
        <v>17</v>
      </c>
      <c r="L22" s="51" t="s">
        <v>18</v>
      </c>
      <c r="M22" s="51" t="s">
        <v>19</v>
      </c>
      <c r="N22" s="51" t="s">
        <v>20</v>
      </c>
      <c r="O22" s="47" t="s">
        <v>21</v>
      </c>
      <c r="P22" s="48" t="s">
        <v>22</v>
      </c>
      <c r="Q22" s="51" t="s">
        <v>23</v>
      </c>
      <c r="R22" s="47"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38" t="s">
        <v>295</v>
      </c>
      <c r="B23" s="238" t="s">
        <v>1055</v>
      </c>
      <c r="C23" s="239">
        <v>0.30902777777777779</v>
      </c>
      <c r="D23" s="238" t="s">
        <v>37</v>
      </c>
      <c r="E23" s="238" t="s">
        <v>77</v>
      </c>
      <c r="F23" s="238" t="s">
        <v>1056</v>
      </c>
      <c r="G23" s="291"/>
      <c r="H23" s="42"/>
      <c r="I23" s="43"/>
      <c r="J23" s="43"/>
      <c r="K23" s="43"/>
      <c r="L23" s="43"/>
      <c r="M23" s="43"/>
      <c r="N23" s="43"/>
      <c r="O23" s="44"/>
      <c r="P23" s="43"/>
      <c r="Q23" s="45"/>
      <c r="R23" s="4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5"/>
      <c r="B24" s="276"/>
      <c r="C24" s="276"/>
      <c r="D24" s="276"/>
      <c r="E24" s="276"/>
      <c r="F24" s="276"/>
      <c r="G24" s="276"/>
      <c r="H24" s="276"/>
      <c r="I24" s="276"/>
      <c r="J24" s="276"/>
      <c r="K24" s="276"/>
      <c r="L24" s="276"/>
      <c r="M24" s="276"/>
      <c r="N24" s="276"/>
      <c r="O24" s="276"/>
      <c r="P24" s="276"/>
      <c r="Q24" s="276"/>
      <c r="R24" s="27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sheetData>
  <mergeCells count="29">
    <mergeCell ref="D1:F1"/>
    <mergeCell ref="G6"/>
    <mergeCell ref="H13:R13"/>
    <mergeCell ref="A1:C1"/>
    <mergeCell ref="A24:R24"/>
    <mergeCell ref="G1:H1"/>
    <mergeCell ref="G15"/>
    <mergeCell ref="A20:R20"/>
    <mergeCell ref="G23"/>
    <mergeCell ref="H17:R17"/>
    <mergeCell ref="A13:F13"/>
    <mergeCell ref="K2:R2"/>
    <mergeCell ref="G19"/>
    <mergeCell ref="H8:R8"/>
    <mergeCell ref="O1:Q1"/>
    <mergeCell ref="A7:R7"/>
    <mergeCell ref="A16:R16"/>
    <mergeCell ref="A21:F21"/>
    <mergeCell ref="H4:R4"/>
    <mergeCell ref="G10:G11"/>
    <mergeCell ref="A12:R12"/>
    <mergeCell ref="A2:F2"/>
    <mergeCell ref="A3:R3"/>
    <mergeCell ref="A8:F8"/>
    <mergeCell ref="H21:R21"/>
    <mergeCell ref="G2:J2"/>
    <mergeCell ref="A17:F17"/>
    <mergeCell ref="A4:F4"/>
    <mergeCell ref="J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1050</v>
      </c>
      <c r="D2" s="81">
        <v>0.3125</v>
      </c>
      <c r="E2" s="80" t="s">
        <v>1047</v>
      </c>
      <c r="F2" s="80" t="s">
        <v>159</v>
      </c>
      <c r="G2" s="82">
        <v>0.94969999999999999</v>
      </c>
      <c r="H2" s="83">
        <v>179</v>
      </c>
      <c r="I2" s="83">
        <v>170</v>
      </c>
      <c r="J2" s="83">
        <v>0</v>
      </c>
      <c r="K2" s="79">
        <v>45985</v>
      </c>
      <c r="L2" s="83">
        <v>1</v>
      </c>
      <c r="M2" s="83">
        <v>22</v>
      </c>
      <c r="N2" s="83">
        <v>126</v>
      </c>
      <c r="O2" s="80" t="s">
        <v>511</v>
      </c>
      <c r="P2" s="84"/>
      <c r="Q2" s="84"/>
      <c r="R2" s="84"/>
      <c r="S2" s="84"/>
      <c r="T2" s="83" t="s">
        <v>1035</v>
      </c>
      <c r="U2" s="83" t="s">
        <v>529</v>
      </c>
      <c r="V2" s="83" t="s">
        <v>227</v>
      </c>
      <c r="W2" s="84"/>
      <c r="X2" s="83" t="s">
        <v>1059</v>
      </c>
      <c r="Y2" s="83" t="s">
        <v>1060</v>
      </c>
      <c r="Z2" s="83" t="s">
        <v>540</v>
      </c>
      <c r="AA2" s="83" t="s">
        <v>489</v>
      </c>
      <c r="AB2" s="83" t="s">
        <v>1061</v>
      </c>
      <c r="AC2" s="84"/>
      <c r="AD2" s="83" t="s">
        <v>704</v>
      </c>
      <c r="AE2" s="83" t="s">
        <v>265</v>
      </c>
      <c r="AF2" s="84"/>
      <c r="AG2" s="84"/>
      <c r="AH2" s="84"/>
      <c r="AI2" s="84"/>
    </row>
    <row r="3" spans="1:35" ht="18" x14ac:dyDescent="0.3">
      <c r="A3" s="85" t="s">
        <v>176</v>
      </c>
      <c r="B3" s="86">
        <v>45988</v>
      </c>
      <c r="C3" s="87" t="s">
        <v>1050</v>
      </c>
      <c r="D3" s="88">
        <v>0.76736111111111116</v>
      </c>
      <c r="E3" s="87" t="s">
        <v>1047</v>
      </c>
      <c r="F3" s="87" t="s">
        <v>159</v>
      </c>
      <c r="G3" s="89">
        <v>0.91059999999999997</v>
      </c>
      <c r="H3" s="90">
        <v>179</v>
      </c>
      <c r="I3" s="90">
        <v>163</v>
      </c>
      <c r="J3" s="90">
        <v>0</v>
      </c>
      <c r="K3" s="86">
        <v>45984</v>
      </c>
      <c r="L3" s="90">
        <v>0</v>
      </c>
      <c r="M3" s="90">
        <v>8</v>
      </c>
      <c r="N3" s="90">
        <v>69</v>
      </c>
      <c r="O3" s="87" t="s">
        <v>511</v>
      </c>
      <c r="P3" s="91"/>
      <c r="Q3" s="91"/>
      <c r="R3" s="91"/>
      <c r="S3" s="91"/>
      <c r="T3" s="91"/>
      <c r="U3" s="90" t="s">
        <v>383</v>
      </c>
      <c r="V3" s="90" t="s">
        <v>530</v>
      </c>
      <c r="W3" s="90" t="s">
        <v>1062</v>
      </c>
      <c r="X3" s="90" t="s">
        <v>918</v>
      </c>
      <c r="Y3" s="90" t="s">
        <v>1063</v>
      </c>
      <c r="Z3" s="90" t="s">
        <v>462</v>
      </c>
      <c r="AA3" s="90" t="s">
        <v>696</v>
      </c>
      <c r="AB3" s="90" t="s">
        <v>1064</v>
      </c>
      <c r="AC3" s="90" t="s">
        <v>526</v>
      </c>
      <c r="AD3" s="90" t="s">
        <v>264</v>
      </c>
      <c r="AE3" s="90" t="s">
        <v>1065</v>
      </c>
      <c r="AF3" s="91"/>
      <c r="AG3" s="91"/>
      <c r="AH3" s="91"/>
      <c r="AI3" s="91"/>
    </row>
    <row r="4" spans="1:35" ht="18" x14ac:dyDescent="0.3">
      <c r="A4" s="78" t="s">
        <v>179</v>
      </c>
      <c r="B4" s="79">
        <v>45990</v>
      </c>
      <c r="C4" s="80" t="s">
        <v>1050</v>
      </c>
      <c r="D4" s="81">
        <v>0.71875</v>
      </c>
      <c r="E4" s="80" t="s">
        <v>1047</v>
      </c>
      <c r="F4" s="80" t="s">
        <v>159</v>
      </c>
      <c r="G4" s="82">
        <v>0.88270000000000004</v>
      </c>
      <c r="H4" s="83">
        <v>179</v>
      </c>
      <c r="I4" s="83">
        <v>158</v>
      </c>
      <c r="J4" s="83">
        <v>0</v>
      </c>
      <c r="K4" s="79">
        <v>45984</v>
      </c>
      <c r="L4" s="83">
        <v>0</v>
      </c>
      <c r="M4" s="83">
        <v>10</v>
      </c>
      <c r="N4" s="83">
        <v>36</v>
      </c>
      <c r="O4" s="80" t="s">
        <v>981</v>
      </c>
      <c r="P4" s="84"/>
      <c r="Q4" s="84"/>
      <c r="R4" s="84"/>
      <c r="S4" s="83" t="s">
        <v>548</v>
      </c>
      <c r="T4" s="83" t="s">
        <v>1066</v>
      </c>
      <c r="U4" s="83" t="s">
        <v>529</v>
      </c>
      <c r="V4" s="83" t="s">
        <v>1067</v>
      </c>
      <c r="W4" s="83" t="s">
        <v>1068</v>
      </c>
      <c r="X4" s="83" t="s">
        <v>235</v>
      </c>
      <c r="Y4" s="83" t="s">
        <v>685</v>
      </c>
      <c r="Z4" s="83" t="s">
        <v>644</v>
      </c>
      <c r="AA4" s="83" t="s">
        <v>440</v>
      </c>
      <c r="AB4" s="83" t="s">
        <v>188</v>
      </c>
      <c r="AC4" s="83" t="s">
        <v>634</v>
      </c>
      <c r="AD4" s="83" t="s">
        <v>1069</v>
      </c>
      <c r="AE4" s="83" t="s">
        <v>647</v>
      </c>
      <c r="AF4" s="84"/>
      <c r="AG4" s="84"/>
      <c r="AH4" s="84"/>
      <c r="AI4" s="84"/>
    </row>
    <row r="5" spans="1:35" ht="18" x14ac:dyDescent="0.3">
      <c r="A5" s="92" t="s">
        <v>189</v>
      </c>
      <c r="B5" s="93"/>
      <c r="C5" s="94">
        <f>COUNTA(C2:C4)</f>
        <v>3</v>
      </c>
      <c r="D5" s="93"/>
      <c r="E5" s="93"/>
      <c r="F5" s="93"/>
      <c r="G5" s="95">
        <f>AVERAGE(G2:G4)</f>
        <v>0.91433333333333344</v>
      </c>
      <c r="H5" s="96">
        <f>SUM(H2:H4)</f>
        <v>537</v>
      </c>
      <c r="I5" s="96">
        <f>SUM(I2:I4)</f>
        <v>491</v>
      </c>
      <c r="J5" s="96">
        <f>SUM(J2:J4)</f>
        <v>0</v>
      </c>
      <c r="K5" s="93"/>
      <c r="L5" s="96">
        <f>SUM(L2:L4)</f>
        <v>1</v>
      </c>
      <c r="M5" s="96">
        <f>SUM(M2:M4)</f>
        <v>40</v>
      </c>
      <c r="N5" s="96">
        <f>SUM(N2:N4)</f>
        <v>231</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7"/>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252">
        <v>45986</v>
      </c>
      <c r="B2" s="135" t="s">
        <v>35</v>
      </c>
      <c r="C2" s="136" t="s">
        <v>1048</v>
      </c>
      <c r="D2" s="135" t="s">
        <v>1047</v>
      </c>
      <c r="E2" s="137">
        <v>1.3125</v>
      </c>
      <c r="F2" s="135" t="s">
        <v>37</v>
      </c>
      <c r="G2" s="248">
        <v>9</v>
      </c>
      <c r="H2" s="253" t="s">
        <v>1049</v>
      </c>
    </row>
    <row r="3" spans="1:8" ht="18" x14ac:dyDescent="0.3">
      <c r="A3" s="98">
        <v>45988</v>
      </c>
      <c r="B3" s="99" t="s">
        <v>295</v>
      </c>
      <c r="C3" s="100" t="s">
        <v>1052</v>
      </c>
      <c r="D3" s="99" t="s">
        <v>1047</v>
      </c>
      <c r="E3" s="101">
        <v>1.760416666666667</v>
      </c>
      <c r="F3" s="99" t="s">
        <v>37</v>
      </c>
      <c r="G3" s="102">
        <v>8</v>
      </c>
      <c r="H3" s="103" t="s">
        <v>1053</v>
      </c>
    </row>
    <row r="4" spans="1:8" ht="18" x14ac:dyDescent="0.3">
      <c r="A4" s="134">
        <v>45988</v>
      </c>
      <c r="B4" s="135" t="s">
        <v>35</v>
      </c>
      <c r="C4" s="136" t="s">
        <v>1048</v>
      </c>
      <c r="D4" s="135" t="s">
        <v>1047</v>
      </c>
      <c r="E4" s="137">
        <v>1.7673611111111109</v>
      </c>
      <c r="F4" s="135" t="s">
        <v>37</v>
      </c>
      <c r="G4" s="248">
        <v>9</v>
      </c>
      <c r="H4" s="135" t="s">
        <v>1049</v>
      </c>
    </row>
    <row r="5" spans="1:8" ht="18" x14ac:dyDescent="0.3">
      <c r="A5" s="240">
        <v>45989</v>
      </c>
      <c r="B5" s="170" t="s">
        <v>295</v>
      </c>
      <c r="C5" s="171" t="s">
        <v>1055</v>
      </c>
      <c r="D5" s="170" t="s">
        <v>1047</v>
      </c>
      <c r="E5" s="172">
        <v>1.3090277777777779</v>
      </c>
      <c r="F5" s="170" t="s">
        <v>37</v>
      </c>
      <c r="G5" s="173">
        <v>3</v>
      </c>
      <c r="H5" s="241" t="s">
        <v>1056</v>
      </c>
    </row>
    <row r="6" spans="1:8" ht="18" x14ac:dyDescent="0.3">
      <c r="A6" s="252">
        <v>45990</v>
      </c>
      <c r="B6" s="135" t="s">
        <v>35</v>
      </c>
      <c r="C6" s="136" t="s">
        <v>1048</v>
      </c>
      <c r="D6" s="135" t="s">
        <v>1047</v>
      </c>
      <c r="E6" s="137">
        <v>1.71875</v>
      </c>
      <c r="F6" s="135" t="s">
        <v>37</v>
      </c>
      <c r="G6" s="248">
        <v>3</v>
      </c>
      <c r="H6" s="253" t="s">
        <v>1057</v>
      </c>
    </row>
    <row r="7" spans="1:8" ht="18" x14ac:dyDescent="0.3">
      <c r="A7" s="240">
        <v>45991</v>
      </c>
      <c r="B7" s="170" t="s">
        <v>295</v>
      </c>
      <c r="C7" s="171" t="s">
        <v>1055</v>
      </c>
      <c r="D7" s="170" t="s">
        <v>1047</v>
      </c>
      <c r="E7" s="172">
        <v>1.3090277777777779</v>
      </c>
      <c r="F7" s="170" t="s">
        <v>37</v>
      </c>
      <c r="G7" s="173">
        <v>9</v>
      </c>
      <c r="H7" s="241" t="s">
        <v>1056</v>
      </c>
    </row>
  </sheetData>
  <dataValidations count="3">
    <dataValidation type="custom" allowBlank="1" showInputMessage="1" promptTitle="LOAD FACTOR ANALYSIS" prompt="SM-321_x000d__x000a_LF 95.0%_x000d__x000a_SOLD 170_x000d__x000a_LST-SOLD 24NOV_x000d__x000a_WEEKLY 126_x000d__x000a_TO-DAY 1_x000d__x000a_Y-DAY 22_x000d__x000a_LOWEST AVAIL K9_x000d__x000a_CAPACITY 179_x000d__x000a_CLASSES Q1 &amp; K14 &amp; V5 &amp; +7 more" sqref="A2 B2 C2 D2 E2 F2 G2 H2" xr:uid="{00000000-0002-0000-3300-000000000000}">
      <formula1>TRUE</formula1>
    </dataValidation>
    <dataValidation type="custom" allowBlank="1" showInputMessage="1" promptTitle="LOAD FACTOR ANALYSIS" prompt="SM-321_x000d__x000a_LF 91.1%_x000d__x000a_SOLD 163_x000d__x000a_LST-SOLD 23NOV_x000d__x000a_WEEKLY 69_x000d__x000a_TO-DAY NIL_x000d__x000a_Y-DAY 8_x000d__x000a_LOWEST AVAIL K9_x000d__x000a_CAPACITY 179_x000d__x000a_CLASSES K2 &amp; V30 &amp; L21 &amp; +8 more" sqref="A4 B4 C4 D4 E4 F4 G4 H4" xr:uid="{00000000-0002-0000-3300-000001000000}">
      <formula1>TRUE</formula1>
    </dataValidation>
    <dataValidation type="custom" allowBlank="1" showInputMessage="1" promptTitle="LOAD FACTOR ANALYSIS" prompt="SM-321_x000d__x000a_LF 88.3%_x000d__x000a_SOLD 158_x000d__x000a_LST-SOLD 23NOV_x000d__x000a_WEEKLY 36_x000d__x000a_TO-DAY NIL_x000d__x000a_Y-DAY 10_x000d__x000a_LOWEST AVAIL Q3_x000d__x000a_CAPACITY 179_x000d__x000a_CLASSES H4 &amp; Q21 &amp; K14 &amp; +10 more" sqref="A6 B6 C6 D6 E6 F6 G6 H6" xr:uid="{00000000-0002-0000-3300-000002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9.5546875" bestFit="1" customWidth="1"/>
    <col min="6" max="6" width="20.5546875" bestFit="1" customWidth="1"/>
    <col min="7" max="7" width="41.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6" bestFit="1" customWidth="1"/>
  </cols>
  <sheetData>
    <row r="1" spans="1:92" ht="28.8" customHeight="1" x14ac:dyDescent="0.3">
      <c r="A1" s="284" t="s">
        <v>0</v>
      </c>
      <c r="B1" s="265"/>
      <c r="C1" s="265"/>
      <c r="D1" s="284" t="s">
        <v>1070</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45985.362170702952</v>
      </c>
      <c r="H2" s="272"/>
      <c r="I2" s="272"/>
      <c r="J2" s="272"/>
      <c r="K2" s="282">
        <v>45985.362170703389</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45989</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4" t="s">
        <v>35</v>
      </c>
      <c r="B6" s="174" t="s">
        <v>1071</v>
      </c>
      <c r="C6" s="175">
        <v>0.47916666666666669</v>
      </c>
      <c r="D6" s="174" t="s">
        <v>37</v>
      </c>
      <c r="E6" s="174" t="s">
        <v>77</v>
      </c>
      <c r="F6" s="174" t="s">
        <v>1072</v>
      </c>
      <c r="G6" s="261"/>
      <c r="H6" s="176" t="s">
        <v>1073</v>
      </c>
      <c r="I6" s="177">
        <v>0.73180000000000001</v>
      </c>
      <c r="J6" s="178">
        <v>131</v>
      </c>
      <c r="K6" s="179">
        <v>45984</v>
      </c>
      <c r="L6" s="178">
        <v>82</v>
      </c>
      <c r="M6" s="178">
        <v>0</v>
      </c>
      <c r="N6" s="178">
        <v>18</v>
      </c>
      <c r="O6" s="180" t="s">
        <v>436</v>
      </c>
      <c r="P6" s="181">
        <v>0.47916666666666669</v>
      </c>
      <c r="Q6" s="178">
        <v>179</v>
      </c>
      <c r="R6" s="182" t="s">
        <v>1074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1075</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40" t="s">
        <v>295</v>
      </c>
      <c r="B8" s="40" t="s">
        <v>1055</v>
      </c>
      <c r="C8" s="41" t="s">
        <v>1076</v>
      </c>
      <c r="D8" s="40" t="s">
        <v>37</v>
      </c>
      <c r="E8" s="40" t="s">
        <v>205</v>
      </c>
      <c r="F8" s="40" t="s">
        <v>1056</v>
      </c>
      <c r="G8" s="263"/>
      <c r="H8" s="161"/>
      <c r="I8" s="161"/>
      <c r="J8" s="161"/>
      <c r="K8" s="161"/>
      <c r="L8" s="161"/>
      <c r="M8" s="161"/>
      <c r="N8" s="161"/>
      <c r="O8" s="162"/>
      <c r="P8" s="161"/>
      <c r="Q8" s="163"/>
      <c r="R8" s="1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75"/>
      <c r="B9" s="276"/>
      <c r="C9" s="276"/>
      <c r="D9" s="276"/>
      <c r="E9" s="276"/>
      <c r="F9" s="276"/>
      <c r="G9" s="276"/>
      <c r="H9" s="276"/>
      <c r="I9" s="276"/>
      <c r="J9" s="276"/>
      <c r="K9" s="276"/>
      <c r="L9" s="276"/>
      <c r="M9" s="276"/>
      <c r="N9" s="276"/>
      <c r="O9" s="276"/>
      <c r="P9" s="276"/>
      <c r="Q9" s="276"/>
      <c r="R9" s="27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sheetData>
  <mergeCells count="14">
    <mergeCell ref="G6:G8"/>
    <mergeCell ref="A4:F4"/>
    <mergeCell ref="A9:R9"/>
    <mergeCell ref="D1:F1"/>
    <mergeCell ref="J1:M1"/>
    <mergeCell ref="A7:F7"/>
    <mergeCell ref="A2:F2"/>
    <mergeCell ref="A3:R3"/>
    <mergeCell ref="O1:Q1"/>
    <mergeCell ref="H4:R4"/>
    <mergeCell ref="A1:C1"/>
    <mergeCell ref="G1:H1"/>
    <mergeCell ref="K2:R2"/>
    <mergeCell ref="G2:J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510</v>
      </c>
      <c r="B2" s="79">
        <v>45989</v>
      </c>
      <c r="C2" s="80" t="s">
        <v>1073</v>
      </c>
      <c r="D2" s="81">
        <v>0.47916666666666669</v>
      </c>
      <c r="E2" s="80" t="s">
        <v>1070</v>
      </c>
      <c r="F2" s="80" t="s">
        <v>159</v>
      </c>
      <c r="G2" s="82">
        <v>0.73180000000000001</v>
      </c>
      <c r="H2" s="83">
        <v>179</v>
      </c>
      <c r="I2" s="83">
        <v>131</v>
      </c>
      <c r="J2" s="83">
        <v>0</v>
      </c>
      <c r="K2" s="79">
        <v>45984</v>
      </c>
      <c r="L2" s="83">
        <v>0</v>
      </c>
      <c r="M2" s="83">
        <v>18</v>
      </c>
      <c r="N2" s="83">
        <v>82</v>
      </c>
      <c r="O2" s="80" t="s">
        <v>436</v>
      </c>
      <c r="P2" s="84"/>
      <c r="Q2" s="84"/>
      <c r="R2" s="84"/>
      <c r="S2" s="84"/>
      <c r="T2" s="84"/>
      <c r="U2" s="84"/>
      <c r="V2" s="84"/>
      <c r="W2" s="84"/>
      <c r="X2" s="84"/>
      <c r="Y2" s="84"/>
      <c r="Z2" s="84"/>
      <c r="AA2" s="84"/>
      <c r="AB2" s="83" t="s">
        <v>1077</v>
      </c>
      <c r="AC2" s="83" t="s">
        <v>691</v>
      </c>
      <c r="AD2" s="83" t="s">
        <v>975</v>
      </c>
      <c r="AE2" s="83" t="s">
        <v>1078</v>
      </c>
      <c r="AF2" s="84"/>
      <c r="AG2" s="84"/>
      <c r="AH2" s="84"/>
      <c r="AI2" s="84"/>
    </row>
    <row r="3" spans="1:35" ht="18" x14ac:dyDescent="0.3">
      <c r="A3" s="92" t="s">
        <v>189</v>
      </c>
      <c r="B3" s="93"/>
      <c r="C3" s="94">
        <f>COUNTA(C2:C2)</f>
        <v>1</v>
      </c>
      <c r="D3" s="93"/>
      <c r="E3" s="93"/>
      <c r="F3" s="93"/>
      <c r="G3" s="95">
        <f>AVERAGE(G2:G2)</f>
        <v>0.73180000000000001</v>
      </c>
      <c r="H3" s="96">
        <f>SUM(H2:H2)</f>
        <v>179</v>
      </c>
      <c r="I3" s="96">
        <f>SUM(I2:I2)</f>
        <v>131</v>
      </c>
      <c r="J3" s="96">
        <f>SUM(J2:J2)</f>
        <v>0</v>
      </c>
      <c r="K3" s="93"/>
      <c r="L3" s="96">
        <f>SUM(L2:L2)</f>
        <v>0</v>
      </c>
      <c r="M3" s="96">
        <f>SUM(M2:M2)</f>
        <v>18</v>
      </c>
      <c r="N3" s="96">
        <f>SUM(N2:N2)</f>
        <v>82</v>
      </c>
      <c r="O3" s="93"/>
      <c r="P3" s="96">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96">
        <f t="shared" si="0"/>
        <v>0</v>
      </c>
      <c r="R3" s="96">
        <f t="shared" si="0"/>
        <v>0</v>
      </c>
      <c r="S3" s="96">
        <f t="shared" si="0"/>
        <v>0</v>
      </c>
      <c r="T3" s="96">
        <f t="shared" si="0"/>
        <v>0</v>
      </c>
      <c r="U3" s="96">
        <f t="shared" si="0"/>
        <v>0</v>
      </c>
      <c r="V3" s="96">
        <f t="shared" si="0"/>
        <v>0</v>
      </c>
      <c r="W3" s="96">
        <f t="shared" si="0"/>
        <v>0</v>
      </c>
      <c r="X3" s="96">
        <f t="shared" si="0"/>
        <v>0</v>
      </c>
      <c r="Y3" s="96">
        <f t="shared" si="0"/>
        <v>0</v>
      </c>
      <c r="Z3" s="96">
        <f t="shared" si="0"/>
        <v>0</v>
      </c>
      <c r="AA3" s="96">
        <f t="shared" si="0"/>
        <v>0</v>
      </c>
      <c r="AB3" s="96">
        <f t="shared" si="0"/>
        <v>54</v>
      </c>
      <c r="AC3" s="96">
        <f t="shared" si="0"/>
        <v>14</v>
      </c>
      <c r="AD3" s="96">
        <f t="shared" si="0"/>
        <v>19</v>
      </c>
      <c r="AE3" s="96">
        <f t="shared" si="0"/>
        <v>44</v>
      </c>
      <c r="AF3" s="96">
        <f t="shared" si="0"/>
        <v>0</v>
      </c>
      <c r="AG3" s="96">
        <f t="shared" si="0"/>
        <v>0</v>
      </c>
      <c r="AH3" s="96">
        <f t="shared" si="0"/>
        <v>0</v>
      </c>
      <c r="AI3" s="96">
        <f t="shared" si="0"/>
        <v>0</v>
      </c>
    </row>
  </sheetData>
  <autoFilter ref="A1:AI2"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3"/>
  <sheetViews>
    <sheetView workbookViewId="0"/>
  </sheetViews>
  <sheetFormatPr defaultRowHeight="14.4" x14ac:dyDescent="0.3"/>
  <cols>
    <col min="1" max="1" width="13"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5.6" x14ac:dyDescent="0.3">
      <c r="A2" s="167"/>
      <c r="B2" s="167"/>
      <c r="C2" s="167"/>
      <c r="D2" s="167"/>
      <c r="E2" s="168" t="s">
        <v>1079</v>
      </c>
      <c r="F2" s="167"/>
      <c r="G2" s="167"/>
      <c r="H2" s="3"/>
    </row>
    <row r="3" spans="1:8" ht="18" x14ac:dyDescent="0.3">
      <c r="A3" s="252">
        <v>45986</v>
      </c>
      <c r="B3" s="135" t="s">
        <v>35</v>
      </c>
      <c r="C3" s="136" t="s">
        <v>1048</v>
      </c>
      <c r="D3" s="135" t="s">
        <v>1047</v>
      </c>
      <c r="E3" s="137">
        <v>1.3125</v>
      </c>
      <c r="F3" s="135" t="s">
        <v>37</v>
      </c>
      <c r="G3" s="248">
        <v>9</v>
      </c>
      <c r="H3" s="253" t="s">
        <v>1049</v>
      </c>
    </row>
    <row r="4" spans="1:8" ht="15.6" x14ac:dyDescent="0.3">
      <c r="A4" s="167"/>
      <c r="B4" s="167"/>
      <c r="C4" s="167"/>
      <c r="D4" s="167"/>
      <c r="E4" s="168" t="s">
        <v>1079</v>
      </c>
      <c r="F4" s="167"/>
      <c r="G4" s="167"/>
      <c r="H4" s="3"/>
    </row>
    <row r="5" spans="1:8" ht="18" x14ac:dyDescent="0.3">
      <c r="A5" s="98">
        <v>45988</v>
      </c>
      <c r="B5" s="99" t="s">
        <v>295</v>
      </c>
      <c r="C5" s="100" t="s">
        <v>1052</v>
      </c>
      <c r="D5" s="99" t="s">
        <v>1047</v>
      </c>
      <c r="E5" s="101">
        <v>1.760416666666667</v>
      </c>
      <c r="F5" s="99" t="s">
        <v>37</v>
      </c>
      <c r="G5" s="102">
        <v>8</v>
      </c>
      <c r="H5" s="103" t="s">
        <v>1053</v>
      </c>
    </row>
    <row r="6" spans="1:8" ht="18" x14ac:dyDescent="0.3">
      <c r="A6" s="134">
        <v>45988</v>
      </c>
      <c r="B6" s="135" t="s">
        <v>35</v>
      </c>
      <c r="C6" s="136" t="s">
        <v>1048</v>
      </c>
      <c r="D6" s="135" t="s">
        <v>1047</v>
      </c>
      <c r="E6" s="137">
        <v>1.7673611111111109</v>
      </c>
      <c r="F6" s="135" t="s">
        <v>37</v>
      </c>
      <c r="G6" s="248">
        <v>9</v>
      </c>
      <c r="H6" s="135" t="s">
        <v>1049</v>
      </c>
    </row>
    <row r="7" spans="1:8" ht="18" x14ac:dyDescent="0.3">
      <c r="A7" s="165">
        <v>45989</v>
      </c>
      <c r="B7" s="110" t="s">
        <v>35</v>
      </c>
      <c r="C7" s="111" t="s">
        <v>1071</v>
      </c>
      <c r="D7" s="110" t="s">
        <v>1070</v>
      </c>
      <c r="E7" s="112">
        <v>1.479166666666667</v>
      </c>
      <c r="F7" s="110" t="s">
        <v>37</v>
      </c>
      <c r="G7" s="113">
        <v>9</v>
      </c>
      <c r="H7" s="166" t="s">
        <v>1072</v>
      </c>
    </row>
    <row r="8" spans="1:8" ht="15.6" x14ac:dyDescent="0.3">
      <c r="A8" s="167"/>
      <c r="B8" s="167"/>
      <c r="C8" s="167"/>
      <c r="D8" s="167"/>
      <c r="E8" s="168" t="s">
        <v>1079</v>
      </c>
      <c r="F8" s="167"/>
      <c r="G8" s="167"/>
      <c r="H8" s="3"/>
    </row>
    <row r="9" spans="1:8" ht="18" x14ac:dyDescent="0.3">
      <c r="A9" s="169">
        <v>45989</v>
      </c>
      <c r="B9" s="170" t="s">
        <v>295</v>
      </c>
      <c r="C9" s="171" t="s">
        <v>1055</v>
      </c>
      <c r="D9" s="170" t="s">
        <v>1047</v>
      </c>
      <c r="E9" s="172">
        <v>1.3090277777777779</v>
      </c>
      <c r="F9" s="170" t="s">
        <v>37</v>
      </c>
      <c r="G9" s="173">
        <v>3</v>
      </c>
      <c r="H9" s="170" t="s">
        <v>1056</v>
      </c>
    </row>
    <row r="10" spans="1:8" ht="15.6" x14ac:dyDescent="0.3">
      <c r="A10" s="167"/>
      <c r="B10" s="167"/>
      <c r="C10" s="167"/>
      <c r="D10" s="167"/>
      <c r="E10" s="168" t="s">
        <v>1079</v>
      </c>
      <c r="F10" s="167"/>
      <c r="G10" s="167"/>
      <c r="H10" s="3"/>
    </row>
    <row r="11" spans="1:8" ht="18" x14ac:dyDescent="0.3">
      <c r="A11" s="252">
        <v>45990</v>
      </c>
      <c r="B11" s="135" t="s">
        <v>35</v>
      </c>
      <c r="C11" s="136" t="s">
        <v>1048</v>
      </c>
      <c r="D11" s="135" t="s">
        <v>1047</v>
      </c>
      <c r="E11" s="137">
        <v>1.71875</v>
      </c>
      <c r="F11" s="135" t="s">
        <v>37</v>
      </c>
      <c r="G11" s="248">
        <v>3</v>
      </c>
      <c r="H11" s="253" t="s">
        <v>1057</v>
      </c>
    </row>
    <row r="12" spans="1:8" ht="15.6" x14ac:dyDescent="0.3">
      <c r="A12" s="167"/>
      <c r="B12" s="167"/>
      <c r="C12" s="167"/>
      <c r="D12" s="167"/>
      <c r="E12" s="168" t="s">
        <v>1079</v>
      </c>
      <c r="F12" s="167"/>
      <c r="G12" s="167"/>
      <c r="H12" s="3"/>
    </row>
    <row r="13" spans="1:8" ht="18" x14ac:dyDescent="0.3">
      <c r="A13" s="240">
        <v>45991</v>
      </c>
      <c r="B13" s="170" t="s">
        <v>295</v>
      </c>
      <c r="C13" s="171" t="s">
        <v>1055</v>
      </c>
      <c r="D13" s="170" t="s">
        <v>1047</v>
      </c>
      <c r="E13" s="172">
        <v>1.3090277777777779</v>
      </c>
      <c r="F13" s="170" t="s">
        <v>37</v>
      </c>
      <c r="G13" s="173">
        <v>9</v>
      </c>
      <c r="H13" s="241" t="s">
        <v>1056</v>
      </c>
    </row>
  </sheetData>
  <dataValidations count="2">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3 A6 A11 B3 B6 B11 C3 C6 C11 D3 D6 D11 E3 E6 E11 F3 F6 F11 G3 G6 G11 H3 H6 H11" xr:uid="{00000000-0002-0000-3600-000000000000}">
      <formula1>TRUE</formula1>
    </dataValidation>
    <dataValidation type="custom" allowBlank="1" showInputMessage="1" promptTitle="LOAD FACTOR ANALYSIS" prompt="SM-323_x000d__x000a_LF 73.2%_x000d__x000a_SOLD 131_x000d__x000a_LST-SOLD 23NOV_x000d__x000a_WEEKLY 82_x000d__x000a_TO-DAY NIL_x000d__x000a_Y-DAY 18_x000d__x000a_LOWEST AVAIL X9_x000d__x000a_CAPACITY 179_x000d__x000a_CLASSES X54 &amp; U14 &amp; O19 &amp; +1 more" sqref="A7 B7 C7 D7 E7 F7 G7 H7" xr:uid="{00000000-0002-0000-3600-000001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30"/>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83.44140625" bestFit="1" customWidth="1"/>
  </cols>
  <sheetData>
    <row r="1" spans="1:92" ht="28.8" customHeight="1" x14ac:dyDescent="0.3">
      <c r="A1" s="284" t="s">
        <v>0</v>
      </c>
      <c r="B1" s="265"/>
      <c r="C1" s="265"/>
      <c r="D1" s="284" t="s">
        <v>1080</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45985.362171303474</v>
      </c>
      <c r="H2" s="272"/>
      <c r="I2" s="272"/>
      <c r="J2" s="272"/>
      <c r="K2" s="282">
        <v>45985.362171303997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300</v>
      </c>
      <c r="B6" s="8" t="s">
        <v>1081</v>
      </c>
      <c r="C6" s="9">
        <v>0.34027777777777768</v>
      </c>
      <c r="D6" s="8" t="s">
        <v>37</v>
      </c>
      <c r="E6" s="8" t="s">
        <v>38</v>
      </c>
      <c r="F6" s="8" t="s">
        <v>1082</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36" t="s">
        <v>295</v>
      </c>
      <c r="B7" s="36" t="s">
        <v>1083</v>
      </c>
      <c r="C7" s="37">
        <v>2.0833333333333329E-2</v>
      </c>
      <c r="D7" s="36" t="s">
        <v>37</v>
      </c>
      <c r="E7" s="36" t="s">
        <v>38</v>
      </c>
      <c r="F7" s="36" t="s">
        <v>1084</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65" t="s">
        <v>35</v>
      </c>
      <c r="B8" s="65" t="s">
        <v>1085</v>
      </c>
      <c r="C8" s="66">
        <v>0.83333333333333337</v>
      </c>
      <c r="D8" s="65" t="s">
        <v>44</v>
      </c>
      <c r="E8" s="67"/>
      <c r="F8" s="65" t="s">
        <v>45</v>
      </c>
      <c r="G8" s="263"/>
      <c r="H8" s="68" t="s">
        <v>1085</v>
      </c>
      <c r="I8" s="69">
        <v>1</v>
      </c>
      <c r="J8" s="70">
        <v>179</v>
      </c>
      <c r="K8" s="71">
        <v>45981</v>
      </c>
      <c r="L8" s="70">
        <v>3</v>
      </c>
      <c r="M8" s="70">
        <v>0</v>
      </c>
      <c r="N8" s="70">
        <v>0</v>
      </c>
      <c r="O8" s="72" t="s">
        <v>46</v>
      </c>
      <c r="P8" s="73">
        <v>0.83333333333333337</v>
      </c>
      <c r="Q8" s="70">
        <v>179</v>
      </c>
      <c r="R8" s="74" t="s">
        <v>1086</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5"/>
      <c r="B9" s="286"/>
      <c r="C9" s="286"/>
      <c r="D9" s="286"/>
      <c r="E9" s="286"/>
      <c r="F9" s="286"/>
      <c r="G9" s="276"/>
      <c r="H9" s="287"/>
      <c r="I9" s="287"/>
      <c r="J9" s="287"/>
      <c r="K9" s="287"/>
      <c r="L9" s="287"/>
      <c r="M9" s="287"/>
      <c r="N9" s="287"/>
      <c r="O9" s="288"/>
      <c r="P9" s="287"/>
      <c r="Q9" s="276"/>
      <c r="R9" s="27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66" t="s">
        <v>5</v>
      </c>
      <c r="B10" s="267"/>
      <c r="C10" s="267"/>
      <c r="D10" s="267"/>
      <c r="E10" s="267"/>
      <c r="F10" s="267"/>
      <c r="G10" s="5">
        <v>45987</v>
      </c>
      <c r="H10" s="270" t="s">
        <v>6</v>
      </c>
      <c r="I10" s="269"/>
      <c r="J10" s="269"/>
      <c r="K10" s="269"/>
      <c r="L10" s="269"/>
      <c r="M10" s="269"/>
      <c r="N10" s="269"/>
      <c r="O10" s="269"/>
      <c r="P10" s="269"/>
      <c r="Q10" s="269"/>
      <c r="R10" s="26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47" t="s">
        <v>7</v>
      </c>
      <c r="B11" s="47" t="s">
        <v>8</v>
      </c>
      <c r="C11" s="48" t="s">
        <v>9</v>
      </c>
      <c r="D11" s="47" t="s">
        <v>10</v>
      </c>
      <c r="E11" s="47" t="s">
        <v>11</v>
      </c>
      <c r="F11" s="47" t="s">
        <v>12</v>
      </c>
      <c r="G11" s="49" t="s">
        <v>13</v>
      </c>
      <c r="H11" s="47" t="s">
        <v>14</v>
      </c>
      <c r="I11" s="50" t="s">
        <v>15</v>
      </c>
      <c r="J11" s="51" t="s">
        <v>16</v>
      </c>
      <c r="K11" s="52" t="s">
        <v>17</v>
      </c>
      <c r="L11" s="51" t="s">
        <v>18</v>
      </c>
      <c r="M11" s="51" t="s">
        <v>19</v>
      </c>
      <c r="N11" s="51" t="s">
        <v>20</v>
      </c>
      <c r="O11" s="47" t="s">
        <v>21</v>
      </c>
      <c r="P11" s="48" t="s">
        <v>22</v>
      </c>
      <c r="Q11" s="51" t="s">
        <v>23</v>
      </c>
      <c r="R11" s="47"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48" t="s">
        <v>35</v>
      </c>
      <c r="B12" s="148" t="s">
        <v>1085</v>
      </c>
      <c r="C12" s="149">
        <v>0.82638888888888884</v>
      </c>
      <c r="D12" s="148" t="s">
        <v>44</v>
      </c>
      <c r="E12" s="150"/>
      <c r="F12" s="148" t="s">
        <v>45</v>
      </c>
      <c r="G12" s="291"/>
      <c r="H12" s="254" t="s">
        <v>1085</v>
      </c>
      <c r="I12" s="255">
        <v>1</v>
      </c>
      <c r="J12" s="256">
        <v>179</v>
      </c>
      <c r="K12" s="257">
        <v>45984</v>
      </c>
      <c r="L12" s="256">
        <v>10</v>
      </c>
      <c r="M12" s="256">
        <v>0</v>
      </c>
      <c r="N12" s="256">
        <v>1</v>
      </c>
      <c r="O12" s="258" t="s">
        <v>46</v>
      </c>
      <c r="P12" s="259">
        <v>0.82638888888888884</v>
      </c>
      <c r="Q12" s="256">
        <v>179</v>
      </c>
      <c r="R12" s="260" t="s">
        <v>1087</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85"/>
      <c r="B13" s="286"/>
      <c r="C13" s="286"/>
      <c r="D13" s="286"/>
      <c r="E13" s="286"/>
      <c r="F13" s="286"/>
      <c r="G13" s="276"/>
      <c r="H13" s="287"/>
      <c r="I13" s="287"/>
      <c r="J13" s="287"/>
      <c r="K13" s="287"/>
      <c r="L13" s="287"/>
      <c r="M13" s="287"/>
      <c r="N13" s="287"/>
      <c r="O13" s="288"/>
      <c r="P13" s="287"/>
      <c r="Q13" s="276"/>
      <c r="R13" s="27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66" t="s">
        <v>5</v>
      </c>
      <c r="B14" s="267"/>
      <c r="C14" s="267"/>
      <c r="D14" s="267"/>
      <c r="E14" s="267"/>
      <c r="F14" s="267"/>
      <c r="G14" s="5">
        <v>45988</v>
      </c>
      <c r="H14" s="270" t="s">
        <v>6</v>
      </c>
      <c r="I14" s="269"/>
      <c r="J14" s="269"/>
      <c r="K14" s="269"/>
      <c r="L14" s="269"/>
      <c r="M14" s="269"/>
      <c r="N14" s="269"/>
      <c r="O14" s="269"/>
      <c r="P14" s="269"/>
      <c r="Q14" s="269"/>
      <c r="R14" s="26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47" t="s">
        <v>7</v>
      </c>
      <c r="B15" s="47" t="s">
        <v>8</v>
      </c>
      <c r="C15" s="48" t="s">
        <v>9</v>
      </c>
      <c r="D15" s="47" t="s">
        <v>10</v>
      </c>
      <c r="E15" s="47" t="s">
        <v>11</v>
      </c>
      <c r="F15" s="47" t="s">
        <v>12</v>
      </c>
      <c r="G15" s="49" t="s">
        <v>13</v>
      </c>
      <c r="H15" s="47" t="s">
        <v>14</v>
      </c>
      <c r="I15" s="50" t="s">
        <v>15</v>
      </c>
      <c r="J15" s="51" t="s">
        <v>16</v>
      </c>
      <c r="K15" s="52" t="s">
        <v>17</v>
      </c>
      <c r="L15" s="51" t="s">
        <v>18</v>
      </c>
      <c r="M15" s="51" t="s">
        <v>19</v>
      </c>
      <c r="N15" s="51" t="s">
        <v>20</v>
      </c>
      <c r="O15" s="47" t="s">
        <v>21</v>
      </c>
      <c r="P15" s="48" t="s">
        <v>22</v>
      </c>
      <c r="Q15" s="51" t="s">
        <v>23</v>
      </c>
      <c r="R15" s="4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295</v>
      </c>
      <c r="B16" s="8" t="s">
        <v>1083</v>
      </c>
      <c r="C16" s="9">
        <v>2.0833333333333329E-2</v>
      </c>
      <c r="D16" s="8" t="s">
        <v>37</v>
      </c>
      <c r="E16" s="8" t="s">
        <v>246</v>
      </c>
      <c r="F16" s="8" t="s">
        <v>275</v>
      </c>
      <c r="G16" s="261"/>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5" t="s">
        <v>35</v>
      </c>
      <c r="B17" s="55" t="s">
        <v>1085</v>
      </c>
      <c r="C17" s="56">
        <v>0.4375</v>
      </c>
      <c r="D17" s="55" t="s">
        <v>44</v>
      </c>
      <c r="E17" s="57"/>
      <c r="F17" s="55" t="s">
        <v>45</v>
      </c>
      <c r="G17" s="263"/>
      <c r="H17" s="58" t="s">
        <v>1085</v>
      </c>
      <c r="I17" s="59">
        <v>1</v>
      </c>
      <c r="J17" s="60">
        <v>179</v>
      </c>
      <c r="K17" s="61">
        <v>45975</v>
      </c>
      <c r="L17" s="60">
        <v>0</v>
      </c>
      <c r="M17" s="60">
        <v>0</v>
      </c>
      <c r="N17" s="60">
        <v>0</v>
      </c>
      <c r="O17" s="62" t="s">
        <v>46</v>
      </c>
      <c r="P17" s="63">
        <v>0.4375</v>
      </c>
      <c r="Q17" s="60">
        <v>179</v>
      </c>
      <c r="R17" s="64" t="s">
        <v>1088</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66" t="s">
        <v>5</v>
      </c>
      <c r="B19" s="267"/>
      <c r="C19" s="267"/>
      <c r="D19" s="267"/>
      <c r="E19" s="267"/>
      <c r="F19" s="267"/>
      <c r="G19" s="5">
        <v>45989</v>
      </c>
      <c r="H19" s="270" t="s">
        <v>6</v>
      </c>
      <c r="I19" s="269"/>
      <c r="J19" s="269"/>
      <c r="K19" s="269"/>
      <c r="L19" s="269"/>
      <c r="M19" s="269"/>
      <c r="N19" s="269"/>
      <c r="O19" s="269"/>
      <c r="P19" s="269"/>
      <c r="Q19" s="269"/>
      <c r="R19" s="26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47" t="s">
        <v>7</v>
      </c>
      <c r="B20" s="47" t="s">
        <v>8</v>
      </c>
      <c r="C20" s="48" t="s">
        <v>9</v>
      </c>
      <c r="D20" s="47" t="s">
        <v>10</v>
      </c>
      <c r="E20" s="47" t="s">
        <v>11</v>
      </c>
      <c r="F20" s="47" t="s">
        <v>12</v>
      </c>
      <c r="G20" s="49" t="s">
        <v>13</v>
      </c>
      <c r="H20" s="47" t="s">
        <v>14</v>
      </c>
      <c r="I20" s="50" t="s">
        <v>15</v>
      </c>
      <c r="J20" s="51" t="s">
        <v>16</v>
      </c>
      <c r="K20" s="52" t="s">
        <v>17</v>
      </c>
      <c r="L20" s="51" t="s">
        <v>18</v>
      </c>
      <c r="M20" s="51" t="s">
        <v>19</v>
      </c>
      <c r="N20" s="51" t="s">
        <v>20</v>
      </c>
      <c r="O20" s="47" t="s">
        <v>21</v>
      </c>
      <c r="P20" s="48" t="s">
        <v>22</v>
      </c>
      <c r="Q20" s="51" t="s">
        <v>23</v>
      </c>
      <c r="R20" s="4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83" t="s">
        <v>35</v>
      </c>
      <c r="B21" s="183" t="s">
        <v>1085</v>
      </c>
      <c r="C21" s="184">
        <v>0.16666666666666671</v>
      </c>
      <c r="D21" s="183" t="s">
        <v>44</v>
      </c>
      <c r="E21" s="185"/>
      <c r="F21" s="183" t="s">
        <v>45</v>
      </c>
      <c r="G21" s="291"/>
      <c r="H21" s="68" t="s">
        <v>1085</v>
      </c>
      <c r="I21" s="69">
        <v>1</v>
      </c>
      <c r="J21" s="70">
        <v>179</v>
      </c>
      <c r="K21" s="71">
        <v>45983</v>
      </c>
      <c r="L21" s="70">
        <v>10</v>
      </c>
      <c r="M21" s="70">
        <v>0</v>
      </c>
      <c r="N21" s="70">
        <v>0</v>
      </c>
      <c r="O21" s="72" t="s">
        <v>46</v>
      </c>
      <c r="P21" s="73">
        <v>0.16666666666666671</v>
      </c>
      <c r="Q21" s="70">
        <v>179</v>
      </c>
      <c r="R21" s="74" t="s">
        <v>1089</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85"/>
      <c r="B22" s="286"/>
      <c r="C22" s="286"/>
      <c r="D22" s="286"/>
      <c r="E22" s="286"/>
      <c r="F22" s="286"/>
      <c r="G22" s="276"/>
      <c r="H22" s="287"/>
      <c r="I22" s="287"/>
      <c r="J22" s="287"/>
      <c r="K22" s="287"/>
      <c r="L22" s="287"/>
      <c r="M22" s="287"/>
      <c r="N22" s="287"/>
      <c r="O22" s="288"/>
      <c r="P22" s="287"/>
      <c r="Q22" s="276"/>
      <c r="R22" s="27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66" t="s">
        <v>5</v>
      </c>
      <c r="B23" s="267"/>
      <c r="C23" s="267"/>
      <c r="D23" s="267"/>
      <c r="E23" s="267"/>
      <c r="F23" s="267"/>
      <c r="G23" s="5">
        <v>45990</v>
      </c>
      <c r="H23" s="270" t="s">
        <v>6</v>
      </c>
      <c r="I23" s="269"/>
      <c r="J23" s="269"/>
      <c r="K23" s="269"/>
      <c r="L23" s="269"/>
      <c r="M23" s="269"/>
      <c r="N23" s="269"/>
      <c r="O23" s="269"/>
      <c r="P23" s="269"/>
      <c r="Q23" s="269"/>
      <c r="R23" s="26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47" t="s">
        <v>7</v>
      </c>
      <c r="B24" s="47" t="s">
        <v>8</v>
      </c>
      <c r="C24" s="48" t="s">
        <v>9</v>
      </c>
      <c r="D24" s="47" t="s">
        <v>10</v>
      </c>
      <c r="E24" s="47" t="s">
        <v>11</v>
      </c>
      <c r="F24" s="47" t="s">
        <v>12</v>
      </c>
      <c r="G24" s="49" t="s">
        <v>13</v>
      </c>
      <c r="H24" s="47" t="s">
        <v>14</v>
      </c>
      <c r="I24" s="50" t="s">
        <v>15</v>
      </c>
      <c r="J24" s="51" t="s">
        <v>16</v>
      </c>
      <c r="K24" s="52" t="s">
        <v>17</v>
      </c>
      <c r="L24" s="51" t="s">
        <v>18</v>
      </c>
      <c r="M24" s="51" t="s">
        <v>19</v>
      </c>
      <c r="N24" s="51" t="s">
        <v>20</v>
      </c>
      <c r="O24" s="47" t="s">
        <v>21</v>
      </c>
      <c r="P24" s="48" t="s">
        <v>22</v>
      </c>
      <c r="Q24" s="51" t="s">
        <v>23</v>
      </c>
      <c r="R24" s="4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148" t="s">
        <v>35</v>
      </c>
      <c r="B25" s="148" t="s">
        <v>1090</v>
      </c>
      <c r="C25" s="149">
        <v>0.125</v>
      </c>
      <c r="D25" s="148" t="s">
        <v>37</v>
      </c>
      <c r="E25" s="148" t="s">
        <v>97</v>
      </c>
      <c r="F25" s="148" t="s">
        <v>1091</v>
      </c>
      <c r="G25" s="291"/>
      <c r="H25" s="254" t="s">
        <v>1085</v>
      </c>
      <c r="I25" s="255">
        <v>0.94410000000000005</v>
      </c>
      <c r="J25" s="256">
        <v>169</v>
      </c>
      <c r="K25" s="257">
        <v>45984</v>
      </c>
      <c r="L25" s="256">
        <v>9</v>
      </c>
      <c r="M25" s="256">
        <v>0</v>
      </c>
      <c r="N25" s="256">
        <v>4</v>
      </c>
      <c r="O25" s="258" t="s">
        <v>1092</v>
      </c>
      <c r="P25" s="259">
        <v>0.125</v>
      </c>
      <c r="Q25" s="256">
        <v>179</v>
      </c>
      <c r="R25" s="260" t="s">
        <v>1093</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5"/>
      <c r="B26" s="276"/>
      <c r="C26" s="276"/>
      <c r="D26" s="276"/>
      <c r="E26" s="276"/>
      <c r="F26" s="276"/>
      <c r="G26" s="276"/>
      <c r="H26" s="276"/>
      <c r="I26" s="276"/>
      <c r="J26" s="276"/>
      <c r="K26" s="276"/>
      <c r="L26" s="276"/>
      <c r="M26" s="276"/>
      <c r="N26" s="276"/>
      <c r="O26" s="276"/>
      <c r="P26" s="276"/>
      <c r="Q26" s="276"/>
      <c r="R26" s="27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66" t="s">
        <v>5</v>
      </c>
      <c r="B27" s="267"/>
      <c r="C27" s="267"/>
      <c r="D27" s="267"/>
      <c r="E27" s="267"/>
      <c r="F27" s="267"/>
      <c r="G27" s="5">
        <v>45991</v>
      </c>
      <c r="H27" s="270" t="s">
        <v>6</v>
      </c>
      <c r="I27" s="269"/>
      <c r="J27" s="269"/>
      <c r="K27" s="269"/>
      <c r="L27" s="269"/>
      <c r="M27" s="269"/>
      <c r="N27" s="269"/>
      <c r="O27" s="269"/>
      <c r="P27" s="269"/>
      <c r="Q27" s="269"/>
      <c r="R27" s="26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47" t="s">
        <v>7</v>
      </c>
      <c r="B28" s="47" t="s">
        <v>8</v>
      </c>
      <c r="C28" s="48" t="s">
        <v>9</v>
      </c>
      <c r="D28" s="47" t="s">
        <v>10</v>
      </c>
      <c r="E28" s="47" t="s">
        <v>11</v>
      </c>
      <c r="F28" s="47" t="s">
        <v>12</v>
      </c>
      <c r="G28" s="49" t="s">
        <v>13</v>
      </c>
      <c r="H28" s="47" t="s">
        <v>14</v>
      </c>
      <c r="I28" s="50" t="s">
        <v>15</v>
      </c>
      <c r="J28" s="51" t="s">
        <v>16</v>
      </c>
      <c r="K28" s="52" t="s">
        <v>17</v>
      </c>
      <c r="L28" s="51" t="s">
        <v>18</v>
      </c>
      <c r="M28" s="51" t="s">
        <v>19</v>
      </c>
      <c r="N28" s="51" t="s">
        <v>20</v>
      </c>
      <c r="O28" s="47" t="s">
        <v>21</v>
      </c>
      <c r="P28" s="48" t="s">
        <v>22</v>
      </c>
      <c r="Q28" s="51" t="s">
        <v>23</v>
      </c>
      <c r="R28" s="4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75" t="s">
        <v>35</v>
      </c>
      <c r="B29" s="75" t="s">
        <v>1085</v>
      </c>
      <c r="C29" s="76">
        <v>0.21527777777777779</v>
      </c>
      <c r="D29" s="75" t="s">
        <v>44</v>
      </c>
      <c r="E29" s="164"/>
      <c r="F29" s="75" t="s">
        <v>45</v>
      </c>
      <c r="G29" s="291"/>
      <c r="H29" s="58" t="s">
        <v>1085</v>
      </c>
      <c r="I29" s="59">
        <v>1.0056</v>
      </c>
      <c r="J29" s="60">
        <v>180</v>
      </c>
      <c r="K29" s="61">
        <v>45984</v>
      </c>
      <c r="L29" s="60">
        <v>4</v>
      </c>
      <c r="M29" s="60">
        <v>0</v>
      </c>
      <c r="N29" s="60">
        <v>1</v>
      </c>
      <c r="O29" s="62" t="s">
        <v>46</v>
      </c>
      <c r="P29" s="63">
        <v>0.21527777777777779</v>
      </c>
      <c r="Q29" s="60">
        <v>179</v>
      </c>
      <c r="R29" s="64" t="s">
        <v>1094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75"/>
      <c r="B30" s="276"/>
      <c r="C30" s="276"/>
      <c r="D30" s="276"/>
      <c r="E30" s="276"/>
      <c r="F30" s="276"/>
      <c r="G30" s="276"/>
      <c r="H30" s="276"/>
      <c r="I30" s="276"/>
      <c r="J30" s="276"/>
      <c r="K30" s="276"/>
      <c r="L30" s="276"/>
      <c r="M30" s="276"/>
      <c r="N30" s="276"/>
      <c r="O30" s="276"/>
      <c r="P30" s="276"/>
      <c r="Q30" s="276"/>
      <c r="R30" s="27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sheetData>
  <mergeCells count="33">
    <mergeCell ref="H27:R27"/>
    <mergeCell ref="A30:R30"/>
    <mergeCell ref="A1:C1"/>
    <mergeCell ref="G1:H1"/>
    <mergeCell ref="G6:G8"/>
    <mergeCell ref="H14:R14"/>
    <mergeCell ref="A4:F4"/>
    <mergeCell ref="J1:M1"/>
    <mergeCell ref="A22:R22"/>
    <mergeCell ref="A10:F10"/>
    <mergeCell ref="A19:F19"/>
    <mergeCell ref="A13:R13"/>
    <mergeCell ref="K2:R2"/>
    <mergeCell ref="A9:R9"/>
    <mergeCell ref="H19:R19"/>
    <mergeCell ref="G16:G17"/>
    <mergeCell ref="D1:F1"/>
    <mergeCell ref="H23:R23"/>
    <mergeCell ref="O1:Q1"/>
    <mergeCell ref="G29"/>
    <mergeCell ref="A27:F27"/>
    <mergeCell ref="G25"/>
    <mergeCell ref="H10:R10"/>
    <mergeCell ref="H4:R4"/>
    <mergeCell ref="A18:R18"/>
    <mergeCell ref="A2:F2"/>
    <mergeCell ref="A3:R3"/>
    <mergeCell ref="A26:R26"/>
    <mergeCell ref="A14:F14"/>
    <mergeCell ref="G12"/>
    <mergeCell ref="A23:F23"/>
    <mergeCell ref="G21"/>
    <mergeCell ref="G2:J2"/>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8"/>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1085</v>
      </c>
      <c r="D2" s="81">
        <v>0.83333333333333337</v>
      </c>
      <c r="E2" s="80" t="s">
        <v>1080</v>
      </c>
      <c r="F2" s="80" t="s">
        <v>159</v>
      </c>
      <c r="G2" s="82">
        <v>1</v>
      </c>
      <c r="H2" s="83">
        <v>179</v>
      </c>
      <c r="I2" s="83">
        <v>179</v>
      </c>
      <c r="J2" s="83">
        <v>115</v>
      </c>
      <c r="K2" s="79">
        <v>45981</v>
      </c>
      <c r="L2" s="83">
        <v>0</v>
      </c>
      <c r="M2" s="83">
        <v>0</v>
      </c>
      <c r="N2" s="83">
        <v>3</v>
      </c>
      <c r="O2" s="80" t="s">
        <v>46</v>
      </c>
      <c r="P2" s="84"/>
      <c r="Q2" s="84"/>
      <c r="R2" s="84"/>
      <c r="S2" s="84"/>
      <c r="T2" s="84"/>
      <c r="U2" s="84"/>
      <c r="V2" s="84"/>
      <c r="W2" s="83" t="s">
        <v>559</v>
      </c>
      <c r="X2" s="83" t="s">
        <v>848</v>
      </c>
      <c r="Y2" s="83" t="s">
        <v>1095</v>
      </c>
      <c r="Z2" s="83" t="s">
        <v>462</v>
      </c>
      <c r="AA2" s="83" t="s">
        <v>635</v>
      </c>
      <c r="AB2" s="83" t="s">
        <v>987</v>
      </c>
      <c r="AC2" s="84"/>
      <c r="AD2" s="84"/>
      <c r="AE2" s="84"/>
      <c r="AF2" s="84"/>
      <c r="AG2" s="84"/>
      <c r="AH2" s="83" t="s">
        <v>167</v>
      </c>
      <c r="AI2" s="84"/>
    </row>
    <row r="3" spans="1:35" ht="18" x14ac:dyDescent="0.3">
      <c r="A3" s="85" t="s">
        <v>232</v>
      </c>
      <c r="B3" s="86">
        <v>45987</v>
      </c>
      <c r="C3" s="87" t="s">
        <v>1085</v>
      </c>
      <c r="D3" s="88">
        <v>0.82638888888888884</v>
      </c>
      <c r="E3" s="87" t="s">
        <v>1080</v>
      </c>
      <c r="F3" s="87" t="s">
        <v>159</v>
      </c>
      <c r="G3" s="89">
        <v>1</v>
      </c>
      <c r="H3" s="90">
        <v>179</v>
      </c>
      <c r="I3" s="90">
        <v>179</v>
      </c>
      <c r="J3" s="90">
        <v>92</v>
      </c>
      <c r="K3" s="86">
        <v>45984</v>
      </c>
      <c r="L3" s="90">
        <v>0</v>
      </c>
      <c r="M3" s="90">
        <v>1</v>
      </c>
      <c r="N3" s="90">
        <v>10</v>
      </c>
      <c r="O3" s="87" t="s">
        <v>46</v>
      </c>
      <c r="P3" s="91"/>
      <c r="Q3" s="91"/>
      <c r="R3" s="91"/>
      <c r="S3" s="91"/>
      <c r="T3" s="91"/>
      <c r="U3" s="91"/>
      <c r="V3" s="90" t="s">
        <v>844</v>
      </c>
      <c r="W3" s="90" t="s">
        <v>506</v>
      </c>
      <c r="X3" s="90" t="s">
        <v>848</v>
      </c>
      <c r="Y3" s="90" t="s">
        <v>439</v>
      </c>
      <c r="Z3" s="90" t="s">
        <v>564</v>
      </c>
      <c r="AA3" s="90" t="s">
        <v>440</v>
      </c>
      <c r="AB3" s="90" t="s">
        <v>163</v>
      </c>
      <c r="AC3" s="91"/>
      <c r="AD3" s="91"/>
      <c r="AE3" s="91"/>
      <c r="AF3" s="91"/>
      <c r="AG3" s="91"/>
      <c r="AH3" s="90" t="s">
        <v>1096</v>
      </c>
      <c r="AI3" s="91"/>
    </row>
    <row r="4" spans="1:35" ht="18" x14ac:dyDescent="0.3">
      <c r="A4" s="78" t="s">
        <v>176</v>
      </c>
      <c r="B4" s="79">
        <v>45988</v>
      </c>
      <c r="C4" s="80" t="s">
        <v>1085</v>
      </c>
      <c r="D4" s="81">
        <v>0.4375</v>
      </c>
      <c r="E4" s="80" t="s">
        <v>1080</v>
      </c>
      <c r="F4" s="80" t="s">
        <v>159</v>
      </c>
      <c r="G4" s="82">
        <v>1</v>
      </c>
      <c r="H4" s="83">
        <v>179</v>
      </c>
      <c r="I4" s="83">
        <v>179</v>
      </c>
      <c r="J4" s="83">
        <v>135</v>
      </c>
      <c r="K4" s="79">
        <v>45975</v>
      </c>
      <c r="L4" s="83">
        <v>0</v>
      </c>
      <c r="M4" s="83">
        <v>0</v>
      </c>
      <c r="N4" s="83">
        <v>0</v>
      </c>
      <c r="O4" s="80" t="s">
        <v>46</v>
      </c>
      <c r="P4" s="84"/>
      <c r="Q4" s="84"/>
      <c r="R4" s="84"/>
      <c r="S4" s="84"/>
      <c r="T4" s="83" t="s">
        <v>1035</v>
      </c>
      <c r="U4" s="84"/>
      <c r="V4" s="83" t="s">
        <v>168</v>
      </c>
      <c r="W4" s="83" t="s">
        <v>847</v>
      </c>
      <c r="X4" s="83" t="s">
        <v>848</v>
      </c>
      <c r="Y4" s="83" t="s">
        <v>429</v>
      </c>
      <c r="Z4" s="83" t="s">
        <v>251</v>
      </c>
      <c r="AA4" s="83" t="s">
        <v>635</v>
      </c>
      <c r="AB4" s="83" t="s">
        <v>987</v>
      </c>
      <c r="AC4" s="84"/>
      <c r="AD4" s="84"/>
      <c r="AE4" s="84"/>
      <c r="AF4" s="84"/>
      <c r="AG4" s="84"/>
      <c r="AH4" s="83" t="s">
        <v>184</v>
      </c>
      <c r="AI4" s="84"/>
    </row>
    <row r="5" spans="1:35" ht="18" x14ac:dyDescent="0.3">
      <c r="A5" s="85" t="s">
        <v>510</v>
      </c>
      <c r="B5" s="86">
        <v>45989</v>
      </c>
      <c r="C5" s="87" t="s">
        <v>1085</v>
      </c>
      <c r="D5" s="88">
        <v>0.16666666666666671</v>
      </c>
      <c r="E5" s="87" t="s">
        <v>1080</v>
      </c>
      <c r="F5" s="87" t="s">
        <v>159</v>
      </c>
      <c r="G5" s="89">
        <v>1</v>
      </c>
      <c r="H5" s="90">
        <v>179</v>
      </c>
      <c r="I5" s="90">
        <v>179</v>
      </c>
      <c r="J5" s="90">
        <v>80</v>
      </c>
      <c r="K5" s="86">
        <v>45983</v>
      </c>
      <c r="L5" s="90">
        <v>0</v>
      </c>
      <c r="M5" s="90">
        <v>0</v>
      </c>
      <c r="N5" s="90">
        <v>10</v>
      </c>
      <c r="O5" s="87" t="s">
        <v>46</v>
      </c>
      <c r="P5" s="91"/>
      <c r="Q5" s="91"/>
      <c r="R5" s="91"/>
      <c r="S5" s="91"/>
      <c r="T5" s="90" t="s">
        <v>810</v>
      </c>
      <c r="U5" s="90" t="s">
        <v>873</v>
      </c>
      <c r="V5" s="90" t="s">
        <v>1097</v>
      </c>
      <c r="W5" s="90" t="s">
        <v>552</v>
      </c>
      <c r="X5" s="90" t="s">
        <v>848</v>
      </c>
      <c r="Y5" s="90" t="s">
        <v>1095</v>
      </c>
      <c r="Z5" s="90" t="s">
        <v>462</v>
      </c>
      <c r="AA5" s="90" t="s">
        <v>635</v>
      </c>
      <c r="AB5" s="90" t="s">
        <v>987</v>
      </c>
      <c r="AC5" s="91"/>
      <c r="AD5" s="91"/>
      <c r="AE5" s="91"/>
      <c r="AF5" s="91"/>
      <c r="AG5" s="91"/>
      <c r="AH5" s="90" t="s">
        <v>1098</v>
      </c>
      <c r="AI5" s="91"/>
    </row>
    <row r="6" spans="1:35" ht="18" x14ac:dyDescent="0.3">
      <c r="A6" s="78" t="s">
        <v>179</v>
      </c>
      <c r="B6" s="79">
        <v>45990</v>
      </c>
      <c r="C6" s="80" t="s">
        <v>1085</v>
      </c>
      <c r="D6" s="81">
        <v>0.125</v>
      </c>
      <c r="E6" s="80" t="s">
        <v>1080</v>
      </c>
      <c r="F6" s="80" t="s">
        <v>159</v>
      </c>
      <c r="G6" s="82">
        <v>0.94410000000000005</v>
      </c>
      <c r="H6" s="83">
        <v>179</v>
      </c>
      <c r="I6" s="83">
        <v>169</v>
      </c>
      <c r="J6" s="83">
        <v>44</v>
      </c>
      <c r="K6" s="79">
        <v>45984</v>
      </c>
      <c r="L6" s="83">
        <v>0</v>
      </c>
      <c r="M6" s="83">
        <v>4</v>
      </c>
      <c r="N6" s="83">
        <v>9</v>
      </c>
      <c r="O6" s="80" t="s">
        <v>1092</v>
      </c>
      <c r="P6" s="84"/>
      <c r="Q6" s="83" t="s">
        <v>1099</v>
      </c>
      <c r="R6" s="83" t="s">
        <v>410</v>
      </c>
      <c r="S6" s="83" t="s">
        <v>1100</v>
      </c>
      <c r="T6" s="83" t="s">
        <v>1101</v>
      </c>
      <c r="U6" s="83" t="s">
        <v>982</v>
      </c>
      <c r="V6" s="83" t="s">
        <v>1102</v>
      </c>
      <c r="W6" s="83" t="s">
        <v>477</v>
      </c>
      <c r="X6" s="83" t="s">
        <v>848</v>
      </c>
      <c r="Y6" s="83" t="s">
        <v>439</v>
      </c>
      <c r="Z6" s="83" t="s">
        <v>462</v>
      </c>
      <c r="AA6" s="83" t="s">
        <v>635</v>
      </c>
      <c r="AB6" s="83" t="s">
        <v>497</v>
      </c>
      <c r="AC6" s="84"/>
      <c r="AD6" s="84"/>
      <c r="AE6" s="84"/>
      <c r="AF6" s="84"/>
      <c r="AG6" s="84"/>
      <c r="AH6" s="83" t="s">
        <v>1103</v>
      </c>
      <c r="AI6" s="84"/>
    </row>
    <row r="7" spans="1:35" ht="18" x14ac:dyDescent="0.3">
      <c r="A7" s="85" t="s">
        <v>186</v>
      </c>
      <c r="B7" s="86">
        <v>45991</v>
      </c>
      <c r="C7" s="87" t="s">
        <v>1085</v>
      </c>
      <c r="D7" s="88">
        <v>0.21527777777777779</v>
      </c>
      <c r="E7" s="87" t="s">
        <v>1080</v>
      </c>
      <c r="F7" s="87" t="s">
        <v>159</v>
      </c>
      <c r="G7" s="89">
        <v>1.0056</v>
      </c>
      <c r="H7" s="90">
        <v>179</v>
      </c>
      <c r="I7" s="90">
        <v>180</v>
      </c>
      <c r="J7" s="90">
        <v>90</v>
      </c>
      <c r="K7" s="86">
        <v>45984</v>
      </c>
      <c r="L7" s="90">
        <v>0</v>
      </c>
      <c r="M7" s="90">
        <v>1</v>
      </c>
      <c r="N7" s="90">
        <v>4</v>
      </c>
      <c r="O7" s="87" t="s">
        <v>46</v>
      </c>
      <c r="P7" s="91"/>
      <c r="Q7" s="91"/>
      <c r="R7" s="91"/>
      <c r="S7" s="91"/>
      <c r="T7" s="91"/>
      <c r="U7" s="91"/>
      <c r="V7" s="90" t="s">
        <v>545</v>
      </c>
      <c r="W7" s="90" t="s">
        <v>427</v>
      </c>
      <c r="X7" s="90" t="s">
        <v>1104</v>
      </c>
      <c r="Y7" s="90" t="s">
        <v>1105</v>
      </c>
      <c r="Z7" s="90" t="s">
        <v>715</v>
      </c>
      <c r="AA7" s="90" t="s">
        <v>635</v>
      </c>
      <c r="AB7" s="90" t="s">
        <v>987</v>
      </c>
      <c r="AC7" s="91"/>
      <c r="AD7" s="91"/>
      <c r="AE7" s="91"/>
      <c r="AF7" s="91"/>
      <c r="AG7" s="91"/>
      <c r="AH7" s="90" t="s">
        <v>454</v>
      </c>
      <c r="AI7" s="91"/>
    </row>
    <row r="8" spans="1:35" ht="18" x14ac:dyDescent="0.3">
      <c r="A8" s="92" t="s">
        <v>189</v>
      </c>
      <c r="B8" s="93"/>
      <c r="C8" s="94">
        <f>COUNTA(C2:C7)</f>
        <v>6</v>
      </c>
      <c r="D8" s="93"/>
      <c r="E8" s="93"/>
      <c r="F8" s="93"/>
      <c r="G8" s="95">
        <f>AVERAGE(G2:G7)</f>
        <v>0.9916166666666667</v>
      </c>
      <c r="H8" s="96">
        <f>SUM(H2:H7)</f>
        <v>1074</v>
      </c>
      <c r="I8" s="96">
        <f>SUM(I2:I7)</f>
        <v>1065</v>
      </c>
      <c r="J8" s="96">
        <f>SUM(J2:J7)</f>
        <v>556</v>
      </c>
      <c r="K8" s="93"/>
      <c r="L8" s="96">
        <f>SUM(L2:L7)</f>
        <v>0</v>
      </c>
      <c r="M8" s="96">
        <f>SUM(M2:M7)</f>
        <v>6</v>
      </c>
      <c r="N8" s="96">
        <f>SUM(N2:N7)</f>
        <v>36</v>
      </c>
      <c r="O8" s="93"/>
      <c r="P8" s="96">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96">
        <f t="shared" si="0"/>
        <v>0</v>
      </c>
      <c r="R8" s="96">
        <f t="shared" si="0"/>
        <v>0</v>
      </c>
      <c r="S8" s="96">
        <f t="shared" si="0"/>
        <v>0</v>
      </c>
      <c r="T8" s="96">
        <f t="shared" si="0"/>
        <v>0</v>
      </c>
      <c r="U8" s="96">
        <f t="shared" si="0"/>
        <v>0</v>
      </c>
      <c r="V8" s="96">
        <f t="shared" si="0"/>
        <v>0</v>
      </c>
      <c r="W8" s="96">
        <f t="shared" si="0"/>
        <v>0</v>
      </c>
      <c r="X8" s="96">
        <f t="shared" si="0"/>
        <v>0</v>
      </c>
      <c r="Y8" s="96">
        <f t="shared" si="0"/>
        <v>0</v>
      </c>
      <c r="Z8" s="96">
        <f t="shared" si="0"/>
        <v>0</v>
      </c>
      <c r="AA8" s="96">
        <f t="shared" si="0"/>
        <v>0</v>
      </c>
      <c r="AB8" s="96">
        <f t="shared" si="0"/>
        <v>0</v>
      </c>
      <c r="AC8" s="96">
        <f t="shared" si="0"/>
        <v>0</v>
      </c>
      <c r="AD8" s="96">
        <f t="shared" si="0"/>
        <v>0</v>
      </c>
      <c r="AE8" s="96">
        <f t="shared" si="0"/>
        <v>0</v>
      </c>
      <c r="AF8" s="96">
        <f t="shared" si="0"/>
        <v>0</v>
      </c>
      <c r="AG8" s="96">
        <f t="shared" si="0"/>
        <v>0</v>
      </c>
      <c r="AH8" s="96">
        <f t="shared" si="0"/>
        <v>0</v>
      </c>
      <c r="AI8" s="96">
        <f t="shared" si="0"/>
        <v>0</v>
      </c>
    </row>
  </sheetData>
  <autoFilter ref="A1:AI7"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
  <sheetViews>
    <sheetView workbookViewId="0"/>
  </sheetViews>
  <sheetFormatPr defaultRowHeight="14.4" x14ac:dyDescent="0.3"/>
  <cols>
    <col min="1" max="1" width="13"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300</v>
      </c>
      <c r="C2" s="100" t="s">
        <v>1081</v>
      </c>
      <c r="D2" s="99" t="s">
        <v>1080</v>
      </c>
      <c r="E2" s="101">
        <v>1.3402777777777779</v>
      </c>
      <c r="F2" s="99" t="s">
        <v>37</v>
      </c>
      <c r="G2" s="102">
        <v>4</v>
      </c>
      <c r="H2" s="103" t="s">
        <v>1082</v>
      </c>
    </row>
    <row r="3" spans="1:8" ht="18" x14ac:dyDescent="0.3">
      <c r="A3" s="118">
        <v>45986</v>
      </c>
      <c r="B3" s="99" t="s">
        <v>295</v>
      </c>
      <c r="C3" s="100" t="s">
        <v>1083</v>
      </c>
      <c r="D3" s="99" t="s">
        <v>1080</v>
      </c>
      <c r="E3" s="101">
        <v>1.020833333333333</v>
      </c>
      <c r="F3" s="99" t="s">
        <v>37</v>
      </c>
      <c r="G3" s="102">
        <v>4</v>
      </c>
      <c r="H3" s="99" t="s">
        <v>1084</v>
      </c>
    </row>
    <row r="4" spans="1:8" ht="18" x14ac:dyDescent="0.3">
      <c r="A4" s="134">
        <v>45986</v>
      </c>
      <c r="B4" s="135" t="s">
        <v>35</v>
      </c>
      <c r="C4" s="136" t="s">
        <v>1085</v>
      </c>
      <c r="D4" s="135" t="s">
        <v>1080</v>
      </c>
      <c r="E4" s="137">
        <v>1.833333333333333</v>
      </c>
      <c r="F4" s="135" t="s">
        <v>44</v>
      </c>
      <c r="G4" s="135"/>
      <c r="H4" s="135" t="s">
        <v>45</v>
      </c>
    </row>
    <row r="5" spans="1:8" ht="18" x14ac:dyDescent="0.3">
      <c r="A5" s="252">
        <v>45987</v>
      </c>
      <c r="B5" s="135" t="s">
        <v>35</v>
      </c>
      <c r="C5" s="136" t="s">
        <v>1085</v>
      </c>
      <c r="D5" s="135" t="s">
        <v>1080</v>
      </c>
      <c r="E5" s="137">
        <v>1.8263888888888891</v>
      </c>
      <c r="F5" s="135" t="s">
        <v>44</v>
      </c>
      <c r="G5" s="135"/>
      <c r="H5" s="253" t="s">
        <v>45</v>
      </c>
    </row>
    <row r="6" spans="1:8" ht="18" x14ac:dyDescent="0.3">
      <c r="A6" s="98">
        <v>45988</v>
      </c>
      <c r="B6" s="99" t="s">
        <v>295</v>
      </c>
      <c r="C6" s="100" t="s">
        <v>1083</v>
      </c>
      <c r="D6" s="99" t="s">
        <v>1080</v>
      </c>
      <c r="E6" s="101">
        <v>1.020833333333333</v>
      </c>
      <c r="F6" s="99" t="s">
        <v>37</v>
      </c>
      <c r="G6" s="102">
        <v>6</v>
      </c>
      <c r="H6" s="103" t="s">
        <v>275</v>
      </c>
    </row>
    <row r="7" spans="1:8" ht="18" x14ac:dyDescent="0.3">
      <c r="A7" s="134">
        <v>45988</v>
      </c>
      <c r="B7" s="135" t="s">
        <v>35</v>
      </c>
      <c r="C7" s="136" t="s">
        <v>1085</v>
      </c>
      <c r="D7" s="135" t="s">
        <v>1080</v>
      </c>
      <c r="E7" s="137">
        <v>1.4375</v>
      </c>
      <c r="F7" s="135" t="s">
        <v>44</v>
      </c>
      <c r="G7" s="135"/>
      <c r="H7" s="135" t="s">
        <v>45</v>
      </c>
    </row>
    <row r="8" spans="1:8" ht="18" x14ac:dyDescent="0.3">
      <c r="A8" s="252">
        <v>45989</v>
      </c>
      <c r="B8" s="135" t="s">
        <v>35</v>
      </c>
      <c r="C8" s="136" t="s">
        <v>1085</v>
      </c>
      <c r="D8" s="135" t="s">
        <v>1080</v>
      </c>
      <c r="E8" s="137">
        <v>1.166666666666667</v>
      </c>
      <c r="F8" s="135" t="s">
        <v>44</v>
      </c>
      <c r="G8" s="135"/>
      <c r="H8" s="253" t="s">
        <v>45</v>
      </c>
    </row>
    <row r="9" spans="1:8" ht="18" x14ac:dyDescent="0.3">
      <c r="A9" s="252">
        <v>45990</v>
      </c>
      <c r="B9" s="135" t="s">
        <v>35</v>
      </c>
      <c r="C9" s="136" t="s">
        <v>1090</v>
      </c>
      <c r="D9" s="135" t="s">
        <v>1080</v>
      </c>
      <c r="E9" s="137">
        <v>1.125</v>
      </c>
      <c r="F9" s="135" t="s">
        <v>37</v>
      </c>
      <c r="G9" s="248">
        <v>5</v>
      </c>
      <c r="H9" s="253" t="s">
        <v>1091</v>
      </c>
    </row>
    <row r="10" spans="1:8" ht="18" x14ac:dyDescent="0.3">
      <c r="A10" s="252">
        <v>45991</v>
      </c>
      <c r="B10" s="135" t="s">
        <v>35</v>
      </c>
      <c r="C10" s="136" t="s">
        <v>1085</v>
      </c>
      <c r="D10" s="135" t="s">
        <v>1080</v>
      </c>
      <c r="E10" s="137">
        <v>1.2152777777777779</v>
      </c>
      <c r="F10" s="135" t="s">
        <v>44</v>
      </c>
      <c r="G10" s="135"/>
      <c r="H10" s="253" t="s">
        <v>45</v>
      </c>
    </row>
  </sheetData>
  <dataValidations count="6">
    <dataValidation type="custom" allowBlank="1" showInputMessage="1" promptTitle="LOAD FACTOR ANALYSIS" prompt="SM441_x000d__x000a_LF 1.0%_x000d__x000a_SOLD 179_x000d__x000a_LST-SOLD 20NOV_x000d__x000a_WEEKLY 3_x000d__x000a_TO-DAY NIL_x000d__x000a_Y-DAY NIL_x000d__x000a_LOWEST AVAIL CLOSED_x000d__x000a_CAPACITY 179_x000d__x000a_CLASSES L8 &amp; G18 &amp; S29 &amp; +4 more" sqref="A4 B4 C4 D4 E4 F4 G4 H4" xr:uid="{00000000-0002-0000-3900-000000000000}">
      <formula1>TRUE</formula1>
    </dataValidation>
    <dataValidation type="custom" allowBlank="1" showInputMessage="1" promptTitle="LOAD FACTOR ANALYSIS" prompt="SM441_x000d__x000a_LF 1.0%_x000d__x000a_SOLD 179_x000d__x000a_LST-SOLD 23NOV_x000d__x000a_WEEKLY 10_x000d__x000a_TO-DAY NIL_x000d__x000a_Y-DAY 1_x000d__x000a_LOWEST AVAIL CLOSED_x000d__x000a_CAPACITY 179_x000d__x000a_CLASSES V6 &amp; L25 &amp; G18 &amp; +5 more" sqref="A5 B5 C5 D5 E5 F5 G5 H5" xr:uid="{00000000-0002-0000-3900-000001000000}">
      <formula1>TRUE</formula1>
    </dataValidation>
    <dataValidation type="custom" allowBlank="1" showInputMessage="1" promptTitle="LOAD FACTOR ANALYSIS" prompt="SM441_x000d__x000a_LF 1.0%_x000d__x000a_SOLD 179_x000d__x000a_LST-SOLD 14NOV_x000d__x000a_WEEKLY NIL_x000d__x000a_TO-DAY NIL_x000d__x000a_Y-DAY NIL_x000d__x000a_LOWEST AVAIL CLOSED_x000d__x000a_CAPACITY 179_x000d__x000a_CLASSES Q1 &amp; V1 &amp; L6 &amp; +6 more" sqref="A7 B7 C7 D7 E7 F7 G7 H7" xr:uid="{00000000-0002-0000-3900-000002000000}">
      <formula1>TRUE</formula1>
    </dataValidation>
    <dataValidation type="custom" allowBlank="1" showInputMessage="1" promptTitle="LOAD FACTOR ANALYSIS" prompt="SM441_x000d__x000a_LF 1.0%_x000d__x000a_SOLD 179_x000d__x000a_LST-SOLD 22NOV_x000d__x000a_WEEKLY 10_x000d__x000a_TO-DAY NIL_x000d__x000a_Y-DAY NIL_x000d__x000a_LOWEST AVAIL CLOSED_x000d__x000a_CAPACITY 179_x000d__x000a_CLASSES Q2 &amp; K10 &amp; V13 &amp; +7 more" sqref="A8 B8 C8 D8 E8 F8 G8 H8" xr:uid="{00000000-0002-0000-3900-000003000000}">
      <formula1>TRUE</formula1>
    </dataValidation>
    <dataValidation type="custom" allowBlank="1" showInputMessage="1" promptTitle="LOAD FACTOR ANALYSIS" prompt="SM-441_x000d__x000a_LF 94.4%_x000d__x000a_SOLD 169_x000d__x000a_LST-SOLD 23NOV_x000d__x000a_WEEKLY 9_x000d__x000a_TO-DAY NIL_x000d__x000a_Y-DAY 4_x000d__x000a_LOWEST AVAIL B5_x000d__x000a_CAPACITY 179_x000d__x000a_CLASSES B11 &amp; M1 &amp; H11 &amp; +10 more" sqref="A9 B9 C9 D9 E9 F9 G9 H9" xr:uid="{00000000-0002-0000-3900-000004000000}">
      <formula1>TRUE</formula1>
    </dataValidation>
    <dataValidation type="custom" allowBlank="1" showInputMessage="1" promptTitle="LOAD FACTOR ANALYSIS" prompt="SM441_x000d__x000a_LF 1.0%_x000d__x000a_SOLD 180_x000d__x000a_LST-SOLD 23NOV_x000d__x000a_WEEKLY 4_x000d__x000a_TO-DAY NIL_x000d__x000a_Y-DAY 1_x000d__x000a_LOWEST AVAIL CLOSED_x000d__x000a_CAPACITY 179_x000d__x000a_CLASSES V9 &amp; L12 &amp; G20 &amp; +5 more" sqref="A10 B10 C10 D10 E10 F10 G10 H10" xr:uid="{00000000-0002-0000-3900-000005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3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97.44140625" bestFit="1" customWidth="1"/>
  </cols>
  <sheetData>
    <row r="1" spans="1:92" ht="28.8" customHeight="1" x14ac:dyDescent="0.3">
      <c r="A1" s="284" t="s">
        <v>0</v>
      </c>
      <c r="B1" s="265"/>
      <c r="C1" s="265"/>
      <c r="D1" s="284" t="s">
        <v>1106</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45985.362172975372</v>
      </c>
      <c r="H2" s="272"/>
      <c r="I2" s="272"/>
      <c r="J2" s="272"/>
      <c r="K2" s="282">
        <v>45985.362172976267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290</v>
      </c>
      <c r="B6" s="8" t="s">
        <v>1107</v>
      </c>
      <c r="C6" s="9">
        <v>0.1041666666666667</v>
      </c>
      <c r="D6" s="8" t="s">
        <v>292</v>
      </c>
      <c r="E6" s="8" t="s">
        <v>61</v>
      </c>
      <c r="F6" s="8" t="s">
        <v>1108</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5" t="s">
        <v>290</v>
      </c>
      <c r="B7" s="15" t="s">
        <v>1107</v>
      </c>
      <c r="C7" s="16">
        <v>0.1041666666666667</v>
      </c>
      <c r="D7" s="15" t="s">
        <v>30</v>
      </c>
      <c r="E7" s="15" t="s">
        <v>64</v>
      </c>
      <c r="F7" s="15" t="s">
        <v>1109</v>
      </c>
      <c r="G7" s="262"/>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27" t="s">
        <v>295</v>
      </c>
      <c r="B8" s="227" t="s">
        <v>1110</v>
      </c>
      <c r="C8" s="228">
        <v>0.76388888888888884</v>
      </c>
      <c r="D8" s="227" t="s">
        <v>37</v>
      </c>
      <c r="E8" s="227" t="s">
        <v>103</v>
      </c>
      <c r="F8" s="227" t="s">
        <v>1111</v>
      </c>
      <c r="G8" s="263"/>
      <c r="H8" s="42"/>
      <c r="I8" s="43"/>
      <c r="J8" s="43"/>
      <c r="K8" s="43"/>
      <c r="L8" s="43"/>
      <c r="M8" s="43"/>
      <c r="N8" s="43"/>
      <c r="O8" s="44"/>
      <c r="P8" s="43"/>
      <c r="Q8" s="45"/>
      <c r="R8" s="4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85"/>
      <c r="B9" s="286"/>
      <c r="C9" s="286"/>
      <c r="D9" s="286"/>
      <c r="E9" s="286"/>
      <c r="F9" s="286"/>
      <c r="G9" s="276"/>
      <c r="H9" s="287"/>
      <c r="I9" s="287"/>
      <c r="J9" s="287"/>
      <c r="K9" s="287"/>
      <c r="L9" s="287"/>
      <c r="M9" s="287"/>
      <c r="N9" s="287"/>
      <c r="O9" s="288"/>
      <c r="P9" s="287"/>
      <c r="Q9" s="276"/>
      <c r="R9" s="27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66" t="s">
        <v>5</v>
      </c>
      <c r="B10" s="267"/>
      <c r="C10" s="267"/>
      <c r="D10" s="267"/>
      <c r="E10" s="267"/>
      <c r="F10" s="267"/>
      <c r="G10" s="5">
        <v>45987</v>
      </c>
      <c r="H10" s="270" t="s">
        <v>6</v>
      </c>
      <c r="I10" s="269"/>
      <c r="J10" s="269"/>
      <c r="K10" s="269"/>
      <c r="L10" s="269"/>
      <c r="M10" s="269"/>
      <c r="N10" s="269"/>
      <c r="O10" s="269"/>
      <c r="P10" s="269"/>
      <c r="Q10" s="269"/>
      <c r="R10" s="26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47" t="s">
        <v>7</v>
      </c>
      <c r="B11" s="47" t="s">
        <v>8</v>
      </c>
      <c r="C11" s="48" t="s">
        <v>9</v>
      </c>
      <c r="D11" s="47" t="s">
        <v>10</v>
      </c>
      <c r="E11" s="47" t="s">
        <v>11</v>
      </c>
      <c r="F11" s="47" t="s">
        <v>12</v>
      </c>
      <c r="G11" s="49" t="s">
        <v>13</v>
      </c>
      <c r="H11" s="47" t="s">
        <v>14</v>
      </c>
      <c r="I11" s="50" t="s">
        <v>15</v>
      </c>
      <c r="J11" s="51" t="s">
        <v>16</v>
      </c>
      <c r="K11" s="52" t="s">
        <v>17</v>
      </c>
      <c r="L11" s="51" t="s">
        <v>18</v>
      </c>
      <c r="M11" s="51" t="s">
        <v>19</v>
      </c>
      <c r="N11" s="51" t="s">
        <v>20</v>
      </c>
      <c r="O11" s="47" t="s">
        <v>21</v>
      </c>
      <c r="P11" s="48" t="s">
        <v>22</v>
      </c>
      <c r="Q11" s="51" t="s">
        <v>23</v>
      </c>
      <c r="R11" s="47"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75" t="s">
        <v>35</v>
      </c>
      <c r="B12" s="75" t="s">
        <v>1112</v>
      </c>
      <c r="C12" s="76">
        <v>0.84375</v>
      </c>
      <c r="D12" s="75" t="s">
        <v>44</v>
      </c>
      <c r="E12" s="164"/>
      <c r="F12" s="75" t="s">
        <v>45</v>
      </c>
      <c r="G12" s="291"/>
      <c r="H12" s="58" t="s">
        <v>1112</v>
      </c>
      <c r="I12" s="59">
        <v>1</v>
      </c>
      <c r="J12" s="60">
        <v>179</v>
      </c>
      <c r="K12" s="61">
        <v>45985</v>
      </c>
      <c r="L12" s="60">
        <v>40</v>
      </c>
      <c r="M12" s="60">
        <v>8</v>
      </c>
      <c r="N12" s="60">
        <v>0</v>
      </c>
      <c r="O12" s="62" t="s">
        <v>46</v>
      </c>
      <c r="P12" s="63">
        <v>0.84375</v>
      </c>
      <c r="Q12" s="60">
        <v>179</v>
      </c>
      <c r="R12" s="64" t="s">
        <v>1113</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85"/>
      <c r="B13" s="286"/>
      <c r="C13" s="286"/>
      <c r="D13" s="286"/>
      <c r="E13" s="286"/>
      <c r="F13" s="286"/>
      <c r="G13" s="276"/>
      <c r="H13" s="287"/>
      <c r="I13" s="287"/>
      <c r="J13" s="287"/>
      <c r="K13" s="287"/>
      <c r="L13" s="287"/>
      <c r="M13" s="287"/>
      <c r="N13" s="287"/>
      <c r="O13" s="288"/>
      <c r="P13" s="287"/>
      <c r="Q13" s="276"/>
      <c r="R13" s="27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66" t="s">
        <v>5</v>
      </c>
      <c r="B14" s="267"/>
      <c r="C14" s="267"/>
      <c r="D14" s="267"/>
      <c r="E14" s="267"/>
      <c r="F14" s="267"/>
      <c r="G14" s="5">
        <v>45988</v>
      </c>
      <c r="H14" s="270" t="s">
        <v>6</v>
      </c>
      <c r="I14" s="269"/>
      <c r="J14" s="269"/>
      <c r="K14" s="269"/>
      <c r="L14" s="269"/>
      <c r="M14" s="269"/>
      <c r="N14" s="269"/>
      <c r="O14" s="269"/>
      <c r="P14" s="269"/>
      <c r="Q14" s="269"/>
      <c r="R14" s="26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47" t="s">
        <v>7</v>
      </c>
      <c r="B15" s="47" t="s">
        <v>8</v>
      </c>
      <c r="C15" s="48" t="s">
        <v>9</v>
      </c>
      <c r="D15" s="47" t="s">
        <v>10</v>
      </c>
      <c r="E15" s="47" t="s">
        <v>11</v>
      </c>
      <c r="F15" s="47" t="s">
        <v>12</v>
      </c>
      <c r="G15" s="49" t="s">
        <v>13</v>
      </c>
      <c r="H15" s="47" t="s">
        <v>14</v>
      </c>
      <c r="I15" s="50" t="s">
        <v>15</v>
      </c>
      <c r="J15" s="51" t="s">
        <v>16</v>
      </c>
      <c r="K15" s="52" t="s">
        <v>17</v>
      </c>
      <c r="L15" s="51" t="s">
        <v>18</v>
      </c>
      <c r="M15" s="51" t="s">
        <v>19</v>
      </c>
      <c r="N15" s="51" t="s">
        <v>20</v>
      </c>
      <c r="O15" s="47" t="s">
        <v>21</v>
      </c>
      <c r="P15" s="48" t="s">
        <v>22</v>
      </c>
      <c r="Q15" s="51" t="s">
        <v>23</v>
      </c>
      <c r="R15" s="4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295</v>
      </c>
      <c r="B16" s="8" t="s">
        <v>1110</v>
      </c>
      <c r="C16" s="9">
        <v>0.80208333333333337</v>
      </c>
      <c r="D16" s="8" t="s">
        <v>37</v>
      </c>
      <c r="E16" s="8" t="s">
        <v>28</v>
      </c>
      <c r="F16" s="8" t="s">
        <v>1111</v>
      </c>
      <c r="G16" s="261"/>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5" t="s">
        <v>35</v>
      </c>
      <c r="B17" s="55" t="s">
        <v>1114</v>
      </c>
      <c r="C17" s="56">
        <v>0.80208333333333337</v>
      </c>
      <c r="D17" s="55" t="s">
        <v>44</v>
      </c>
      <c r="E17" s="57"/>
      <c r="F17" s="55" t="s">
        <v>45</v>
      </c>
      <c r="G17" s="263"/>
      <c r="H17" s="58" t="s">
        <v>1114</v>
      </c>
      <c r="I17" s="59">
        <v>1</v>
      </c>
      <c r="J17" s="60">
        <v>179</v>
      </c>
      <c r="K17" s="61">
        <v>45985</v>
      </c>
      <c r="L17" s="60">
        <v>53</v>
      </c>
      <c r="M17" s="60">
        <v>44</v>
      </c>
      <c r="N17" s="60">
        <v>0</v>
      </c>
      <c r="O17" s="62" t="s">
        <v>46</v>
      </c>
      <c r="P17" s="63">
        <v>0.80208333333333337</v>
      </c>
      <c r="Q17" s="60">
        <v>179</v>
      </c>
      <c r="R17" s="64" t="s">
        <v>1115</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5"/>
      <c r="B18" s="276"/>
      <c r="C18" s="276"/>
      <c r="D18" s="276"/>
      <c r="E18" s="276"/>
      <c r="F18" s="276"/>
      <c r="G18" s="276"/>
      <c r="H18" s="276"/>
      <c r="I18" s="276"/>
      <c r="J18" s="276"/>
      <c r="K18" s="276"/>
      <c r="L18" s="276"/>
      <c r="M18" s="276"/>
      <c r="N18" s="276"/>
      <c r="O18" s="276"/>
      <c r="P18" s="276"/>
      <c r="Q18" s="276"/>
      <c r="R18" s="27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66" t="s">
        <v>5</v>
      </c>
      <c r="B19" s="267"/>
      <c r="C19" s="267"/>
      <c r="D19" s="267"/>
      <c r="E19" s="267"/>
      <c r="F19" s="267"/>
      <c r="G19" s="5">
        <v>45989</v>
      </c>
      <c r="H19" s="270" t="s">
        <v>6</v>
      </c>
      <c r="I19" s="269"/>
      <c r="J19" s="269"/>
      <c r="K19" s="269"/>
      <c r="L19" s="269"/>
      <c r="M19" s="269"/>
      <c r="N19" s="269"/>
      <c r="O19" s="269"/>
      <c r="P19" s="269"/>
      <c r="Q19" s="269"/>
      <c r="R19" s="26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47" t="s">
        <v>7</v>
      </c>
      <c r="B20" s="47" t="s">
        <v>8</v>
      </c>
      <c r="C20" s="48" t="s">
        <v>9</v>
      </c>
      <c r="D20" s="47" t="s">
        <v>10</v>
      </c>
      <c r="E20" s="47" t="s">
        <v>11</v>
      </c>
      <c r="F20" s="47" t="s">
        <v>12</v>
      </c>
      <c r="G20" s="49" t="s">
        <v>13</v>
      </c>
      <c r="H20" s="47" t="s">
        <v>14</v>
      </c>
      <c r="I20" s="50" t="s">
        <v>15</v>
      </c>
      <c r="J20" s="51" t="s">
        <v>16</v>
      </c>
      <c r="K20" s="52" t="s">
        <v>17</v>
      </c>
      <c r="L20" s="51" t="s">
        <v>18</v>
      </c>
      <c r="M20" s="51" t="s">
        <v>19</v>
      </c>
      <c r="N20" s="51" t="s">
        <v>20</v>
      </c>
      <c r="O20" s="47" t="s">
        <v>21</v>
      </c>
      <c r="P20" s="48" t="s">
        <v>22</v>
      </c>
      <c r="Q20" s="51" t="s">
        <v>23</v>
      </c>
      <c r="R20" s="4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8" t="s">
        <v>290</v>
      </c>
      <c r="B21" s="8" t="s">
        <v>1107</v>
      </c>
      <c r="C21" s="9">
        <v>0.72569444444444453</v>
      </c>
      <c r="D21" s="8" t="s">
        <v>292</v>
      </c>
      <c r="E21" s="8" t="s">
        <v>405</v>
      </c>
      <c r="F21" s="8" t="s">
        <v>1116</v>
      </c>
      <c r="G21" s="261"/>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53" t="s">
        <v>290</v>
      </c>
      <c r="B22" s="53" t="s">
        <v>1107</v>
      </c>
      <c r="C22" s="54">
        <v>0.72569444444444453</v>
      </c>
      <c r="D22" s="53" t="s">
        <v>30</v>
      </c>
      <c r="E22" s="53" t="s">
        <v>119</v>
      </c>
      <c r="F22" s="53" t="s">
        <v>1117</v>
      </c>
      <c r="G22" s="263"/>
      <c r="H22" s="42"/>
      <c r="I22" s="43"/>
      <c r="J22" s="43"/>
      <c r="K22" s="43"/>
      <c r="L22" s="43"/>
      <c r="M22" s="43"/>
      <c r="N22" s="43"/>
      <c r="O22" s="44"/>
      <c r="P22" s="43"/>
      <c r="Q22" s="45"/>
      <c r="R22" s="4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85"/>
      <c r="B23" s="286"/>
      <c r="C23" s="286"/>
      <c r="D23" s="286"/>
      <c r="E23" s="286"/>
      <c r="F23" s="286"/>
      <c r="G23" s="276"/>
      <c r="H23" s="287"/>
      <c r="I23" s="287"/>
      <c r="J23" s="287"/>
      <c r="K23" s="287"/>
      <c r="L23" s="287"/>
      <c r="M23" s="287"/>
      <c r="N23" s="287"/>
      <c r="O23" s="288"/>
      <c r="P23" s="287"/>
      <c r="Q23" s="276"/>
      <c r="R23" s="27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66" t="s">
        <v>5</v>
      </c>
      <c r="B24" s="267"/>
      <c r="C24" s="267"/>
      <c r="D24" s="267"/>
      <c r="E24" s="267"/>
      <c r="F24" s="267"/>
      <c r="G24" s="5">
        <v>45990</v>
      </c>
      <c r="H24" s="270" t="s">
        <v>6</v>
      </c>
      <c r="I24" s="269"/>
      <c r="J24" s="269"/>
      <c r="K24" s="269"/>
      <c r="L24" s="269"/>
      <c r="M24" s="269"/>
      <c r="N24" s="269"/>
      <c r="O24" s="269"/>
      <c r="P24" s="269"/>
      <c r="Q24" s="269"/>
      <c r="R24" s="26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47" t="s">
        <v>7</v>
      </c>
      <c r="B25" s="47" t="s">
        <v>8</v>
      </c>
      <c r="C25" s="48" t="s">
        <v>9</v>
      </c>
      <c r="D25" s="47" t="s">
        <v>10</v>
      </c>
      <c r="E25" s="47" t="s">
        <v>11</v>
      </c>
      <c r="F25" s="47" t="s">
        <v>12</v>
      </c>
      <c r="G25" s="49" t="s">
        <v>13</v>
      </c>
      <c r="H25" s="47" t="s">
        <v>14</v>
      </c>
      <c r="I25" s="50" t="s">
        <v>15</v>
      </c>
      <c r="J25" s="51" t="s">
        <v>16</v>
      </c>
      <c r="K25" s="52" t="s">
        <v>17</v>
      </c>
      <c r="L25" s="51" t="s">
        <v>18</v>
      </c>
      <c r="M25" s="51" t="s">
        <v>19</v>
      </c>
      <c r="N25" s="51" t="s">
        <v>20</v>
      </c>
      <c r="O25" s="47" t="s">
        <v>21</v>
      </c>
      <c r="P25" s="48" t="s">
        <v>22</v>
      </c>
      <c r="Q25" s="51" t="s">
        <v>23</v>
      </c>
      <c r="R25" s="4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8" t="s">
        <v>295</v>
      </c>
      <c r="B26" s="8" t="s">
        <v>1118</v>
      </c>
      <c r="C26" s="9">
        <v>3.472222222222222E-3</v>
      </c>
      <c r="D26" s="8" t="s">
        <v>37</v>
      </c>
      <c r="E26" s="8" t="s">
        <v>77</v>
      </c>
      <c r="F26" s="8" t="s">
        <v>1111</v>
      </c>
      <c r="G26" s="261"/>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55" t="s">
        <v>35</v>
      </c>
      <c r="B27" s="55" t="s">
        <v>1114</v>
      </c>
      <c r="C27" s="56">
        <v>0.80208333333333337</v>
      </c>
      <c r="D27" s="55" t="s">
        <v>44</v>
      </c>
      <c r="E27" s="57"/>
      <c r="F27" s="55" t="s">
        <v>1119</v>
      </c>
      <c r="G27" s="263"/>
      <c r="H27" s="58" t="s">
        <v>1114</v>
      </c>
      <c r="I27" s="59">
        <v>0.99439999999999995</v>
      </c>
      <c r="J27" s="60">
        <v>178</v>
      </c>
      <c r="K27" s="61">
        <v>45985</v>
      </c>
      <c r="L27" s="60">
        <v>63</v>
      </c>
      <c r="M27" s="60">
        <v>55</v>
      </c>
      <c r="N27" s="60">
        <v>0</v>
      </c>
      <c r="O27" s="62" t="s">
        <v>258</v>
      </c>
      <c r="P27" s="63">
        <v>0.80208333333333337</v>
      </c>
      <c r="Q27" s="60">
        <v>179</v>
      </c>
      <c r="R27" s="64" t="s">
        <v>1120</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85"/>
      <c r="B28" s="286"/>
      <c r="C28" s="286"/>
      <c r="D28" s="286"/>
      <c r="E28" s="286"/>
      <c r="F28" s="286"/>
      <c r="G28" s="276"/>
      <c r="H28" s="287"/>
      <c r="I28" s="287"/>
      <c r="J28" s="287"/>
      <c r="K28" s="287"/>
      <c r="L28" s="287"/>
      <c r="M28" s="287"/>
      <c r="N28" s="287"/>
      <c r="O28" s="288"/>
      <c r="P28" s="287"/>
      <c r="Q28" s="276"/>
      <c r="R28" s="27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66" t="s">
        <v>5</v>
      </c>
      <c r="B29" s="267"/>
      <c r="C29" s="267"/>
      <c r="D29" s="267"/>
      <c r="E29" s="267"/>
      <c r="F29" s="267"/>
      <c r="G29" s="5">
        <v>45991</v>
      </c>
      <c r="H29" s="270" t="s">
        <v>6</v>
      </c>
      <c r="I29" s="269"/>
      <c r="J29" s="269"/>
      <c r="K29" s="269"/>
      <c r="L29" s="269"/>
      <c r="M29" s="269"/>
      <c r="N29" s="269"/>
      <c r="O29" s="269"/>
      <c r="P29" s="269"/>
      <c r="Q29" s="269"/>
      <c r="R29" s="26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47" t="s">
        <v>7</v>
      </c>
      <c r="B30" s="47" t="s">
        <v>8</v>
      </c>
      <c r="C30" s="48" t="s">
        <v>9</v>
      </c>
      <c r="D30" s="47" t="s">
        <v>10</v>
      </c>
      <c r="E30" s="47" t="s">
        <v>11</v>
      </c>
      <c r="F30" s="47" t="s">
        <v>12</v>
      </c>
      <c r="G30" s="49" t="s">
        <v>13</v>
      </c>
      <c r="H30" s="47" t="s">
        <v>14</v>
      </c>
      <c r="I30" s="50" t="s">
        <v>15</v>
      </c>
      <c r="J30" s="51" t="s">
        <v>16</v>
      </c>
      <c r="K30" s="52" t="s">
        <v>17</v>
      </c>
      <c r="L30" s="51" t="s">
        <v>18</v>
      </c>
      <c r="M30" s="51" t="s">
        <v>19</v>
      </c>
      <c r="N30" s="51" t="s">
        <v>20</v>
      </c>
      <c r="O30" s="47" t="s">
        <v>21</v>
      </c>
      <c r="P30" s="48" t="s">
        <v>22</v>
      </c>
      <c r="Q30" s="51" t="s">
        <v>23</v>
      </c>
      <c r="R30" s="4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238" t="s">
        <v>295</v>
      </c>
      <c r="B31" s="238" t="s">
        <v>1110</v>
      </c>
      <c r="C31" s="239">
        <v>0.71875</v>
      </c>
      <c r="D31" s="238" t="s">
        <v>37</v>
      </c>
      <c r="E31" s="238" t="s">
        <v>103</v>
      </c>
      <c r="F31" s="238" t="s">
        <v>1121</v>
      </c>
      <c r="G31" s="291"/>
      <c r="H31" s="42"/>
      <c r="I31" s="43"/>
      <c r="J31" s="43"/>
      <c r="K31" s="43"/>
      <c r="L31" s="43"/>
      <c r="M31" s="43"/>
      <c r="N31" s="43"/>
      <c r="O31" s="44"/>
      <c r="P31" s="43"/>
      <c r="Q31" s="45"/>
      <c r="R31" s="4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75"/>
      <c r="B32" s="276"/>
      <c r="C32" s="276"/>
      <c r="D32" s="276"/>
      <c r="E32" s="276"/>
      <c r="F32" s="276"/>
      <c r="G32" s="276"/>
      <c r="H32" s="276"/>
      <c r="I32" s="276"/>
      <c r="J32" s="276"/>
      <c r="K32" s="276"/>
      <c r="L32" s="276"/>
      <c r="M32" s="276"/>
      <c r="N32" s="276"/>
      <c r="O32" s="276"/>
      <c r="P32" s="276"/>
      <c r="Q32" s="276"/>
      <c r="R32" s="27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sheetData>
  <mergeCells count="33">
    <mergeCell ref="H14:R14"/>
    <mergeCell ref="G31"/>
    <mergeCell ref="A14:F14"/>
    <mergeCell ref="G12"/>
    <mergeCell ref="A32:R32"/>
    <mergeCell ref="G2:J2"/>
    <mergeCell ref="A4:F4"/>
    <mergeCell ref="A23:R23"/>
    <mergeCell ref="A29:F29"/>
    <mergeCell ref="A10:F10"/>
    <mergeCell ref="A19:F19"/>
    <mergeCell ref="A28:R28"/>
    <mergeCell ref="A13:R13"/>
    <mergeCell ref="K2:R2"/>
    <mergeCell ref="A9:R9"/>
    <mergeCell ref="H19:R19"/>
    <mergeCell ref="G16:G17"/>
    <mergeCell ref="O1:Q1"/>
    <mergeCell ref="H29:R29"/>
    <mergeCell ref="H10:R10"/>
    <mergeCell ref="H4:R4"/>
    <mergeCell ref="A18:R18"/>
    <mergeCell ref="A2:F2"/>
    <mergeCell ref="A3:R3"/>
    <mergeCell ref="J1:M1"/>
    <mergeCell ref="D1:F1"/>
    <mergeCell ref="G26:G27"/>
    <mergeCell ref="A24:F24"/>
    <mergeCell ref="A1:C1"/>
    <mergeCell ref="G1:H1"/>
    <mergeCell ref="H24:R24"/>
    <mergeCell ref="G21:G22"/>
    <mergeCell ref="G6:G8"/>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232</v>
      </c>
      <c r="B2" s="79">
        <v>45987</v>
      </c>
      <c r="C2" s="80" t="s">
        <v>1112</v>
      </c>
      <c r="D2" s="81">
        <v>0.84375</v>
      </c>
      <c r="E2" s="80" t="s">
        <v>1106</v>
      </c>
      <c r="F2" s="80" t="s">
        <v>159</v>
      </c>
      <c r="G2" s="82">
        <v>1</v>
      </c>
      <c r="H2" s="83">
        <v>179</v>
      </c>
      <c r="I2" s="83">
        <v>179</v>
      </c>
      <c r="J2" s="83">
        <v>0</v>
      </c>
      <c r="K2" s="79">
        <v>45985</v>
      </c>
      <c r="L2" s="83">
        <v>8</v>
      </c>
      <c r="M2" s="83">
        <v>0</v>
      </c>
      <c r="N2" s="83">
        <v>40</v>
      </c>
      <c r="O2" s="80" t="s">
        <v>46</v>
      </c>
      <c r="P2" s="84"/>
      <c r="Q2" s="83" t="s">
        <v>1092</v>
      </c>
      <c r="R2" s="83" t="s">
        <v>1122</v>
      </c>
      <c r="S2" s="83" t="s">
        <v>1123</v>
      </c>
      <c r="T2" s="83" t="s">
        <v>1124</v>
      </c>
      <c r="U2" s="83" t="s">
        <v>1125</v>
      </c>
      <c r="V2" s="83" t="s">
        <v>1126</v>
      </c>
      <c r="W2" s="83" t="s">
        <v>852</v>
      </c>
      <c r="X2" s="83" t="s">
        <v>547</v>
      </c>
      <c r="Y2" s="83" t="s">
        <v>643</v>
      </c>
      <c r="Z2" s="83" t="s">
        <v>712</v>
      </c>
      <c r="AA2" s="83" t="s">
        <v>162</v>
      </c>
      <c r="AB2" s="83" t="s">
        <v>1127</v>
      </c>
      <c r="AC2" s="83" t="s">
        <v>170</v>
      </c>
      <c r="AD2" s="83" t="s">
        <v>177</v>
      </c>
      <c r="AE2" s="83" t="s">
        <v>446</v>
      </c>
      <c r="AF2" s="84"/>
      <c r="AG2" s="84"/>
      <c r="AH2" s="84"/>
      <c r="AI2" s="84"/>
    </row>
    <row r="3" spans="1:35" ht="18" x14ac:dyDescent="0.3">
      <c r="A3" s="85" t="s">
        <v>176</v>
      </c>
      <c r="B3" s="86">
        <v>45988</v>
      </c>
      <c r="C3" s="87" t="s">
        <v>1114</v>
      </c>
      <c r="D3" s="88">
        <v>0.80208333333333337</v>
      </c>
      <c r="E3" s="87" t="s">
        <v>1106</v>
      </c>
      <c r="F3" s="87" t="s">
        <v>159</v>
      </c>
      <c r="G3" s="89">
        <v>1</v>
      </c>
      <c r="H3" s="90">
        <v>179</v>
      </c>
      <c r="I3" s="90">
        <v>179</v>
      </c>
      <c r="J3" s="90">
        <v>0</v>
      </c>
      <c r="K3" s="86">
        <v>45985</v>
      </c>
      <c r="L3" s="90">
        <v>44</v>
      </c>
      <c r="M3" s="90">
        <v>0</v>
      </c>
      <c r="N3" s="90">
        <v>53</v>
      </c>
      <c r="O3" s="87" t="s">
        <v>46</v>
      </c>
      <c r="P3" s="90" t="s">
        <v>1128</v>
      </c>
      <c r="Q3" s="90" t="s">
        <v>1129</v>
      </c>
      <c r="R3" s="90" t="s">
        <v>1130</v>
      </c>
      <c r="S3" s="90" t="s">
        <v>1131</v>
      </c>
      <c r="T3" s="90" t="s">
        <v>1132</v>
      </c>
      <c r="U3" s="90" t="s">
        <v>511</v>
      </c>
      <c r="V3" s="90" t="s">
        <v>455</v>
      </c>
      <c r="W3" s="90" t="s">
        <v>852</v>
      </c>
      <c r="X3" s="90" t="s">
        <v>547</v>
      </c>
      <c r="Y3" s="90" t="s">
        <v>643</v>
      </c>
      <c r="Z3" s="90" t="s">
        <v>867</v>
      </c>
      <c r="AA3" s="90" t="s">
        <v>489</v>
      </c>
      <c r="AB3" s="90" t="s">
        <v>188</v>
      </c>
      <c r="AC3" s="90" t="s">
        <v>502</v>
      </c>
      <c r="AD3" s="90" t="s">
        <v>859</v>
      </c>
      <c r="AE3" s="90" t="s">
        <v>233</v>
      </c>
      <c r="AF3" s="91"/>
      <c r="AG3" s="91"/>
      <c r="AH3" s="91"/>
      <c r="AI3" s="91"/>
    </row>
    <row r="4" spans="1:35" ht="18" x14ac:dyDescent="0.3">
      <c r="A4" s="78" t="s">
        <v>179</v>
      </c>
      <c r="B4" s="79">
        <v>45990</v>
      </c>
      <c r="C4" s="80" t="s">
        <v>1114</v>
      </c>
      <c r="D4" s="81">
        <v>0.80208333333333337</v>
      </c>
      <c r="E4" s="80" t="s">
        <v>1106</v>
      </c>
      <c r="F4" s="80" t="s">
        <v>159</v>
      </c>
      <c r="G4" s="82">
        <v>0.99439999999999995</v>
      </c>
      <c r="H4" s="83">
        <v>179</v>
      </c>
      <c r="I4" s="83">
        <v>178</v>
      </c>
      <c r="J4" s="83">
        <v>0</v>
      </c>
      <c r="K4" s="79">
        <v>45985</v>
      </c>
      <c r="L4" s="83">
        <v>55</v>
      </c>
      <c r="M4" s="83">
        <v>0</v>
      </c>
      <c r="N4" s="83">
        <v>63</v>
      </c>
      <c r="O4" s="80" t="s">
        <v>258</v>
      </c>
      <c r="P4" s="83" t="s">
        <v>1133</v>
      </c>
      <c r="Q4" s="83" t="s">
        <v>1092</v>
      </c>
      <c r="R4" s="83" t="s">
        <v>834</v>
      </c>
      <c r="S4" s="83" t="s">
        <v>1134</v>
      </c>
      <c r="T4" s="83" t="s">
        <v>1066</v>
      </c>
      <c r="U4" s="84"/>
      <c r="V4" s="84"/>
      <c r="W4" s="83" t="s">
        <v>852</v>
      </c>
      <c r="X4" s="83" t="s">
        <v>235</v>
      </c>
      <c r="Y4" s="83" t="s">
        <v>429</v>
      </c>
      <c r="Z4" s="83" t="s">
        <v>712</v>
      </c>
      <c r="AA4" s="83" t="s">
        <v>489</v>
      </c>
      <c r="AB4" s="83" t="s">
        <v>181</v>
      </c>
      <c r="AC4" s="83" t="s">
        <v>263</v>
      </c>
      <c r="AD4" s="83" t="s">
        <v>868</v>
      </c>
      <c r="AE4" s="83" t="s">
        <v>446</v>
      </c>
      <c r="AF4" s="84"/>
      <c r="AG4" s="84"/>
      <c r="AH4" s="84"/>
      <c r="AI4" s="84"/>
    </row>
    <row r="5" spans="1:35" ht="18" x14ac:dyDescent="0.3">
      <c r="A5" s="92" t="s">
        <v>189</v>
      </c>
      <c r="B5" s="93"/>
      <c r="C5" s="94">
        <f>COUNTA(C2:C4)</f>
        <v>3</v>
      </c>
      <c r="D5" s="93"/>
      <c r="E5" s="93"/>
      <c r="F5" s="93"/>
      <c r="G5" s="95">
        <f>AVERAGE(G2:G4)</f>
        <v>0.99813333333333321</v>
      </c>
      <c r="H5" s="96">
        <f>SUM(H2:H4)</f>
        <v>537</v>
      </c>
      <c r="I5" s="96">
        <f>SUM(I2:I4)</f>
        <v>536</v>
      </c>
      <c r="J5" s="96">
        <f>SUM(J2:J4)</f>
        <v>0</v>
      </c>
      <c r="K5" s="93"/>
      <c r="L5" s="96">
        <f>SUM(L2:L4)</f>
        <v>107</v>
      </c>
      <c r="M5" s="96">
        <f>SUM(M2:M4)</f>
        <v>0</v>
      </c>
      <c r="N5" s="96">
        <f>SUM(N2:N4)</f>
        <v>156</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2"/>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290</v>
      </c>
      <c r="C2" s="100" t="s">
        <v>1107</v>
      </c>
      <c r="D2" s="99" t="s">
        <v>1106</v>
      </c>
      <c r="E2" s="101">
        <v>1.104166666666667</v>
      </c>
      <c r="F2" s="99" t="s">
        <v>292</v>
      </c>
      <c r="G2" s="102">
        <v>1</v>
      </c>
      <c r="H2" s="103" t="s">
        <v>1108</v>
      </c>
    </row>
    <row r="3" spans="1:8" ht="18" x14ac:dyDescent="0.3">
      <c r="A3" s="104">
        <v>45986</v>
      </c>
      <c r="B3" s="105" t="s">
        <v>290</v>
      </c>
      <c r="C3" s="106" t="s">
        <v>1107</v>
      </c>
      <c r="D3" s="105" t="s">
        <v>1106</v>
      </c>
      <c r="E3" s="107">
        <v>1.104166666666667</v>
      </c>
      <c r="F3" s="105" t="s">
        <v>30</v>
      </c>
      <c r="G3" s="108">
        <v>1</v>
      </c>
      <c r="H3" s="105" t="s">
        <v>1109</v>
      </c>
    </row>
    <row r="4" spans="1:8" ht="18" x14ac:dyDescent="0.3">
      <c r="A4" s="169">
        <v>45986</v>
      </c>
      <c r="B4" s="170" t="s">
        <v>295</v>
      </c>
      <c r="C4" s="171" t="s">
        <v>1110</v>
      </c>
      <c r="D4" s="170" t="s">
        <v>1106</v>
      </c>
      <c r="E4" s="172">
        <v>1.7638888888888891</v>
      </c>
      <c r="F4" s="170" t="s">
        <v>37</v>
      </c>
      <c r="G4" s="173">
        <v>2</v>
      </c>
      <c r="H4" s="170" t="s">
        <v>1111</v>
      </c>
    </row>
    <row r="5" spans="1:8" ht="18" x14ac:dyDescent="0.3">
      <c r="A5" s="252">
        <v>45987</v>
      </c>
      <c r="B5" s="135" t="s">
        <v>35</v>
      </c>
      <c r="C5" s="136" t="s">
        <v>1112</v>
      </c>
      <c r="D5" s="135" t="s">
        <v>1106</v>
      </c>
      <c r="E5" s="137">
        <v>1.84375</v>
      </c>
      <c r="F5" s="135" t="s">
        <v>44</v>
      </c>
      <c r="G5" s="135"/>
      <c r="H5" s="253" t="s">
        <v>45</v>
      </c>
    </row>
    <row r="6" spans="1:8" ht="18" x14ac:dyDescent="0.3">
      <c r="A6" s="98">
        <v>45988</v>
      </c>
      <c r="B6" s="99" t="s">
        <v>295</v>
      </c>
      <c r="C6" s="100" t="s">
        <v>1110</v>
      </c>
      <c r="D6" s="99" t="s">
        <v>1106</v>
      </c>
      <c r="E6" s="101">
        <v>1.802083333333333</v>
      </c>
      <c r="F6" s="99" t="s">
        <v>37</v>
      </c>
      <c r="G6" s="102">
        <v>8</v>
      </c>
      <c r="H6" s="103" t="s">
        <v>1111</v>
      </c>
    </row>
    <row r="7" spans="1:8" ht="18" x14ac:dyDescent="0.3">
      <c r="A7" s="134">
        <v>45988</v>
      </c>
      <c r="B7" s="135" t="s">
        <v>35</v>
      </c>
      <c r="C7" s="136" t="s">
        <v>1114</v>
      </c>
      <c r="D7" s="135" t="s">
        <v>1106</v>
      </c>
      <c r="E7" s="137">
        <v>1.802083333333333</v>
      </c>
      <c r="F7" s="135" t="s">
        <v>44</v>
      </c>
      <c r="G7" s="135"/>
      <c r="H7" s="135" t="s">
        <v>45</v>
      </c>
    </row>
    <row r="8" spans="1:8" ht="18" x14ac:dyDescent="0.3">
      <c r="A8" s="98">
        <v>45989</v>
      </c>
      <c r="B8" s="99" t="s">
        <v>290</v>
      </c>
      <c r="C8" s="100" t="s">
        <v>1107</v>
      </c>
      <c r="D8" s="99" t="s">
        <v>1106</v>
      </c>
      <c r="E8" s="101">
        <v>1.725694444444444</v>
      </c>
      <c r="F8" s="99" t="s">
        <v>292</v>
      </c>
      <c r="G8" s="102">
        <v>9</v>
      </c>
      <c r="H8" s="103" t="s">
        <v>1116</v>
      </c>
    </row>
    <row r="9" spans="1:8" ht="18" x14ac:dyDescent="0.3">
      <c r="A9" s="129">
        <v>45989</v>
      </c>
      <c r="B9" s="130" t="s">
        <v>290</v>
      </c>
      <c r="C9" s="131" t="s">
        <v>1107</v>
      </c>
      <c r="D9" s="130" t="s">
        <v>1106</v>
      </c>
      <c r="E9" s="132">
        <v>1.725694444444444</v>
      </c>
      <c r="F9" s="130" t="s">
        <v>30</v>
      </c>
      <c r="G9" s="133">
        <v>9</v>
      </c>
      <c r="H9" s="130" t="s">
        <v>1117</v>
      </c>
    </row>
    <row r="10" spans="1:8" ht="18" x14ac:dyDescent="0.3">
      <c r="A10" s="98">
        <v>45990</v>
      </c>
      <c r="B10" s="99" t="s">
        <v>295</v>
      </c>
      <c r="C10" s="100" t="s">
        <v>1118</v>
      </c>
      <c r="D10" s="99" t="s">
        <v>1106</v>
      </c>
      <c r="E10" s="101">
        <v>1.0034722222222221</v>
      </c>
      <c r="F10" s="99" t="s">
        <v>37</v>
      </c>
      <c r="G10" s="102">
        <v>9</v>
      </c>
      <c r="H10" s="103" t="s">
        <v>1111</v>
      </c>
    </row>
    <row r="11" spans="1:8" ht="18" x14ac:dyDescent="0.3">
      <c r="A11" s="134">
        <v>45990</v>
      </c>
      <c r="B11" s="135" t="s">
        <v>35</v>
      </c>
      <c r="C11" s="136" t="s">
        <v>1114</v>
      </c>
      <c r="D11" s="135" t="s">
        <v>1106</v>
      </c>
      <c r="E11" s="137">
        <v>1.802083333333333</v>
      </c>
      <c r="F11" s="135" t="s">
        <v>44</v>
      </c>
      <c r="G11" s="135"/>
      <c r="H11" s="135" t="s">
        <v>1119</v>
      </c>
    </row>
    <row r="12" spans="1:8" ht="18" x14ac:dyDescent="0.3">
      <c r="A12" s="240">
        <v>45991</v>
      </c>
      <c r="B12" s="170" t="s">
        <v>295</v>
      </c>
      <c r="C12" s="171" t="s">
        <v>1110</v>
      </c>
      <c r="D12" s="170" t="s">
        <v>1106</v>
      </c>
      <c r="E12" s="172">
        <v>1.71875</v>
      </c>
      <c r="F12" s="170" t="s">
        <v>37</v>
      </c>
      <c r="G12" s="173">
        <v>2</v>
      </c>
      <c r="H12" s="241" t="s">
        <v>1121</v>
      </c>
    </row>
  </sheetData>
  <dataValidations count="3">
    <dataValidation type="custom" allowBlank="1" showInputMessage="1" promptTitle="LOAD FACTOR ANALYSIS" prompt="SM447_x000d__x000a_LF 1.0%_x000d__x000a_SOLD 179_x000d__x000a_LST-SOLD 24NOV_x000d__x000a_WEEKLY 40_x000d__x000a_TO-DAY 8_x000d__x000a_Y-DAY NIL_x000d__x000a_LOWEST AVAIL CLOSED_x000d__x000a_CAPACITY 179_x000d__x000a_CLASSES B5 &amp; M15 &amp; H14 &amp; +12 more" sqref="A5 B5 C5 D5 E5 F5 G5 H5" xr:uid="{00000000-0002-0000-3C00-000000000000}">
      <formula1>TRUE</formula1>
    </dataValidation>
    <dataValidation type="custom" allowBlank="1" showInputMessage="1" promptTitle="LOAD FACTOR ANALYSIS" prompt="SM443_x000d__x000a_LF 1.0%_x000d__x000a_SOLD 179_x000d__x000a_LST-SOLD 24NOV_x000d__x000a_WEEKLY 53_x000d__x000a_TO-DAY 44_x000d__x000a_Y-DAY NIL_x000d__x000a_LOWEST AVAIL CLOSED_x000d__x000a_CAPACITY 179_x000d__x000a_CLASSES Y25 &amp; B15 &amp; M14 &amp; +13 more" sqref="A7 B7 C7 D7 E7 F7 G7 H7" xr:uid="{00000000-0002-0000-3C00-000001000000}">
      <formula1>TRUE</formula1>
    </dataValidation>
    <dataValidation type="custom" allowBlank="1" showInputMessage="1" promptTitle="LOAD FACTOR ANALYSIS" prompt="SM443_x000d__x000a_LF 99.4%_x000d__x000a_SOLD 178_x000d__x000a_LST-SOLD 24NOV_x000d__x000a_WEEKLY 63_x000d__x000a_TO-DAY 55_x000d__x000a_Y-DAY NIL_x000d__x000a_LOWEST AVAIL Y1_x000d__x000a_CAPACITY 179_x000d__x000a_CLASSES Y72 &amp; B5 &amp; M9 &amp; +11 more" sqref="A11 B11 C11 D11 E11 F11 G11 H11" xr:uid="{00000000-0002-0000-3C00-000002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1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41.55468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3.21875" bestFit="1" customWidth="1"/>
  </cols>
  <sheetData>
    <row r="1" spans="1:92" ht="28.8" customHeight="1" x14ac:dyDescent="0.3">
      <c r="A1" s="284" t="s">
        <v>0</v>
      </c>
      <c r="B1" s="265"/>
      <c r="C1" s="265"/>
      <c r="D1" s="284" t="s">
        <v>1135</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45985.362174612972</v>
      </c>
      <c r="H2" s="272"/>
      <c r="I2" s="272"/>
      <c r="J2" s="272"/>
      <c r="K2" s="282">
        <v>45985.362174613481</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45989</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83" t="s">
        <v>35</v>
      </c>
      <c r="B6" s="183" t="s">
        <v>1136</v>
      </c>
      <c r="C6" s="184">
        <v>0.58333333333333337</v>
      </c>
      <c r="D6" s="183" t="s">
        <v>44</v>
      </c>
      <c r="E6" s="185"/>
      <c r="F6" s="183" t="s">
        <v>45</v>
      </c>
      <c r="G6" s="261"/>
      <c r="H6" s="186" t="s">
        <v>1136</v>
      </c>
      <c r="I6" s="187">
        <v>1</v>
      </c>
      <c r="J6" s="188">
        <v>179</v>
      </c>
      <c r="K6" s="189">
        <v>45985</v>
      </c>
      <c r="L6" s="188">
        <v>49</v>
      </c>
      <c r="M6" s="188">
        <v>1</v>
      </c>
      <c r="N6" s="188">
        <v>1</v>
      </c>
      <c r="O6" s="190" t="s">
        <v>46</v>
      </c>
      <c r="P6" s="191">
        <v>0.58333333333333337</v>
      </c>
      <c r="Q6" s="188">
        <v>179</v>
      </c>
      <c r="R6" s="192" t="s">
        <v>1137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1138</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38" t="s">
        <v>290</v>
      </c>
      <c r="B8" s="38" t="s">
        <v>1107</v>
      </c>
      <c r="C8" s="39" t="s">
        <v>900</v>
      </c>
      <c r="D8" s="38" t="s">
        <v>292</v>
      </c>
      <c r="E8" s="38" t="s">
        <v>249</v>
      </c>
      <c r="F8" s="38" t="s">
        <v>1116</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40" t="s">
        <v>290</v>
      </c>
      <c r="B9" s="40" t="s">
        <v>1107</v>
      </c>
      <c r="C9" s="41" t="s">
        <v>900</v>
      </c>
      <c r="D9" s="40" t="s">
        <v>30</v>
      </c>
      <c r="E9" s="40" t="s">
        <v>249</v>
      </c>
      <c r="F9" s="40" t="s">
        <v>1117</v>
      </c>
      <c r="G9" s="263"/>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75"/>
      <c r="B10" s="276"/>
      <c r="C10" s="276"/>
      <c r="D10" s="276"/>
      <c r="E10" s="276"/>
      <c r="F10" s="276"/>
      <c r="G10" s="276"/>
      <c r="H10" s="276"/>
      <c r="I10" s="276"/>
      <c r="J10" s="276"/>
      <c r="K10" s="276"/>
      <c r="L10" s="276"/>
      <c r="M10" s="276"/>
      <c r="N10" s="276"/>
      <c r="O10" s="276"/>
      <c r="P10" s="276"/>
      <c r="Q10" s="276"/>
      <c r="R10" s="27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sheetData>
  <mergeCells count="14">
    <mergeCell ref="A10:R10"/>
    <mergeCell ref="K2:R2"/>
    <mergeCell ref="G2:J2"/>
    <mergeCell ref="A4:F4"/>
    <mergeCell ref="G6:G9"/>
    <mergeCell ref="A7:F7"/>
    <mergeCell ref="A2:F2"/>
    <mergeCell ref="A3:R3"/>
    <mergeCell ref="O1:Q1"/>
    <mergeCell ref="H4:R4"/>
    <mergeCell ref="A1:C1"/>
    <mergeCell ref="G1:H1"/>
    <mergeCell ref="D1:F1"/>
    <mergeCell ref="J1:M1"/>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3"/>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510</v>
      </c>
      <c r="B2" s="79">
        <v>45989</v>
      </c>
      <c r="C2" s="80" t="s">
        <v>1136</v>
      </c>
      <c r="D2" s="81">
        <v>0.58333333333333337</v>
      </c>
      <c r="E2" s="80" t="s">
        <v>1135</v>
      </c>
      <c r="F2" s="80" t="s">
        <v>159</v>
      </c>
      <c r="G2" s="82">
        <v>1</v>
      </c>
      <c r="H2" s="83">
        <v>179</v>
      </c>
      <c r="I2" s="83">
        <v>179</v>
      </c>
      <c r="J2" s="83">
        <v>0</v>
      </c>
      <c r="K2" s="79">
        <v>45985</v>
      </c>
      <c r="L2" s="83">
        <v>1</v>
      </c>
      <c r="M2" s="83">
        <v>1</v>
      </c>
      <c r="N2" s="83">
        <v>49</v>
      </c>
      <c r="O2" s="80" t="s">
        <v>46</v>
      </c>
      <c r="P2" s="84"/>
      <c r="Q2" s="84"/>
      <c r="R2" s="84"/>
      <c r="S2" s="84"/>
      <c r="T2" s="84"/>
      <c r="U2" s="84"/>
      <c r="V2" s="84"/>
      <c r="W2" s="83" t="s">
        <v>852</v>
      </c>
      <c r="X2" s="83" t="s">
        <v>1104</v>
      </c>
      <c r="Y2" s="83" t="s">
        <v>1139</v>
      </c>
      <c r="Z2" s="83" t="s">
        <v>540</v>
      </c>
      <c r="AA2" s="83" t="s">
        <v>1140</v>
      </c>
      <c r="AB2" s="83" t="s">
        <v>253</v>
      </c>
      <c r="AC2" s="83" t="s">
        <v>1141</v>
      </c>
      <c r="AD2" s="83" t="s">
        <v>1142</v>
      </c>
      <c r="AE2" s="84"/>
      <c r="AF2" s="84"/>
      <c r="AG2" s="84"/>
      <c r="AH2" s="84"/>
      <c r="AI2" s="84"/>
    </row>
    <row r="3" spans="1:35" ht="18" x14ac:dyDescent="0.3">
      <c r="A3" s="92" t="s">
        <v>189</v>
      </c>
      <c r="B3" s="93"/>
      <c r="C3" s="94">
        <f>COUNTA(C2:C2)</f>
        <v>1</v>
      </c>
      <c r="D3" s="93"/>
      <c r="E3" s="93"/>
      <c r="F3" s="93"/>
      <c r="G3" s="95">
        <f>AVERAGE(G2:G2)</f>
        <v>1</v>
      </c>
      <c r="H3" s="96">
        <f>SUM(H2:H2)</f>
        <v>179</v>
      </c>
      <c r="I3" s="96">
        <f>SUM(I2:I2)</f>
        <v>179</v>
      </c>
      <c r="J3" s="96">
        <f>SUM(J2:J2)</f>
        <v>0</v>
      </c>
      <c r="K3" s="93"/>
      <c r="L3" s="96">
        <f>SUM(L2:L2)</f>
        <v>1</v>
      </c>
      <c r="M3" s="96">
        <f>SUM(M2:M2)</f>
        <v>1</v>
      </c>
      <c r="N3" s="96">
        <f>SUM(N2:N2)</f>
        <v>49</v>
      </c>
      <c r="O3" s="93"/>
      <c r="P3" s="96">
        <f t="shared" ref="P3:AI3" si="0">SUMPRODUCT(--IFERROR(VALUE(SUBSTITUTE(SUBSTITUTE(SUBSTITUTE(SUBSTITUTE(SUBSTITUTE(SUBSTITUTE(SUBSTITUTE(SUBSTITUTE(SUBSTITUTE(SUBSTITUTE(SUBSTITUTE(SUBSTITUTE(SUBSTITUTE(SUBSTITUTE(SUBSTITUTE(SUBSTITUTE(SUBSTITUTE(SUBSTITUTE(SUBSTITUTE(SUBSTITUTE(P2:P2,"Y",""),"B",""),"M",""),"H",""),"Q",""),"K",""),"V",""),"L",""),"G",""),"S",""),"W",""),"T",""),"X",""),"U",""),"O",""),"I",""),"E",""),"A",""),"P",""),"N","")),0))</f>
        <v>0</v>
      </c>
      <c r="Q3" s="96">
        <f t="shared" si="0"/>
        <v>0</v>
      </c>
      <c r="R3" s="96">
        <f t="shared" si="0"/>
        <v>0</v>
      </c>
      <c r="S3" s="96">
        <f t="shared" si="0"/>
        <v>0</v>
      </c>
      <c r="T3" s="96">
        <f t="shared" si="0"/>
        <v>0</v>
      </c>
      <c r="U3" s="96">
        <f t="shared" si="0"/>
        <v>0</v>
      </c>
      <c r="V3" s="96">
        <f t="shared" si="0"/>
        <v>0</v>
      </c>
      <c r="W3" s="96">
        <f t="shared" si="0"/>
        <v>9</v>
      </c>
      <c r="X3" s="96">
        <f t="shared" si="0"/>
        <v>20</v>
      </c>
      <c r="Y3" s="96">
        <f t="shared" si="0"/>
        <v>20</v>
      </c>
      <c r="Z3" s="96">
        <f t="shared" si="0"/>
        <v>20</v>
      </c>
      <c r="AA3" s="96">
        <f t="shared" si="0"/>
        <v>38</v>
      </c>
      <c r="AB3" s="96">
        <f t="shared" si="0"/>
        <v>18</v>
      </c>
      <c r="AC3" s="96">
        <f t="shared" si="0"/>
        <v>27</v>
      </c>
      <c r="AD3" s="96">
        <f t="shared" si="0"/>
        <v>27</v>
      </c>
      <c r="AE3" s="96">
        <f t="shared" si="0"/>
        <v>0</v>
      </c>
      <c r="AF3" s="96">
        <f t="shared" si="0"/>
        <v>0</v>
      </c>
      <c r="AG3" s="96">
        <f t="shared" si="0"/>
        <v>0</v>
      </c>
      <c r="AH3" s="96">
        <f t="shared" si="0"/>
        <v>0</v>
      </c>
      <c r="AI3" s="96">
        <f t="shared" si="0"/>
        <v>0</v>
      </c>
    </row>
  </sheetData>
  <autoFilter ref="A1:AI2"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5"/>
  <sheetViews>
    <sheetView workbookViewId="0"/>
  </sheetViews>
  <sheetFormatPr defaultRowHeight="14.4" x14ac:dyDescent="0.3"/>
  <cols>
    <col min="1" max="1" width="13"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5.6" x14ac:dyDescent="0.3">
      <c r="A2" s="167"/>
      <c r="B2" s="167"/>
      <c r="C2" s="167"/>
      <c r="D2" s="167"/>
      <c r="E2" s="168" t="s">
        <v>1143</v>
      </c>
      <c r="F2" s="167"/>
      <c r="G2" s="167"/>
      <c r="H2" s="3"/>
    </row>
    <row r="3" spans="1:8" ht="18" x14ac:dyDescent="0.3">
      <c r="A3" s="98">
        <v>45986</v>
      </c>
      <c r="B3" s="99" t="s">
        <v>290</v>
      </c>
      <c r="C3" s="100" t="s">
        <v>1107</v>
      </c>
      <c r="D3" s="99" t="s">
        <v>1106</v>
      </c>
      <c r="E3" s="101">
        <v>1.104166666666667</v>
      </c>
      <c r="F3" s="99" t="s">
        <v>292</v>
      </c>
      <c r="G3" s="102">
        <v>1</v>
      </c>
      <c r="H3" s="103" t="s">
        <v>1108</v>
      </c>
    </row>
    <row r="4" spans="1:8" ht="18" x14ac:dyDescent="0.3">
      <c r="A4" s="104">
        <v>45986</v>
      </c>
      <c r="B4" s="105" t="s">
        <v>290</v>
      </c>
      <c r="C4" s="106" t="s">
        <v>1107</v>
      </c>
      <c r="D4" s="105" t="s">
        <v>1106</v>
      </c>
      <c r="E4" s="107">
        <v>1.104166666666667</v>
      </c>
      <c r="F4" s="105" t="s">
        <v>30</v>
      </c>
      <c r="G4" s="108">
        <v>1</v>
      </c>
      <c r="H4" s="105" t="s">
        <v>1109</v>
      </c>
    </row>
    <row r="5" spans="1:8" ht="18" x14ac:dyDescent="0.3">
      <c r="A5" s="169">
        <v>45986</v>
      </c>
      <c r="B5" s="170" t="s">
        <v>295</v>
      </c>
      <c r="C5" s="171" t="s">
        <v>1110</v>
      </c>
      <c r="D5" s="170" t="s">
        <v>1106</v>
      </c>
      <c r="E5" s="172">
        <v>1.7638888888888891</v>
      </c>
      <c r="F5" s="170" t="s">
        <v>37</v>
      </c>
      <c r="G5" s="173">
        <v>2</v>
      </c>
      <c r="H5" s="170" t="s">
        <v>1111</v>
      </c>
    </row>
    <row r="6" spans="1:8" ht="15.6" x14ac:dyDescent="0.3">
      <c r="A6" s="167"/>
      <c r="B6" s="167"/>
      <c r="C6" s="167"/>
      <c r="D6" s="167"/>
      <c r="E6" s="168" t="s">
        <v>1143</v>
      </c>
      <c r="F6" s="167"/>
      <c r="G6" s="167"/>
      <c r="H6" s="3"/>
    </row>
    <row r="7" spans="1:8" ht="18" x14ac:dyDescent="0.3">
      <c r="A7" s="240">
        <v>45988</v>
      </c>
      <c r="B7" s="170" t="s">
        <v>295</v>
      </c>
      <c r="C7" s="171" t="s">
        <v>1110</v>
      </c>
      <c r="D7" s="170" t="s">
        <v>1106</v>
      </c>
      <c r="E7" s="172">
        <v>1.802083333333333</v>
      </c>
      <c r="F7" s="170" t="s">
        <v>37</v>
      </c>
      <c r="G7" s="173">
        <v>8</v>
      </c>
      <c r="H7" s="241" t="s">
        <v>1111</v>
      </c>
    </row>
    <row r="8" spans="1:8" ht="18" x14ac:dyDescent="0.3">
      <c r="A8" s="165">
        <v>45989</v>
      </c>
      <c r="B8" s="110" t="s">
        <v>35</v>
      </c>
      <c r="C8" s="111" t="s">
        <v>1136</v>
      </c>
      <c r="D8" s="110" t="s">
        <v>1135</v>
      </c>
      <c r="E8" s="112">
        <v>1.583333333333333</v>
      </c>
      <c r="F8" s="110" t="s">
        <v>44</v>
      </c>
      <c r="G8" s="110"/>
      <c r="H8" s="166" t="s">
        <v>45</v>
      </c>
    </row>
    <row r="9" spans="1:8" ht="15.6" x14ac:dyDescent="0.3">
      <c r="A9" s="167"/>
      <c r="B9" s="167"/>
      <c r="C9" s="167"/>
      <c r="D9" s="167"/>
      <c r="E9" s="168" t="s">
        <v>1143</v>
      </c>
      <c r="F9" s="167"/>
      <c r="G9" s="167"/>
      <c r="H9" s="3"/>
    </row>
    <row r="10" spans="1:8" ht="18" x14ac:dyDescent="0.3">
      <c r="A10" s="118">
        <v>45989</v>
      </c>
      <c r="B10" s="99" t="s">
        <v>290</v>
      </c>
      <c r="C10" s="100" t="s">
        <v>1107</v>
      </c>
      <c r="D10" s="99" t="s">
        <v>1106</v>
      </c>
      <c r="E10" s="101">
        <v>1.725694444444444</v>
      </c>
      <c r="F10" s="99" t="s">
        <v>292</v>
      </c>
      <c r="G10" s="102">
        <v>9</v>
      </c>
      <c r="H10" s="99" t="s">
        <v>1116</v>
      </c>
    </row>
    <row r="11" spans="1:8" ht="18" x14ac:dyDescent="0.3">
      <c r="A11" s="129">
        <v>45989</v>
      </c>
      <c r="B11" s="130" t="s">
        <v>290</v>
      </c>
      <c r="C11" s="131" t="s">
        <v>1107</v>
      </c>
      <c r="D11" s="130" t="s">
        <v>1106</v>
      </c>
      <c r="E11" s="132">
        <v>1.725694444444444</v>
      </c>
      <c r="F11" s="130" t="s">
        <v>30</v>
      </c>
      <c r="G11" s="133">
        <v>9</v>
      </c>
      <c r="H11" s="130" t="s">
        <v>1117</v>
      </c>
    </row>
    <row r="12" spans="1:8" ht="15.6" x14ac:dyDescent="0.3">
      <c r="A12" s="167"/>
      <c r="B12" s="167"/>
      <c r="C12" s="167"/>
      <c r="D12" s="167"/>
      <c r="E12" s="168" t="s">
        <v>1143</v>
      </c>
      <c r="F12" s="167"/>
      <c r="G12" s="167"/>
      <c r="H12" s="3"/>
    </row>
    <row r="13" spans="1:8" ht="18" x14ac:dyDescent="0.3">
      <c r="A13" s="240">
        <v>45990</v>
      </c>
      <c r="B13" s="170" t="s">
        <v>295</v>
      </c>
      <c r="C13" s="171" t="s">
        <v>1118</v>
      </c>
      <c r="D13" s="170" t="s">
        <v>1106</v>
      </c>
      <c r="E13" s="172">
        <v>1.0034722222222221</v>
      </c>
      <c r="F13" s="170" t="s">
        <v>37</v>
      </c>
      <c r="G13" s="173">
        <v>9</v>
      </c>
      <c r="H13" s="241" t="s">
        <v>1111</v>
      </c>
    </row>
    <row r="14" spans="1:8" ht="15.6" x14ac:dyDescent="0.3">
      <c r="A14" s="167"/>
      <c r="B14" s="167"/>
      <c r="C14" s="167"/>
      <c r="D14" s="167"/>
      <c r="E14" s="168" t="s">
        <v>1143</v>
      </c>
      <c r="F14" s="167"/>
      <c r="G14" s="167"/>
      <c r="H14" s="3"/>
    </row>
    <row r="15" spans="1:8" ht="18" x14ac:dyDescent="0.3">
      <c r="A15" s="240">
        <v>45991</v>
      </c>
      <c r="B15" s="170" t="s">
        <v>295</v>
      </c>
      <c r="C15" s="171" t="s">
        <v>1110</v>
      </c>
      <c r="D15" s="170" t="s">
        <v>1106</v>
      </c>
      <c r="E15" s="172">
        <v>1.71875</v>
      </c>
      <c r="F15" s="170" t="s">
        <v>37</v>
      </c>
      <c r="G15" s="173">
        <v>2</v>
      </c>
      <c r="H15" s="241" t="s">
        <v>1121</v>
      </c>
    </row>
  </sheetData>
  <dataValidations count="1">
    <dataValidation type="custom" allowBlank="1" showInputMessage="1" promptTitle="LOAD FACTOR ANALYSIS" prompt="SM445_x000d__x000a_LF 1.0%_x000d__x000a_SOLD 179_x000d__x000a_LST-SOLD 24NOV_x000d__x000a_WEEKLY 49_x000d__x000a_TO-DAY 1_x000d__x000a_Y-DAY 1_x000d__x000a_LOWEST AVAIL CLOSED_x000d__x000a_CAPACITY 179_x000d__x000a_CLASSES L9 &amp; G20 &amp; S20 &amp; +5 more" sqref="A8 B8 C8 D8 E8 F8 G8 H8" xr:uid="{00000000-0002-0000-3F00-000000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4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9.88671875" bestFit="1" customWidth="1"/>
  </cols>
  <sheetData>
    <row r="1" spans="1:92" ht="28.8" customHeight="1" x14ac:dyDescent="0.3">
      <c r="A1" s="284" t="s">
        <v>0</v>
      </c>
      <c r="B1" s="265"/>
      <c r="C1" s="265"/>
      <c r="D1" s="284" t="s">
        <v>1144</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45985.362175342743</v>
      </c>
      <c r="H2" s="272"/>
      <c r="I2" s="272"/>
      <c r="J2" s="272"/>
      <c r="K2" s="282">
        <v>45985.362175343267</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295</v>
      </c>
      <c r="B6" s="8" t="s">
        <v>1145</v>
      </c>
      <c r="C6" s="9">
        <v>0.48958333333333331</v>
      </c>
      <c r="D6" s="8" t="s">
        <v>37</v>
      </c>
      <c r="E6" s="8" t="s">
        <v>103</v>
      </c>
      <c r="F6" s="8" t="s">
        <v>1146</v>
      </c>
      <c r="G6" s="261"/>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27" t="s">
        <v>300</v>
      </c>
      <c r="B7" s="227" t="s">
        <v>1147</v>
      </c>
      <c r="C7" s="228">
        <v>0.4375</v>
      </c>
      <c r="D7" s="227" t="s">
        <v>37</v>
      </c>
      <c r="E7" s="227" t="s">
        <v>103</v>
      </c>
      <c r="F7" s="227" t="s">
        <v>1148</v>
      </c>
      <c r="G7" s="263"/>
      <c r="H7" s="42"/>
      <c r="I7" s="43"/>
      <c r="J7" s="43"/>
      <c r="K7" s="43"/>
      <c r="L7" s="43"/>
      <c r="M7" s="43"/>
      <c r="N7" s="43"/>
      <c r="O7" s="44"/>
      <c r="P7" s="43"/>
      <c r="Q7" s="45"/>
      <c r="R7" s="4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85"/>
      <c r="B8" s="286"/>
      <c r="C8" s="286"/>
      <c r="D8" s="286"/>
      <c r="E8" s="286"/>
      <c r="F8" s="286"/>
      <c r="G8" s="276"/>
      <c r="H8" s="287"/>
      <c r="I8" s="287"/>
      <c r="J8" s="287"/>
      <c r="K8" s="287"/>
      <c r="L8" s="287"/>
      <c r="M8" s="287"/>
      <c r="N8" s="287"/>
      <c r="O8" s="288"/>
      <c r="P8" s="287"/>
      <c r="Q8" s="276"/>
      <c r="R8" s="27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66" t="s">
        <v>5</v>
      </c>
      <c r="B9" s="267"/>
      <c r="C9" s="267"/>
      <c r="D9" s="267"/>
      <c r="E9" s="267"/>
      <c r="F9" s="267"/>
      <c r="G9" s="5">
        <v>45987</v>
      </c>
      <c r="H9" s="270" t="s">
        <v>6</v>
      </c>
      <c r="I9" s="269"/>
      <c r="J9" s="269"/>
      <c r="K9" s="269"/>
      <c r="L9" s="269"/>
      <c r="M9" s="269"/>
      <c r="N9" s="269"/>
      <c r="O9" s="269"/>
      <c r="P9" s="269"/>
      <c r="Q9" s="269"/>
      <c r="R9" s="26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47" t="s">
        <v>7</v>
      </c>
      <c r="B10" s="47" t="s">
        <v>8</v>
      </c>
      <c r="C10" s="48" t="s">
        <v>9</v>
      </c>
      <c r="D10" s="47" t="s">
        <v>10</v>
      </c>
      <c r="E10" s="47" t="s">
        <v>11</v>
      </c>
      <c r="F10" s="47" t="s">
        <v>12</v>
      </c>
      <c r="G10" s="49" t="s">
        <v>13</v>
      </c>
      <c r="H10" s="47" t="s">
        <v>14</v>
      </c>
      <c r="I10" s="50" t="s">
        <v>15</v>
      </c>
      <c r="J10" s="51" t="s">
        <v>16</v>
      </c>
      <c r="K10" s="52" t="s">
        <v>17</v>
      </c>
      <c r="L10" s="51" t="s">
        <v>18</v>
      </c>
      <c r="M10" s="51" t="s">
        <v>19</v>
      </c>
      <c r="N10" s="51" t="s">
        <v>20</v>
      </c>
      <c r="O10" s="47" t="s">
        <v>21</v>
      </c>
      <c r="P10" s="48" t="s">
        <v>22</v>
      </c>
      <c r="Q10" s="51" t="s">
        <v>23</v>
      </c>
      <c r="R10" s="4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300</v>
      </c>
      <c r="B11" s="8" t="s">
        <v>1147</v>
      </c>
      <c r="C11" s="9">
        <v>0.4548611111111111</v>
      </c>
      <c r="D11" s="8" t="s">
        <v>37</v>
      </c>
      <c r="E11" s="8" t="s">
        <v>51</v>
      </c>
      <c r="F11" s="8" t="s">
        <v>1149</v>
      </c>
      <c r="G11" s="261"/>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36" t="s">
        <v>295</v>
      </c>
      <c r="B12" s="36" t="s">
        <v>1145</v>
      </c>
      <c r="C12" s="37">
        <v>0.48958333333333331</v>
      </c>
      <c r="D12" s="36" t="s">
        <v>37</v>
      </c>
      <c r="E12" s="36" t="s">
        <v>61</v>
      </c>
      <c r="F12" s="36" t="s">
        <v>1150</v>
      </c>
      <c r="G12" s="26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36" t="s">
        <v>290</v>
      </c>
      <c r="B13" s="36" t="s">
        <v>1151</v>
      </c>
      <c r="C13" s="37">
        <v>0.76736111111111116</v>
      </c>
      <c r="D13" s="36" t="s">
        <v>292</v>
      </c>
      <c r="E13" s="36" t="s">
        <v>97</v>
      </c>
      <c r="F13" s="36" t="s">
        <v>1152</v>
      </c>
      <c r="G13" s="26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15" t="s">
        <v>290</v>
      </c>
      <c r="B14" s="15" t="s">
        <v>1151</v>
      </c>
      <c r="C14" s="16">
        <v>0.76736111111111116</v>
      </c>
      <c r="D14" s="15" t="s">
        <v>30</v>
      </c>
      <c r="E14" s="15" t="s">
        <v>99</v>
      </c>
      <c r="F14" s="15" t="s">
        <v>1153</v>
      </c>
      <c r="G14" s="262"/>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27" t="s">
        <v>75</v>
      </c>
      <c r="B15" s="227" t="s">
        <v>1154</v>
      </c>
      <c r="C15" s="228">
        <v>0.87152777777777779</v>
      </c>
      <c r="D15" s="227" t="s">
        <v>60</v>
      </c>
      <c r="E15" s="227" t="s">
        <v>77</v>
      </c>
      <c r="F15" s="227" t="s">
        <v>1155</v>
      </c>
      <c r="G15" s="263"/>
      <c r="H15" s="42"/>
      <c r="I15" s="43"/>
      <c r="J15" s="43"/>
      <c r="K15" s="43"/>
      <c r="L15" s="43"/>
      <c r="M15" s="43"/>
      <c r="N15" s="43"/>
      <c r="O15" s="44"/>
      <c r="P15" s="43"/>
      <c r="Q15" s="45"/>
      <c r="R15" s="4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85"/>
      <c r="B16" s="286"/>
      <c r="C16" s="286"/>
      <c r="D16" s="286"/>
      <c r="E16" s="286"/>
      <c r="F16" s="286"/>
      <c r="G16" s="276"/>
      <c r="H16" s="287"/>
      <c r="I16" s="287"/>
      <c r="J16" s="287"/>
      <c r="K16" s="287"/>
      <c r="L16" s="287"/>
      <c r="M16" s="287"/>
      <c r="N16" s="287"/>
      <c r="O16" s="288"/>
      <c r="P16" s="287"/>
      <c r="Q16" s="276"/>
      <c r="R16" s="27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66" t="s">
        <v>5</v>
      </c>
      <c r="B17" s="267"/>
      <c r="C17" s="267"/>
      <c r="D17" s="267"/>
      <c r="E17" s="267"/>
      <c r="F17" s="267"/>
      <c r="G17" s="5">
        <v>45988</v>
      </c>
      <c r="H17" s="270" t="s">
        <v>6</v>
      </c>
      <c r="I17" s="269"/>
      <c r="J17" s="269"/>
      <c r="K17" s="269"/>
      <c r="L17" s="269"/>
      <c r="M17" s="269"/>
      <c r="N17" s="269"/>
      <c r="O17" s="269"/>
      <c r="P17" s="269"/>
      <c r="Q17" s="269"/>
      <c r="R17" s="26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47" t="s">
        <v>7</v>
      </c>
      <c r="B18" s="47" t="s">
        <v>8</v>
      </c>
      <c r="C18" s="48" t="s">
        <v>9</v>
      </c>
      <c r="D18" s="47" t="s">
        <v>10</v>
      </c>
      <c r="E18" s="47" t="s">
        <v>11</v>
      </c>
      <c r="F18" s="47" t="s">
        <v>12</v>
      </c>
      <c r="G18" s="49" t="s">
        <v>13</v>
      </c>
      <c r="H18" s="47" t="s">
        <v>14</v>
      </c>
      <c r="I18" s="50" t="s">
        <v>15</v>
      </c>
      <c r="J18" s="51" t="s">
        <v>16</v>
      </c>
      <c r="K18" s="52" t="s">
        <v>17</v>
      </c>
      <c r="L18" s="51" t="s">
        <v>18</v>
      </c>
      <c r="M18" s="51" t="s">
        <v>19</v>
      </c>
      <c r="N18" s="51" t="s">
        <v>20</v>
      </c>
      <c r="O18" s="47" t="s">
        <v>21</v>
      </c>
      <c r="P18" s="48" t="s">
        <v>22</v>
      </c>
      <c r="Q18" s="51" t="s">
        <v>23</v>
      </c>
      <c r="R18" s="47"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8" t="s">
        <v>295</v>
      </c>
      <c r="B19" s="8" t="s">
        <v>1145</v>
      </c>
      <c r="C19" s="9">
        <v>0.48958333333333331</v>
      </c>
      <c r="D19" s="8" t="s">
        <v>37</v>
      </c>
      <c r="E19" s="8" t="s">
        <v>28</v>
      </c>
      <c r="F19" s="8" t="s">
        <v>1156</v>
      </c>
      <c r="G19" s="261"/>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36" t="s">
        <v>300</v>
      </c>
      <c r="B20" s="36" t="s">
        <v>1147</v>
      </c>
      <c r="C20" s="37">
        <v>0.4548611111111111</v>
      </c>
      <c r="D20" s="36" t="s">
        <v>37</v>
      </c>
      <c r="E20" s="36" t="s">
        <v>77</v>
      </c>
      <c r="F20" s="36" t="s">
        <v>1157</v>
      </c>
      <c r="G20" s="26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75" t="s">
        <v>35</v>
      </c>
      <c r="B21" s="75" t="s">
        <v>1158</v>
      </c>
      <c r="C21" s="76">
        <v>0.63194444444444442</v>
      </c>
      <c r="D21" s="75" t="s">
        <v>37</v>
      </c>
      <c r="E21" s="75" t="s">
        <v>77</v>
      </c>
      <c r="F21" s="75" t="s">
        <v>1159</v>
      </c>
      <c r="G21" s="262"/>
      <c r="H21" s="29" t="s">
        <v>1160</v>
      </c>
      <c r="I21" s="235">
        <v>0.70950000000000002</v>
      </c>
      <c r="J21" s="31">
        <v>127</v>
      </c>
      <c r="K21" s="32">
        <v>45984</v>
      </c>
      <c r="L21" s="31">
        <v>29</v>
      </c>
      <c r="M21" s="31">
        <v>0</v>
      </c>
      <c r="N21" s="31">
        <v>10</v>
      </c>
      <c r="O21" s="33" t="s">
        <v>808</v>
      </c>
      <c r="P21" s="34">
        <v>0.63194444444444442</v>
      </c>
      <c r="Q21" s="31">
        <v>179</v>
      </c>
      <c r="R21" s="35" t="s">
        <v>1161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27" t="s">
        <v>75</v>
      </c>
      <c r="B22" s="227" t="s">
        <v>1154</v>
      </c>
      <c r="C22" s="228">
        <v>0.87152777777777779</v>
      </c>
      <c r="D22" s="227" t="s">
        <v>60</v>
      </c>
      <c r="E22" s="227" t="s">
        <v>28</v>
      </c>
      <c r="F22" s="227" t="s">
        <v>1162</v>
      </c>
      <c r="G22" s="263"/>
      <c r="H22" s="42"/>
      <c r="I22" s="43"/>
      <c r="J22" s="43"/>
      <c r="K22" s="43"/>
      <c r="L22" s="43"/>
      <c r="M22" s="43"/>
      <c r="N22" s="43"/>
      <c r="O22" s="44"/>
      <c r="P22" s="43"/>
      <c r="Q22" s="45"/>
      <c r="R22" s="4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85"/>
      <c r="B23" s="286"/>
      <c r="C23" s="286"/>
      <c r="D23" s="286"/>
      <c r="E23" s="286"/>
      <c r="F23" s="286"/>
      <c r="G23" s="276"/>
      <c r="H23" s="287"/>
      <c r="I23" s="287"/>
      <c r="J23" s="287"/>
      <c r="K23" s="287"/>
      <c r="L23" s="287"/>
      <c r="M23" s="287"/>
      <c r="N23" s="287"/>
      <c r="O23" s="288"/>
      <c r="P23" s="287"/>
      <c r="Q23" s="276"/>
      <c r="R23" s="27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66" t="s">
        <v>5</v>
      </c>
      <c r="B24" s="267"/>
      <c r="C24" s="267"/>
      <c r="D24" s="267"/>
      <c r="E24" s="267"/>
      <c r="F24" s="267"/>
      <c r="G24" s="5">
        <v>45989</v>
      </c>
      <c r="H24" s="270" t="s">
        <v>6</v>
      </c>
      <c r="I24" s="269"/>
      <c r="J24" s="269"/>
      <c r="K24" s="269"/>
      <c r="L24" s="269"/>
      <c r="M24" s="269"/>
      <c r="N24" s="269"/>
      <c r="O24" s="269"/>
      <c r="P24" s="269"/>
      <c r="Q24" s="269"/>
      <c r="R24" s="26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47" t="s">
        <v>7</v>
      </c>
      <c r="B25" s="47" t="s">
        <v>8</v>
      </c>
      <c r="C25" s="48" t="s">
        <v>9</v>
      </c>
      <c r="D25" s="47" t="s">
        <v>10</v>
      </c>
      <c r="E25" s="47" t="s">
        <v>11</v>
      </c>
      <c r="F25" s="47" t="s">
        <v>12</v>
      </c>
      <c r="G25" s="49" t="s">
        <v>13</v>
      </c>
      <c r="H25" s="47" t="s">
        <v>14</v>
      </c>
      <c r="I25" s="50" t="s">
        <v>15</v>
      </c>
      <c r="J25" s="51" t="s">
        <v>16</v>
      </c>
      <c r="K25" s="52" t="s">
        <v>17</v>
      </c>
      <c r="L25" s="51" t="s">
        <v>18</v>
      </c>
      <c r="M25" s="51" t="s">
        <v>19</v>
      </c>
      <c r="N25" s="51" t="s">
        <v>20</v>
      </c>
      <c r="O25" s="47" t="s">
        <v>21</v>
      </c>
      <c r="P25" s="48" t="s">
        <v>22</v>
      </c>
      <c r="Q25" s="51" t="s">
        <v>23</v>
      </c>
      <c r="R25" s="4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8" t="s">
        <v>300</v>
      </c>
      <c r="B26" s="8" t="s">
        <v>1147</v>
      </c>
      <c r="C26" s="9">
        <v>0.69791666666666663</v>
      </c>
      <c r="D26" s="8" t="s">
        <v>37</v>
      </c>
      <c r="E26" s="8" t="s">
        <v>61</v>
      </c>
      <c r="F26" s="8" t="s">
        <v>1163</v>
      </c>
      <c r="G26" s="261"/>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36" t="s">
        <v>295</v>
      </c>
      <c r="B27" s="36" t="s">
        <v>1145</v>
      </c>
      <c r="C27" s="37">
        <v>0.48958333333333331</v>
      </c>
      <c r="D27" s="36" t="s">
        <v>37</v>
      </c>
      <c r="E27" s="36" t="s">
        <v>375</v>
      </c>
      <c r="F27" s="36" t="s">
        <v>1164</v>
      </c>
      <c r="G27" s="26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174" t="s">
        <v>35</v>
      </c>
      <c r="B28" s="174" t="s">
        <v>1158</v>
      </c>
      <c r="C28" s="175">
        <v>0.82986111111111116</v>
      </c>
      <c r="D28" s="174" t="s">
        <v>37</v>
      </c>
      <c r="E28" s="174" t="s">
        <v>28</v>
      </c>
      <c r="F28" s="174" t="s">
        <v>1165</v>
      </c>
      <c r="G28" s="262"/>
      <c r="H28" s="176" t="s">
        <v>1160</v>
      </c>
      <c r="I28" s="177">
        <v>0.77090000000000003</v>
      </c>
      <c r="J28" s="178">
        <v>138</v>
      </c>
      <c r="K28" s="179">
        <v>45983</v>
      </c>
      <c r="L28" s="178">
        <v>27</v>
      </c>
      <c r="M28" s="178">
        <v>0</v>
      </c>
      <c r="N28" s="178">
        <v>0</v>
      </c>
      <c r="O28" s="180" t="s">
        <v>1166</v>
      </c>
      <c r="P28" s="181">
        <v>0.82986111111111116</v>
      </c>
      <c r="Q28" s="178">
        <v>179</v>
      </c>
      <c r="R28" s="182" t="s">
        <v>1167</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227" t="s">
        <v>75</v>
      </c>
      <c r="B29" s="227" t="s">
        <v>1154</v>
      </c>
      <c r="C29" s="228">
        <v>0.87152777777777779</v>
      </c>
      <c r="D29" s="227" t="s">
        <v>60</v>
      </c>
      <c r="E29" s="227" t="s">
        <v>77</v>
      </c>
      <c r="F29" s="227" t="s">
        <v>819</v>
      </c>
      <c r="G29" s="263"/>
      <c r="H29" s="42"/>
      <c r="I29" s="43"/>
      <c r="J29" s="43"/>
      <c r="K29" s="43"/>
      <c r="L29" s="43"/>
      <c r="M29" s="43"/>
      <c r="N29" s="43"/>
      <c r="O29" s="44"/>
      <c r="P29" s="43"/>
      <c r="Q29" s="45"/>
      <c r="R29" s="4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85"/>
      <c r="B30" s="286"/>
      <c r="C30" s="286"/>
      <c r="D30" s="286"/>
      <c r="E30" s="286"/>
      <c r="F30" s="286"/>
      <c r="G30" s="276"/>
      <c r="H30" s="287"/>
      <c r="I30" s="287"/>
      <c r="J30" s="287"/>
      <c r="K30" s="287"/>
      <c r="L30" s="287"/>
      <c r="M30" s="287"/>
      <c r="N30" s="287"/>
      <c r="O30" s="288"/>
      <c r="P30" s="287"/>
      <c r="Q30" s="276"/>
      <c r="R30" s="27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66" t="s">
        <v>5</v>
      </c>
      <c r="B31" s="267"/>
      <c r="C31" s="267"/>
      <c r="D31" s="267"/>
      <c r="E31" s="267"/>
      <c r="F31" s="267"/>
      <c r="G31" s="5">
        <v>45990</v>
      </c>
      <c r="H31" s="270" t="s">
        <v>6</v>
      </c>
      <c r="I31" s="269"/>
      <c r="J31" s="269"/>
      <c r="K31" s="269"/>
      <c r="L31" s="269"/>
      <c r="M31" s="269"/>
      <c r="N31" s="269"/>
      <c r="O31" s="269"/>
      <c r="P31" s="269"/>
      <c r="Q31" s="269"/>
      <c r="R31" s="26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47" t="s">
        <v>7</v>
      </c>
      <c r="B32" s="47" t="s">
        <v>8</v>
      </c>
      <c r="C32" s="48" t="s">
        <v>9</v>
      </c>
      <c r="D32" s="47" t="s">
        <v>10</v>
      </c>
      <c r="E32" s="47" t="s">
        <v>11</v>
      </c>
      <c r="F32" s="47" t="s">
        <v>12</v>
      </c>
      <c r="G32" s="49" t="s">
        <v>13</v>
      </c>
      <c r="H32" s="47" t="s">
        <v>14</v>
      </c>
      <c r="I32" s="50" t="s">
        <v>15</v>
      </c>
      <c r="J32" s="51" t="s">
        <v>16</v>
      </c>
      <c r="K32" s="52" t="s">
        <v>17</v>
      </c>
      <c r="L32" s="51" t="s">
        <v>18</v>
      </c>
      <c r="M32" s="51" t="s">
        <v>19</v>
      </c>
      <c r="N32" s="51" t="s">
        <v>20</v>
      </c>
      <c r="O32" s="47" t="s">
        <v>21</v>
      </c>
      <c r="P32" s="48" t="s">
        <v>22</v>
      </c>
      <c r="Q32" s="51" t="s">
        <v>23</v>
      </c>
      <c r="R32" s="47"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8" t="s">
        <v>295</v>
      </c>
      <c r="B33" s="8" t="s">
        <v>1168</v>
      </c>
      <c r="C33" s="9">
        <v>0.84027777777777779</v>
      </c>
      <c r="D33" s="8" t="s">
        <v>37</v>
      </c>
      <c r="E33" s="8" t="s">
        <v>77</v>
      </c>
      <c r="F33" s="8" t="s">
        <v>907</v>
      </c>
      <c r="G33" s="261"/>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227" t="s">
        <v>75</v>
      </c>
      <c r="B34" s="227" t="s">
        <v>1154</v>
      </c>
      <c r="C34" s="228">
        <v>0.86805555555555547</v>
      </c>
      <c r="D34" s="227" t="s">
        <v>60</v>
      </c>
      <c r="E34" s="227" t="s">
        <v>77</v>
      </c>
      <c r="F34" s="227" t="s">
        <v>1169</v>
      </c>
      <c r="G34" s="263"/>
      <c r="H34" s="42"/>
      <c r="I34" s="43"/>
      <c r="J34" s="43"/>
      <c r="K34" s="43"/>
      <c r="L34" s="43"/>
      <c r="M34" s="43"/>
      <c r="N34" s="43"/>
      <c r="O34" s="44"/>
      <c r="P34" s="43"/>
      <c r="Q34" s="45"/>
      <c r="R34" s="4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85"/>
      <c r="B35" s="286"/>
      <c r="C35" s="286"/>
      <c r="D35" s="286"/>
      <c r="E35" s="286"/>
      <c r="F35" s="286"/>
      <c r="G35" s="276"/>
      <c r="H35" s="287"/>
      <c r="I35" s="287"/>
      <c r="J35" s="287"/>
      <c r="K35" s="287"/>
      <c r="L35" s="287"/>
      <c r="M35" s="287"/>
      <c r="N35" s="287"/>
      <c r="O35" s="288"/>
      <c r="P35" s="287"/>
      <c r="Q35" s="276"/>
      <c r="R35" s="27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66" t="s">
        <v>5</v>
      </c>
      <c r="B36" s="267"/>
      <c r="C36" s="267"/>
      <c r="D36" s="267"/>
      <c r="E36" s="267"/>
      <c r="F36" s="267"/>
      <c r="G36" s="5">
        <v>45991</v>
      </c>
      <c r="H36" s="270" t="s">
        <v>6</v>
      </c>
      <c r="I36" s="269"/>
      <c r="J36" s="269"/>
      <c r="K36" s="269"/>
      <c r="L36" s="269"/>
      <c r="M36" s="269"/>
      <c r="N36" s="269"/>
      <c r="O36" s="269"/>
      <c r="P36" s="269"/>
      <c r="Q36" s="269"/>
      <c r="R36" s="26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47" t="s">
        <v>7</v>
      </c>
      <c r="B37" s="47" t="s">
        <v>8</v>
      </c>
      <c r="C37" s="48" t="s">
        <v>9</v>
      </c>
      <c r="D37" s="47" t="s">
        <v>10</v>
      </c>
      <c r="E37" s="47" t="s">
        <v>11</v>
      </c>
      <c r="F37" s="47" t="s">
        <v>12</v>
      </c>
      <c r="G37" s="49" t="s">
        <v>13</v>
      </c>
      <c r="H37" s="47" t="s">
        <v>14</v>
      </c>
      <c r="I37" s="50" t="s">
        <v>15</v>
      </c>
      <c r="J37" s="51" t="s">
        <v>16</v>
      </c>
      <c r="K37" s="52" t="s">
        <v>17</v>
      </c>
      <c r="L37" s="51" t="s">
        <v>18</v>
      </c>
      <c r="M37" s="51" t="s">
        <v>19</v>
      </c>
      <c r="N37" s="51" t="s">
        <v>20</v>
      </c>
      <c r="O37" s="47" t="s">
        <v>21</v>
      </c>
      <c r="P37" s="48" t="s">
        <v>22</v>
      </c>
      <c r="Q37" s="51" t="s">
        <v>23</v>
      </c>
      <c r="R37" s="47"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75" t="s">
        <v>35</v>
      </c>
      <c r="B38" s="75" t="s">
        <v>1158</v>
      </c>
      <c r="C38" s="76">
        <v>0.63194444444444442</v>
      </c>
      <c r="D38" s="75" t="s">
        <v>37</v>
      </c>
      <c r="E38" s="75" t="s">
        <v>61</v>
      </c>
      <c r="F38" s="75" t="s">
        <v>123</v>
      </c>
      <c r="G38" s="261"/>
      <c r="H38" s="29" t="s">
        <v>1160</v>
      </c>
      <c r="I38" s="30">
        <v>0.85470000000000002</v>
      </c>
      <c r="J38" s="31">
        <v>153</v>
      </c>
      <c r="K38" s="32">
        <v>45984</v>
      </c>
      <c r="L38" s="31">
        <v>65</v>
      </c>
      <c r="M38" s="31">
        <v>0</v>
      </c>
      <c r="N38" s="31">
        <v>20</v>
      </c>
      <c r="O38" s="33" t="s">
        <v>168</v>
      </c>
      <c r="P38" s="34">
        <v>0.63194444444444442</v>
      </c>
      <c r="Q38" s="31">
        <v>179</v>
      </c>
      <c r="R38" s="35" t="s">
        <v>1170</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36" t="s">
        <v>295</v>
      </c>
      <c r="B39" s="36" t="s">
        <v>1145</v>
      </c>
      <c r="C39" s="37">
        <v>0.48958333333333331</v>
      </c>
      <c r="D39" s="36" t="s">
        <v>37</v>
      </c>
      <c r="E39" s="36" t="s">
        <v>51</v>
      </c>
      <c r="F39" s="36" t="s">
        <v>1171</v>
      </c>
      <c r="G39" s="262"/>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227" t="s">
        <v>300</v>
      </c>
      <c r="B40" s="227" t="s">
        <v>1147</v>
      </c>
      <c r="C40" s="228">
        <v>0.4375</v>
      </c>
      <c r="D40" s="227" t="s">
        <v>37</v>
      </c>
      <c r="E40" s="227" t="s">
        <v>97</v>
      </c>
      <c r="F40" s="227" t="s">
        <v>1149</v>
      </c>
      <c r="G40" s="263"/>
      <c r="H40" s="42"/>
      <c r="I40" s="43"/>
      <c r="J40" s="43"/>
      <c r="K40" s="43"/>
      <c r="L40" s="43"/>
      <c r="M40" s="43"/>
      <c r="N40" s="43"/>
      <c r="O40" s="44"/>
      <c r="P40" s="43"/>
      <c r="Q40" s="45"/>
      <c r="R40" s="4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75"/>
      <c r="B41" s="276"/>
      <c r="C41" s="276"/>
      <c r="D41" s="276"/>
      <c r="E41" s="276"/>
      <c r="F41" s="276"/>
      <c r="G41" s="276"/>
      <c r="H41" s="276"/>
      <c r="I41" s="276"/>
      <c r="J41" s="276"/>
      <c r="K41" s="276"/>
      <c r="L41" s="276"/>
      <c r="M41" s="276"/>
      <c r="N41" s="276"/>
      <c r="O41" s="276"/>
      <c r="P41" s="276"/>
      <c r="Q41" s="276"/>
      <c r="R41" s="27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sheetData>
  <mergeCells count="33">
    <mergeCell ref="G38:G40"/>
    <mergeCell ref="D1:F1"/>
    <mergeCell ref="A24:F24"/>
    <mergeCell ref="A30:R30"/>
    <mergeCell ref="A1:C1"/>
    <mergeCell ref="A36:F36"/>
    <mergeCell ref="G1:H1"/>
    <mergeCell ref="H24:R24"/>
    <mergeCell ref="J1:M1"/>
    <mergeCell ref="A35:R35"/>
    <mergeCell ref="H17:R17"/>
    <mergeCell ref="G33:G34"/>
    <mergeCell ref="G26:G29"/>
    <mergeCell ref="A9:F9"/>
    <mergeCell ref="G11:G15"/>
    <mergeCell ref="A31:F31"/>
    <mergeCell ref="K2:R2"/>
    <mergeCell ref="O1:Q1"/>
    <mergeCell ref="A41:R41"/>
    <mergeCell ref="A16:R16"/>
    <mergeCell ref="H4:R4"/>
    <mergeCell ref="G19:G22"/>
    <mergeCell ref="A2:F2"/>
    <mergeCell ref="A3:R3"/>
    <mergeCell ref="H9:R9"/>
    <mergeCell ref="H31:R31"/>
    <mergeCell ref="G6:G7"/>
    <mergeCell ref="G2:J2"/>
    <mergeCell ref="A17:F17"/>
    <mergeCell ref="A4:F4"/>
    <mergeCell ref="A23:R23"/>
    <mergeCell ref="A8:R8"/>
    <mergeCell ref="H36:R36"/>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176</v>
      </c>
      <c r="B2" s="79">
        <v>45988</v>
      </c>
      <c r="C2" s="80" t="s">
        <v>1160</v>
      </c>
      <c r="D2" s="81">
        <v>0.63194444444444442</v>
      </c>
      <c r="E2" s="80" t="s">
        <v>1144</v>
      </c>
      <c r="F2" s="80" t="s">
        <v>159</v>
      </c>
      <c r="G2" s="82">
        <v>0.70950000000000002</v>
      </c>
      <c r="H2" s="83">
        <v>179</v>
      </c>
      <c r="I2" s="83">
        <v>127</v>
      </c>
      <c r="J2" s="83">
        <v>0</v>
      </c>
      <c r="K2" s="79">
        <v>45984</v>
      </c>
      <c r="L2" s="83">
        <v>0</v>
      </c>
      <c r="M2" s="83">
        <v>10</v>
      </c>
      <c r="N2" s="83">
        <v>29</v>
      </c>
      <c r="O2" s="80" t="s">
        <v>808</v>
      </c>
      <c r="P2" s="84"/>
      <c r="Q2" s="84"/>
      <c r="R2" s="84"/>
      <c r="S2" s="84"/>
      <c r="T2" s="83" t="s">
        <v>955</v>
      </c>
      <c r="U2" s="83" t="s">
        <v>873</v>
      </c>
      <c r="V2" s="83" t="s">
        <v>519</v>
      </c>
      <c r="W2" s="83" t="s">
        <v>852</v>
      </c>
      <c r="X2" s="83" t="s">
        <v>1172</v>
      </c>
      <c r="Y2" s="83" t="s">
        <v>429</v>
      </c>
      <c r="Z2" s="83" t="s">
        <v>561</v>
      </c>
      <c r="AA2" s="83" t="s">
        <v>1173</v>
      </c>
      <c r="AB2" s="83" t="s">
        <v>1174</v>
      </c>
      <c r="AC2" s="83" t="s">
        <v>170</v>
      </c>
      <c r="AD2" s="83" t="s">
        <v>859</v>
      </c>
      <c r="AE2" s="83" t="s">
        <v>172</v>
      </c>
      <c r="AF2" s="84"/>
      <c r="AG2" s="84"/>
      <c r="AH2" s="84"/>
      <c r="AI2" s="84"/>
    </row>
    <row r="3" spans="1:35" ht="18" x14ac:dyDescent="0.3">
      <c r="A3" s="85" t="s">
        <v>510</v>
      </c>
      <c r="B3" s="86">
        <v>45989</v>
      </c>
      <c r="C3" s="87" t="s">
        <v>1160</v>
      </c>
      <c r="D3" s="88">
        <v>0.82986111111111116</v>
      </c>
      <c r="E3" s="87" t="s">
        <v>1144</v>
      </c>
      <c r="F3" s="87" t="s">
        <v>159</v>
      </c>
      <c r="G3" s="89">
        <v>0.77090000000000003</v>
      </c>
      <c r="H3" s="90">
        <v>179</v>
      </c>
      <c r="I3" s="90">
        <v>138</v>
      </c>
      <c r="J3" s="90">
        <v>0</v>
      </c>
      <c r="K3" s="86">
        <v>45983</v>
      </c>
      <c r="L3" s="90">
        <v>0</v>
      </c>
      <c r="M3" s="90">
        <v>0</v>
      </c>
      <c r="N3" s="90">
        <v>27</v>
      </c>
      <c r="O3" s="87" t="s">
        <v>1166</v>
      </c>
      <c r="P3" s="91"/>
      <c r="Q3" s="91"/>
      <c r="R3" s="90" t="s">
        <v>1175</v>
      </c>
      <c r="S3" s="90" t="s">
        <v>1176</v>
      </c>
      <c r="T3" s="91"/>
      <c r="U3" s="90" t="s">
        <v>511</v>
      </c>
      <c r="V3" s="90" t="s">
        <v>426</v>
      </c>
      <c r="W3" s="90" t="s">
        <v>852</v>
      </c>
      <c r="X3" s="90" t="s">
        <v>535</v>
      </c>
      <c r="Y3" s="90" t="s">
        <v>643</v>
      </c>
      <c r="Z3" s="90" t="s">
        <v>855</v>
      </c>
      <c r="AA3" s="90" t="s">
        <v>247</v>
      </c>
      <c r="AB3" s="90" t="s">
        <v>181</v>
      </c>
      <c r="AC3" s="90" t="s">
        <v>634</v>
      </c>
      <c r="AD3" s="90" t="s">
        <v>183</v>
      </c>
      <c r="AE3" s="91"/>
      <c r="AF3" s="91"/>
      <c r="AG3" s="91"/>
      <c r="AH3" s="91"/>
      <c r="AI3" s="91"/>
    </row>
    <row r="4" spans="1:35" ht="18" x14ac:dyDescent="0.3">
      <c r="A4" s="78" t="s">
        <v>186</v>
      </c>
      <c r="B4" s="79">
        <v>45991</v>
      </c>
      <c r="C4" s="80" t="s">
        <v>1160</v>
      </c>
      <c r="D4" s="81">
        <v>0.63194444444444442</v>
      </c>
      <c r="E4" s="80" t="s">
        <v>1144</v>
      </c>
      <c r="F4" s="80" t="s">
        <v>159</v>
      </c>
      <c r="G4" s="82">
        <v>0.85470000000000002</v>
      </c>
      <c r="H4" s="83">
        <v>179</v>
      </c>
      <c r="I4" s="83">
        <v>153</v>
      </c>
      <c r="J4" s="83">
        <v>0</v>
      </c>
      <c r="K4" s="79">
        <v>45984</v>
      </c>
      <c r="L4" s="83">
        <v>0</v>
      </c>
      <c r="M4" s="83">
        <v>20</v>
      </c>
      <c r="N4" s="83">
        <v>65</v>
      </c>
      <c r="O4" s="80" t="s">
        <v>168</v>
      </c>
      <c r="P4" s="84"/>
      <c r="Q4" s="84"/>
      <c r="R4" s="84"/>
      <c r="S4" s="83" t="s">
        <v>921</v>
      </c>
      <c r="T4" s="84"/>
      <c r="U4" s="83" t="s">
        <v>383</v>
      </c>
      <c r="V4" s="83" t="s">
        <v>1177</v>
      </c>
      <c r="W4" s="83" t="s">
        <v>852</v>
      </c>
      <c r="X4" s="83" t="s">
        <v>535</v>
      </c>
      <c r="Y4" s="83" t="s">
        <v>863</v>
      </c>
      <c r="Z4" s="83" t="s">
        <v>515</v>
      </c>
      <c r="AA4" s="83" t="s">
        <v>162</v>
      </c>
      <c r="AB4" s="83" t="s">
        <v>473</v>
      </c>
      <c r="AC4" s="83" t="s">
        <v>263</v>
      </c>
      <c r="AD4" s="83" t="s">
        <v>527</v>
      </c>
      <c r="AE4" s="83" t="s">
        <v>647</v>
      </c>
      <c r="AF4" s="84"/>
      <c r="AG4" s="84"/>
      <c r="AH4" s="84"/>
      <c r="AI4" s="83" t="s">
        <v>175</v>
      </c>
    </row>
    <row r="5" spans="1:35" ht="18" x14ac:dyDescent="0.3">
      <c r="A5" s="92" t="s">
        <v>189</v>
      </c>
      <c r="B5" s="93"/>
      <c r="C5" s="94">
        <f>COUNTA(C2:C4)</f>
        <v>3</v>
      </c>
      <c r="D5" s="93"/>
      <c r="E5" s="93"/>
      <c r="F5" s="93"/>
      <c r="G5" s="95">
        <f>AVERAGE(G2:G4)</f>
        <v>0.77836666666666654</v>
      </c>
      <c r="H5" s="96">
        <f>SUM(H2:H4)</f>
        <v>537</v>
      </c>
      <c r="I5" s="96">
        <f>SUM(I2:I4)</f>
        <v>418</v>
      </c>
      <c r="J5" s="96">
        <f>SUM(J2:J4)</f>
        <v>0</v>
      </c>
      <c r="K5" s="93"/>
      <c r="L5" s="96">
        <f>SUM(L2:L4)</f>
        <v>0</v>
      </c>
      <c r="M5" s="96">
        <f>SUM(M2:M4)</f>
        <v>30</v>
      </c>
      <c r="N5" s="96">
        <f>SUM(N2:N4)</f>
        <v>121</v>
      </c>
      <c r="O5" s="93"/>
      <c r="P5" s="96">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96">
        <f t="shared" si="0"/>
        <v>0</v>
      </c>
      <c r="R5" s="96">
        <f t="shared" si="0"/>
        <v>0</v>
      </c>
      <c r="S5" s="96">
        <f t="shared" si="0"/>
        <v>0</v>
      </c>
      <c r="T5" s="96">
        <f t="shared" si="0"/>
        <v>0</v>
      </c>
      <c r="U5" s="96">
        <f t="shared" si="0"/>
        <v>0</v>
      </c>
      <c r="V5" s="96">
        <f t="shared" si="0"/>
        <v>0</v>
      </c>
      <c r="W5" s="96">
        <f t="shared" si="0"/>
        <v>0</v>
      </c>
      <c r="X5" s="96">
        <f t="shared" si="0"/>
        <v>0</v>
      </c>
      <c r="Y5" s="96">
        <f t="shared" si="0"/>
        <v>0</v>
      </c>
      <c r="Z5" s="96">
        <f t="shared" si="0"/>
        <v>0</v>
      </c>
      <c r="AA5" s="96">
        <f t="shared" si="0"/>
        <v>0</v>
      </c>
      <c r="AB5" s="96">
        <f t="shared" si="0"/>
        <v>0</v>
      </c>
      <c r="AC5" s="96">
        <f t="shared" si="0"/>
        <v>0</v>
      </c>
      <c r="AD5" s="96">
        <f t="shared" si="0"/>
        <v>0</v>
      </c>
      <c r="AE5" s="96">
        <f t="shared" si="0"/>
        <v>0</v>
      </c>
      <c r="AF5" s="96">
        <f t="shared" si="0"/>
        <v>0</v>
      </c>
      <c r="AG5" s="96">
        <f t="shared" si="0"/>
        <v>0</v>
      </c>
      <c r="AH5" s="96">
        <f t="shared" si="0"/>
        <v>0</v>
      </c>
      <c r="AI5" s="96">
        <f t="shared" si="0"/>
        <v>0</v>
      </c>
    </row>
  </sheetData>
  <autoFilter ref="A1:AI4"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21"/>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98">
        <v>45986</v>
      </c>
      <c r="B2" s="99" t="s">
        <v>295</v>
      </c>
      <c r="C2" s="100" t="s">
        <v>1145</v>
      </c>
      <c r="D2" s="99" t="s">
        <v>1144</v>
      </c>
      <c r="E2" s="101">
        <v>1.489583333333333</v>
      </c>
      <c r="F2" s="99" t="s">
        <v>37</v>
      </c>
      <c r="G2" s="102">
        <v>2</v>
      </c>
      <c r="H2" s="103" t="s">
        <v>1146</v>
      </c>
    </row>
    <row r="3" spans="1:8" ht="18" x14ac:dyDescent="0.3">
      <c r="A3" s="169">
        <v>45986</v>
      </c>
      <c r="B3" s="170" t="s">
        <v>300</v>
      </c>
      <c r="C3" s="171" t="s">
        <v>1147</v>
      </c>
      <c r="D3" s="170" t="s">
        <v>1144</v>
      </c>
      <c r="E3" s="172">
        <v>1.4375</v>
      </c>
      <c r="F3" s="170" t="s">
        <v>37</v>
      </c>
      <c r="G3" s="173">
        <v>2</v>
      </c>
      <c r="H3" s="170" t="s">
        <v>1148</v>
      </c>
    </row>
    <row r="4" spans="1:8" ht="18" x14ac:dyDescent="0.3">
      <c r="A4" s="98">
        <v>45987</v>
      </c>
      <c r="B4" s="99" t="s">
        <v>300</v>
      </c>
      <c r="C4" s="100" t="s">
        <v>1147</v>
      </c>
      <c r="D4" s="99" t="s">
        <v>1144</v>
      </c>
      <c r="E4" s="101">
        <v>1.4548611111111109</v>
      </c>
      <c r="F4" s="99" t="s">
        <v>37</v>
      </c>
      <c r="G4" s="102">
        <v>3</v>
      </c>
      <c r="H4" s="103" t="s">
        <v>1149</v>
      </c>
    </row>
    <row r="5" spans="1:8" ht="18" x14ac:dyDescent="0.3">
      <c r="A5" s="118">
        <v>45987</v>
      </c>
      <c r="B5" s="99" t="s">
        <v>295</v>
      </c>
      <c r="C5" s="100" t="s">
        <v>1145</v>
      </c>
      <c r="D5" s="99" t="s">
        <v>1144</v>
      </c>
      <c r="E5" s="101">
        <v>1.489583333333333</v>
      </c>
      <c r="F5" s="99" t="s">
        <v>37</v>
      </c>
      <c r="G5" s="102">
        <v>1</v>
      </c>
      <c r="H5" s="99" t="s">
        <v>1150</v>
      </c>
    </row>
    <row r="6" spans="1:8" ht="18" x14ac:dyDescent="0.3">
      <c r="A6" s="118">
        <v>45987</v>
      </c>
      <c r="B6" s="99" t="s">
        <v>290</v>
      </c>
      <c r="C6" s="100" t="s">
        <v>1151</v>
      </c>
      <c r="D6" s="99" t="s">
        <v>1144</v>
      </c>
      <c r="E6" s="101">
        <v>1.7673611111111109</v>
      </c>
      <c r="F6" s="99" t="s">
        <v>292</v>
      </c>
      <c r="G6" s="102">
        <v>5</v>
      </c>
      <c r="H6" s="99" t="s">
        <v>1152</v>
      </c>
    </row>
    <row r="7" spans="1:8" ht="18" x14ac:dyDescent="0.3">
      <c r="A7" s="104">
        <v>45987</v>
      </c>
      <c r="B7" s="105" t="s">
        <v>290</v>
      </c>
      <c r="C7" s="106" t="s">
        <v>1151</v>
      </c>
      <c r="D7" s="105" t="s">
        <v>1144</v>
      </c>
      <c r="E7" s="107">
        <v>1.7673611111111109</v>
      </c>
      <c r="F7" s="105" t="s">
        <v>30</v>
      </c>
      <c r="G7" s="108">
        <v>5</v>
      </c>
      <c r="H7" s="105" t="s">
        <v>1153</v>
      </c>
    </row>
    <row r="8" spans="1:8" ht="18" x14ac:dyDescent="0.3">
      <c r="A8" s="169">
        <v>45987</v>
      </c>
      <c r="B8" s="170" t="s">
        <v>75</v>
      </c>
      <c r="C8" s="171" t="s">
        <v>1154</v>
      </c>
      <c r="D8" s="170" t="s">
        <v>1144</v>
      </c>
      <c r="E8" s="172">
        <v>1.8715277777777779</v>
      </c>
      <c r="F8" s="170" t="s">
        <v>60</v>
      </c>
      <c r="G8" s="173">
        <v>9</v>
      </c>
      <c r="H8" s="170" t="s">
        <v>1155</v>
      </c>
    </row>
    <row r="9" spans="1:8" ht="18" x14ac:dyDescent="0.3">
      <c r="A9" s="98">
        <v>45988</v>
      </c>
      <c r="B9" s="99" t="s">
        <v>295</v>
      </c>
      <c r="C9" s="100" t="s">
        <v>1145</v>
      </c>
      <c r="D9" s="99" t="s">
        <v>1144</v>
      </c>
      <c r="E9" s="101">
        <v>1.489583333333333</v>
      </c>
      <c r="F9" s="99" t="s">
        <v>37</v>
      </c>
      <c r="G9" s="102">
        <v>8</v>
      </c>
      <c r="H9" s="103" t="s">
        <v>1156</v>
      </c>
    </row>
    <row r="10" spans="1:8" ht="18" x14ac:dyDescent="0.3">
      <c r="A10" s="118">
        <v>45988</v>
      </c>
      <c r="B10" s="99" t="s">
        <v>300</v>
      </c>
      <c r="C10" s="100" t="s">
        <v>1147</v>
      </c>
      <c r="D10" s="99" t="s">
        <v>1144</v>
      </c>
      <c r="E10" s="101">
        <v>1.4548611111111109</v>
      </c>
      <c r="F10" s="99" t="s">
        <v>37</v>
      </c>
      <c r="G10" s="102">
        <v>9</v>
      </c>
      <c r="H10" s="99" t="s">
        <v>1157</v>
      </c>
    </row>
    <row r="11" spans="1:8" ht="18" x14ac:dyDescent="0.3">
      <c r="A11" s="109">
        <v>45988</v>
      </c>
      <c r="B11" s="110" t="s">
        <v>35</v>
      </c>
      <c r="C11" s="111" t="s">
        <v>1158</v>
      </c>
      <c r="D11" s="110" t="s">
        <v>1144</v>
      </c>
      <c r="E11" s="112">
        <v>1.631944444444444</v>
      </c>
      <c r="F11" s="110" t="s">
        <v>37</v>
      </c>
      <c r="G11" s="113">
        <v>9</v>
      </c>
      <c r="H11" s="110" t="s">
        <v>1159</v>
      </c>
    </row>
    <row r="12" spans="1:8" ht="18" x14ac:dyDescent="0.3">
      <c r="A12" s="169">
        <v>45988</v>
      </c>
      <c r="B12" s="170" t="s">
        <v>75</v>
      </c>
      <c r="C12" s="171" t="s">
        <v>1154</v>
      </c>
      <c r="D12" s="170" t="s">
        <v>1144</v>
      </c>
      <c r="E12" s="172">
        <v>1.8715277777777779</v>
      </c>
      <c r="F12" s="170" t="s">
        <v>60</v>
      </c>
      <c r="G12" s="173">
        <v>8</v>
      </c>
      <c r="H12" s="170" t="s">
        <v>1162</v>
      </c>
    </row>
    <row r="13" spans="1:8" ht="18" x14ac:dyDescent="0.3">
      <c r="A13" s="98">
        <v>45989</v>
      </c>
      <c r="B13" s="99" t="s">
        <v>300</v>
      </c>
      <c r="C13" s="100" t="s">
        <v>1147</v>
      </c>
      <c r="D13" s="99" t="s">
        <v>1144</v>
      </c>
      <c r="E13" s="101">
        <v>1.697916666666667</v>
      </c>
      <c r="F13" s="99" t="s">
        <v>37</v>
      </c>
      <c r="G13" s="102">
        <v>1</v>
      </c>
      <c r="H13" s="103" t="s">
        <v>1163</v>
      </c>
    </row>
    <row r="14" spans="1:8" ht="18" x14ac:dyDescent="0.3">
      <c r="A14" s="118">
        <v>45989</v>
      </c>
      <c r="B14" s="99" t="s">
        <v>295</v>
      </c>
      <c r="C14" s="100" t="s">
        <v>1145</v>
      </c>
      <c r="D14" s="99" t="s">
        <v>1144</v>
      </c>
      <c r="E14" s="101">
        <v>1.489583333333333</v>
      </c>
      <c r="F14" s="99" t="s">
        <v>37</v>
      </c>
      <c r="G14" s="102">
        <v>7</v>
      </c>
      <c r="H14" s="99" t="s">
        <v>1164</v>
      </c>
    </row>
    <row r="15" spans="1:8" ht="18" x14ac:dyDescent="0.3">
      <c r="A15" s="109">
        <v>45989</v>
      </c>
      <c r="B15" s="110" t="s">
        <v>35</v>
      </c>
      <c r="C15" s="111" t="s">
        <v>1158</v>
      </c>
      <c r="D15" s="110" t="s">
        <v>1144</v>
      </c>
      <c r="E15" s="112">
        <v>1.8298611111111109</v>
      </c>
      <c r="F15" s="110" t="s">
        <v>37</v>
      </c>
      <c r="G15" s="113">
        <v>8</v>
      </c>
      <c r="H15" s="110" t="s">
        <v>1165</v>
      </c>
    </row>
    <row r="16" spans="1:8" ht="18" x14ac:dyDescent="0.3">
      <c r="A16" s="169">
        <v>45989</v>
      </c>
      <c r="B16" s="170" t="s">
        <v>75</v>
      </c>
      <c r="C16" s="171" t="s">
        <v>1154</v>
      </c>
      <c r="D16" s="170" t="s">
        <v>1144</v>
      </c>
      <c r="E16" s="172">
        <v>1.8715277777777779</v>
      </c>
      <c r="F16" s="170" t="s">
        <v>60</v>
      </c>
      <c r="G16" s="173">
        <v>9</v>
      </c>
      <c r="H16" s="170" t="s">
        <v>819</v>
      </c>
    </row>
    <row r="17" spans="1:8" ht="18" x14ac:dyDescent="0.3">
      <c r="A17" s="98">
        <v>45990</v>
      </c>
      <c r="B17" s="99" t="s">
        <v>295</v>
      </c>
      <c r="C17" s="100" t="s">
        <v>1168</v>
      </c>
      <c r="D17" s="99" t="s">
        <v>1144</v>
      </c>
      <c r="E17" s="101">
        <v>1.8402777777777779</v>
      </c>
      <c r="F17" s="99" t="s">
        <v>37</v>
      </c>
      <c r="G17" s="102">
        <v>9</v>
      </c>
      <c r="H17" s="103" t="s">
        <v>907</v>
      </c>
    </row>
    <row r="18" spans="1:8" ht="18" x14ac:dyDescent="0.3">
      <c r="A18" s="169">
        <v>45990</v>
      </c>
      <c r="B18" s="170" t="s">
        <v>75</v>
      </c>
      <c r="C18" s="171" t="s">
        <v>1154</v>
      </c>
      <c r="D18" s="170" t="s">
        <v>1144</v>
      </c>
      <c r="E18" s="172">
        <v>1.868055555555556</v>
      </c>
      <c r="F18" s="170" t="s">
        <v>60</v>
      </c>
      <c r="G18" s="173">
        <v>9</v>
      </c>
      <c r="H18" s="170" t="s">
        <v>1169</v>
      </c>
    </row>
    <row r="19" spans="1:8" ht="18" x14ac:dyDescent="0.3">
      <c r="A19" s="165">
        <v>45991</v>
      </c>
      <c r="B19" s="110" t="s">
        <v>35</v>
      </c>
      <c r="C19" s="111" t="s">
        <v>1158</v>
      </c>
      <c r="D19" s="110" t="s">
        <v>1144</v>
      </c>
      <c r="E19" s="112">
        <v>1.631944444444444</v>
      </c>
      <c r="F19" s="110" t="s">
        <v>37</v>
      </c>
      <c r="G19" s="113">
        <v>1</v>
      </c>
      <c r="H19" s="166" t="s">
        <v>123</v>
      </c>
    </row>
    <row r="20" spans="1:8" ht="18" x14ac:dyDescent="0.3">
      <c r="A20" s="118">
        <v>45991</v>
      </c>
      <c r="B20" s="99" t="s">
        <v>295</v>
      </c>
      <c r="C20" s="100" t="s">
        <v>1145</v>
      </c>
      <c r="D20" s="99" t="s">
        <v>1144</v>
      </c>
      <c r="E20" s="101">
        <v>1.489583333333333</v>
      </c>
      <c r="F20" s="99" t="s">
        <v>37</v>
      </c>
      <c r="G20" s="102">
        <v>3</v>
      </c>
      <c r="H20" s="99" t="s">
        <v>1171</v>
      </c>
    </row>
    <row r="21" spans="1:8" ht="18" x14ac:dyDescent="0.3">
      <c r="A21" s="169">
        <v>45991</v>
      </c>
      <c r="B21" s="170" t="s">
        <v>300</v>
      </c>
      <c r="C21" s="171" t="s">
        <v>1147</v>
      </c>
      <c r="D21" s="170" t="s">
        <v>1144</v>
      </c>
      <c r="E21" s="172">
        <v>1.4375</v>
      </c>
      <c r="F21" s="170" t="s">
        <v>37</v>
      </c>
      <c r="G21" s="173">
        <v>5</v>
      </c>
      <c r="H21" s="170" t="s">
        <v>1149</v>
      </c>
    </row>
  </sheetData>
  <dataValidations count="3">
    <dataValidation type="custom" allowBlank="1" showInputMessage="1" promptTitle="LOAD FACTOR ANALYSIS" prompt="SM-427_x000d__x000a_LF 71.0%_x000d__x000a_SOLD 127_x000d__x000a_LST-SOLD 23NOV_x000d__x000a_WEEKLY 29_x000d__x000a_TO-DAY NIL_x000d__x000a_Y-DAY 10_x000d__x000a_LOWEST AVAIL Q9_x000d__x000a_CAPACITY 179_x000d__x000a_CLASSES Q7 &amp; K10 &amp; V10 &amp; +9 more" sqref="A11 B11 C11 D11 E11 F11 G11 H11" xr:uid="{00000000-0002-0000-4200-000000000000}">
      <formula1>TRUE</formula1>
    </dataValidation>
    <dataValidation type="custom" allowBlank="1" showInputMessage="1" promptTitle="LOAD FACTOR ANALYSIS" prompt="SM-427_x000d__x000a_LF 77.1%_x000d__x000a_SOLD 138_x000d__x000a_LST-SOLD 22NOV_x000d__x000a_WEEKLY 27_x000d__x000a_TO-DAY NIL_x000d__x000a_Y-DAY NIL_x000d__x000a_LOWEST AVAIL H8_x000d__x000a_CAPACITY 179_x000d__x000a_CLASSES M16 &amp; H41 &amp; K9 &amp; +9 more" sqref="A15 B15 C15 D15 E15 F15 G15 H15" xr:uid="{00000000-0002-0000-4200-000001000000}">
      <formula1>TRUE</formula1>
    </dataValidation>
    <dataValidation type="custom" allowBlank="1" showInputMessage="1" promptTitle="LOAD FACTOR ANALYSIS" prompt="SM-427_x000d__x000a_LF 85.5%_x000d__x000a_SOLD 153_x000d__x000a_LST-SOLD 23NOV_x000d__x000a_WEEKLY 65_x000d__x000a_TO-DAY NIL_x000d__x000a_Y-DAY 20_x000d__x000a_LOWEST AVAIL V1_x000d__x000a_CAPACITY 179_x000d__x000a_CLASSES H1 &amp; K2 &amp; V64 &amp; +10 more" sqref="A19 B19 C19 D19 E19 F19 G19 H19" xr:uid="{00000000-0002-0000-4200-000002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17"/>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1.21875" bestFit="1" customWidth="1"/>
    <col min="5" max="5" width="20.6640625" bestFit="1" customWidth="1"/>
    <col min="6" max="6" width="20.5546875" bestFit="1" customWidth="1"/>
    <col min="7" max="7" width="45.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8.33203125" bestFit="1" customWidth="1"/>
  </cols>
  <sheetData>
    <row r="1" spans="1:92" ht="28.8" customHeight="1" x14ac:dyDescent="0.3">
      <c r="A1" s="284" t="s">
        <v>0</v>
      </c>
      <c r="B1" s="265"/>
      <c r="C1" s="265"/>
      <c r="D1" s="284" t="s">
        <v>1178</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45985.362177427742</v>
      </c>
      <c r="H2" s="272"/>
      <c r="I2" s="272"/>
      <c r="J2" s="272"/>
      <c r="K2" s="282">
        <v>45985.362177428251</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74" t="s">
        <v>35</v>
      </c>
      <c r="B6" s="174" t="s">
        <v>1179</v>
      </c>
      <c r="C6" s="175">
        <v>0.85763888888888884</v>
      </c>
      <c r="D6" s="174" t="s">
        <v>37</v>
      </c>
      <c r="E6" s="174" t="s">
        <v>77</v>
      </c>
      <c r="F6" s="174" t="s">
        <v>1180</v>
      </c>
      <c r="G6" s="261"/>
      <c r="H6" s="176" t="s">
        <v>1181</v>
      </c>
      <c r="I6" s="177">
        <v>0.65359999999999996</v>
      </c>
      <c r="J6" s="178">
        <v>117</v>
      </c>
      <c r="K6" s="179">
        <v>45984</v>
      </c>
      <c r="L6" s="178">
        <v>51</v>
      </c>
      <c r="M6" s="178">
        <v>0</v>
      </c>
      <c r="N6" s="178">
        <v>12</v>
      </c>
      <c r="O6" s="180" t="s">
        <v>545</v>
      </c>
      <c r="P6" s="181">
        <v>0.85763888888888884</v>
      </c>
      <c r="Q6" s="178">
        <v>179</v>
      </c>
      <c r="R6" s="182" t="s">
        <v>1182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89" t="s">
        <v>1183</v>
      </c>
      <c r="B7" s="290"/>
      <c r="C7" s="290"/>
      <c r="D7" s="290"/>
      <c r="E7" s="290"/>
      <c r="F7" s="290"/>
      <c r="G7" s="262"/>
      <c r="H7" s="158"/>
      <c r="I7" s="158"/>
      <c r="J7" s="158"/>
      <c r="K7" s="158"/>
      <c r="L7" s="158"/>
      <c r="M7" s="158"/>
      <c r="N7" s="158"/>
      <c r="O7" s="159"/>
      <c r="P7" s="158"/>
      <c r="Q7" s="160"/>
      <c r="R7" s="16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38" t="s">
        <v>295</v>
      </c>
      <c r="B8" s="38" t="s">
        <v>1145</v>
      </c>
      <c r="C8" s="39" t="s">
        <v>582</v>
      </c>
      <c r="D8" s="38" t="s">
        <v>37</v>
      </c>
      <c r="E8" s="38" t="s">
        <v>218</v>
      </c>
      <c r="F8" s="38" t="s">
        <v>1146</v>
      </c>
      <c r="G8" s="262"/>
      <c r="H8" s="158"/>
      <c r="I8" s="158"/>
      <c r="J8" s="158"/>
      <c r="K8" s="158"/>
      <c r="L8" s="158"/>
      <c r="M8" s="158"/>
      <c r="N8" s="158"/>
      <c r="O8" s="159"/>
      <c r="P8" s="158"/>
      <c r="Q8" s="160"/>
      <c r="R8" s="16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40" t="s">
        <v>300</v>
      </c>
      <c r="B9" s="40" t="s">
        <v>1147</v>
      </c>
      <c r="C9" s="41" t="s">
        <v>607</v>
      </c>
      <c r="D9" s="40" t="s">
        <v>37</v>
      </c>
      <c r="E9" s="40" t="s">
        <v>218</v>
      </c>
      <c r="F9" s="40" t="s">
        <v>1148</v>
      </c>
      <c r="G9" s="263"/>
      <c r="H9" s="161"/>
      <c r="I9" s="161"/>
      <c r="J9" s="161"/>
      <c r="K9" s="161"/>
      <c r="L9" s="161"/>
      <c r="M9" s="161"/>
      <c r="N9" s="161"/>
      <c r="O9" s="162"/>
      <c r="P9" s="161"/>
      <c r="Q9" s="163"/>
      <c r="R9" s="1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85"/>
      <c r="B10" s="286"/>
      <c r="C10" s="286"/>
      <c r="D10" s="286"/>
      <c r="E10" s="286"/>
      <c r="F10" s="286"/>
      <c r="G10" s="276"/>
      <c r="H10" s="287"/>
      <c r="I10" s="287"/>
      <c r="J10" s="287"/>
      <c r="K10" s="287"/>
      <c r="L10" s="287"/>
      <c r="M10" s="287"/>
      <c r="N10" s="287"/>
      <c r="O10" s="288"/>
      <c r="P10" s="287"/>
      <c r="Q10" s="276"/>
      <c r="R10" s="27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66" t="s">
        <v>5</v>
      </c>
      <c r="B11" s="267"/>
      <c r="C11" s="267"/>
      <c r="D11" s="267"/>
      <c r="E11" s="267"/>
      <c r="F11" s="267"/>
      <c r="G11" s="5">
        <v>45990</v>
      </c>
      <c r="H11" s="270" t="s">
        <v>6</v>
      </c>
      <c r="I11" s="269"/>
      <c r="J11" s="269"/>
      <c r="K11" s="269"/>
      <c r="L11" s="269"/>
      <c r="M11" s="269"/>
      <c r="N11" s="269"/>
      <c r="O11" s="269"/>
      <c r="P11" s="269"/>
      <c r="Q11" s="269"/>
      <c r="R11" s="26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47" t="s">
        <v>7</v>
      </c>
      <c r="B12" s="47" t="s">
        <v>8</v>
      </c>
      <c r="C12" s="48" t="s">
        <v>9</v>
      </c>
      <c r="D12" s="47" t="s">
        <v>10</v>
      </c>
      <c r="E12" s="47" t="s">
        <v>11</v>
      </c>
      <c r="F12" s="47" t="s">
        <v>12</v>
      </c>
      <c r="G12" s="49" t="s">
        <v>13</v>
      </c>
      <c r="H12" s="47" t="s">
        <v>14</v>
      </c>
      <c r="I12" s="50" t="s">
        <v>15</v>
      </c>
      <c r="J12" s="51" t="s">
        <v>16</v>
      </c>
      <c r="K12" s="52" t="s">
        <v>17</v>
      </c>
      <c r="L12" s="51" t="s">
        <v>18</v>
      </c>
      <c r="M12" s="51" t="s">
        <v>19</v>
      </c>
      <c r="N12" s="51" t="s">
        <v>20</v>
      </c>
      <c r="O12" s="47" t="s">
        <v>21</v>
      </c>
      <c r="P12" s="48" t="s">
        <v>22</v>
      </c>
      <c r="Q12" s="51" t="s">
        <v>23</v>
      </c>
      <c r="R12" s="47"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7" t="s">
        <v>35</v>
      </c>
      <c r="B13" s="17" t="s">
        <v>1179</v>
      </c>
      <c r="C13" s="18">
        <v>0.69097222222222221</v>
      </c>
      <c r="D13" s="17" t="s">
        <v>37</v>
      </c>
      <c r="E13" s="17" t="s">
        <v>51</v>
      </c>
      <c r="F13" s="17" t="s">
        <v>269</v>
      </c>
      <c r="G13" s="261"/>
      <c r="H13" s="19" t="s">
        <v>1181</v>
      </c>
      <c r="I13" s="236">
        <v>0.53069999999999995</v>
      </c>
      <c r="J13" s="21">
        <v>95</v>
      </c>
      <c r="K13" s="22">
        <v>45985</v>
      </c>
      <c r="L13" s="21">
        <v>38</v>
      </c>
      <c r="M13" s="21">
        <v>1</v>
      </c>
      <c r="N13" s="21">
        <v>5</v>
      </c>
      <c r="O13" s="23" t="s">
        <v>238</v>
      </c>
      <c r="P13" s="24">
        <v>0.69097222222222221</v>
      </c>
      <c r="Q13" s="21">
        <v>179</v>
      </c>
      <c r="R13" s="25" t="s">
        <v>1184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x14ac:dyDescent="0.3">
      <c r="A14" s="289" t="s">
        <v>1183</v>
      </c>
      <c r="B14" s="290"/>
      <c r="C14" s="290"/>
      <c r="D14" s="290"/>
      <c r="E14" s="290"/>
      <c r="F14" s="290"/>
      <c r="G14" s="262"/>
      <c r="H14" s="158"/>
      <c r="I14" s="158"/>
      <c r="J14" s="158"/>
      <c r="K14" s="158"/>
      <c r="L14" s="158"/>
      <c r="M14" s="158"/>
      <c r="N14" s="158"/>
      <c r="O14" s="159"/>
      <c r="P14" s="158"/>
      <c r="Q14" s="160"/>
      <c r="R14" s="16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38" t="s">
        <v>295</v>
      </c>
      <c r="B15" s="38" t="s">
        <v>1168</v>
      </c>
      <c r="C15" s="39" t="s">
        <v>1185</v>
      </c>
      <c r="D15" s="38" t="s">
        <v>37</v>
      </c>
      <c r="E15" s="38" t="s">
        <v>209</v>
      </c>
      <c r="F15" s="38" t="s">
        <v>907</v>
      </c>
      <c r="G15" s="262"/>
      <c r="H15" s="158"/>
      <c r="I15" s="158"/>
      <c r="J15" s="158"/>
      <c r="K15" s="158"/>
      <c r="L15" s="158"/>
      <c r="M15" s="158"/>
      <c r="N15" s="158"/>
      <c r="O15" s="159"/>
      <c r="P15" s="158"/>
      <c r="Q15" s="160"/>
      <c r="R15" s="16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0" t="s">
        <v>75</v>
      </c>
      <c r="B16" s="40" t="s">
        <v>1154</v>
      </c>
      <c r="C16" s="41" t="s">
        <v>1186</v>
      </c>
      <c r="D16" s="40" t="s">
        <v>60</v>
      </c>
      <c r="E16" s="40" t="s">
        <v>209</v>
      </c>
      <c r="F16" s="40" t="s">
        <v>1169</v>
      </c>
      <c r="G16" s="263"/>
      <c r="H16" s="161"/>
      <c r="I16" s="161"/>
      <c r="J16" s="161"/>
      <c r="K16" s="161"/>
      <c r="L16" s="161"/>
      <c r="M16" s="161"/>
      <c r="N16" s="161"/>
      <c r="O16" s="162"/>
      <c r="P16" s="161"/>
      <c r="Q16" s="163"/>
      <c r="R16" s="16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5"/>
      <c r="B17" s="276"/>
      <c r="C17" s="276"/>
      <c r="D17" s="276"/>
      <c r="E17" s="276"/>
      <c r="F17" s="276"/>
      <c r="G17" s="276"/>
      <c r="H17" s="276"/>
      <c r="I17" s="276"/>
      <c r="J17" s="276"/>
      <c r="K17" s="276"/>
      <c r="L17" s="276"/>
      <c r="M17" s="276"/>
      <c r="N17" s="276"/>
      <c r="O17" s="276"/>
      <c r="P17" s="276"/>
      <c r="Q17" s="276"/>
      <c r="R17" s="27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sheetData>
  <mergeCells count="19">
    <mergeCell ref="A17:R17"/>
    <mergeCell ref="J1:M1"/>
    <mergeCell ref="H11:R11"/>
    <mergeCell ref="A10:R10"/>
    <mergeCell ref="K2:R2"/>
    <mergeCell ref="D1:F1"/>
    <mergeCell ref="A11:F11"/>
    <mergeCell ref="A1:C1"/>
    <mergeCell ref="G1:H1"/>
    <mergeCell ref="A7:F7"/>
    <mergeCell ref="O1:Q1"/>
    <mergeCell ref="H4:R4"/>
    <mergeCell ref="A2:F2"/>
    <mergeCell ref="A3:R3"/>
    <mergeCell ref="G13:G16"/>
    <mergeCell ref="A14:F14"/>
    <mergeCell ref="G2:J2"/>
    <mergeCell ref="A4:F4"/>
    <mergeCell ref="G6:G9"/>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4"/>
  <sheetViews>
    <sheetView workbookViewId="0">
      <pane ySplit="1" topLeftCell="A2" activePane="bottomLeft" state="frozen"/>
      <selection pane="bottomLeft"/>
    </sheetView>
  </sheetViews>
  <sheetFormatPr defaultRowHeight="14.4" x14ac:dyDescent="0.3"/>
  <cols>
    <col min="1" max="1" width="13.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158</v>
      </c>
      <c r="B2" s="79">
        <v>45986</v>
      </c>
      <c r="C2" s="80" t="s">
        <v>1181</v>
      </c>
      <c r="D2" s="81">
        <v>0.85763888888888884</v>
      </c>
      <c r="E2" s="80" t="s">
        <v>1178</v>
      </c>
      <c r="F2" s="80" t="s">
        <v>159</v>
      </c>
      <c r="G2" s="82">
        <v>0.65359999999999996</v>
      </c>
      <c r="H2" s="83">
        <v>179</v>
      </c>
      <c r="I2" s="83">
        <v>117</v>
      </c>
      <c r="J2" s="83">
        <v>0</v>
      </c>
      <c r="K2" s="79">
        <v>45984</v>
      </c>
      <c r="L2" s="83">
        <v>0</v>
      </c>
      <c r="M2" s="83">
        <v>12</v>
      </c>
      <c r="N2" s="83">
        <v>51</v>
      </c>
      <c r="O2" s="80" t="s">
        <v>545</v>
      </c>
      <c r="P2" s="84"/>
      <c r="Q2" s="84"/>
      <c r="R2" s="84"/>
      <c r="S2" s="84"/>
      <c r="T2" s="84"/>
      <c r="U2" s="84"/>
      <c r="V2" s="83" t="s">
        <v>1187</v>
      </c>
      <c r="W2" s="83" t="s">
        <v>427</v>
      </c>
      <c r="X2" s="83" t="s">
        <v>1188</v>
      </c>
      <c r="Y2" s="83" t="s">
        <v>863</v>
      </c>
      <c r="Z2" s="83" t="s">
        <v>855</v>
      </c>
      <c r="AA2" s="84"/>
      <c r="AB2" s="83" t="s">
        <v>181</v>
      </c>
      <c r="AC2" s="83" t="s">
        <v>1189</v>
      </c>
      <c r="AD2" s="83" t="s">
        <v>1069</v>
      </c>
      <c r="AE2" s="83" t="s">
        <v>1190</v>
      </c>
      <c r="AF2" s="84"/>
      <c r="AG2" s="84"/>
      <c r="AH2" s="84"/>
      <c r="AI2" s="84"/>
    </row>
    <row r="3" spans="1:35" ht="18" x14ac:dyDescent="0.3">
      <c r="A3" s="85" t="s">
        <v>179</v>
      </c>
      <c r="B3" s="86">
        <v>45990</v>
      </c>
      <c r="C3" s="87" t="s">
        <v>1181</v>
      </c>
      <c r="D3" s="88">
        <v>0.69097222222222221</v>
      </c>
      <c r="E3" s="87" t="s">
        <v>1178</v>
      </c>
      <c r="F3" s="87" t="s">
        <v>159</v>
      </c>
      <c r="G3" s="89">
        <v>0.53069999999999995</v>
      </c>
      <c r="H3" s="90">
        <v>179</v>
      </c>
      <c r="I3" s="90">
        <v>95</v>
      </c>
      <c r="J3" s="90">
        <v>0</v>
      </c>
      <c r="K3" s="86">
        <v>45985</v>
      </c>
      <c r="L3" s="90">
        <v>1</v>
      </c>
      <c r="M3" s="90">
        <v>5</v>
      </c>
      <c r="N3" s="90">
        <v>38</v>
      </c>
      <c r="O3" s="87" t="s">
        <v>238</v>
      </c>
      <c r="P3" s="91"/>
      <c r="Q3" s="91"/>
      <c r="R3" s="91"/>
      <c r="S3" s="91"/>
      <c r="T3" s="91"/>
      <c r="U3" s="91"/>
      <c r="V3" s="90" t="s">
        <v>227</v>
      </c>
      <c r="W3" s="90" t="s">
        <v>427</v>
      </c>
      <c r="X3" s="90" t="s">
        <v>539</v>
      </c>
      <c r="Y3" s="90" t="s">
        <v>705</v>
      </c>
      <c r="Z3" s="90" t="s">
        <v>1191</v>
      </c>
      <c r="AA3" s="90" t="s">
        <v>431</v>
      </c>
      <c r="AB3" s="90" t="s">
        <v>181</v>
      </c>
      <c r="AC3" s="90" t="s">
        <v>634</v>
      </c>
      <c r="AD3" s="90" t="s">
        <v>491</v>
      </c>
      <c r="AE3" s="91"/>
      <c r="AF3" s="91"/>
      <c r="AG3" s="91"/>
      <c r="AH3" s="91"/>
      <c r="AI3" s="91"/>
    </row>
    <row r="4" spans="1:35" ht="18" x14ac:dyDescent="0.3">
      <c r="A4" s="92" t="s">
        <v>189</v>
      </c>
      <c r="B4" s="93"/>
      <c r="C4" s="94">
        <f>COUNTA(C2:C3)</f>
        <v>2</v>
      </c>
      <c r="D4" s="93"/>
      <c r="E4" s="93"/>
      <c r="F4" s="93"/>
      <c r="G4" s="95">
        <f>AVERAGE(G2:G3)</f>
        <v>0.59214999999999995</v>
      </c>
      <c r="H4" s="96">
        <f>SUM(H2:H3)</f>
        <v>358</v>
      </c>
      <c r="I4" s="96">
        <f>SUM(I2:I3)</f>
        <v>212</v>
      </c>
      <c r="J4" s="96">
        <f>SUM(J2:J3)</f>
        <v>0</v>
      </c>
      <c r="K4" s="93"/>
      <c r="L4" s="96">
        <f>SUM(L2:L3)</f>
        <v>1</v>
      </c>
      <c r="M4" s="96">
        <f>SUM(M2:M3)</f>
        <v>17</v>
      </c>
      <c r="N4" s="96">
        <f>SUM(N2:N3)</f>
        <v>89</v>
      </c>
      <c r="O4" s="93"/>
      <c r="P4" s="96">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96">
        <f t="shared" si="0"/>
        <v>0</v>
      </c>
      <c r="R4" s="96">
        <f t="shared" si="0"/>
        <v>0</v>
      </c>
      <c r="S4" s="96">
        <f t="shared" si="0"/>
        <v>0</v>
      </c>
      <c r="T4" s="96">
        <f t="shared" si="0"/>
        <v>0</v>
      </c>
      <c r="U4" s="96">
        <f t="shared" si="0"/>
        <v>0</v>
      </c>
      <c r="V4" s="96">
        <f t="shared" si="0"/>
        <v>0</v>
      </c>
      <c r="W4" s="96">
        <f t="shared" si="0"/>
        <v>0</v>
      </c>
      <c r="X4" s="96">
        <f t="shared" si="0"/>
        <v>0</v>
      </c>
      <c r="Y4" s="96">
        <f t="shared" si="0"/>
        <v>0</v>
      </c>
      <c r="Z4" s="96">
        <f t="shared" si="0"/>
        <v>0</v>
      </c>
      <c r="AA4" s="96">
        <f t="shared" si="0"/>
        <v>0</v>
      </c>
      <c r="AB4" s="96">
        <f t="shared" si="0"/>
        <v>0</v>
      </c>
      <c r="AC4" s="96">
        <f t="shared" si="0"/>
        <v>0</v>
      </c>
      <c r="AD4" s="96">
        <f t="shared" si="0"/>
        <v>0</v>
      </c>
      <c r="AE4" s="96">
        <f t="shared" si="0"/>
        <v>0</v>
      </c>
      <c r="AF4" s="96">
        <f t="shared" si="0"/>
        <v>0</v>
      </c>
      <c r="AG4" s="96">
        <f t="shared" si="0"/>
        <v>0</v>
      </c>
      <c r="AH4" s="96">
        <f t="shared" si="0"/>
        <v>0</v>
      </c>
      <c r="AI4" s="96">
        <f t="shared" si="0"/>
        <v>0</v>
      </c>
    </row>
  </sheetData>
  <autoFilter ref="A1:AI3"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29"/>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165">
        <v>45986</v>
      </c>
      <c r="B2" s="110" t="s">
        <v>35</v>
      </c>
      <c r="C2" s="111" t="s">
        <v>1179</v>
      </c>
      <c r="D2" s="110" t="s">
        <v>1178</v>
      </c>
      <c r="E2" s="112">
        <v>1.8576388888888891</v>
      </c>
      <c r="F2" s="110" t="s">
        <v>37</v>
      </c>
      <c r="G2" s="113">
        <v>9</v>
      </c>
      <c r="H2" s="166" t="s">
        <v>1180</v>
      </c>
    </row>
    <row r="3" spans="1:8" ht="15.6" x14ac:dyDescent="0.3">
      <c r="A3" s="167"/>
      <c r="B3" s="167"/>
      <c r="C3" s="167"/>
      <c r="D3" s="167"/>
      <c r="E3" s="168" t="s">
        <v>1192</v>
      </c>
      <c r="F3" s="167"/>
      <c r="G3" s="167"/>
      <c r="H3" s="3"/>
    </row>
    <row r="4" spans="1:8" ht="18" x14ac:dyDescent="0.3">
      <c r="A4" s="118">
        <v>45986</v>
      </c>
      <c r="B4" s="99" t="s">
        <v>295</v>
      </c>
      <c r="C4" s="100" t="s">
        <v>1145</v>
      </c>
      <c r="D4" s="99" t="s">
        <v>1144</v>
      </c>
      <c r="E4" s="101">
        <v>1.489583333333333</v>
      </c>
      <c r="F4" s="99" t="s">
        <v>37</v>
      </c>
      <c r="G4" s="102">
        <v>2</v>
      </c>
      <c r="H4" s="99" t="s">
        <v>1146</v>
      </c>
    </row>
    <row r="5" spans="1:8" ht="18" x14ac:dyDescent="0.3">
      <c r="A5" s="169">
        <v>45986</v>
      </c>
      <c r="B5" s="170" t="s">
        <v>300</v>
      </c>
      <c r="C5" s="171" t="s">
        <v>1147</v>
      </c>
      <c r="D5" s="170" t="s">
        <v>1144</v>
      </c>
      <c r="E5" s="172">
        <v>1.4375</v>
      </c>
      <c r="F5" s="170" t="s">
        <v>37</v>
      </c>
      <c r="G5" s="173">
        <v>2</v>
      </c>
      <c r="H5" s="170" t="s">
        <v>1148</v>
      </c>
    </row>
    <row r="6" spans="1:8" ht="15.6" x14ac:dyDescent="0.3">
      <c r="A6" s="167"/>
      <c r="B6" s="167"/>
      <c r="C6" s="167"/>
      <c r="D6" s="167"/>
      <c r="E6" s="168" t="s">
        <v>1192</v>
      </c>
      <c r="F6" s="167"/>
      <c r="G6" s="167"/>
      <c r="H6" s="3"/>
    </row>
    <row r="7" spans="1:8" ht="18" x14ac:dyDescent="0.3">
      <c r="A7" s="98">
        <v>45987</v>
      </c>
      <c r="B7" s="99" t="s">
        <v>300</v>
      </c>
      <c r="C7" s="100" t="s">
        <v>1147</v>
      </c>
      <c r="D7" s="99" t="s">
        <v>1144</v>
      </c>
      <c r="E7" s="101">
        <v>1.4548611111111109</v>
      </c>
      <c r="F7" s="99" t="s">
        <v>37</v>
      </c>
      <c r="G7" s="102">
        <v>3</v>
      </c>
      <c r="H7" s="103" t="s">
        <v>1149</v>
      </c>
    </row>
    <row r="8" spans="1:8" ht="18" x14ac:dyDescent="0.3">
      <c r="A8" s="118">
        <v>45987</v>
      </c>
      <c r="B8" s="99" t="s">
        <v>295</v>
      </c>
      <c r="C8" s="100" t="s">
        <v>1145</v>
      </c>
      <c r="D8" s="99" t="s">
        <v>1144</v>
      </c>
      <c r="E8" s="101">
        <v>1.489583333333333</v>
      </c>
      <c r="F8" s="99" t="s">
        <v>37</v>
      </c>
      <c r="G8" s="102">
        <v>1</v>
      </c>
      <c r="H8" s="99" t="s">
        <v>1150</v>
      </c>
    </row>
    <row r="9" spans="1:8" ht="18" x14ac:dyDescent="0.3">
      <c r="A9" s="118">
        <v>45987</v>
      </c>
      <c r="B9" s="99" t="s">
        <v>290</v>
      </c>
      <c r="C9" s="100" t="s">
        <v>1151</v>
      </c>
      <c r="D9" s="99" t="s">
        <v>1144</v>
      </c>
      <c r="E9" s="101">
        <v>1.7673611111111109</v>
      </c>
      <c r="F9" s="99" t="s">
        <v>292</v>
      </c>
      <c r="G9" s="102">
        <v>5</v>
      </c>
      <c r="H9" s="99" t="s">
        <v>1152</v>
      </c>
    </row>
    <row r="10" spans="1:8" ht="18" x14ac:dyDescent="0.3">
      <c r="A10" s="104">
        <v>45987</v>
      </c>
      <c r="B10" s="105" t="s">
        <v>290</v>
      </c>
      <c r="C10" s="106" t="s">
        <v>1151</v>
      </c>
      <c r="D10" s="105" t="s">
        <v>1144</v>
      </c>
      <c r="E10" s="107">
        <v>1.7673611111111109</v>
      </c>
      <c r="F10" s="105" t="s">
        <v>30</v>
      </c>
      <c r="G10" s="108">
        <v>5</v>
      </c>
      <c r="H10" s="105" t="s">
        <v>1153</v>
      </c>
    </row>
    <row r="11" spans="1:8" ht="18" x14ac:dyDescent="0.3">
      <c r="A11" s="169">
        <v>45987</v>
      </c>
      <c r="B11" s="170" t="s">
        <v>75</v>
      </c>
      <c r="C11" s="171" t="s">
        <v>1154</v>
      </c>
      <c r="D11" s="170" t="s">
        <v>1144</v>
      </c>
      <c r="E11" s="172">
        <v>1.8715277777777779</v>
      </c>
      <c r="F11" s="170" t="s">
        <v>60</v>
      </c>
      <c r="G11" s="173">
        <v>9</v>
      </c>
      <c r="H11" s="170" t="s">
        <v>1155</v>
      </c>
    </row>
    <row r="12" spans="1:8" ht="15.6" x14ac:dyDescent="0.3">
      <c r="A12" s="167"/>
      <c r="B12" s="167"/>
      <c r="C12" s="167"/>
      <c r="D12" s="167"/>
      <c r="E12" s="168" t="s">
        <v>1192</v>
      </c>
      <c r="F12" s="167"/>
      <c r="G12" s="167"/>
      <c r="H12" s="3"/>
    </row>
    <row r="13" spans="1:8" ht="18" x14ac:dyDescent="0.3">
      <c r="A13" s="98">
        <v>45988</v>
      </c>
      <c r="B13" s="99" t="s">
        <v>295</v>
      </c>
      <c r="C13" s="100" t="s">
        <v>1145</v>
      </c>
      <c r="D13" s="99" t="s">
        <v>1144</v>
      </c>
      <c r="E13" s="101">
        <v>1.489583333333333</v>
      </c>
      <c r="F13" s="99" t="s">
        <v>37</v>
      </c>
      <c r="G13" s="102">
        <v>8</v>
      </c>
      <c r="H13" s="103" t="s">
        <v>1156</v>
      </c>
    </row>
    <row r="14" spans="1:8" ht="18" x14ac:dyDescent="0.3">
      <c r="A14" s="118">
        <v>45988</v>
      </c>
      <c r="B14" s="99" t="s">
        <v>300</v>
      </c>
      <c r="C14" s="100" t="s">
        <v>1147</v>
      </c>
      <c r="D14" s="99" t="s">
        <v>1144</v>
      </c>
      <c r="E14" s="101">
        <v>1.4548611111111109</v>
      </c>
      <c r="F14" s="99" t="s">
        <v>37</v>
      </c>
      <c r="G14" s="102">
        <v>9</v>
      </c>
      <c r="H14" s="99" t="s">
        <v>1157</v>
      </c>
    </row>
    <row r="15" spans="1:8" ht="18" x14ac:dyDescent="0.3">
      <c r="A15" s="109">
        <v>45988</v>
      </c>
      <c r="B15" s="110" t="s">
        <v>35</v>
      </c>
      <c r="C15" s="111" t="s">
        <v>1158</v>
      </c>
      <c r="D15" s="110" t="s">
        <v>1144</v>
      </c>
      <c r="E15" s="112">
        <v>1.631944444444444</v>
      </c>
      <c r="F15" s="110" t="s">
        <v>37</v>
      </c>
      <c r="G15" s="113">
        <v>9</v>
      </c>
      <c r="H15" s="110" t="s">
        <v>1159</v>
      </c>
    </row>
    <row r="16" spans="1:8" ht="18" x14ac:dyDescent="0.3">
      <c r="A16" s="169">
        <v>45988</v>
      </c>
      <c r="B16" s="170" t="s">
        <v>75</v>
      </c>
      <c r="C16" s="171" t="s">
        <v>1154</v>
      </c>
      <c r="D16" s="170" t="s">
        <v>1144</v>
      </c>
      <c r="E16" s="172">
        <v>1.8715277777777779</v>
      </c>
      <c r="F16" s="170" t="s">
        <v>60</v>
      </c>
      <c r="G16" s="173">
        <v>8</v>
      </c>
      <c r="H16" s="170" t="s">
        <v>1162</v>
      </c>
    </row>
    <row r="17" spans="1:8" ht="15.6" x14ac:dyDescent="0.3">
      <c r="A17" s="167"/>
      <c r="B17" s="167"/>
      <c r="C17" s="167"/>
      <c r="D17" s="167"/>
      <c r="E17" s="168" t="s">
        <v>1192</v>
      </c>
      <c r="F17" s="167"/>
      <c r="G17" s="167"/>
      <c r="H17" s="3"/>
    </row>
    <row r="18" spans="1:8" ht="18" x14ac:dyDescent="0.3">
      <c r="A18" s="98">
        <v>45989</v>
      </c>
      <c r="B18" s="99" t="s">
        <v>300</v>
      </c>
      <c r="C18" s="100" t="s">
        <v>1147</v>
      </c>
      <c r="D18" s="99" t="s">
        <v>1144</v>
      </c>
      <c r="E18" s="101">
        <v>1.697916666666667</v>
      </c>
      <c r="F18" s="99" t="s">
        <v>37</v>
      </c>
      <c r="G18" s="102">
        <v>1</v>
      </c>
      <c r="H18" s="103" t="s">
        <v>1163</v>
      </c>
    </row>
    <row r="19" spans="1:8" ht="18" x14ac:dyDescent="0.3">
      <c r="A19" s="118">
        <v>45989</v>
      </c>
      <c r="B19" s="99" t="s">
        <v>295</v>
      </c>
      <c r="C19" s="100" t="s">
        <v>1145</v>
      </c>
      <c r="D19" s="99" t="s">
        <v>1144</v>
      </c>
      <c r="E19" s="101">
        <v>1.489583333333333</v>
      </c>
      <c r="F19" s="99" t="s">
        <v>37</v>
      </c>
      <c r="G19" s="102">
        <v>7</v>
      </c>
      <c r="H19" s="99" t="s">
        <v>1164</v>
      </c>
    </row>
    <row r="20" spans="1:8" ht="18" x14ac:dyDescent="0.3">
      <c r="A20" s="109">
        <v>45989</v>
      </c>
      <c r="B20" s="110" t="s">
        <v>35</v>
      </c>
      <c r="C20" s="111" t="s">
        <v>1158</v>
      </c>
      <c r="D20" s="110" t="s">
        <v>1144</v>
      </c>
      <c r="E20" s="112">
        <v>1.8298611111111109</v>
      </c>
      <c r="F20" s="110" t="s">
        <v>37</v>
      </c>
      <c r="G20" s="113">
        <v>8</v>
      </c>
      <c r="H20" s="110" t="s">
        <v>1165</v>
      </c>
    </row>
    <row r="21" spans="1:8" ht="18" x14ac:dyDescent="0.3">
      <c r="A21" s="169">
        <v>45989</v>
      </c>
      <c r="B21" s="170" t="s">
        <v>75</v>
      </c>
      <c r="C21" s="171" t="s">
        <v>1154</v>
      </c>
      <c r="D21" s="170" t="s">
        <v>1144</v>
      </c>
      <c r="E21" s="172">
        <v>1.8715277777777779</v>
      </c>
      <c r="F21" s="170" t="s">
        <v>60</v>
      </c>
      <c r="G21" s="173">
        <v>9</v>
      </c>
      <c r="H21" s="170" t="s">
        <v>819</v>
      </c>
    </row>
    <row r="22" spans="1:8" ht="18" x14ac:dyDescent="0.3">
      <c r="A22" s="165">
        <v>45990</v>
      </c>
      <c r="B22" s="110" t="s">
        <v>35</v>
      </c>
      <c r="C22" s="111" t="s">
        <v>1179</v>
      </c>
      <c r="D22" s="110" t="s">
        <v>1178</v>
      </c>
      <c r="E22" s="112">
        <v>1.6909722222222221</v>
      </c>
      <c r="F22" s="110" t="s">
        <v>37</v>
      </c>
      <c r="G22" s="113">
        <v>3</v>
      </c>
      <c r="H22" s="166" t="s">
        <v>269</v>
      </c>
    </row>
    <row r="23" spans="1:8" ht="15.6" x14ac:dyDescent="0.3">
      <c r="A23" s="167"/>
      <c r="B23" s="167"/>
      <c r="C23" s="167"/>
      <c r="D23" s="167"/>
      <c r="E23" s="168" t="s">
        <v>1192</v>
      </c>
      <c r="F23" s="167"/>
      <c r="G23" s="167"/>
      <c r="H23" s="3"/>
    </row>
    <row r="24" spans="1:8" ht="18" x14ac:dyDescent="0.3">
      <c r="A24" s="118">
        <v>45990</v>
      </c>
      <c r="B24" s="99" t="s">
        <v>295</v>
      </c>
      <c r="C24" s="100" t="s">
        <v>1168</v>
      </c>
      <c r="D24" s="99" t="s">
        <v>1144</v>
      </c>
      <c r="E24" s="101">
        <v>1.8402777777777779</v>
      </c>
      <c r="F24" s="99" t="s">
        <v>37</v>
      </c>
      <c r="G24" s="102">
        <v>9</v>
      </c>
      <c r="H24" s="99" t="s">
        <v>907</v>
      </c>
    </row>
    <row r="25" spans="1:8" ht="18" x14ac:dyDescent="0.3">
      <c r="A25" s="169">
        <v>45990</v>
      </c>
      <c r="B25" s="170" t="s">
        <v>75</v>
      </c>
      <c r="C25" s="171" t="s">
        <v>1154</v>
      </c>
      <c r="D25" s="170" t="s">
        <v>1144</v>
      </c>
      <c r="E25" s="172">
        <v>1.868055555555556</v>
      </c>
      <c r="F25" s="170" t="s">
        <v>60</v>
      </c>
      <c r="G25" s="173">
        <v>9</v>
      </c>
      <c r="H25" s="170" t="s">
        <v>1169</v>
      </c>
    </row>
    <row r="26" spans="1:8" ht="15.6" x14ac:dyDescent="0.3">
      <c r="A26" s="167"/>
      <c r="B26" s="167"/>
      <c r="C26" s="167"/>
      <c r="D26" s="167"/>
      <c r="E26" s="168" t="s">
        <v>1192</v>
      </c>
      <c r="F26" s="167"/>
      <c r="G26" s="167"/>
      <c r="H26" s="3"/>
    </row>
    <row r="27" spans="1:8" ht="18" x14ac:dyDescent="0.3">
      <c r="A27" s="165">
        <v>45991</v>
      </c>
      <c r="B27" s="110" t="s">
        <v>35</v>
      </c>
      <c r="C27" s="111" t="s">
        <v>1158</v>
      </c>
      <c r="D27" s="110" t="s">
        <v>1144</v>
      </c>
      <c r="E27" s="112">
        <v>1.631944444444444</v>
      </c>
      <c r="F27" s="110" t="s">
        <v>37</v>
      </c>
      <c r="G27" s="113">
        <v>1</v>
      </c>
      <c r="H27" s="166" t="s">
        <v>123</v>
      </c>
    </row>
    <row r="28" spans="1:8" ht="18" x14ac:dyDescent="0.3">
      <c r="A28" s="118">
        <v>45991</v>
      </c>
      <c r="B28" s="99" t="s">
        <v>295</v>
      </c>
      <c r="C28" s="100" t="s">
        <v>1145</v>
      </c>
      <c r="D28" s="99" t="s">
        <v>1144</v>
      </c>
      <c r="E28" s="101">
        <v>1.489583333333333</v>
      </c>
      <c r="F28" s="99" t="s">
        <v>37</v>
      </c>
      <c r="G28" s="102">
        <v>3</v>
      </c>
      <c r="H28" s="99" t="s">
        <v>1171</v>
      </c>
    </row>
    <row r="29" spans="1:8" ht="18" x14ac:dyDescent="0.3">
      <c r="A29" s="169">
        <v>45991</v>
      </c>
      <c r="B29" s="170" t="s">
        <v>300</v>
      </c>
      <c r="C29" s="171" t="s">
        <v>1147</v>
      </c>
      <c r="D29" s="170" t="s">
        <v>1144</v>
      </c>
      <c r="E29" s="172">
        <v>1.4375</v>
      </c>
      <c r="F29" s="170" t="s">
        <v>37</v>
      </c>
      <c r="G29" s="173">
        <v>5</v>
      </c>
      <c r="H29" s="170" t="s">
        <v>1149</v>
      </c>
    </row>
  </sheetData>
  <dataValidations count="3">
    <dataValidation type="custom" allowBlank="1" showInputMessage="1" promptTitle="LOAD FACTOR ANALYSIS" prompt="SM-435_x000d__x000a_LF 65.4%_x000d__x000a_SOLD 117_x000d__x000a_LST-SOLD 23NOV_x000d__x000a_WEEKLY 51_x000d__x000a_TO-DAY NIL_x000d__x000a_Y-DAY 12_x000d__x000a_LOWEST AVAIL V9_x000d__x000a_CAPACITY 179_x000d__x000a_CLASSES V17 &amp; L12 &amp; G13 &amp; +6 more" sqref="A2 B2 C2 D2 E2 F2 G2 H2" xr:uid="{00000000-0002-0000-4500-000000000000}">
      <formula1>TRUE</formula1>
    </dataValidation>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15 A20 A27 B15 B20 B27 C15 C20 C27 D15 D20 D27 E15 E20 E27 F15 F20 F27 G15 G20 G27 H15 H20 H27" xr:uid="{00000000-0002-0000-4500-000001000000}">
      <formula1>TRUE</formula1>
    </dataValidation>
    <dataValidation type="custom" allowBlank="1" showInputMessage="1" promptTitle="LOAD FACTOR ANALYSIS" prompt="SM-435_x000d__x000a_LF 53.1%_x000d__x000a_SOLD 95_x000d__x000a_LST-SOLD 24NOV_x000d__x000a_WEEKLY 38_x000d__x000a_TO-DAY 1_x000d__x000a_Y-DAY 5_x000d__x000a_LOWEST AVAIL L3_x000d__x000a_CAPACITY 179_x000d__x000a_CLASSES V5 &amp; L12 &amp; G15 &amp; +6 more" sqref="A22 B22 C22 D22 E22 F22 G22 H22" xr:uid="{00000000-0002-0000-4500-000002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2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77734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82.5546875" bestFit="1" customWidth="1"/>
  </cols>
  <sheetData>
    <row r="1" spans="1:92" ht="28.8" customHeight="1" x14ac:dyDescent="0.3">
      <c r="A1" s="284" t="s">
        <v>0</v>
      </c>
      <c r="B1" s="265"/>
      <c r="C1" s="265"/>
      <c r="D1" s="284" t="s">
        <v>1193</v>
      </c>
      <c r="E1" s="265"/>
      <c r="F1" s="265"/>
      <c r="G1" s="284" t="s">
        <v>2</v>
      </c>
      <c r="H1" s="265"/>
      <c r="I1" s="2"/>
      <c r="J1" s="281">
        <v>45986</v>
      </c>
      <c r="K1" s="265"/>
      <c r="L1" s="265"/>
      <c r="M1" s="265"/>
      <c r="N1" s="1" t="s">
        <v>3</v>
      </c>
      <c r="O1" s="264">
        <v>45991</v>
      </c>
      <c r="P1" s="265"/>
      <c r="Q1" s="26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71" t="s">
        <v>4</v>
      </c>
      <c r="B2" s="272"/>
      <c r="C2" s="272"/>
      <c r="D2" s="272"/>
      <c r="E2" s="272"/>
      <c r="F2" s="272"/>
      <c r="G2" s="278">
        <v>45985.362178411102</v>
      </c>
      <c r="H2" s="272"/>
      <c r="I2" s="272"/>
      <c r="J2" s="272"/>
      <c r="K2" s="282">
        <v>45985.36217841164</v>
      </c>
      <c r="L2" s="272"/>
      <c r="M2" s="272"/>
      <c r="N2" s="272"/>
      <c r="O2" s="272"/>
      <c r="P2" s="272"/>
      <c r="Q2" s="283"/>
      <c r="R2" s="28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73"/>
      <c r="B3" s="274"/>
      <c r="C3" s="274"/>
      <c r="D3" s="274"/>
      <c r="E3" s="274"/>
      <c r="F3" s="274"/>
      <c r="G3" s="274"/>
      <c r="H3" s="274"/>
      <c r="I3" s="274"/>
      <c r="J3" s="274"/>
      <c r="K3" s="274"/>
      <c r="L3" s="274"/>
      <c r="M3" s="274"/>
      <c r="N3" s="274"/>
      <c r="O3" s="274"/>
      <c r="P3" s="274"/>
      <c r="Q3" s="274"/>
      <c r="R3" s="274"/>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79" t="s">
        <v>5</v>
      </c>
      <c r="B4" s="280"/>
      <c r="C4" s="280"/>
      <c r="D4" s="280"/>
      <c r="E4" s="280"/>
      <c r="F4" s="280"/>
      <c r="G4" s="5">
        <v>45986</v>
      </c>
      <c r="H4" s="268" t="s">
        <v>6</v>
      </c>
      <c r="I4" s="269"/>
      <c r="J4" s="269"/>
      <c r="K4" s="269"/>
      <c r="L4" s="269"/>
      <c r="M4" s="269"/>
      <c r="N4" s="269"/>
      <c r="O4" s="269"/>
      <c r="P4" s="269"/>
      <c r="Q4" s="269"/>
      <c r="R4" s="26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295</v>
      </c>
      <c r="B6" s="238" t="s">
        <v>1194</v>
      </c>
      <c r="C6" s="239">
        <v>0.33680555555555558</v>
      </c>
      <c r="D6" s="238" t="s">
        <v>37</v>
      </c>
      <c r="E6" s="238" t="s">
        <v>103</v>
      </c>
      <c r="F6" s="238" t="s">
        <v>1195</v>
      </c>
      <c r="G6" s="291"/>
      <c r="H6" s="42"/>
      <c r="I6" s="43"/>
      <c r="J6" s="43"/>
      <c r="K6" s="43"/>
      <c r="L6" s="43"/>
      <c r="M6" s="43"/>
      <c r="N6" s="43"/>
      <c r="O6" s="44"/>
      <c r="P6" s="43"/>
      <c r="Q6" s="45"/>
      <c r="R6" s="46"/>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75"/>
      <c r="B7" s="276"/>
      <c r="C7" s="276"/>
      <c r="D7" s="276"/>
      <c r="E7" s="276"/>
      <c r="F7" s="276"/>
      <c r="G7" s="276"/>
      <c r="H7" s="276"/>
      <c r="I7" s="276"/>
      <c r="J7" s="276"/>
      <c r="K7" s="276"/>
      <c r="L7" s="276"/>
      <c r="M7" s="276"/>
      <c r="N7" s="276"/>
      <c r="O7" s="276"/>
      <c r="P7" s="276"/>
      <c r="Q7" s="276"/>
      <c r="R7" s="27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66" t="s">
        <v>5</v>
      </c>
      <c r="B8" s="267"/>
      <c r="C8" s="267"/>
      <c r="D8" s="267"/>
      <c r="E8" s="267"/>
      <c r="F8" s="267"/>
      <c r="G8" s="5">
        <v>45987</v>
      </c>
      <c r="H8" s="270" t="s">
        <v>6</v>
      </c>
      <c r="I8" s="269"/>
      <c r="J8" s="269"/>
      <c r="K8" s="269"/>
      <c r="L8" s="269"/>
      <c r="M8" s="269"/>
      <c r="N8" s="269"/>
      <c r="O8" s="269"/>
      <c r="P8" s="269"/>
      <c r="Q8" s="269"/>
      <c r="R8" s="26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47" t="s">
        <v>7</v>
      </c>
      <c r="B9" s="47" t="s">
        <v>8</v>
      </c>
      <c r="C9" s="48" t="s">
        <v>9</v>
      </c>
      <c r="D9" s="47" t="s">
        <v>10</v>
      </c>
      <c r="E9" s="47" t="s">
        <v>11</v>
      </c>
      <c r="F9" s="47" t="s">
        <v>12</v>
      </c>
      <c r="G9" s="49" t="s">
        <v>13</v>
      </c>
      <c r="H9" s="47" t="s">
        <v>14</v>
      </c>
      <c r="I9" s="50" t="s">
        <v>15</v>
      </c>
      <c r="J9" s="51" t="s">
        <v>16</v>
      </c>
      <c r="K9" s="52" t="s">
        <v>17</v>
      </c>
      <c r="L9" s="51" t="s">
        <v>18</v>
      </c>
      <c r="M9" s="51" t="s">
        <v>19</v>
      </c>
      <c r="N9" s="51" t="s">
        <v>20</v>
      </c>
      <c r="O9" s="47" t="s">
        <v>21</v>
      </c>
      <c r="P9" s="48" t="s">
        <v>22</v>
      </c>
      <c r="Q9" s="51" t="s">
        <v>23</v>
      </c>
      <c r="R9" s="4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290</v>
      </c>
      <c r="B10" s="8" t="s">
        <v>1196</v>
      </c>
      <c r="C10" s="9">
        <v>0.98263888888888884</v>
      </c>
      <c r="D10" s="8" t="s">
        <v>292</v>
      </c>
      <c r="E10" s="8" t="s">
        <v>103</v>
      </c>
      <c r="F10" s="8" t="s">
        <v>1197</v>
      </c>
      <c r="G10" s="261"/>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53" t="s">
        <v>290</v>
      </c>
      <c r="B11" s="53" t="s">
        <v>1196</v>
      </c>
      <c r="C11" s="54">
        <v>0.98263888888888884</v>
      </c>
      <c r="D11" s="53" t="s">
        <v>30</v>
      </c>
      <c r="E11" s="53" t="s">
        <v>68</v>
      </c>
      <c r="F11" s="53" t="s">
        <v>1198</v>
      </c>
      <c r="G11" s="263"/>
      <c r="H11" s="42"/>
      <c r="I11" s="43"/>
      <c r="J11" s="43"/>
      <c r="K11" s="43"/>
      <c r="L11" s="43"/>
      <c r="M11" s="43"/>
      <c r="N11" s="43"/>
      <c r="O11" s="44"/>
      <c r="P11" s="43"/>
      <c r="Q11" s="45"/>
      <c r="R11" s="4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5"/>
      <c r="B12" s="276"/>
      <c r="C12" s="276"/>
      <c r="D12" s="276"/>
      <c r="E12" s="276"/>
      <c r="F12" s="276"/>
      <c r="G12" s="276"/>
      <c r="H12" s="276"/>
      <c r="I12" s="276"/>
      <c r="J12" s="276"/>
      <c r="K12" s="276"/>
      <c r="L12" s="276"/>
      <c r="M12" s="276"/>
      <c r="N12" s="276"/>
      <c r="O12" s="276"/>
      <c r="P12" s="276"/>
      <c r="Q12" s="276"/>
      <c r="R12" s="27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66" t="s">
        <v>5</v>
      </c>
      <c r="B13" s="267"/>
      <c r="C13" s="267"/>
      <c r="D13" s="267"/>
      <c r="E13" s="267"/>
      <c r="F13" s="267"/>
      <c r="G13" s="5">
        <v>45988</v>
      </c>
      <c r="H13" s="270" t="s">
        <v>6</v>
      </c>
      <c r="I13" s="269"/>
      <c r="J13" s="269"/>
      <c r="K13" s="269"/>
      <c r="L13" s="269"/>
      <c r="M13" s="269"/>
      <c r="N13" s="269"/>
      <c r="O13" s="269"/>
      <c r="P13" s="269"/>
      <c r="Q13" s="269"/>
      <c r="R13" s="26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47" t="s">
        <v>7</v>
      </c>
      <c r="B14" s="47" t="s">
        <v>8</v>
      </c>
      <c r="C14" s="48" t="s">
        <v>9</v>
      </c>
      <c r="D14" s="47" t="s">
        <v>10</v>
      </c>
      <c r="E14" s="47" t="s">
        <v>11</v>
      </c>
      <c r="F14" s="47" t="s">
        <v>12</v>
      </c>
      <c r="G14" s="49" t="s">
        <v>13</v>
      </c>
      <c r="H14" s="47" t="s">
        <v>14</v>
      </c>
      <c r="I14" s="50" t="s">
        <v>15</v>
      </c>
      <c r="J14" s="51" t="s">
        <v>16</v>
      </c>
      <c r="K14" s="52" t="s">
        <v>17</v>
      </c>
      <c r="L14" s="51" t="s">
        <v>18</v>
      </c>
      <c r="M14" s="51" t="s">
        <v>19</v>
      </c>
      <c r="N14" s="51" t="s">
        <v>20</v>
      </c>
      <c r="O14" s="47" t="s">
        <v>21</v>
      </c>
      <c r="P14" s="48" t="s">
        <v>22</v>
      </c>
      <c r="Q14" s="51" t="s">
        <v>23</v>
      </c>
      <c r="R14" s="4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295</v>
      </c>
      <c r="B15" s="8" t="s">
        <v>1194</v>
      </c>
      <c r="C15" s="9">
        <v>0.33680555555555558</v>
      </c>
      <c r="D15" s="8" t="s">
        <v>37</v>
      </c>
      <c r="E15" s="8" t="s">
        <v>51</v>
      </c>
      <c r="F15" s="8" t="s">
        <v>112</v>
      </c>
      <c r="G15" s="261"/>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17" t="s">
        <v>35</v>
      </c>
      <c r="B16" s="17" t="s">
        <v>1199</v>
      </c>
      <c r="C16" s="18">
        <v>0.8125</v>
      </c>
      <c r="D16" s="17" t="s">
        <v>37</v>
      </c>
      <c r="E16" s="17" t="s">
        <v>28</v>
      </c>
      <c r="F16" s="17" t="s">
        <v>1200</v>
      </c>
      <c r="G16" s="262"/>
      <c r="H16" s="19" t="s">
        <v>1201</v>
      </c>
      <c r="I16" s="234">
        <v>0.79890000000000005</v>
      </c>
      <c r="J16" s="21">
        <v>143</v>
      </c>
      <c r="K16" s="22">
        <v>45984</v>
      </c>
      <c r="L16" s="21">
        <v>36</v>
      </c>
      <c r="M16" s="21">
        <v>0</v>
      </c>
      <c r="N16" s="21">
        <v>13</v>
      </c>
      <c r="O16" s="23" t="s">
        <v>1202</v>
      </c>
      <c r="P16" s="24">
        <v>0.8125</v>
      </c>
      <c r="Q16" s="21">
        <v>179</v>
      </c>
      <c r="R16" s="25" t="s">
        <v>1203</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36" t="s">
        <v>290</v>
      </c>
      <c r="B17" s="36" t="s">
        <v>1196</v>
      </c>
      <c r="C17" s="37">
        <v>0.98263888888888884</v>
      </c>
      <c r="D17" s="36" t="s">
        <v>292</v>
      </c>
      <c r="E17" s="36" t="s">
        <v>103</v>
      </c>
      <c r="F17" s="36" t="s">
        <v>1204</v>
      </c>
      <c r="G17" s="262"/>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53" t="s">
        <v>290</v>
      </c>
      <c r="B18" s="53" t="s">
        <v>1196</v>
      </c>
      <c r="C18" s="54">
        <v>0.98263888888888884</v>
      </c>
      <c r="D18" s="53" t="s">
        <v>30</v>
      </c>
      <c r="E18" s="53" t="s">
        <v>68</v>
      </c>
      <c r="F18" s="53" t="s">
        <v>1205</v>
      </c>
      <c r="G18" s="263"/>
      <c r="H18" s="42"/>
      <c r="I18" s="43"/>
      <c r="J18" s="43"/>
      <c r="K18" s="43"/>
      <c r="L18" s="43"/>
      <c r="M18" s="43"/>
      <c r="N18" s="43"/>
      <c r="O18" s="44"/>
      <c r="P18" s="43"/>
      <c r="Q18" s="45"/>
      <c r="R18" s="4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5"/>
      <c r="B19" s="276"/>
      <c r="C19" s="276"/>
      <c r="D19" s="276"/>
      <c r="E19" s="276"/>
      <c r="F19" s="276"/>
      <c r="G19" s="276"/>
      <c r="H19" s="276"/>
      <c r="I19" s="276"/>
      <c r="J19" s="276"/>
      <c r="K19" s="276"/>
      <c r="L19" s="276"/>
      <c r="M19" s="276"/>
      <c r="N19" s="276"/>
      <c r="O19" s="276"/>
      <c r="P19" s="276"/>
      <c r="Q19" s="276"/>
      <c r="R19" s="27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66" t="s">
        <v>5</v>
      </c>
      <c r="B20" s="267"/>
      <c r="C20" s="267"/>
      <c r="D20" s="267"/>
      <c r="E20" s="267"/>
      <c r="F20" s="267"/>
      <c r="G20" s="5">
        <v>45990</v>
      </c>
      <c r="H20" s="270" t="s">
        <v>6</v>
      </c>
      <c r="I20" s="269"/>
      <c r="J20" s="269"/>
      <c r="K20" s="269"/>
      <c r="L20" s="269"/>
      <c r="M20" s="269"/>
      <c r="N20" s="269"/>
      <c r="O20" s="269"/>
      <c r="P20" s="269"/>
      <c r="Q20" s="269"/>
      <c r="R20" s="26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47" t="s">
        <v>7</v>
      </c>
      <c r="B21" s="47" t="s">
        <v>8</v>
      </c>
      <c r="C21" s="48" t="s">
        <v>9</v>
      </c>
      <c r="D21" s="47" t="s">
        <v>10</v>
      </c>
      <c r="E21" s="47" t="s">
        <v>11</v>
      </c>
      <c r="F21" s="47" t="s">
        <v>12</v>
      </c>
      <c r="G21" s="49" t="s">
        <v>13</v>
      </c>
      <c r="H21" s="47" t="s">
        <v>14</v>
      </c>
      <c r="I21" s="50" t="s">
        <v>15</v>
      </c>
      <c r="J21" s="51" t="s">
        <v>16</v>
      </c>
      <c r="K21" s="52" t="s">
        <v>17</v>
      </c>
      <c r="L21" s="51" t="s">
        <v>18</v>
      </c>
      <c r="M21" s="51" t="s">
        <v>19</v>
      </c>
      <c r="N21" s="51" t="s">
        <v>20</v>
      </c>
      <c r="O21" s="47" t="s">
        <v>21</v>
      </c>
      <c r="P21" s="48" t="s">
        <v>22</v>
      </c>
      <c r="Q21" s="51" t="s">
        <v>23</v>
      </c>
      <c r="R21" s="4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74" t="s">
        <v>35</v>
      </c>
      <c r="B22" s="174" t="s">
        <v>1199</v>
      </c>
      <c r="C22" s="175">
        <v>0.8125</v>
      </c>
      <c r="D22" s="174" t="s">
        <v>37</v>
      </c>
      <c r="E22" s="174" t="s">
        <v>77</v>
      </c>
      <c r="F22" s="174" t="s">
        <v>1206</v>
      </c>
      <c r="G22" s="261"/>
      <c r="H22" s="176" t="s">
        <v>1201</v>
      </c>
      <c r="I22" s="177">
        <v>0.70389999999999997</v>
      </c>
      <c r="J22" s="178">
        <v>126</v>
      </c>
      <c r="K22" s="179">
        <v>45984</v>
      </c>
      <c r="L22" s="178">
        <v>6</v>
      </c>
      <c r="M22" s="178">
        <v>0</v>
      </c>
      <c r="N22" s="178">
        <v>1</v>
      </c>
      <c r="O22" s="180" t="s">
        <v>834</v>
      </c>
      <c r="P22" s="181">
        <v>0.8125</v>
      </c>
      <c r="Q22" s="178">
        <v>179</v>
      </c>
      <c r="R22" s="182" t="s">
        <v>1207</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27" t="s">
        <v>295</v>
      </c>
      <c r="B23" s="227" t="s">
        <v>1194</v>
      </c>
      <c r="C23" s="228">
        <v>0.33680555555555558</v>
      </c>
      <c r="D23" s="227" t="s">
        <v>37</v>
      </c>
      <c r="E23" s="227" t="s">
        <v>246</v>
      </c>
      <c r="F23" s="227" t="s">
        <v>577</v>
      </c>
      <c r="G23" s="263"/>
      <c r="H23" s="42"/>
      <c r="I23" s="43"/>
      <c r="J23" s="43"/>
      <c r="K23" s="43"/>
      <c r="L23" s="43"/>
      <c r="M23" s="43"/>
      <c r="N23" s="43"/>
      <c r="O23" s="44"/>
      <c r="P23" s="43"/>
      <c r="Q23" s="45"/>
      <c r="R23" s="4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5"/>
      <c r="B24" s="276"/>
      <c r="C24" s="276"/>
      <c r="D24" s="276"/>
      <c r="E24" s="276"/>
      <c r="F24" s="276"/>
      <c r="G24" s="276"/>
      <c r="H24" s="276"/>
      <c r="I24" s="276"/>
      <c r="J24" s="276"/>
      <c r="K24" s="276"/>
      <c r="L24" s="276"/>
      <c r="M24" s="276"/>
      <c r="N24" s="276"/>
      <c r="O24" s="276"/>
      <c r="P24" s="276"/>
      <c r="Q24" s="276"/>
      <c r="R24" s="27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sheetData>
  <mergeCells count="25">
    <mergeCell ref="G22:G23"/>
    <mergeCell ref="A1:C1"/>
    <mergeCell ref="A24:R24"/>
    <mergeCell ref="G1:H1"/>
    <mergeCell ref="A19:R19"/>
    <mergeCell ref="K2:R2"/>
    <mergeCell ref="D1:F1"/>
    <mergeCell ref="G6"/>
    <mergeCell ref="H13:R13"/>
    <mergeCell ref="H8:R8"/>
    <mergeCell ref="O1:Q1"/>
    <mergeCell ref="A7:R7"/>
    <mergeCell ref="H20:R20"/>
    <mergeCell ref="H4:R4"/>
    <mergeCell ref="G10:G11"/>
    <mergeCell ref="A12:R12"/>
    <mergeCell ref="A2:F2"/>
    <mergeCell ref="A3:R3"/>
    <mergeCell ref="A8:F8"/>
    <mergeCell ref="G2:J2"/>
    <mergeCell ref="A4:F4"/>
    <mergeCell ref="A20:F20"/>
    <mergeCell ref="G15:G18"/>
    <mergeCell ref="J1:M1"/>
    <mergeCell ref="A13:F13"/>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77" t="s">
        <v>129</v>
      </c>
      <c r="B1" s="77" t="s">
        <v>130</v>
      </c>
      <c r="C1" s="77" t="s">
        <v>131</v>
      </c>
      <c r="D1" s="77" t="s">
        <v>22</v>
      </c>
      <c r="E1" s="77" t="s">
        <v>132</v>
      </c>
      <c r="F1" s="77" t="s">
        <v>133</v>
      </c>
      <c r="G1" s="77" t="s">
        <v>134</v>
      </c>
      <c r="H1" s="77" t="s">
        <v>135</v>
      </c>
      <c r="I1" s="77" t="s">
        <v>136</v>
      </c>
      <c r="J1" s="77" t="s">
        <v>137</v>
      </c>
      <c r="K1" s="77" t="s">
        <v>17</v>
      </c>
      <c r="L1" s="77" t="s">
        <v>19</v>
      </c>
      <c r="M1" s="77" t="s">
        <v>20</v>
      </c>
      <c r="N1" s="77" t="s">
        <v>18</v>
      </c>
      <c r="O1" s="77" t="s">
        <v>21</v>
      </c>
      <c r="P1" s="77" t="s">
        <v>138</v>
      </c>
      <c r="Q1" s="77" t="s">
        <v>139</v>
      </c>
      <c r="R1" s="77" t="s">
        <v>140</v>
      </c>
      <c r="S1" s="77" t="s">
        <v>141</v>
      </c>
      <c r="T1" s="77" t="s">
        <v>142</v>
      </c>
      <c r="U1" s="77" t="s">
        <v>143</v>
      </c>
      <c r="V1" s="77" t="s">
        <v>144</v>
      </c>
      <c r="W1" s="77" t="s">
        <v>145</v>
      </c>
      <c r="X1" s="77" t="s">
        <v>146</v>
      </c>
      <c r="Y1" s="77" t="s">
        <v>147</v>
      </c>
      <c r="Z1" s="77" t="s">
        <v>148</v>
      </c>
      <c r="AA1" s="77" t="s">
        <v>149</v>
      </c>
      <c r="AB1" s="77" t="s">
        <v>150</v>
      </c>
      <c r="AC1" s="77" t="s">
        <v>151</v>
      </c>
      <c r="AD1" s="77" t="s">
        <v>152</v>
      </c>
      <c r="AE1" s="77" t="s">
        <v>153</v>
      </c>
      <c r="AF1" s="77" t="s">
        <v>154</v>
      </c>
      <c r="AG1" s="77" t="s">
        <v>155</v>
      </c>
      <c r="AH1" s="77" t="s">
        <v>156</v>
      </c>
      <c r="AI1" s="77" t="s">
        <v>157</v>
      </c>
    </row>
    <row r="2" spans="1:35" ht="18" x14ac:dyDescent="0.3">
      <c r="A2" s="78" t="s">
        <v>176</v>
      </c>
      <c r="B2" s="79">
        <v>45988</v>
      </c>
      <c r="C2" s="80" t="s">
        <v>1201</v>
      </c>
      <c r="D2" s="81">
        <v>0.8125</v>
      </c>
      <c r="E2" s="80" t="s">
        <v>1193</v>
      </c>
      <c r="F2" s="80" t="s">
        <v>159</v>
      </c>
      <c r="G2" s="82">
        <v>0.79890000000000005</v>
      </c>
      <c r="H2" s="83">
        <v>179</v>
      </c>
      <c r="I2" s="83">
        <v>143</v>
      </c>
      <c r="J2" s="83">
        <v>0</v>
      </c>
      <c r="K2" s="79">
        <v>45984</v>
      </c>
      <c r="L2" s="83">
        <v>0</v>
      </c>
      <c r="M2" s="83">
        <v>13</v>
      </c>
      <c r="N2" s="83">
        <v>36</v>
      </c>
      <c r="O2" s="80" t="s">
        <v>1202</v>
      </c>
      <c r="P2" s="84"/>
      <c r="Q2" s="84"/>
      <c r="R2" s="84"/>
      <c r="S2" s="83" t="s">
        <v>921</v>
      </c>
      <c r="T2" s="83" t="s">
        <v>1132</v>
      </c>
      <c r="U2" s="83" t="s">
        <v>1208</v>
      </c>
      <c r="V2" s="83" t="s">
        <v>551</v>
      </c>
      <c r="W2" s="83" t="s">
        <v>559</v>
      </c>
      <c r="X2" s="83" t="s">
        <v>557</v>
      </c>
      <c r="Y2" s="83" t="s">
        <v>439</v>
      </c>
      <c r="Z2" s="83" t="s">
        <v>488</v>
      </c>
      <c r="AA2" s="83" t="s">
        <v>162</v>
      </c>
      <c r="AB2" s="83" t="s">
        <v>1209</v>
      </c>
      <c r="AC2" s="83" t="s">
        <v>526</v>
      </c>
      <c r="AD2" s="83" t="s">
        <v>481</v>
      </c>
      <c r="AE2" s="83" t="s">
        <v>647</v>
      </c>
      <c r="AF2" s="84"/>
      <c r="AG2" s="84"/>
      <c r="AH2" s="84"/>
      <c r="AI2" s="84"/>
    </row>
    <row r="3" spans="1:35" ht="18" x14ac:dyDescent="0.3">
      <c r="A3" s="85" t="s">
        <v>179</v>
      </c>
      <c r="B3" s="86">
        <v>45990</v>
      </c>
      <c r="C3" s="87" t="s">
        <v>1201</v>
      </c>
      <c r="D3" s="88">
        <v>0.8125</v>
      </c>
      <c r="E3" s="87" t="s">
        <v>1193</v>
      </c>
      <c r="F3" s="87" t="s">
        <v>159</v>
      </c>
      <c r="G3" s="89">
        <v>0.70389999999999997</v>
      </c>
      <c r="H3" s="90">
        <v>179</v>
      </c>
      <c r="I3" s="90">
        <v>126</v>
      </c>
      <c r="J3" s="90">
        <v>0</v>
      </c>
      <c r="K3" s="86">
        <v>45984</v>
      </c>
      <c r="L3" s="90">
        <v>0</v>
      </c>
      <c r="M3" s="90">
        <v>1</v>
      </c>
      <c r="N3" s="90">
        <v>6</v>
      </c>
      <c r="O3" s="87" t="s">
        <v>834</v>
      </c>
      <c r="P3" s="91"/>
      <c r="Q3" s="91"/>
      <c r="R3" s="90" t="s">
        <v>1210</v>
      </c>
      <c r="S3" s="90" t="s">
        <v>980</v>
      </c>
      <c r="T3" s="90" t="s">
        <v>1101</v>
      </c>
      <c r="U3" s="90" t="s">
        <v>544</v>
      </c>
      <c r="V3" s="90" t="s">
        <v>227</v>
      </c>
      <c r="W3" s="90" t="s">
        <v>852</v>
      </c>
      <c r="X3" s="90" t="s">
        <v>557</v>
      </c>
      <c r="Y3" s="90" t="s">
        <v>439</v>
      </c>
      <c r="Z3" s="90" t="s">
        <v>564</v>
      </c>
      <c r="AA3" s="90" t="s">
        <v>162</v>
      </c>
      <c r="AB3" s="90" t="s">
        <v>436</v>
      </c>
      <c r="AC3" s="90" t="s">
        <v>634</v>
      </c>
      <c r="AD3" s="90" t="s">
        <v>481</v>
      </c>
      <c r="AE3" s="90" t="s">
        <v>642</v>
      </c>
      <c r="AF3" s="91"/>
      <c r="AG3" s="91"/>
      <c r="AH3" s="91"/>
      <c r="AI3" s="91"/>
    </row>
    <row r="4" spans="1:35" ht="18" x14ac:dyDescent="0.3">
      <c r="A4" s="92" t="s">
        <v>189</v>
      </c>
      <c r="B4" s="93"/>
      <c r="C4" s="94">
        <f>COUNTA(C2:C3)</f>
        <v>2</v>
      </c>
      <c r="D4" s="93"/>
      <c r="E4" s="93"/>
      <c r="F4" s="93"/>
      <c r="G4" s="95">
        <f>AVERAGE(G2:G3)</f>
        <v>0.75140000000000007</v>
      </c>
      <c r="H4" s="96">
        <f>SUM(H2:H3)</f>
        <v>358</v>
      </c>
      <c r="I4" s="96">
        <f>SUM(I2:I3)</f>
        <v>269</v>
      </c>
      <c r="J4" s="96">
        <f>SUM(J2:J3)</f>
        <v>0</v>
      </c>
      <c r="K4" s="93"/>
      <c r="L4" s="96">
        <f>SUM(L2:L3)</f>
        <v>0</v>
      </c>
      <c r="M4" s="96">
        <f>SUM(M2:M3)</f>
        <v>14</v>
      </c>
      <c r="N4" s="96">
        <f>SUM(N2:N3)</f>
        <v>42</v>
      </c>
      <c r="O4" s="93"/>
      <c r="P4" s="96">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96">
        <f t="shared" si="0"/>
        <v>0</v>
      </c>
      <c r="R4" s="96">
        <f t="shared" si="0"/>
        <v>0</v>
      </c>
      <c r="S4" s="96">
        <f t="shared" si="0"/>
        <v>0</v>
      </c>
      <c r="T4" s="96">
        <f t="shared" si="0"/>
        <v>0</v>
      </c>
      <c r="U4" s="96">
        <f t="shared" si="0"/>
        <v>0</v>
      </c>
      <c r="V4" s="96">
        <f t="shared" si="0"/>
        <v>0</v>
      </c>
      <c r="W4" s="96">
        <f t="shared" si="0"/>
        <v>0</v>
      </c>
      <c r="X4" s="96">
        <f t="shared" si="0"/>
        <v>0</v>
      </c>
      <c r="Y4" s="96">
        <f t="shared" si="0"/>
        <v>0</v>
      </c>
      <c r="Z4" s="96">
        <f t="shared" si="0"/>
        <v>0</v>
      </c>
      <c r="AA4" s="96">
        <f t="shared" si="0"/>
        <v>0</v>
      </c>
      <c r="AB4" s="96">
        <f t="shared" si="0"/>
        <v>0</v>
      </c>
      <c r="AC4" s="96">
        <f t="shared" si="0"/>
        <v>0</v>
      </c>
      <c r="AD4" s="96">
        <f t="shared" si="0"/>
        <v>0</v>
      </c>
      <c r="AE4" s="96">
        <f t="shared" si="0"/>
        <v>0</v>
      </c>
      <c r="AF4" s="96">
        <f t="shared" si="0"/>
        <v>0</v>
      </c>
      <c r="AG4" s="96">
        <f t="shared" si="0"/>
        <v>0</v>
      </c>
      <c r="AH4" s="96">
        <f t="shared" si="0"/>
        <v>0</v>
      </c>
      <c r="AI4" s="96">
        <f t="shared" si="0"/>
        <v>0</v>
      </c>
    </row>
  </sheetData>
  <autoFilter ref="A1:AI3"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0"/>
  <sheetViews>
    <sheetView workbookViewId="0"/>
  </sheetViews>
  <sheetFormatPr defaultRowHeight="14.4" x14ac:dyDescent="0.3"/>
  <cols>
    <col min="1" max="1" width="13"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97" t="s">
        <v>190</v>
      </c>
      <c r="B1" s="97" t="s">
        <v>7</v>
      </c>
      <c r="C1" s="97" t="s">
        <v>8</v>
      </c>
      <c r="D1" s="97" t="s">
        <v>191</v>
      </c>
      <c r="E1" s="97" t="s">
        <v>9</v>
      </c>
      <c r="F1" s="97" t="s">
        <v>10</v>
      </c>
      <c r="G1" s="97" t="s">
        <v>11</v>
      </c>
      <c r="H1" s="97" t="s">
        <v>12</v>
      </c>
    </row>
    <row r="2" spans="1:8" ht="18" x14ac:dyDescent="0.3">
      <c r="A2" s="240">
        <v>45986</v>
      </c>
      <c r="B2" s="170" t="s">
        <v>295</v>
      </c>
      <c r="C2" s="171" t="s">
        <v>1194</v>
      </c>
      <c r="D2" s="170" t="s">
        <v>1193</v>
      </c>
      <c r="E2" s="172">
        <v>1.336805555555556</v>
      </c>
      <c r="F2" s="170" t="s">
        <v>37</v>
      </c>
      <c r="G2" s="173">
        <v>2</v>
      </c>
      <c r="H2" s="241" t="s">
        <v>1195</v>
      </c>
    </row>
    <row r="3" spans="1:8" ht="18" x14ac:dyDescent="0.3">
      <c r="A3" s="98">
        <v>45987</v>
      </c>
      <c r="B3" s="99" t="s">
        <v>290</v>
      </c>
      <c r="C3" s="100" t="s">
        <v>1196</v>
      </c>
      <c r="D3" s="99" t="s">
        <v>1193</v>
      </c>
      <c r="E3" s="101">
        <v>1.9826388888888891</v>
      </c>
      <c r="F3" s="99" t="s">
        <v>292</v>
      </c>
      <c r="G3" s="102">
        <v>2</v>
      </c>
      <c r="H3" s="103" t="s">
        <v>1197</v>
      </c>
    </row>
    <row r="4" spans="1:8" ht="18" x14ac:dyDescent="0.3">
      <c r="A4" s="129">
        <v>45987</v>
      </c>
      <c r="B4" s="130" t="s">
        <v>290</v>
      </c>
      <c r="C4" s="131" t="s">
        <v>1196</v>
      </c>
      <c r="D4" s="130" t="s">
        <v>1193</v>
      </c>
      <c r="E4" s="132">
        <v>1.9826388888888891</v>
      </c>
      <c r="F4" s="130" t="s">
        <v>30</v>
      </c>
      <c r="G4" s="133">
        <v>2</v>
      </c>
      <c r="H4" s="130" t="s">
        <v>1198</v>
      </c>
    </row>
    <row r="5" spans="1:8" ht="18" x14ac:dyDescent="0.3">
      <c r="A5" s="98">
        <v>45988</v>
      </c>
      <c r="B5" s="99" t="s">
        <v>295</v>
      </c>
      <c r="C5" s="100" t="s">
        <v>1194</v>
      </c>
      <c r="D5" s="99" t="s">
        <v>1193</v>
      </c>
      <c r="E5" s="101">
        <v>1.336805555555556</v>
      </c>
      <c r="F5" s="99" t="s">
        <v>37</v>
      </c>
      <c r="G5" s="102">
        <v>3</v>
      </c>
      <c r="H5" s="103" t="s">
        <v>112</v>
      </c>
    </row>
    <row r="6" spans="1:8" ht="18" x14ac:dyDescent="0.3">
      <c r="A6" s="109">
        <v>45988</v>
      </c>
      <c r="B6" s="110" t="s">
        <v>35</v>
      </c>
      <c r="C6" s="111" t="s">
        <v>1199</v>
      </c>
      <c r="D6" s="110" t="s">
        <v>1193</v>
      </c>
      <c r="E6" s="112">
        <v>1.8125</v>
      </c>
      <c r="F6" s="110" t="s">
        <v>37</v>
      </c>
      <c r="G6" s="113">
        <v>8</v>
      </c>
      <c r="H6" s="110" t="s">
        <v>1200</v>
      </c>
    </row>
    <row r="7" spans="1:8" ht="18" x14ac:dyDescent="0.3">
      <c r="A7" s="118">
        <v>45988</v>
      </c>
      <c r="B7" s="99" t="s">
        <v>290</v>
      </c>
      <c r="C7" s="100" t="s">
        <v>1196</v>
      </c>
      <c r="D7" s="99" t="s">
        <v>1193</v>
      </c>
      <c r="E7" s="101">
        <v>1.9826388888888891</v>
      </c>
      <c r="F7" s="99" t="s">
        <v>292</v>
      </c>
      <c r="G7" s="102">
        <v>2</v>
      </c>
      <c r="H7" s="99" t="s">
        <v>1204</v>
      </c>
    </row>
    <row r="8" spans="1:8" ht="18" x14ac:dyDescent="0.3">
      <c r="A8" s="129">
        <v>45988</v>
      </c>
      <c r="B8" s="130" t="s">
        <v>290</v>
      </c>
      <c r="C8" s="131" t="s">
        <v>1196</v>
      </c>
      <c r="D8" s="130" t="s">
        <v>1193</v>
      </c>
      <c r="E8" s="132">
        <v>1.9826388888888891</v>
      </c>
      <c r="F8" s="130" t="s">
        <v>30</v>
      </c>
      <c r="G8" s="133">
        <v>2</v>
      </c>
      <c r="H8" s="130" t="s">
        <v>1205</v>
      </c>
    </row>
    <row r="9" spans="1:8" ht="18" x14ac:dyDescent="0.3">
      <c r="A9" s="165">
        <v>45990</v>
      </c>
      <c r="B9" s="110" t="s">
        <v>35</v>
      </c>
      <c r="C9" s="111" t="s">
        <v>1199</v>
      </c>
      <c r="D9" s="110" t="s">
        <v>1193</v>
      </c>
      <c r="E9" s="112">
        <v>1.8125</v>
      </c>
      <c r="F9" s="110" t="s">
        <v>37</v>
      </c>
      <c r="G9" s="113">
        <v>9</v>
      </c>
      <c r="H9" s="166" t="s">
        <v>1206</v>
      </c>
    </row>
    <row r="10" spans="1:8" ht="18" x14ac:dyDescent="0.3">
      <c r="A10" s="169">
        <v>45990</v>
      </c>
      <c r="B10" s="170" t="s">
        <v>295</v>
      </c>
      <c r="C10" s="171" t="s">
        <v>1194</v>
      </c>
      <c r="D10" s="170" t="s">
        <v>1193</v>
      </c>
      <c r="E10" s="172">
        <v>1.336805555555556</v>
      </c>
      <c r="F10" s="170" t="s">
        <v>37</v>
      </c>
      <c r="G10" s="173">
        <v>6</v>
      </c>
      <c r="H10" s="170" t="s">
        <v>577</v>
      </c>
    </row>
  </sheetData>
  <dataValidations count="2">
    <dataValidation type="custom" allowBlank="1" showInputMessage="1" promptTitle="LOAD FACTOR ANALYSIS" prompt="SM-329_x000d__x000a_LF 79.9%_x000d__x000a_SOLD 143_x000d__x000a_LST-SOLD 23NOV_x000d__x000a_WEEKLY 36_x000d__x000a_TO-DAY NIL_x000d__x000a_Y-DAY 13_x000d__x000a_LOWEST AVAIL Q8_x000d__x000a_CAPACITY 179_x000d__x000a_CLASSES H1 &amp; Q12 &amp; K40 &amp; +10 more" sqref="A6 B6 C6 D6 E6 F6 G6 H6" xr:uid="{00000000-0002-0000-4800-000000000000}">
      <formula1>TRUE</formula1>
    </dataValidation>
    <dataValidation type="custom" allowBlank="1" showInputMessage="1" promptTitle="LOAD FACTOR ANALYSIS" prompt="SM-329_x000d__x000a_LF 70.4%_x000d__x000a_SOLD 126_x000d__x000a_LST-SOLD 23NOV_x000d__x000a_WEEKLY 6_x000d__x000a_TO-DAY NIL_x000d__x000a_Y-DAY 1_x000d__x000a_LOWEST AVAIL M9_x000d__x000a_CAPACITY 179_x000d__x000a_CLASSES M6 &amp; H20 &amp; Q16 &amp; +11 more" sqref="A9 B9 C9 D9 E9 F9 G9 H9" xr:uid="{00000000-0002-0000-4800-000001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110"/>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38" t="s">
        <v>129</v>
      </c>
      <c r="B1" s="138" t="s">
        <v>130</v>
      </c>
      <c r="C1" s="138" t="s">
        <v>131</v>
      </c>
      <c r="D1" s="138" t="s">
        <v>22</v>
      </c>
      <c r="E1" s="138" t="s">
        <v>132</v>
      </c>
      <c r="F1" s="138" t="s">
        <v>133</v>
      </c>
      <c r="G1" s="138" t="s">
        <v>15</v>
      </c>
      <c r="H1" s="138" t="s">
        <v>135</v>
      </c>
      <c r="I1" s="138" t="s">
        <v>136</v>
      </c>
      <c r="J1" s="138" t="s">
        <v>137</v>
      </c>
      <c r="K1" s="138" t="s">
        <v>17</v>
      </c>
      <c r="L1" s="138" t="s">
        <v>19</v>
      </c>
      <c r="M1" s="138" t="s">
        <v>20</v>
      </c>
      <c r="N1" s="138" t="s">
        <v>18</v>
      </c>
      <c r="O1" s="138" t="s">
        <v>21</v>
      </c>
      <c r="P1" s="138" t="s">
        <v>138</v>
      </c>
      <c r="Q1" s="138" t="s">
        <v>139</v>
      </c>
      <c r="R1" s="138" t="s">
        <v>140</v>
      </c>
      <c r="S1" s="138" t="s">
        <v>141</v>
      </c>
      <c r="T1" s="138" t="s">
        <v>142</v>
      </c>
      <c r="U1" s="138" t="s">
        <v>143</v>
      </c>
      <c r="V1" s="138" t="s">
        <v>144</v>
      </c>
      <c r="W1" s="138" t="s">
        <v>145</v>
      </c>
      <c r="X1" s="138" t="s">
        <v>146</v>
      </c>
      <c r="Y1" s="138" t="s">
        <v>147</v>
      </c>
      <c r="Z1" s="138" t="s">
        <v>148</v>
      </c>
      <c r="AA1" s="138" t="s">
        <v>149</v>
      </c>
      <c r="AB1" s="138" t="s">
        <v>150</v>
      </c>
      <c r="AC1" s="138" t="s">
        <v>151</v>
      </c>
      <c r="AD1" s="138" t="s">
        <v>152</v>
      </c>
      <c r="AE1" s="138" t="s">
        <v>153</v>
      </c>
      <c r="AF1" s="138" t="s">
        <v>154</v>
      </c>
      <c r="AG1" s="138" t="s">
        <v>155</v>
      </c>
      <c r="AH1" s="138" t="s">
        <v>156</v>
      </c>
      <c r="AI1" s="138" t="s">
        <v>157</v>
      </c>
    </row>
    <row r="2" spans="1:35" ht="18" x14ac:dyDescent="0.3">
      <c r="A2" s="139" t="s">
        <v>1211</v>
      </c>
      <c r="B2" s="140">
        <v>45987</v>
      </c>
      <c r="C2" s="121" t="s">
        <v>1009</v>
      </c>
      <c r="D2" s="141">
        <v>0.71180555555555547</v>
      </c>
      <c r="E2" s="121" t="s">
        <v>1001</v>
      </c>
      <c r="F2" s="121" t="s">
        <v>159</v>
      </c>
      <c r="G2" s="142">
        <v>0.58099999999999996</v>
      </c>
      <c r="H2" s="123">
        <v>179</v>
      </c>
      <c r="I2" s="123">
        <v>104</v>
      </c>
      <c r="J2" s="123">
        <v>0</v>
      </c>
      <c r="K2" s="140">
        <v>45984</v>
      </c>
      <c r="L2" s="123">
        <v>0</v>
      </c>
      <c r="M2" s="123">
        <v>11</v>
      </c>
      <c r="N2" s="123">
        <v>55</v>
      </c>
      <c r="O2" s="121" t="s">
        <v>436</v>
      </c>
      <c r="P2" s="120"/>
      <c r="Q2" s="120"/>
      <c r="R2" s="120"/>
      <c r="S2" s="120"/>
      <c r="T2" s="120"/>
      <c r="U2" s="120"/>
      <c r="V2" s="120"/>
      <c r="W2" s="120"/>
      <c r="X2" s="120"/>
      <c r="Y2" s="123">
        <v>1</v>
      </c>
      <c r="Z2" s="120"/>
      <c r="AA2" s="120"/>
      <c r="AB2" s="123">
        <v>2</v>
      </c>
      <c r="AC2" s="123">
        <v>10</v>
      </c>
      <c r="AD2" s="123">
        <v>28</v>
      </c>
      <c r="AE2" s="123">
        <v>63</v>
      </c>
      <c r="AF2" s="120"/>
      <c r="AG2" s="120"/>
      <c r="AH2" s="120"/>
      <c r="AI2" s="120"/>
    </row>
    <row r="3" spans="1:35" ht="18" x14ac:dyDescent="0.3">
      <c r="A3" s="139" t="s">
        <v>193</v>
      </c>
      <c r="B3" s="140">
        <v>45988</v>
      </c>
      <c r="C3" s="121" t="s">
        <v>1009</v>
      </c>
      <c r="D3" s="141">
        <v>0.71180555555555547</v>
      </c>
      <c r="E3" s="121" t="s">
        <v>1001</v>
      </c>
      <c r="F3" s="121" t="s">
        <v>159</v>
      </c>
      <c r="G3" s="142">
        <v>0.51959999999999995</v>
      </c>
      <c r="H3" s="123">
        <v>179</v>
      </c>
      <c r="I3" s="123">
        <v>93</v>
      </c>
      <c r="J3" s="123">
        <v>0</v>
      </c>
      <c r="K3" s="140">
        <v>45984</v>
      </c>
      <c r="L3" s="123">
        <v>0</v>
      </c>
      <c r="M3" s="123">
        <v>1</v>
      </c>
      <c r="N3" s="123">
        <v>20</v>
      </c>
      <c r="O3" s="121" t="s">
        <v>436</v>
      </c>
      <c r="P3" s="120"/>
      <c r="Q3" s="120"/>
      <c r="R3" s="120"/>
      <c r="S3" s="120"/>
      <c r="T3" s="120"/>
      <c r="U3" s="120"/>
      <c r="V3" s="120"/>
      <c r="W3" s="120"/>
      <c r="X3" s="120"/>
      <c r="Y3" s="120"/>
      <c r="Z3" s="120"/>
      <c r="AA3" s="123">
        <v>9</v>
      </c>
      <c r="AB3" s="123">
        <v>14</v>
      </c>
      <c r="AC3" s="123">
        <v>10</v>
      </c>
      <c r="AD3" s="123">
        <v>20</v>
      </c>
      <c r="AE3" s="123">
        <v>40</v>
      </c>
      <c r="AF3" s="120"/>
      <c r="AG3" s="120"/>
      <c r="AH3" s="120"/>
      <c r="AI3" s="120"/>
    </row>
    <row r="4" spans="1:35" ht="18" x14ac:dyDescent="0.3">
      <c r="A4" s="139" t="s">
        <v>194</v>
      </c>
      <c r="B4" s="140">
        <v>45990</v>
      </c>
      <c r="C4" s="121" t="s">
        <v>1009</v>
      </c>
      <c r="D4" s="141">
        <v>0.83680555555555547</v>
      </c>
      <c r="E4" s="121" t="s">
        <v>1001</v>
      </c>
      <c r="F4" s="121" t="s">
        <v>159</v>
      </c>
      <c r="G4" s="142">
        <v>0.64249999999999996</v>
      </c>
      <c r="H4" s="123">
        <v>179</v>
      </c>
      <c r="I4" s="123">
        <v>115</v>
      </c>
      <c r="J4" s="123">
        <v>0</v>
      </c>
      <c r="K4" s="140">
        <v>45985</v>
      </c>
      <c r="L4" s="123">
        <v>1</v>
      </c>
      <c r="M4" s="123">
        <v>2</v>
      </c>
      <c r="N4" s="123">
        <v>8</v>
      </c>
      <c r="O4" s="121" t="s">
        <v>518</v>
      </c>
      <c r="P4" s="120"/>
      <c r="Q4" s="120"/>
      <c r="R4" s="120"/>
      <c r="S4" s="123">
        <v>1</v>
      </c>
      <c r="T4" s="123">
        <v>1</v>
      </c>
      <c r="U4" s="123">
        <v>13</v>
      </c>
      <c r="V4" s="123">
        <v>23</v>
      </c>
      <c r="W4" s="123">
        <v>18</v>
      </c>
      <c r="X4" s="123">
        <v>5</v>
      </c>
      <c r="Y4" s="120"/>
      <c r="Z4" s="120"/>
      <c r="AA4" s="123">
        <v>7</v>
      </c>
      <c r="AB4" s="123">
        <v>12</v>
      </c>
      <c r="AC4" s="123">
        <v>9</v>
      </c>
      <c r="AD4" s="123">
        <v>8</v>
      </c>
      <c r="AE4" s="123">
        <v>18</v>
      </c>
      <c r="AF4" s="120"/>
      <c r="AG4" s="120"/>
      <c r="AH4" s="120"/>
      <c r="AI4" s="120"/>
    </row>
    <row r="5" spans="1:35" ht="18" x14ac:dyDescent="0.3">
      <c r="A5" s="139" t="s">
        <v>1212</v>
      </c>
      <c r="B5" s="140">
        <v>45989</v>
      </c>
      <c r="C5" s="121" t="s">
        <v>1040</v>
      </c>
      <c r="D5" s="141">
        <v>0.37847222222222232</v>
      </c>
      <c r="E5" s="121" t="s">
        <v>1037</v>
      </c>
      <c r="F5" s="121" t="s">
        <v>159</v>
      </c>
      <c r="G5" s="142">
        <v>0.53069999999999995</v>
      </c>
      <c r="H5" s="123">
        <v>179</v>
      </c>
      <c r="I5" s="123">
        <v>95</v>
      </c>
      <c r="J5" s="123">
        <v>0</v>
      </c>
      <c r="K5" s="140">
        <v>45984</v>
      </c>
      <c r="L5" s="123">
        <v>0</v>
      </c>
      <c r="M5" s="123">
        <v>9</v>
      </c>
      <c r="N5" s="123">
        <v>52</v>
      </c>
      <c r="O5" s="121" t="s">
        <v>491</v>
      </c>
      <c r="P5" s="120"/>
      <c r="Q5" s="120"/>
      <c r="R5" s="120"/>
      <c r="S5" s="120"/>
      <c r="T5" s="120"/>
      <c r="U5" s="120"/>
      <c r="V5" s="120"/>
      <c r="W5" s="120"/>
      <c r="X5" s="120"/>
      <c r="Y5" s="120"/>
      <c r="Z5" s="120"/>
      <c r="AA5" s="120"/>
      <c r="AB5" s="120"/>
      <c r="AC5" s="120"/>
      <c r="AD5" s="123">
        <v>45</v>
      </c>
      <c r="AE5" s="123">
        <v>50</v>
      </c>
      <c r="AF5" s="120"/>
      <c r="AG5" s="120"/>
      <c r="AH5" s="120"/>
      <c r="AI5" s="120"/>
    </row>
    <row r="6" spans="1:35" ht="18" x14ac:dyDescent="0.3">
      <c r="A6" s="139" t="s">
        <v>193</v>
      </c>
      <c r="B6" s="140">
        <v>45988</v>
      </c>
      <c r="C6" s="121" t="s">
        <v>1201</v>
      </c>
      <c r="D6" s="141">
        <v>0.8125</v>
      </c>
      <c r="E6" s="121" t="s">
        <v>1193</v>
      </c>
      <c r="F6" s="121" t="s">
        <v>159</v>
      </c>
      <c r="G6" s="142">
        <v>0.79890000000000005</v>
      </c>
      <c r="H6" s="123">
        <v>179</v>
      </c>
      <c r="I6" s="123">
        <v>143</v>
      </c>
      <c r="J6" s="123">
        <v>0</v>
      </c>
      <c r="K6" s="140">
        <v>45984</v>
      </c>
      <c r="L6" s="123">
        <v>0</v>
      </c>
      <c r="M6" s="123">
        <v>13</v>
      </c>
      <c r="N6" s="123">
        <v>36</v>
      </c>
      <c r="O6" s="121" t="s">
        <v>1202</v>
      </c>
      <c r="P6" s="120"/>
      <c r="Q6" s="120"/>
      <c r="R6" s="120"/>
      <c r="S6" s="123">
        <v>1</v>
      </c>
      <c r="T6" s="123">
        <v>12</v>
      </c>
      <c r="U6" s="123">
        <v>40</v>
      </c>
      <c r="V6" s="123">
        <v>20</v>
      </c>
      <c r="W6" s="123">
        <v>8</v>
      </c>
      <c r="X6" s="123">
        <v>7</v>
      </c>
      <c r="Y6" s="123">
        <v>9</v>
      </c>
      <c r="Z6" s="123">
        <v>9</v>
      </c>
      <c r="AA6" s="123">
        <v>10</v>
      </c>
      <c r="AB6" s="123">
        <v>6</v>
      </c>
      <c r="AC6" s="123">
        <v>8</v>
      </c>
      <c r="AD6" s="123">
        <v>9</v>
      </c>
      <c r="AE6" s="123">
        <v>4</v>
      </c>
      <c r="AF6" s="120"/>
      <c r="AG6" s="120"/>
      <c r="AH6" s="120"/>
      <c r="AI6" s="120"/>
    </row>
    <row r="7" spans="1:35" ht="18" x14ac:dyDescent="0.3">
      <c r="A7" s="139" t="s">
        <v>194</v>
      </c>
      <c r="B7" s="140">
        <v>45990</v>
      </c>
      <c r="C7" s="121" t="s">
        <v>1201</v>
      </c>
      <c r="D7" s="141">
        <v>0.8125</v>
      </c>
      <c r="E7" s="121" t="s">
        <v>1193</v>
      </c>
      <c r="F7" s="121" t="s">
        <v>159</v>
      </c>
      <c r="G7" s="142">
        <v>0.70389999999999997</v>
      </c>
      <c r="H7" s="123">
        <v>179</v>
      </c>
      <c r="I7" s="123">
        <v>126</v>
      </c>
      <c r="J7" s="123">
        <v>0</v>
      </c>
      <c r="K7" s="140">
        <v>45984</v>
      </c>
      <c r="L7" s="123">
        <v>0</v>
      </c>
      <c r="M7" s="123">
        <v>1</v>
      </c>
      <c r="N7" s="123">
        <v>6</v>
      </c>
      <c r="O7" s="121" t="s">
        <v>834</v>
      </c>
      <c r="P7" s="120"/>
      <c r="Q7" s="120"/>
      <c r="R7" s="123">
        <v>6</v>
      </c>
      <c r="S7" s="123">
        <v>20</v>
      </c>
      <c r="T7" s="123">
        <v>16</v>
      </c>
      <c r="U7" s="123">
        <v>8</v>
      </c>
      <c r="V7" s="123">
        <v>5</v>
      </c>
      <c r="W7" s="123">
        <v>9</v>
      </c>
      <c r="X7" s="123">
        <v>7</v>
      </c>
      <c r="Y7" s="123">
        <v>9</v>
      </c>
      <c r="Z7" s="123">
        <v>7</v>
      </c>
      <c r="AA7" s="123">
        <v>10</v>
      </c>
      <c r="AB7" s="123">
        <v>9</v>
      </c>
      <c r="AC7" s="123">
        <v>9</v>
      </c>
      <c r="AD7" s="123">
        <v>9</v>
      </c>
      <c r="AE7" s="123">
        <v>2</v>
      </c>
      <c r="AF7" s="120"/>
      <c r="AG7" s="120"/>
      <c r="AH7" s="120"/>
      <c r="AI7" s="120"/>
    </row>
    <row r="8" spans="1:35" ht="18" x14ac:dyDescent="0.3">
      <c r="A8" s="139" t="s">
        <v>1211</v>
      </c>
      <c r="B8" s="140">
        <v>45987</v>
      </c>
      <c r="C8" s="121" t="s">
        <v>668</v>
      </c>
      <c r="D8" s="141">
        <v>0.92361111111111116</v>
      </c>
      <c r="E8" s="121" t="s">
        <v>649</v>
      </c>
      <c r="F8" s="121" t="s">
        <v>159</v>
      </c>
      <c r="G8" s="142">
        <v>0.99439999999999995</v>
      </c>
      <c r="H8" s="123">
        <v>180</v>
      </c>
      <c r="I8" s="123">
        <v>179</v>
      </c>
      <c r="J8" s="123">
        <v>109</v>
      </c>
      <c r="K8" s="140">
        <v>45984</v>
      </c>
      <c r="L8" s="123">
        <v>0</v>
      </c>
      <c r="M8" s="123">
        <v>2</v>
      </c>
      <c r="N8" s="123">
        <v>12</v>
      </c>
      <c r="O8" s="121" t="s">
        <v>46</v>
      </c>
      <c r="P8" s="120"/>
      <c r="Q8" s="120"/>
      <c r="R8" s="120"/>
      <c r="S8" s="120"/>
      <c r="T8" s="120"/>
      <c r="U8" s="120"/>
      <c r="V8" s="120"/>
      <c r="W8" s="120"/>
      <c r="X8" s="120"/>
      <c r="Y8" s="123">
        <v>1</v>
      </c>
      <c r="Z8" s="123">
        <v>2</v>
      </c>
      <c r="AA8" s="120"/>
      <c r="AB8" s="123">
        <v>12</v>
      </c>
      <c r="AC8" s="123">
        <v>21</v>
      </c>
      <c r="AD8" s="123">
        <v>18</v>
      </c>
      <c r="AE8" s="123">
        <v>16</v>
      </c>
      <c r="AF8" s="120"/>
      <c r="AG8" s="120"/>
      <c r="AH8" s="123">
        <v>109</v>
      </c>
      <c r="AI8" s="120"/>
    </row>
    <row r="9" spans="1:35" ht="18" x14ac:dyDescent="0.3">
      <c r="A9" s="139" t="s">
        <v>192</v>
      </c>
      <c r="B9" s="140">
        <v>45986</v>
      </c>
      <c r="C9" s="121" t="s">
        <v>331</v>
      </c>
      <c r="D9" s="141">
        <v>0.75694444444444453</v>
      </c>
      <c r="E9" s="121" t="s">
        <v>267</v>
      </c>
      <c r="F9" s="121" t="s">
        <v>159</v>
      </c>
      <c r="G9" s="142">
        <v>0.99439999999999995</v>
      </c>
      <c r="H9" s="123">
        <v>180</v>
      </c>
      <c r="I9" s="123">
        <v>179</v>
      </c>
      <c r="J9" s="123">
        <v>90</v>
      </c>
      <c r="K9" s="140">
        <v>45979</v>
      </c>
      <c r="L9" s="123">
        <v>0</v>
      </c>
      <c r="M9" s="123">
        <v>0</v>
      </c>
      <c r="N9" s="123">
        <v>1</v>
      </c>
      <c r="O9" s="121" t="s">
        <v>46</v>
      </c>
      <c r="P9" s="120"/>
      <c r="Q9" s="120"/>
      <c r="R9" s="120"/>
      <c r="S9" s="120"/>
      <c r="T9" s="120"/>
      <c r="U9" s="120"/>
      <c r="V9" s="120"/>
      <c r="W9" s="120"/>
      <c r="X9" s="120"/>
      <c r="Y9" s="123">
        <v>5</v>
      </c>
      <c r="Z9" s="123">
        <v>2</v>
      </c>
      <c r="AA9" s="123">
        <v>11</v>
      </c>
      <c r="AB9" s="123">
        <v>11</v>
      </c>
      <c r="AC9" s="123">
        <v>17</v>
      </c>
      <c r="AD9" s="123">
        <v>23</v>
      </c>
      <c r="AE9" s="123">
        <v>20</v>
      </c>
      <c r="AF9" s="120"/>
      <c r="AG9" s="120"/>
      <c r="AH9" s="123">
        <v>90</v>
      </c>
      <c r="AI9" s="120"/>
    </row>
    <row r="10" spans="1:35" ht="18" x14ac:dyDescent="0.3">
      <c r="A10" s="139" t="s">
        <v>1211</v>
      </c>
      <c r="B10" s="140">
        <v>45987</v>
      </c>
      <c r="C10" s="121" t="s">
        <v>331</v>
      </c>
      <c r="D10" s="141">
        <v>0.2326388888888889</v>
      </c>
      <c r="E10" s="121" t="s">
        <v>267</v>
      </c>
      <c r="F10" s="121" t="s">
        <v>159</v>
      </c>
      <c r="G10" s="142">
        <v>1</v>
      </c>
      <c r="H10" s="123">
        <v>180</v>
      </c>
      <c r="I10" s="123">
        <v>180</v>
      </c>
      <c r="J10" s="123">
        <v>90</v>
      </c>
      <c r="K10" s="140">
        <v>45980</v>
      </c>
      <c r="L10" s="123">
        <v>0</v>
      </c>
      <c r="M10" s="123">
        <v>0</v>
      </c>
      <c r="N10" s="123">
        <v>6</v>
      </c>
      <c r="O10" s="121" t="s">
        <v>46</v>
      </c>
      <c r="P10" s="120"/>
      <c r="Q10" s="120"/>
      <c r="R10" s="120"/>
      <c r="S10" s="120"/>
      <c r="T10" s="120"/>
      <c r="U10" s="120"/>
      <c r="V10" s="120"/>
      <c r="W10" s="120"/>
      <c r="X10" s="120"/>
      <c r="Y10" s="123">
        <v>4</v>
      </c>
      <c r="Z10" s="123">
        <v>3</v>
      </c>
      <c r="AA10" s="123">
        <v>11</v>
      </c>
      <c r="AB10" s="123">
        <v>19</v>
      </c>
      <c r="AC10" s="123">
        <v>17</v>
      </c>
      <c r="AD10" s="123">
        <v>18</v>
      </c>
      <c r="AE10" s="123">
        <v>18</v>
      </c>
      <c r="AF10" s="120"/>
      <c r="AG10" s="120"/>
      <c r="AH10" s="123">
        <v>90</v>
      </c>
      <c r="AI10" s="120"/>
    </row>
    <row r="11" spans="1:35" ht="18" x14ac:dyDescent="0.3">
      <c r="A11" s="139" t="s">
        <v>193</v>
      </c>
      <c r="B11" s="140">
        <v>45988</v>
      </c>
      <c r="C11" s="121" t="s">
        <v>331</v>
      </c>
      <c r="D11" s="141">
        <v>0.9375</v>
      </c>
      <c r="E11" s="121" t="s">
        <v>267</v>
      </c>
      <c r="F11" s="121" t="s">
        <v>159</v>
      </c>
      <c r="G11" s="142">
        <v>0.9778</v>
      </c>
      <c r="H11" s="123">
        <v>180</v>
      </c>
      <c r="I11" s="123">
        <v>176</v>
      </c>
      <c r="J11" s="123">
        <v>0</v>
      </c>
      <c r="K11" s="140">
        <v>45984</v>
      </c>
      <c r="L11" s="123">
        <v>0</v>
      </c>
      <c r="M11" s="123">
        <v>15</v>
      </c>
      <c r="N11" s="123">
        <v>40</v>
      </c>
      <c r="O11" s="121" t="s">
        <v>360</v>
      </c>
      <c r="P11" s="120"/>
      <c r="Q11" s="120"/>
      <c r="R11" s="120"/>
      <c r="S11" s="120"/>
      <c r="T11" s="120"/>
      <c r="U11" s="123">
        <v>6</v>
      </c>
      <c r="V11" s="123">
        <v>33</v>
      </c>
      <c r="W11" s="123">
        <v>25</v>
      </c>
      <c r="X11" s="123">
        <v>11</v>
      </c>
      <c r="Y11" s="123">
        <v>22</v>
      </c>
      <c r="Z11" s="123">
        <v>12</v>
      </c>
      <c r="AA11" s="123">
        <v>9</v>
      </c>
      <c r="AB11" s="123">
        <v>12</v>
      </c>
      <c r="AC11" s="123">
        <v>21</v>
      </c>
      <c r="AD11" s="123">
        <v>11</v>
      </c>
      <c r="AE11" s="123">
        <v>10</v>
      </c>
      <c r="AF11" s="120"/>
      <c r="AG11" s="120"/>
      <c r="AH11" s="120"/>
      <c r="AI11" s="123">
        <v>4</v>
      </c>
    </row>
    <row r="12" spans="1:35" ht="18" x14ac:dyDescent="0.3">
      <c r="A12" s="139" t="s">
        <v>194</v>
      </c>
      <c r="B12" s="140">
        <v>45990</v>
      </c>
      <c r="C12" s="121" t="s">
        <v>331</v>
      </c>
      <c r="D12" s="141">
        <v>0.90625</v>
      </c>
      <c r="E12" s="121" t="s">
        <v>267</v>
      </c>
      <c r="F12" s="121" t="s">
        <v>159</v>
      </c>
      <c r="G12" s="142">
        <v>0.9556</v>
      </c>
      <c r="H12" s="123">
        <v>180</v>
      </c>
      <c r="I12" s="123">
        <v>172</v>
      </c>
      <c r="J12" s="123">
        <v>0</v>
      </c>
      <c r="K12" s="140">
        <v>45981</v>
      </c>
      <c r="L12" s="123">
        <v>0</v>
      </c>
      <c r="M12" s="123">
        <v>0</v>
      </c>
      <c r="N12" s="123">
        <v>25</v>
      </c>
      <c r="O12" s="121" t="s">
        <v>410</v>
      </c>
      <c r="P12" s="120"/>
      <c r="Q12" s="120"/>
      <c r="R12" s="120"/>
      <c r="S12" s="123">
        <v>4</v>
      </c>
      <c r="T12" s="123">
        <v>10</v>
      </c>
      <c r="U12" s="123">
        <v>13</v>
      </c>
      <c r="V12" s="123">
        <v>20</v>
      </c>
      <c r="W12" s="123">
        <v>18</v>
      </c>
      <c r="X12" s="123">
        <v>16</v>
      </c>
      <c r="Y12" s="123">
        <v>21</v>
      </c>
      <c r="Z12" s="123">
        <v>12</v>
      </c>
      <c r="AA12" s="123">
        <v>11</v>
      </c>
      <c r="AB12" s="123">
        <v>11</v>
      </c>
      <c r="AC12" s="123">
        <v>12</v>
      </c>
      <c r="AD12" s="123">
        <v>11</v>
      </c>
      <c r="AE12" s="123">
        <v>10</v>
      </c>
      <c r="AF12" s="120"/>
      <c r="AG12" s="120"/>
      <c r="AH12" s="120"/>
      <c r="AI12" s="123">
        <v>3</v>
      </c>
    </row>
    <row r="13" spans="1:35" ht="18" x14ac:dyDescent="0.3">
      <c r="A13" s="139" t="s">
        <v>193</v>
      </c>
      <c r="B13" s="140">
        <v>45988</v>
      </c>
      <c r="C13" s="121" t="s">
        <v>1160</v>
      </c>
      <c r="D13" s="141">
        <v>0.63194444444444442</v>
      </c>
      <c r="E13" s="121" t="s">
        <v>1144</v>
      </c>
      <c r="F13" s="121" t="s">
        <v>159</v>
      </c>
      <c r="G13" s="142">
        <v>0.70950000000000002</v>
      </c>
      <c r="H13" s="123">
        <v>179</v>
      </c>
      <c r="I13" s="123">
        <v>127</v>
      </c>
      <c r="J13" s="123">
        <v>0</v>
      </c>
      <c r="K13" s="140">
        <v>45984</v>
      </c>
      <c r="L13" s="123">
        <v>0</v>
      </c>
      <c r="M13" s="123">
        <v>10</v>
      </c>
      <c r="N13" s="123">
        <v>29</v>
      </c>
      <c r="O13" s="121" t="s">
        <v>808</v>
      </c>
      <c r="P13" s="120"/>
      <c r="Q13" s="120"/>
      <c r="R13" s="120"/>
      <c r="S13" s="120"/>
      <c r="T13" s="123">
        <v>7</v>
      </c>
      <c r="U13" s="123">
        <v>10</v>
      </c>
      <c r="V13" s="123">
        <v>10</v>
      </c>
      <c r="W13" s="123">
        <v>9</v>
      </c>
      <c r="X13" s="123">
        <v>17</v>
      </c>
      <c r="Y13" s="123">
        <v>10</v>
      </c>
      <c r="Z13" s="123">
        <v>10</v>
      </c>
      <c r="AA13" s="123">
        <v>21</v>
      </c>
      <c r="AB13" s="123">
        <v>16</v>
      </c>
      <c r="AC13" s="123">
        <v>3</v>
      </c>
      <c r="AD13" s="123">
        <v>6</v>
      </c>
      <c r="AE13" s="123">
        <v>8</v>
      </c>
      <c r="AF13" s="120"/>
      <c r="AG13" s="120"/>
      <c r="AH13" s="120"/>
      <c r="AI13" s="120"/>
    </row>
    <row r="14" spans="1:35" ht="18" x14ac:dyDescent="0.3">
      <c r="A14" s="139" t="s">
        <v>1212</v>
      </c>
      <c r="B14" s="140">
        <v>45989</v>
      </c>
      <c r="C14" s="121" t="s">
        <v>1160</v>
      </c>
      <c r="D14" s="141">
        <v>0.82986111111111116</v>
      </c>
      <c r="E14" s="121" t="s">
        <v>1144</v>
      </c>
      <c r="F14" s="121" t="s">
        <v>159</v>
      </c>
      <c r="G14" s="142">
        <v>0.77090000000000003</v>
      </c>
      <c r="H14" s="123">
        <v>179</v>
      </c>
      <c r="I14" s="123">
        <v>138</v>
      </c>
      <c r="J14" s="123">
        <v>0</v>
      </c>
      <c r="K14" s="140">
        <v>45983</v>
      </c>
      <c r="L14" s="123">
        <v>0</v>
      </c>
      <c r="M14" s="123">
        <v>0</v>
      </c>
      <c r="N14" s="123">
        <v>27</v>
      </c>
      <c r="O14" s="121" t="s">
        <v>1166</v>
      </c>
      <c r="P14" s="120"/>
      <c r="Q14" s="120"/>
      <c r="R14" s="123">
        <v>16</v>
      </c>
      <c r="S14" s="123">
        <v>41</v>
      </c>
      <c r="T14" s="120"/>
      <c r="U14" s="123">
        <v>9</v>
      </c>
      <c r="V14" s="123">
        <v>7</v>
      </c>
      <c r="W14" s="123">
        <v>9</v>
      </c>
      <c r="X14" s="123">
        <v>10</v>
      </c>
      <c r="Y14" s="123">
        <v>8</v>
      </c>
      <c r="Z14" s="123">
        <v>5</v>
      </c>
      <c r="AA14" s="123">
        <v>6</v>
      </c>
      <c r="AB14" s="123">
        <v>7</v>
      </c>
      <c r="AC14" s="123">
        <v>9</v>
      </c>
      <c r="AD14" s="123">
        <v>11</v>
      </c>
      <c r="AE14" s="120"/>
      <c r="AF14" s="120"/>
      <c r="AG14" s="120"/>
      <c r="AH14" s="120"/>
      <c r="AI14" s="120"/>
    </row>
    <row r="15" spans="1:35" ht="18" x14ac:dyDescent="0.3">
      <c r="A15" s="139" t="s">
        <v>195</v>
      </c>
      <c r="B15" s="140">
        <v>45991</v>
      </c>
      <c r="C15" s="121" t="s">
        <v>1160</v>
      </c>
      <c r="D15" s="141">
        <v>0.63194444444444442</v>
      </c>
      <c r="E15" s="121" t="s">
        <v>1144</v>
      </c>
      <c r="F15" s="121" t="s">
        <v>159</v>
      </c>
      <c r="G15" s="142">
        <v>0.85470000000000002</v>
      </c>
      <c r="H15" s="123">
        <v>179</v>
      </c>
      <c r="I15" s="123">
        <v>153</v>
      </c>
      <c r="J15" s="123">
        <v>0</v>
      </c>
      <c r="K15" s="140">
        <v>45984</v>
      </c>
      <c r="L15" s="123">
        <v>0</v>
      </c>
      <c r="M15" s="123">
        <v>20</v>
      </c>
      <c r="N15" s="123">
        <v>65</v>
      </c>
      <c r="O15" s="121" t="s">
        <v>168</v>
      </c>
      <c r="P15" s="120"/>
      <c r="Q15" s="120"/>
      <c r="R15" s="120"/>
      <c r="S15" s="123">
        <v>1</v>
      </c>
      <c r="T15" s="120"/>
      <c r="U15" s="123">
        <v>2</v>
      </c>
      <c r="V15" s="123">
        <v>64</v>
      </c>
      <c r="W15" s="123">
        <v>9</v>
      </c>
      <c r="X15" s="123">
        <v>10</v>
      </c>
      <c r="Y15" s="123">
        <v>15</v>
      </c>
      <c r="Z15" s="123">
        <v>11</v>
      </c>
      <c r="AA15" s="123">
        <v>10</v>
      </c>
      <c r="AB15" s="123">
        <v>12</v>
      </c>
      <c r="AC15" s="123">
        <v>5</v>
      </c>
      <c r="AD15" s="123">
        <v>8</v>
      </c>
      <c r="AE15" s="123">
        <v>4</v>
      </c>
      <c r="AF15" s="120"/>
      <c r="AG15" s="120"/>
      <c r="AH15" s="120"/>
      <c r="AI15" s="123">
        <v>2</v>
      </c>
    </row>
    <row r="16" spans="1:35" ht="18" x14ac:dyDescent="0.3">
      <c r="A16" s="139" t="s">
        <v>192</v>
      </c>
      <c r="B16" s="140">
        <v>45986</v>
      </c>
      <c r="C16" s="121" t="s">
        <v>719</v>
      </c>
      <c r="D16" s="141">
        <v>0.2638888888888889</v>
      </c>
      <c r="E16" s="121" t="s">
        <v>718</v>
      </c>
      <c r="F16" s="121" t="s">
        <v>159</v>
      </c>
      <c r="G16" s="142">
        <v>1</v>
      </c>
      <c r="H16" s="123">
        <v>180</v>
      </c>
      <c r="I16" s="123">
        <v>180</v>
      </c>
      <c r="J16" s="123">
        <v>180</v>
      </c>
      <c r="K16" s="140">
        <v>45984</v>
      </c>
      <c r="L16" s="123">
        <v>0</v>
      </c>
      <c r="M16" s="123">
        <v>99</v>
      </c>
      <c r="N16" s="123">
        <v>99</v>
      </c>
      <c r="O16" s="121" t="s">
        <v>46</v>
      </c>
      <c r="P16" s="120"/>
      <c r="Q16" s="120"/>
      <c r="R16" s="120"/>
      <c r="S16" s="120"/>
      <c r="T16" s="120"/>
      <c r="U16" s="120"/>
      <c r="V16" s="120"/>
      <c r="W16" s="120"/>
      <c r="X16" s="120"/>
      <c r="Y16" s="120"/>
      <c r="Z16" s="120"/>
      <c r="AA16" s="120"/>
      <c r="AB16" s="120"/>
      <c r="AC16" s="120"/>
      <c r="AD16" s="120"/>
      <c r="AE16" s="120"/>
      <c r="AF16" s="120"/>
      <c r="AG16" s="120"/>
      <c r="AH16" s="123">
        <v>180</v>
      </c>
      <c r="AI16" s="120"/>
    </row>
    <row r="17" spans="1:35" ht="18" x14ac:dyDescent="0.3">
      <c r="A17" s="139" t="s">
        <v>193</v>
      </c>
      <c r="B17" s="140">
        <v>45988</v>
      </c>
      <c r="C17" s="121" t="s">
        <v>363</v>
      </c>
      <c r="D17" s="141">
        <v>0.1875</v>
      </c>
      <c r="E17" s="121" t="s">
        <v>267</v>
      </c>
      <c r="F17" s="121" t="s">
        <v>159</v>
      </c>
      <c r="G17" s="142">
        <v>0.9889</v>
      </c>
      <c r="H17" s="123">
        <v>180</v>
      </c>
      <c r="I17" s="123">
        <v>178</v>
      </c>
      <c r="J17" s="123">
        <v>45</v>
      </c>
      <c r="K17" s="140">
        <v>45985</v>
      </c>
      <c r="L17" s="123">
        <v>1</v>
      </c>
      <c r="M17" s="123">
        <v>2</v>
      </c>
      <c r="N17" s="123">
        <v>56</v>
      </c>
      <c r="O17" s="121" t="s">
        <v>168</v>
      </c>
      <c r="P17" s="120"/>
      <c r="Q17" s="120"/>
      <c r="R17" s="120"/>
      <c r="S17" s="120"/>
      <c r="T17" s="120"/>
      <c r="U17" s="120"/>
      <c r="V17" s="123">
        <v>3</v>
      </c>
      <c r="W17" s="123">
        <v>10</v>
      </c>
      <c r="X17" s="123">
        <v>25</v>
      </c>
      <c r="Y17" s="123">
        <v>46</v>
      </c>
      <c r="Z17" s="123">
        <v>9</v>
      </c>
      <c r="AA17" s="123">
        <v>20</v>
      </c>
      <c r="AB17" s="123">
        <v>5</v>
      </c>
      <c r="AC17" s="123">
        <v>5</v>
      </c>
      <c r="AD17" s="123">
        <v>5</v>
      </c>
      <c r="AE17" s="123">
        <v>5</v>
      </c>
      <c r="AF17" s="120"/>
      <c r="AG17" s="120"/>
      <c r="AH17" s="123">
        <v>45</v>
      </c>
      <c r="AI17" s="120"/>
    </row>
    <row r="18" spans="1:35" ht="18" x14ac:dyDescent="0.3">
      <c r="A18" s="139" t="s">
        <v>195</v>
      </c>
      <c r="B18" s="140">
        <v>45991</v>
      </c>
      <c r="C18" s="121" t="s">
        <v>363</v>
      </c>
      <c r="D18" s="141">
        <v>0.15625</v>
      </c>
      <c r="E18" s="121" t="s">
        <v>267</v>
      </c>
      <c r="F18" s="121" t="s">
        <v>159</v>
      </c>
      <c r="G18" s="142">
        <v>0.99439999999999995</v>
      </c>
      <c r="H18" s="123">
        <v>180</v>
      </c>
      <c r="I18" s="123">
        <v>179</v>
      </c>
      <c r="J18" s="123">
        <v>85</v>
      </c>
      <c r="K18" s="140">
        <v>45982</v>
      </c>
      <c r="L18" s="123">
        <v>0</v>
      </c>
      <c r="M18" s="123">
        <v>0</v>
      </c>
      <c r="N18" s="123">
        <v>17</v>
      </c>
      <c r="O18" s="121" t="s">
        <v>169</v>
      </c>
      <c r="P18" s="120"/>
      <c r="Q18" s="120"/>
      <c r="R18" s="120"/>
      <c r="S18" s="120"/>
      <c r="T18" s="120"/>
      <c r="U18" s="120"/>
      <c r="V18" s="123">
        <v>4</v>
      </c>
      <c r="W18" s="123">
        <v>11</v>
      </c>
      <c r="X18" s="123">
        <v>29</v>
      </c>
      <c r="Y18" s="123">
        <v>12</v>
      </c>
      <c r="Z18" s="123">
        <v>9</v>
      </c>
      <c r="AA18" s="123">
        <v>10</v>
      </c>
      <c r="AB18" s="123">
        <v>4</v>
      </c>
      <c r="AC18" s="123">
        <v>5</v>
      </c>
      <c r="AD18" s="123">
        <v>5</v>
      </c>
      <c r="AE18" s="123">
        <v>5</v>
      </c>
      <c r="AF18" s="123">
        <v>40</v>
      </c>
      <c r="AG18" s="120"/>
      <c r="AH18" s="123">
        <v>45</v>
      </c>
      <c r="AI18" s="120"/>
    </row>
    <row r="19" spans="1:35" ht="18" x14ac:dyDescent="0.3">
      <c r="A19" s="139" t="s">
        <v>192</v>
      </c>
      <c r="B19" s="140">
        <v>45986</v>
      </c>
      <c r="C19" s="121" t="s">
        <v>929</v>
      </c>
      <c r="D19" s="141">
        <v>6.9444444444444434E-2</v>
      </c>
      <c r="E19" s="121" t="s">
        <v>926</v>
      </c>
      <c r="F19" s="121" t="s">
        <v>159</v>
      </c>
      <c r="G19" s="142">
        <v>0.74860000000000004</v>
      </c>
      <c r="H19" s="123">
        <v>179</v>
      </c>
      <c r="I19" s="123">
        <v>134</v>
      </c>
      <c r="J19" s="123">
        <v>0</v>
      </c>
      <c r="K19" s="140">
        <v>45984</v>
      </c>
      <c r="L19" s="123">
        <v>0</v>
      </c>
      <c r="M19" s="123">
        <v>10</v>
      </c>
      <c r="N19" s="123">
        <v>87</v>
      </c>
      <c r="O19" s="121" t="s">
        <v>808</v>
      </c>
      <c r="P19" s="120"/>
      <c r="Q19" s="120"/>
      <c r="R19" s="120"/>
      <c r="S19" s="120"/>
      <c r="T19" s="123">
        <v>4</v>
      </c>
      <c r="U19" s="123">
        <v>20</v>
      </c>
      <c r="V19" s="123">
        <v>20</v>
      </c>
      <c r="W19" s="123">
        <v>30</v>
      </c>
      <c r="X19" s="123">
        <v>21</v>
      </c>
      <c r="Y19" s="123">
        <v>7</v>
      </c>
      <c r="Z19" s="120"/>
      <c r="AA19" s="123">
        <v>1</v>
      </c>
      <c r="AB19" s="123">
        <v>1</v>
      </c>
      <c r="AC19" s="123">
        <v>7</v>
      </c>
      <c r="AD19" s="123">
        <v>19</v>
      </c>
      <c r="AE19" s="123">
        <v>4</v>
      </c>
      <c r="AF19" s="120"/>
      <c r="AG19" s="120"/>
      <c r="AH19" s="120"/>
      <c r="AI19" s="120"/>
    </row>
    <row r="20" spans="1:35" ht="18" x14ac:dyDescent="0.3">
      <c r="A20" s="139" t="s">
        <v>193</v>
      </c>
      <c r="B20" s="140">
        <v>45988</v>
      </c>
      <c r="C20" s="121" t="s">
        <v>929</v>
      </c>
      <c r="D20" s="141">
        <v>0.72222222222222221</v>
      </c>
      <c r="E20" s="121" t="s">
        <v>926</v>
      </c>
      <c r="F20" s="121" t="s">
        <v>159</v>
      </c>
      <c r="G20" s="142">
        <v>0.88329999999999997</v>
      </c>
      <c r="H20" s="123">
        <v>180</v>
      </c>
      <c r="I20" s="123">
        <v>159</v>
      </c>
      <c r="J20" s="123">
        <v>0</v>
      </c>
      <c r="K20" s="140">
        <v>45984</v>
      </c>
      <c r="L20" s="123">
        <v>0</v>
      </c>
      <c r="M20" s="123">
        <v>19</v>
      </c>
      <c r="N20" s="123">
        <v>37</v>
      </c>
      <c r="O20" s="121" t="s">
        <v>955</v>
      </c>
      <c r="P20" s="120"/>
      <c r="Q20" s="120"/>
      <c r="R20" s="120"/>
      <c r="S20" s="123">
        <v>6</v>
      </c>
      <c r="T20" s="123">
        <v>46</v>
      </c>
      <c r="U20" s="123">
        <v>18</v>
      </c>
      <c r="V20" s="123">
        <v>7</v>
      </c>
      <c r="W20" s="123">
        <v>10</v>
      </c>
      <c r="X20" s="123">
        <v>8</v>
      </c>
      <c r="Y20" s="123">
        <v>8</v>
      </c>
      <c r="Z20" s="123">
        <v>17</v>
      </c>
      <c r="AA20" s="123">
        <v>9</v>
      </c>
      <c r="AB20" s="123">
        <v>7</v>
      </c>
      <c r="AC20" s="123">
        <v>9</v>
      </c>
      <c r="AD20" s="123">
        <v>7</v>
      </c>
      <c r="AE20" s="123">
        <v>7</v>
      </c>
      <c r="AF20" s="120"/>
      <c r="AG20" s="120"/>
      <c r="AH20" s="120"/>
      <c r="AI20" s="120"/>
    </row>
    <row r="21" spans="1:35" ht="18" x14ac:dyDescent="0.3">
      <c r="A21" s="139" t="s">
        <v>1212</v>
      </c>
      <c r="B21" s="140">
        <v>45989</v>
      </c>
      <c r="C21" s="121" t="s">
        <v>929</v>
      </c>
      <c r="D21" s="141">
        <v>0.38194444444444442</v>
      </c>
      <c r="E21" s="121" t="s">
        <v>926</v>
      </c>
      <c r="F21" s="121" t="s">
        <v>159</v>
      </c>
      <c r="G21" s="142">
        <v>0.7833</v>
      </c>
      <c r="H21" s="123">
        <v>180</v>
      </c>
      <c r="I21" s="123">
        <v>141</v>
      </c>
      <c r="J21" s="123">
        <v>0</v>
      </c>
      <c r="K21" s="140">
        <v>45984</v>
      </c>
      <c r="L21" s="123">
        <v>0</v>
      </c>
      <c r="M21" s="123">
        <v>7</v>
      </c>
      <c r="N21" s="123">
        <v>22</v>
      </c>
      <c r="O21" s="121" t="s">
        <v>864</v>
      </c>
      <c r="P21" s="120"/>
      <c r="Q21" s="120"/>
      <c r="R21" s="123">
        <v>7</v>
      </c>
      <c r="S21" s="123">
        <v>20</v>
      </c>
      <c r="T21" s="123">
        <v>3</v>
      </c>
      <c r="U21" s="123">
        <v>16</v>
      </c>
      <c r="V21" s="123">
        <v>7</v>
      </c>
      <c r="W21" s="123">
        <v>11</v>
      </c>
      <c r="X21" s="123">
        <v>27</v>
      </c>
      <c r="Y21" s="123">
        <v>13</v>
      </c>
      <c r="Z21" s="123">
        <v>12</v>
      </c>
      <c r="AA21" s="123">
        <v>8</v>
      </c>
      <c r="AB21" s="123">
        <v>5</v>
      </c>
      <c r="AC21" s="123">
        <v>3</v>
      </c>
      <c r="AD21" s="123">
        <v>5</v>
      </c>
      <c r="AE21" s="123">
        <v>4</v>
      </c>
      <c r="AF21" s="120"/>
      <c r="AG21" s="120"/>
      <c r="AH21" s="120"/>
      <c r="AI21" s="120"/>
    </row>
    <row r="22" spans="1:35" ht="18" x14ac:dyDescent="0.3">
      <c r="A22" s="139" t="s">
        <v>194</v>
      </c>
      <c r="B22" s="140">
        <v>45990</v>
      </c>
      <c r="C22" s="121" t="s">
        <v>929</v>
      </c>
      <c r="D22" s="141">
        <v>0.72222222222222221</v>
      </c>
      <c r="E22" s="121" t="s">
        <v>926</v>
      </c>
      <c r="F22" s="121" t="s">
        <v>159</v>
      </c>
      <c r="G22" s="142">
        <v>0.71109999999999995</v>
      </c>
      <c r="H22" s="123">
        <v>180</v>
      </c>
      <c r="I22" s="123">
        <v>128</v>
      </c>
      <c r="J22" s="123">
        <v>0</v>
      </c>
      <c r="K22" s="140">
        <v>45984</v>
      </c>
      <c r="L22" s="123">
        <v>0</v>
      </c>
      <c r="M22" s="123">
        <v>3</v>
      </c>
      <c r="N22" s="123">
        <v>16</v>
      </c>
      <c r="O22" s="121" t="s">
        <v>834</v>
      </c>
      <c r="P22" s="120"/>
      <c r="Q22" s="123">
        <v>1</v>
      </c>
      <c r="R22" s="123">
        <v>24</v>
      </c>
      <c r="S22" s="123">
        <v>21</v>
      </c>
      <c r="T22" s="123">
        <v>9</v>
      </c>
      <c r="U22" s="120"/>
      <c r="V22" s="123">
        <v>12</v>
      </c>
      <c r="W22" s="123">
        <v>12</v>
      </c>
      <c r="X22" s="123">
        <v>8</v>
      </c>
      <c r="Y22" s="123">
        <v>6</v>
      </c>
      <c r="Z22" s="123">
        <v>9</v>
      </c>
      <c r="AA22" s="123">
        <v>10</v>
      </c>
      <c r="AB22" s="123">
        <v>2</v>
      </c>
      <c r="AC22" s="123">
        <v>4</v>
      </c>
      <c r="AD22" s="123">
        <v>7</v>
      </c>
      <c r="AE22" s="123">
        <v>3</v>
      </c>
      <c r="AF22" s="120"/>
      <c r="AG22" s="120"/>
      <c r="AH22" s="120"/>
      <c r="AI22" s="120"/>
    </row>
    <row r="23" spans="1:35" ht="18" x14ac:dyDescent="0.3">
      <c r="A23" s="139" t="s">
        <v>192</v>
      </c>
      <c r="B23" s="140">
        <v>45986</v>
      </c>
      <c r="C23" s="121" t="s">
        <v>1181</v>
      </c>
      <c r="D23" s="141">
        <v>0.85763888888888884</v>
      </c>
      <c r="E23" s="121" t="s">
        <v>1178</v>
      </c>
      <c r="F23" s="121" t="s">
        <v>159</v>
      </c>
      <c r="G23" s="142">
        <v>0.65359999999999996</v>
      </c>
      <c r="H23" s="123">
        <v>179</v>
      </c>
      <c r="I23" s="123">
        <v>117</v>
      </c>
      <c r="J23" s="123">
        <v>0</v>
      </c>
      <c r="K23" s="140">
        <v>45984</v>
      </c>
      <c r="L23" s="123">
        <v>0</v>
      </c>
      <c r="M23" s="123">
        <v>12</v>
      </c>
      <c r="N23" s="123">
        <v>51</v>
      </c>
      <c r="O23" s="121" t="s">
        <v>545</v>
      </c>
      <c r="P23" s="120"/>
      <c r="Q23" s="120"/>
      <c r="R23" s="120"/>
      <c r="S23" s="120"/>
      <c r="T23" s="120"/>
      <c r="U23" s="120"/>
      <c r="V23" s="123">
        <v>17</v>
      </c>
      <c r="W23" s="123">
        <v>12</v>
      </c>
      <c r="X23" s="123">
        <v>13</v>
      </c>
      <c r="Y23" s="123">
        <v>15</v>
      </c>
      <c r="Z23" s="123">
        <v>5</v>
      </c>
      <c r="AA23" s="120"/>
      <c r="AB23" s="123">
        <v>7</v>
      </c>
      <c r="AC23" s="123">
        <v>15</v>
      </c>
      <c r="AD23" s="123">
        <v>14</v>
      </c>
      <c r="AE23" s="123">
        <v>19</v>
      </c>
      <c r="AF23" s="120"/>
      <c r="AG23" s="120"/>
      <c r="AH23" s="120"/>
      <c r="AI23" s="120"/>
    </row>
    <row r="24" spans="1:35" ht="18" x14ac:dyDescent="0.3">
      <c r="A24" s="139" t="s">
        <v>194</v>
      </c>
      <c r="B24" s="140">
        <v>45990</v>
      </c>
      <c r="C24" s="121" t="s">
        <v>1181</v>
      </c>
      <c r="D24" s="141">
        <v>0.69097222222222221</v>
      </c>
      <c r="E24" s="121" t="s">
        <v>1178</v>
      </c>
      <c r="F24" s="121" t="s">
        <v>159</v>
      </c>
      <c r="G24" s="142">
        <v>0.53069999999999995</v>
      </c>
      <c r="H24" s="123">
        <v>179</v>
      </c>
      <c r="I24" s="123">
        <v>95</v>
      </c>
      <c r="J24" s="123">
        <v>0</v>
      </c>
      <c r="K24" s="140">
        <v>45985</v>
      </c>
      <c r="L24" s="123">
        <v>1</v>
      </c>
      <c r="M24" s="123">
        <v>5</v>
      </c>
      <c r="N24" s="123">
        <v>38</v>
      </c>
      <c r="O24" s="121" t="s">
        <v>238</v>
      </c>
      <c r="P24" s="120"/>
      <c r="Q24" s="120"/>
      <c r="R24" s="120"/>
      <c r="S24" s="120"/>
      <c r="T24" s="120"/>
      <c r="U24" s="120"/>
      <c r="V24" s="123">
        <v>5</v>
      </c>
      <c r="W24" s="123">
        <v>12</v>
      </c>
      <c r="X24" s="123">
        <v>15</v>
      </c>
      <c r="Y24" s="123">
        <v>16</v>
      </c>
      <c r="Z24" s="123">
        <v>15</v>
      </c>
      <c r="AA24" s="123">
        <v>11</v>
      </c>
      <c r="AB24" s="123">
        <v>7</v>
      </c>
      <c r="AC24" s="123">
        <v>9</v>
      </c>
      <c r="AD24" s="123">
        <v>5</v>
      </c>
      <c r="AE24" s="120"/>
      <c r="AF24" s="120"/>
      <c r="AG24" s="120"/>
      <c r="AH24" s="120"/>
      <c r="AI24" s="120"/>
    </row>
    <row r="25" spans="1:35" ht="18" x14ac:dyDescent="0.3">
      <c r="A25" s="139" t="s">
        <v>1212</v>
      </c>
      <c r="B25" s="140">
        <v>45989</v>
      </c>
      <c r="C25" s="121" t="s">
        <v>990</v>
      </c>
      <c r="D25" s="141">
        <v>7.2916666666666671E-2</v>
      </c>
      <c r="E25" s="121" t="s">
        <v>988</v>
      </c>
      <c r="F25" s="121" t="s">
        <v>159</v>
      </c>
      <c r="G25" s="142">
        <v>0.96109999999999995</v>
      </c>
      <c r="H25" s="123">
        <v>180</v>
      </c>
      <c r="I25" s="123">
        <v>173</v>
      </c>
      <c r="J25" s="123">
        <v>0</v>
      </c>
      <c r="K25" s="140">
        <v>45985</v>
      </c>
      <c r="L25" s="123">
        <v>1</v>
      </c>
      <c r="M25" s="123">
        <v>18</v>
      </c>
      <c r="N25" s="123">
        <v>50</v>
      </c>
      <c r="O25" s="121" t="s">
        <v>864</v>
      </c>
      <c r="P25" s="123">
        <v>2</v>
      </c>
      <c r="Q25" s="120"/>
      <c r="R25" s="123">
        <v>2</v>
      </c>
      <c r="S25" s="123">
        <v>4</v>
      </c>
      <c r="T25" s="123">
        <v>10</v>
      </c>
      <c r="U25" s="123">
        <v>15</v>
      </c>
      <c r="V25" s="123">
        <v>10</v>
      </c>
      <c r="W25" s="123">
        <v>15</v>
      </c>
      <c r="X25" s="123">
        <v>30</v>
      </c>
      <c r="Y25" s="123">
        <v>16</v>
      </c>
      <c r="Z25" s="123">
        <v>19</v>
      </c>
      <c r="AA25" s="123">
        <v>20</v>
      </c>
      <c r="AB25" s="123">
        <v>20</v>
      </c>
      <c r="AC25" s="123">
        <v>5</v>
      </c>
      <c r="AD25" s="123">
        <v>4</v>
      </c>
      <c r="AE25" s="123">
        <v>1</v>
      </c>
      <c r="AF25" s="120"/>
      <c r="AG25" s="120"/>
      <c r="AH25" s="120"/>
      <c r="AI25" s="120"/>
    </row>
    <row r="26" spans="1:35" ht="18" x14ac:dyDescent="0.3">
      <c r="A26" s="139" t="s">
        <v>192</v>
      </c>
      <c r="B26" s="140">
        <v>45986</v>
      </c>
      <c r="C26" s="121" t="s">
        <v>1085</v>
      </c>
      <c r="D26" s="141">
        <v>0.83333333333333337</v>
      </c>
      <c r="E26" s="121" t="s">
        <v>1080</v>
      </c>
      <c r="F26" s="121" t="s">
        <v>159</v>
      </c>
      <c r="G26" s="142">
        <v>1</v>
      </c>
      <c r="H26" s="123">
        <v>179</v>
      </c>
      <c r="I26" s="123">
        <v>179</v>
      </c>
      <c r="J26" s="123">
        <v>115</v>
      </c>
      <c r="K26" s="140">
        <v>45981</v>
      </c>
      <c r="L26" s="123">
        <v>0</v>
      </c>
      <c r="M26" s="123">
        <v>0</v>
      </c>
      <c r="N26" s="123">
        <v>3</v>
      </c>
      <c r="O26" s="121" t="s">
        <v>46</v>
      </c>
      <c r="P26" s="120"/>
      <c r="Q26" s="120"/>
      <c r="R26" s="120"/>
      <c r="S26" s="120"/>
      <c r="T26" s="120"/>
      <c r="U26" s="120"/>
      <c r="V26" s="120"/>
      <c r="W26" s="123">
        <v>8</v>
      </c>
      <c r="X26" s="123">
        <v>18</v>
      </c>
      <c r="Y26" s="123">
        <v>29</v>
      </c>
      <c r="Z26" s="123">
        <v>3</v>
      </c>
      <c r="AA26" s="123">
        <v>4</v>
      </c>
      <c r="AB26" s="123">
        <v>2</v>
      </c>
      <c r="AC26" s="120"/>
      <c r="AD26" s="120"/>
      <c r="AE26" s="120"/>
      <c r="AF26" s="120"/>
      <c r="AG26" s="120"/>
      <c r="AH26" s="123">
        <v>115</v>
      </c>
      <c r="AI26" s="120"/>
    </row>
    <row r="27" spans="1:35" ht="18" x14ac:dyDescent="0.3">
      <c r="A27" s="139" t="s">
        <v>1211</v>
      </c>
      <c r="B27" s="140">
        <v>45987</v>
      </c>
      <c r="C27" s="121" t="s">
        <v>1085</v>
      </c>
      <c r="D27" s="141">
        <v>0.82638888888888884</v>
      </c>
      <c r="E27" s="121" t="s">
        <v>1080</v>
      </c>
      <c r="F27" s="121" t="s">
        <v>159</v>
      </c>
      <c r="G27" s="142">
        <v>1</v>
      </c>
      <c r="H27" s="123">
        <v>179</v>
      </c>
      <c r="I27" s="123">
        <v>179</v>
      </c>
      <c r="J27" s="123">
        <v>92</v>
      </c>
      <c r="K27" s="140">
        <v>45984</v>
      </c>
      <c r="L27" s="123">
        <v>0</v>
      </c>
      <c r="M27" s="123">
        <v>1</v>
      </c>
      <c r="N27" s="123">
        <v>10</v>
      </c>
      <c r="O27" s="121" t="s">
        <v>46</v>
      </c>
      <c r="P27" s="120"/>
      <c r="Q27" s="120"/>
      <c r="R27" s="120"/>
      <c r="S27" s="120"/>
      <c r="T27" s="120"/>
      <c r="U27" s="120"/>
      <c r="V27" s="123">
        <v>6</v>
      </c>
      <c r="W27" s="123">
        <v>25</v>
      </c>
      <c r="X27" s="123">
        <v>18</v>
      </c>
      <c r="Y27" s="123">
        <v>9</v>
      </c>
      <c r="Z27" s="123">
        <v>7</v>
      </c>
      <c r="AA27" s="123">
        <v>12</v>
      </c>
      <c r="AB27" s="123">
        <v>10</v>
      </c>
      <c r="AC27" s="120"/>
      <c r="AD27" s="120"/>
      <c r="AE27" s="120"/>
      <c r="AF27" s="120"/>
      <c r="AG27" s="120"/>
      <c r="AH27" s="123">
        <v>92</v>
      </c>
      <c r="AI27" s="120"/>
    </row>
    <row r="28" spans="1:35" ht="18" x14ac:dyDescent="0.3">
      <c r="A28" s="139" t="s">
        <v>193</v>
      </c>
      <c r="B28" s="140">
        <v>45988</v>
      </c>
      <c r="C28" s="121" t="s">
        <v>1085</v>
      </c>
      <c r="D28" s="141">
        <v>0.4375</v>
      </c>
      <c r="E28" s="121" t="s">
        <v>1080</v>
      </c>
      <c r="F28" s="121" t="s">
        <v>159</v>
      </c>
      <c r="G28" s="142">
        <v>1</v>
      </c>
      <c r="H28" s="123">
        <v>179</v>
      </c>
      <c r="I28" s="123">
        <v>179</v>
      </c>
      <c r="J28" s="123">
        <v>135</v>
      </c>
      <c r="K28" s="140">
        <v>45975</v>
      </c>
      <c r="L28" s="123">
        <v>0</v>
      </c>
      <c r="M28" s="123">
        <v>0</v>
      </c>
      <c r="N28" s="123">
        <v>0</v>
      </c>
      <c r="O28" s="121" t="s">
        <v>46</v>
      </c>
      <c r="P28" s="120"/>
      <c r="Q28" s="120"/>
      <c r="R28" s="120"/>
      <c r="S28" s="120"/>
      <c r="T28" s="123">
        <v>1</v>
      </c>
      <c r="U28" s="120"/>
      <c r="V28" s="123">
        <v>1</v>
      </c>
      <c r="W28" s="123">
        <v>6</v>
      </c>
      <c r="X28" s="123">
        <v>18</v>
      </c>
      <c r="Y28" s="123">
        <v>10</v>
      </c>
      <c r="Z28" s="123">
        <v>2</v>
      </c>
      <c r="AA28" s="123">
        <v>4</v>
      </c>
      <c r="AB28" s="123">
        <v>2</v>
      </c>
      <c r="AC28" s="120"/>
      <c r="AD28" s="120"/>
      <c r="AE28" s="120"/>
      <c r="AF28" s="120"/>
      <c r="AG28" s="120"/>
      <c r="AH28" s="123">
        <v>135</v>
      </c>
      <c r="AI28" s="120"/>
    </row>
    <row r="29" spans="1:35" ht="18" x14ac:dyDescent="0.3">
      <c r="A29" s="139" t="s">
        <v>1212</v>
      </c>
      <c r="B29" s="140">
        <v>45989</v>
      </c>
      <c r="C29" s="121" t="s">
        <v>1085</v>
      </c>
      <c r="D29" s="141">
        <v>0.16666666666666671</v>
      </c>
      <c r="E29" s="121" t="s">
        <v>1080</v>
      </c>
      <c r="F29" s="121" t="s">
        <v>159</v>
      </c>
      <c r="G29" s="142">
        <v>1</v>
      </c>
      <c r="H29" s="123">
        <v>179</v>
      </c>
      <c r="I29" s="123">
        <v>179</v>
      </c>
      <c r="J29" s="123">
        <v>80</v>
      </c>
      <c r="K29" s="140">
        <v>45983</v>
      </c>
      <c r="L29" s="123">
        <v>0</v>
      </c>
      <c r="M29" s="123">
        <v>0</v>
      </c>
      <c r="N29" s="123">
        <v>10</v>
      </c>
      <c r="O29" s="121" t="s">
        <v>46</v>
      </c>
      <c r="P29" s="120"/>
      <c r="Q29" s="120"/>
      <c r="R29" s="120"/>
      <c r="S29" s="120"/>
      <c r="T29" s="123">
        <v>2</v>
      </c>
      <c r="U29" s="123">
        <v>10</v>
      </c>
      <c r="V29" s="123">
        <v>13</v>
      </c>
      <c r="W29" s="123">
        <v>18</v>
      </c>
      <c r="X29" s="123">
        <v>18</v>
      </c>
      <c r="Y29" s="123">
        <v>29</v>
      </c>
      <c r="Z29" s="123">
        <v>3</v>
      </c>
      <c r="AA29" s="123">
        <v>4</v>
      </c>
      <c r="AB29" s="123">
        <v>2</v>
      </c>
      <c r="AC29" s="120"/>
      <c r="AD29" s="120"/>
      <c r="AE29" s="120"/>
      <c r="AF29" s="120"/>
      <c r="AG29" s="120"/>
      <c r="AH29" s="123">
        <v>80</v>
      </c>
      <c r="AI29" s="120"/>
    </row>
    <row r="30" spans="1:35" ht="18" x14ac:dyDescent="0.3">
      <c r="A30" s="139" t="s">
        <v>194</v>
      </c>
      <c r="B30" s="140">
        <v>45990</v>
      </c>
      <c r="C30" s="121" t="s">
        <v>1085</v>
      </c>
      <c r="D30" s="141">
        <v>0.125</v>
      </c>
      <c r="E30" s="121" t="s">
        <v>1080</v>
      </c>
      <c r="F30" s="121" t="s">
        <v>159</v>
      </c>
      <c r="G30" s="142">
        <v>0.94410000000000005</v>
      </c>
      <c r="H30" s="123">
        <v>179</v>
      </c>
      <c r="I30" s="123">
        <v>169</v>
      </c>
      <c r="J30" s="123">
        <v>44</v>
      </c>
      <c r="K30" s="140">
        <v>45984</v>
      </c>
      <c r="L30" s="123">
        <v>0</v>
      </c>
      <c r="M30" s="123">
        <v>4</v>
      </c>
      <c r="N30" s="123">
        <v>9</v>
      </c>
      <c r="O30" s="121" t="s">
        <v>1092</v>
      </c>
      <c r="P30" s="120"/>
      <c r="Q30" s="123">
        <v>11</v>
      </c>
      <c r="R30" s="123">
        <v>1</v>
      </c>
      <c r="S30" s="123">
        <v>11</v>
      </c>
      <c r="T30" s="123">
        <v>16</v>
      </c>
      <c r="U30" s="123">
        <v>16</v>
      </c>
      <c r="V30" s="123">
        <v>18</v>
      </c>
      <c r="W30" s="123">
        <v>17</v>
      </c>
      <c r="X30" s="123">
        <v>18</v>
      </c>
      <c r="Y30" s="123">
        <v>9</v>
      </c>
      <c r="Z30" s="123">
        <v>3</v>
      </c>
      <c r="AA30" s="123">
        <v>4</v>
      </c>
      <c r="AB30" s="123">
        <v>1</v>
      </c>
      <c r="AC30" s="120"/>
      <c r="AD30" s="120"/>
      <c r="AE30" s="120"/>
      <c r="AF30" s="120"/>
      <c r="AG30" s="120"/>
      <c r="AH30" s="123">
        <v>44</v>
      </c>
      <c r="AI30" s="120"/>
    </row>
    <row r="31" spans="1:35" ht="18" x14ac:dyDescent="0.3">
      <c r="A31" s="139" t="s">
        <v>195</v>
      </c>
      <c r="B31" s="140">
        <v>45991</v>
      </c>
      <c r="C31" s="121" t="s">
        <v>1085</v>
      </c>
      <c r="D31" s="141">
        <v>0.21527777777777779</v>
      </c>
      <c r="E31" s="121" t="s">
        <v>1080</v>
      </c>
      <c r="F31" s="121" t="s">
        <v>159</v>
      </c>
      <c r="G31" s="142">
        <v>1.0056</v>
      </c>
      <c r="H31" s="123">
        <v>179</v>
      </c>
      <c r="I31" s="123">
        <v>180</v>
      </c>
      <c r="J31" s="123">
        <v>90</v>
      </c>
      <c r="K31" s="140">
        <v>45984</v>
      </c>
      <c r="L31" s="123">
        <v>0</v>
      </c>
      <c r="M31" s="123">
        <v>1</v>
      </c>
      <c r="N31" s="123">
        <v>4</v>
      </c>
      <c r="O31" s="121" t="s">
        <v>46</v>
      </c>
      <c r="P31" s="120"/>
      <c r="Q31" s="120"/>
      <c r="R31" s="120"/>
      <c r="S31" s="120"/>
      <c r="T31" s="120"/>
      <c r="U31" s="120"/>
      <c r="V31" s="123">
        <v>9</v>
      </c>
      <c r="W31" s="123">
        <v>12</v>
      </c>
      <c r="X31" s="123">
        <v>20</v>
      </c>
      <c r="Y31" s="123">
        <v>24</v>
      </c>
      <c r="Z31" s="123">
        <v>19</v>
      </c>
      <c r="AA31" s="123">
        <v>4</v>
      </c>
      <c r="AB31" s="123">
        <v>2</v>
      </c>
      <c r="AC31" s="120"/>
      <c r="AD31" s="120"/>
      <c r="AE31" s="120"/>
      <c r="AF31" s="120"/>
      <c r="AG31" s="120"/>
      <c r="AH31" s="123">
        <v>90</v>
      </c>
      <c r="AI31" s="120"/>
    </row>
    <row r="32" spans="1:35" ht="18" x14ac:dyDescent="0.3">
      <c r="A32" s="139" t="s">
        <v>193</v>
      </c>
      <c r="B32" s="140">
        <v>45988</v>
      </c>
      <c r="C32" s="121" t="s">
        <v>1114</v>
      </c>
      <c r="D32" s="141">
        <v>0.80208333333333337</v>
      </c>
      <c r="E32" s="121" t="s">
        <v>1106</v>
      </c>
      <c r="F32" s="121" t="s">
        <v>159</v>
      </c>
      <c r="G32" s="142">
        <v>1</v>
      </c>
      <c r="H32" s="123">
        <v>179</v>
      </c>
      <c r="I32" s="123">
        <v>179</v>
      </c>
      <c r="J32" s="123">
        <v>0</v>
      </c>
      <c r="K32" s="140">
        <v>45985</v>
      </c>
      <c r="L32" s="123">
        <v>44</v>
      </c>
      <c r="M32" s="123">
        <v>0</v>
      </c>
      <c r="N32" s="123">
        <v>53</v>
      </c>
      <c r="O32" s="121" t="s">
        <v>46</v>
      </c>
      <c r="P32" s="123">
        <v>25</v>
      </c>
      <c r="Q32" s="123">
        <v>15</v>
      </c>
      <c r="R32" s="123">
        <v>14</v>
      </c>
      <c r="S32" s="123">
        <v>25</v>
      </c>
      <c r="T32" s="123">
        <v>12</v>
      </c>
      <c r="U32" s="123">
        <v>9</v>
      </c>
      <c r="V32" s="123">
        <v>8</v>
      </c>
      <c r="W32" s="123">
        <v>9</v>
      </c>
      <c r="X32" s="123">
        <v>9</v>
      </c>
      <c r="Y32" s="123">
        <v>8</v>
      </c>
      <c r="Z32" s="123">
        <v>13</v>
      </c>
      <c r="AA32" s="123">
        <v>9</v>
      </c>
      <c r="AB32" s="123">
        <v>8</v>
      </c>
      <c r="AC32" s="123">
        <v>6</v>
      </c>
      <c r="AD32" s="123">
        <v>6</v>
      </c>
      <c r="AE32" s="123">
        <v>3</v>
      </c>
      <c r="AF32" s="120"/>
      <c r="AG32" s="120"/>
      <c r="AH32" s="120"/>
      <c r="AI32" s="120"/>
    </row>
    <row r="33" spans="1:35" ht="18" x14ac:dyDescent="0.3">
      <c r="A33" s="139" t="s">
        <v>194</v>
      </c>
      <c r="B33" s="140">
        <v>45990</v>
      </c>
      <c r="C33" s="121" t="s">
        <v>1114</v>
      </c>
      <c r="D33" s="141">
        <v>0.80208333333333337</v>
      </c>
      <c r="E33" s="121" t="s">
        <v>1106</v>
      </c>
      <c r="F33" s="121" t="s">
        <v>159</v>
      </c>
      <c r="G33" s="142">
        <v>0.99439999999999995</v>
      </c>
      <c r="H33" s="123">
        <v>179</v>
      </c>
      <c r="I33" s="123">
        <v>178</v>
      </c>
      <c r="J33" s="123">
        <v>0</v>
      </c>
      <c r="K33" s="140">
        <v>45985</v>
      </c>
      <c r="L33" s="123">
        <v>55</v>
      </c>
      <c r="M33" s="123">
        <v>0</v>
      </c>
      <c r="N33" s="123">
        <v>63</v>
      </c>
      <c r="O33" s="121" t="s">
        <v>258</v>
      </c>
      <c r="P33" s="123">
        <v>72</v>
      </c>
      <c r="Q33" s="123">
        <v>5</v>
      </c>
      <c r="R33" s="123">
        <v>9</v>
      </c>
      <c r="S33" s="123">
        <v>7</v>
      </c>
      <c r="T33" s="123">
        <v>21</v>
      </c>
      <c r="U33" s="120"/>
      <c r="V33" s="120"/>
      <c r="W33" s="123">
        <v>9</v>
      </c>
      <c r="X33" s="123">
        <v>3</v>
      </c>
      <c r="Y33" s="123">
        <v>10</v>
      </c>
      <c r="Z33" s="123">
        <v>8</v>
      </c>
      <c r="AA33" s="123">
        <v>9</v>
      </c>
      <c r="AB33" s="123">
        <v>7</v>
      </c>
      <c r="AC33" s="123">
        <v>5</v>
      </c>
      <c r="AD33" s="123">
        <v>7</v>
      </c>
      <c r="AE33" s="123">
        <v>6</v>
      </c>
      <c r="AF33" s="120"/>
      <c r="AG33" s="120"/>
      <c r="AH33" s="120"/>
      <c r="AI33" s="120"/>
    </row>
    <row r="34" spans="1:35" ht="18" x14ac:dyDescent="0.3">
      <c r="A34" s="139" t="s">
        <v>1212</v>
      </c>
      <c r="B34" s="140">
        <v>45989</v>
      </c>
      <c r="C34" s="121" t="s">
        <v>1136</v>
      </c>
      <c r="D34" s="141">
        <v>0.58333333333333337</v>
      </c>
      <c r="E34" s="121" t="s">
        <v>1135</v>
      </c>
      <c r="F34" s="121" t="s">
        <v>159</v>
      </c>
      <c r="G34" s="142">
        <v>1</v>
      </c>
      <c r="H34" s="123">
        <v>179</v>
      </c>
      <c r="I34" s="123">
        <v>179</v>
      </c>
      <c r="J34" s="123">
        <v>0</v>
      </c>
      <c r="K34" s="140">
        <v>45985</v>
      </c>
      <c r="L34" s="123">
        <v>1</v>
      </c>
      <c r="M34" s="123">
        <v>1</v>
      </c>
      <c r="N34" s="123">
        <v>49</v>
      </c>
      <c r="O34" s="121" t="s">
        <v>46</v>
      </c>
      <c r="P34" s="120"/>
      <c r="Q34" s="120"/>
      <c r="R34" s="120"/>
      <c r="S34" s="120"/>
      <c r="T34" s="120"/>
      <c r="U34" s="120"/>
      <c r="V34" s="120"/>
      <c r="W34" s="123">
        <v>9</v>
      </c>
      <c r="X34" s="123">
        <v>20</v>
      </c>
      <c r="Y34" s="123">
        <v>20</v>
      </c>
      <c r="Z34" s="123">
        <v>20</v>
      </c>
      <c r="AA34" s="123">
        <v>38</v>
      </c>
      <c r="AB34" s="123">
        <v>18</v>
      </c>
      <c r="AC34" s="123">
        <v>27</v>
      </c>
      <c r="AD34" s="123">
        <v>27</v>
      </c>
      <c r="AE34" s="120"/>
      <c r="AF34" s="120"/>
      <c r="AG34" s="120"/>
      <c r="AH34" s="120"/>
      <c r="AI34" s="120"/>
    </row>
    <row r="35" spans="1:35" ht="18" x14ac:dyDescent="0.3">
      <c r="A35" s="139" t="s">
        <v>1211</v>
      </c>
      <c r="B35" s="140">
        <v>45987</v>
      </c>
      <c r="C35" s="121" t="s">
        <v>1112</v>
      </c>
      <c r="D35" s="141">
        <v>0.84375</v>
      </c>
      <c r="E35" s="121" t="s">
        <v>1106</v>
      </c>
      <c r="F35" s="121" t="s">
        <v>159</v>
      </c>
      <c r="G35" s="142">
        <v>1</v>
      </c>
      <c r="H35" s="123">
        <v>179</v>
      </c>
      <c r="I35" s="123">
        <v>179</v>
      </c>
      <c r="J35" s="123">
        <v>0</v>
      </c>
      <c r="K35" s="140">
        <v>45985</v>
      </c>
      <c r="L35" s="123">
        <v>8</v>
      </c>
      <c r="M35" s="123">
        <v>0</v>
      </c>
      <c r="N35" s="123">
        <v>40</v>
      </c>
      <c r="O35" s="121" t="s">
        <v>46</v>
      </c>
      <c r="P35" s="120"/>
      <c r="Q35" s="123">
        <v>5</v>
      </c>
      <c r="R35" s="123">
        <v>15</v>
      </c>
      <c r="S35" s="123">
        <v>14</v>
      </c>
      <c r="T35" s="123">
        <v>20</v>
      </c>
      <c r="U35" s="123">
        <v>27</v>
      </c>
      <c r="V35" s="123">
        <v>27</v>
      </c>
      <c r="W35" s="123">
        <v>9</v>
      </c>
      <c r="X35" s="123">
        <v>9</v>
      </c>
      <c r="Y35" s="123">
        <v>8</v>
      </c>
      <c r="Z35" s="123">
        <v>8</v>
      </c>
      <c r="AA35" s="123">
        <v>10</v>
      </c>
      <c r="AB35" s="123">
        <v>15</v>
      </c>
      <c r="AC35" s="123">
        <v>3</v>
      </c>
      <c r="AD35" s="123">
        <v>3</v>
      </c>
      <c r="AE35" s="123">
        <v>6</v>
      </c>
      <c r="AF35" s="120"/>
      <c r="AG35" s="120"/>
      <c r="AH35" s="120"/>
      <c r="AI35" s="120"/>
    </row>
    <row r="36" spans="1:35" ht="18" x14ac:dyDescent="0.3">
      <c r="A36" s="139" t="s">
        <v>193</v>
      </c>
      <c r="B36" s="140">
        <v>45988</v>
      </c>
      <c r="C36" s="121" t="s">
        <v>356</v>
      </c>
      <c r="D36" s="141">
        <v>6.5972222222222224E-2</v>
      </c>
      <c r="E36" s="121" t="s">
        <v>267</v>
      </c>
      <c r="F36" s="121" t="s">
        <v>159</v>
      </c>
      <c r="G36" s="142">
        <v>0.9778</v>
      </c>
      <c r="H36" s="123">
        <v>180</v>
      </c>
      <c r="I36" s="123">
        <v>176</v>
      </c>
      <c r="J36" s="123">
        <v>0</v>
      </c>
      <c r="K36" s="140">
        <v>45985</v>
      </c>
      <c r="L36" s="123">
        <v>1</v>
      </c>
      <c r="M36" s="123">
        <v>3</v>
      </c>
      <c r="N36" s="123">
        <v>60</v>
      </c>
      <c r="O36" s="121" t="s">
        <v>169</v>
      </c>
      <c r="P36" s="120"/>
      <c r="Q36" s="120"/>
      <c r="R36" s="120"/>
      <c r="S36" s="120"/>
      <c r="T36" s="120"/>
      <c r="U36" s="120"/>
      <c r="V36" s="123">
        <v>7</v>
      </c>
      <c r="W36" s="123">
        <v>10</v>
      </c>
      <c r="X36" s="123">
        <v>24</v>
      </c>
      <c r="Y36" s="123">
        <v>31</v>
      </c>
      <c r="Z36" s="123">
        <v>22</v>
      </c>
      <c r="AA36" s="123">
        <v>20</v>
      </c>
      <c r="AB36" s="123">
        <v>19</v>
      </c>
      <c r="AC36" s="123">
        <v>11</v>
      </c>
      <c r="AD36" s="123">
        <v>11</v>
      </c>
      <c r="AE36" s="123">
        <v>21</v>
      </c>
      <c r="AF36" s="120"/>
      <c r="AG36" s="120"/>
      <c r="AH36" s="120"/>
      <c r="AI36" s="120"/>
    </row>
    <row r="37" spans="1:35" ht="18" x14ac:dyDescent="0.3">
      <c r="A37" s="139" t="s">
        <v>194</v>
      </c>
      <c r="B37" s="140">
        <v>45990</v>
      </c>
      <c r="C37" s="121" t="s">
        <v>356</v>
      </c>
      <c r="D37" s="141">
        <v>4.8611111111111112E-2</v>
      </c>
      <c r="E37" s="121" t="s">
        <v>267</v>
      </c>
      <c r="F37" s="121" t="s">
        <v>159</v>
      </c>
      <c r="G37" s="142">
        <v>1.0333000000000001</v>
      </c>
      <c r="H37" s="123">
        <v>180</v>
      </c>
      <c r="I37" s="123">
        <v>186</v>
      </c>
      <c r="J37" s="123">
        <v>45</v>
      </c>
      <c r="K37" s="140">
        <v>45974</v>
      </c>
      <c r="L37" s="123">
        <v>0</v>
      </c>
      <c r="M37" s="123">
        <v>0</v>
      </c>
      <c r="N37" s="123">
        <v>0</v>
      </c>
      <c r="O37" s="121" t="s">
        <v>46</v>
      </c>
      <c r="P37" s="120"/>
      <c r="Q37" s="120"/>
      <c r="R37" s="120"/>
      <c r="S37" s="120"/>
      <c r="T37" s="120"/>
      <c r="U37" s="120"/>
      <c r="V37" s="123">
        <v>1</v>
      </c>
      <c r="W37" s="120"/>
      <c r="X37" s="123">
        <v>15</v>
      </c>
      <c r="Y37" s="123">
        <v>21</v>
      </c>
      <c r="Z37" s="123">
        <v>20</v>
      </c>
      <c r="AA37" s="123">
        <v>42</v>
      </c>
      <c r="AB37" s="123">
        <v>9</v>
      </c>
      <c r="AC37" s="123">
        <v>12</v>
      </c>
      <c r="AD37" s="123">
        <v>11</v>
      </c>
      <c r="AE37" s="123">
        <v>10</v>
      </c>
      <c r="AF37" s="120"/>
      <c r="AG37" s="120"/>
      <c r="AH37" s="123">
        <v>45</v>
      </c>
      <c r="AI37" s="120"/>
    </row>
    <row r="38" spans="1:35" ht="18" x14ac:dyDescent="0.3">
      <c r="A38" s="139" t="s">
        <v>192</v>
      </c>
      <c r="B38" s="140">
        <v>45986</v>
      </c>
      <c r="C38" s="121" t="s">
        <v>578</v>
      </c>
      <c r="D38" s="141">
        <v>0.52083333333333337</v>
      </c>
      <c r="E38" s="121" t="s">
        <v>565</v>
      </c>
      <c r="F38" s="121" t="s">
        <v>159</v>
      </c>
      <c r="G38" s="142">
        <v>1</v>
      </c>
      <c r="H38" s="123">
        <v>180</v>
      </c>
      <c r="I38" s="123">
        <v>180</v>
      </c>
      <c r="J38" s="123">
        <v>161</v>
      </c>
      <c r="K38" s="140">
        <v>45961</v>
      </c>
      <c r="L38" s="123">
        <v>0</v>
      </c>
      <c r="M38" s="123">
        <v>0</v>
      </c>
      <c r="N38" s="123">
        <v>0</v>
      </c>
      <c r="O38" s="121" t="s">
        <v>46</v>
      </c>
      <c r="P38" s="120"/>
      <c r="Q38" s="120"/>
      <c r="R38" s="120"/>
      <c r="S38" s="120"/>
      <c r="T38" s="120"/>
      <c r="U38" s="120"/>
      <c r="V38" s="120"/>
      <c r="W38" s="120"/>
      <c r="X38" s="120"/>
      <c r="Y38" s="120"/>
      <c r="Z38" s="120"/>
      <c r="AA38" s="120"/>
      <c r="AB38" s="123">
        <v>5</v>
      </c>
      <c r="AC38" s="123">
        <v>4</v>
      </c>
      <c r="AD38" s="123">
        <v>5</v>
      </c>
      <c r="AE38" s="123">
        <v>5</v>
      </c>
      <c r="AF38" s="120"/>
      <c r="AG38" s="120"/>
      <c r="AH38" s="123">
        <v>161</v>
      </c>
      <c r="AI38" s="120"/>
    </row>
    <row r="39" spans="1:35" ht="18" x14ac:dyDescent="0.3">
      <c r="A39" s="139" t="s">
        <v>1211</v>
      </c>
      <c r="B39" s="140">
        <v>45987</v>
      </c>
      <c r="C39" s="121" t="s">
        <v>578</v>
      </c>
      <c r="D39" s="141">
        <v>0.14583333333333329</v>
      </c>
      <c r="E39" s="121" t="s">
        <v>565</v>
      </c>
      <c r="F39" s="121" t="s">
        <v>159</v>
      </c>
      <c r="G39" s="142">
        <v>0.99439999999999995</v>
      </c>
      <c r="H39" s="123">
        <v>180</v>
      </c>
      <c r="I39" s="123">
        <v>179</v>
      </c>
      <c r="J39" s="123">
        <v>130</v>
      </c>
      <c r="K39" s="140">
        <v>45984</v>
      </c>
      <c r="L39" s="123">
        <v>0</v>
      </c>
      <c r="M39" s="123">
        <v>2</v>
      </c>
      <c r="N39" s="123">
        <v>10</v>
      </c>
      <c r="O39" s="121" t="s">
        <v>46</v>
      </c>
      <c r="P39" s="120"/>
      <c r="Q39" s="120"/>
      <c r="R39" s="120"/>
      <c r="S39" s="120"/>
      <c r="T39" s="120"/>
      <c r="U39" s="123">
        <v>1</v>
      </c>
      <c r="V39" s="120"/>
      <c r="W39" s="120"/>
      <c r="X39" s="120"/>
      <c r="Y39" s="123">
        <v>3</v>
      </c>
      <c r="Z39" s="123">
        <v>9</v>
      </c>
      <c r="AA39" s="123">
        <v>19</v>
      </c>
      <c r="AB39" s="123">
        <v>17</v>
      </c>
      <c r="AC39" s="120"/>
      <c r="AD39" s="120"/>
      <c r="AE39" s="120"/>
      <c r="AF39" s="120"/>
      <c r="AG39" s="120"/>
      <c r="AH39" s="123">
        <v>130</v>
      </c>
      <c r="AI39" s="120"/>
    </row>
    <row r="40" spans="1:35" ht="18" x14ac:dyDescent="0.3">
      <c r="A40" s="139" t="s">
        <v>193</v>
      </c>
      <c r="B40" s="140">
        <v>45988</v>
      </c>
      <c r="C40" s="121" t="s">
        <v>578</v>
      </c>
      <c r="D40" s="141">
        <v>8.6805555555555566E-2</v>
      </c>
      <c r="E40" s="121" t="s">
        <v>565</v>
      </c>
      <c r="F40" s="121" t="s">
        <v>159</v>
      </c>
      <c r="G40" s="142">
        <v>0.99439999999999995</v>
      </c>
      <c r="H40" s="123">
        <v>180</v>
      </c>
      <c r="I40" s="123">
        <v>179</v>
      </c>
      <c r="J40" s="123">
        <v>126</v>
      </c>
      <c r="K40" s="140">
        <v>45984</v>
      </c>
      <c r="L40" s="123">
        <v>0</v>
      </c>
      <c r="M40" s="123">
        <v>1</v>
      </c>
      <c r="N40" s="123">
        <v>11</v>
      </c>
      <c r="O40" s="121" t="s">
        <v>46</v>
      </c>
      <c r="P40" s="120"/>
      <c r="Q40" s="120"/>
      <c r="R40" s="120"/>
      <c r="S40" s="120"/>
      <c r="T40" s="120"/>
      <c r="U40" s="120"/>
      <c r="V40" s="120"/>
      <c r="W40" s="120"/>
      <c r="X40" s="120"/>
      <c r="Y40" s="123">
        <v>13</v>
      </c>
      <c r="Z40" s="123">
        <v>10</v>
      </c>
      <c r="AA40" s="123">
        <v>5</v>
      </c>
      <c r="AB40" s="123">
        <v>5</v>
      </c>
      <c r="AC40" s="123">
        <v>5</v>
      </c>
      <c r="AD40" s="123">
        <v>5</v>
      </c>
      <c r="AE40" s="123">
        <v>5</v>
      </c>
      <c r="AF40" s="120"/>
      <c r="AG40" s="120"/>
      <c r="AH40" s="123">
        <v>126</v>
      </c>
      <c r="AI40" s="123">
        <v>5</v>
      </c>
    </row>
    <row r="41" spans="1:35" ht="18" x14ac:dyDescent="0.3">
      <c r="A41" s="139" t="s">
        <v>1212</v>
      </c>
      <c r="B41" s="140">
        <v>45989</v>
      </c>
      <c r="C41" s="121" t="s">
        <v>578</v>
      </c>
      <c r="D41" s="141">
        <v>0.22916666666666671</v>
      </c>
      <c r="E41" s="121" t="s">
        <v>565</v>
      </c>
      <c r="F41" s="121" t="s">
        <v>159</v>
      </c>
      <c r="G41" s="142">
        <v>1</v>
      </c>
      <c r="H41" s="123">
        <v>180</v>
      </c>
      <c r="I41" s="123">
        <v>180</v>
      </c>
      <c r="J41" s="123">
        <v>50</v>
      </c>
      <c r="K41" s="140">
        <v>45984</v>
      </c>
      <c r="L41" s="123">
        <v>0</v>
      </c>
      <c r="M41" s="123">
        <v>2</v>
      </c>
      <c r="N41" s="123">
        <v>62</v>
      </c>
      <c r="O41" s="121" t="s">
        <v>46</v>
      </c>
      <c r="P41" s="120"/>
      <c r="Q41" s="120"/>
      <c r="R41" s="120"/>
      <c r="S41" s="120"/>
      <c r="T41" s="120"/>
      <c r="U41" s="120"/>
      <c r="V41" s="120"/>
      <c r="W41" s="120"/>
      <c r="X41" s="123">
        <v>7</v>
      </c>
      <c r="Y41" s="123">
        <v>40</v>
      </c>
      <c r="Z41" s="123">
        <v>28</v>
      </c>
      <c r="AA41" s="123">
        <v>33</v>
      </c>
      <c r="AB41" s="123">
        <v>18</v>
      </c>
      <c r="AC41" s="120"/>
      <c r="AD41" s="120"/>
      <c r="AE41" s="123">
        <v>2</v>
      </c>
      <c r="AF41" s="120"/>
      <c r="AG41" s="120"/>
      <c r="AH41" s="123">
        <v>50</v>
      </c>
      <c r="AI41" s="123">
        <v>2</v>
      </c>
    </row>
    <row r="42" spans="1:35" ht="18" x14ac:dyDescent="0.3">
      <c r="A42" s="139" t="s">
        <v>194</v>
      </c>
      <c r="B42" s="140">
        <v>45990</v>
      </c>
      <c r="C42" s="121" t="s">
        <v>578</v>
      </c>
      <c r="D42" s="141">
        <v>0.60416666666666663</v>
      </c>
      <c r="E42" s="121" t="s">
        <v>565</v>
      </c>
      <c r="F42" s="121" t="s">
        <v>159</v>
      </c>
      <c r="G42" s="142">
        <v>1</v>
      </c>
      <c r="H42" s="123">
        <v>180</v>
      </c>
      <c r="I42" s="123">
        <v>180</v>
      </c>
      <c r="J42" s="123">
        <v>95</v>
      </c>
      <c r="K42" s="140">
        <v>45984</v>
      </c>
      <c r="L42" s="123">
        <v>0</v>
      </c>
      <c r="M42" s="123">
        <v>2</v>
      </c>
      <c r="N42" s="123">
        <v>17</v>
      </c>
      <c r="O42" s="121" t="s">
        <v>46</v>
      </c>
      <c r="P42" s="120"/>
      <c r="Q42" s="120"/>
      <c r="R42" s="120"/>
      <c r="S42" s="120"/>
      <c r="T42" s="120"/>
      <c r="U42" s="123">
        <v>4</v>
      </c>
      <c r="V42" s="123">
        <v>9</v>
      </c>
      <c r="W42" s="123">
        <v>11</v>
      </c>
      <c r="X42" s="123">
        <v>7</v>
      </c>
      <c r="Y42" s="123">
        <v>18</v>
      </c>
      <c r="Z42" s="123">
        <v>18</v>
      </c>
      <c r="AA42" s="123">
        <v>9</v>
      </c>
      <c r="AB42" s="123">
        <v>9</v>
      </c>
      <c r="AC42" s="120"/>
      <c r="AD42" s="120"/>
      <c r="AE42" s="120"/>
      <c r="AF42" s="120"/>
      <c r="AG42" s="120"/>
      <c r="AH42" s="123">
        <v>95</v>
      </c>
      <c r="AI42" s="120"/>
    </row>
    <row r="43" spans="1:35" ht="18" x14ac:dyDescent="0.3">
      <c r="A43" s="139" t="s">
        <v>195</v>
      </c>
      <c r="B43" s="140">
        <v>45991</v>
      </c>
      <c r="C43" s="121" t="s">
        <v>578</v>
      </c>
      <c r="D43" s="141">
        <v>0.49652777777777768</v>
      </c>
      <c r="E43" s="121" t="s">
        <v>565</v>
      </c>
      <c r="F43" s="121" t="s">
        <v>159</v>
      </c>
      <c r="G43" s="142">
        <v>0.99439999999999995</v>
      </c>
      <c r="H43" s="123">
        <v>180</v>
      </c>
      <c r="I43" s="123">
        <v>179</v>
      </c>
      <c r="J43" s="123">
        <v>135</v>
      </c>
      <c r="K43" s="140">
        <v>45984</v>
      </c>
      <c r="L43" s="123">
        <v>0</v>
      </c>
      <c r="M43" s="123">
        <v>1</v>
      </c>
      <c r="N43" s="123">
        <v>13</v>
      </c>
      <c r="O43" s="121" t="s">
        <v>46</v>
      </c>
      <c r="P43" s="120"/>
      <c r="Q43" s="120"/>
      <c r="R43" s="120"/>
      <c r="S43" s="120"/>
      <c r="T43" s="120"/>
      <c r="U43" s="120"/>
      <c r="V43" s="120"/>
      <c r="W43" s="120"/>
      <c r="X43" s="123">
        <v>5</v>
      </c>
      <c r="Y43" s="123">
        <v>11</v>
      </c>
      <c r="Z43" s="123">
        <v>4</v>
      </c>
      <c r="AA43" s="123">
        <v>5</v>
      </c>
      <c r="AB43" s="123">
        <v>5</v>
      </c>
      <c r="AC43" s="123">
        <v>5</v>
      </c>
      <c r="AD43" s="123">
        <v>5</v>
      </c>
      <c r="AE43" s="123">
        <v>4</v>
      </c>
      <c r="AF43" s="120"/>
      <c r="AG43" s="120"/>
      <c r="AH43" s="123">
        <v>135</v>
      </c>
      <c r="AI43" s="120"/>
    </row>
    <row r="44" spans="1:35" ht="18" x14ac:dyDescent="0.3">
      <c r="A44" s="139" t="s">
        <v>192</v>
      </c>
      <c r="B44" s="140">
        <v>45986</v>
      </c>
      <c r="C44" s="121" t="s">
        <v>652</v>
      </c>
      <c r="D44" s="141">
        <v>0.16666666666666671</v>
      </c>
      <c r="E44" s="121" t="s">
        <v>649</v>
      </c>
      <c r="F44" s="121" t="s">
        <v>159</v>
      </c>
      <c r="G44" s="142">
        <v>0.82779999999999998</v>
      </c>
      <c r="H44" s="123">
        <v>180</v>
      </c>
      <c r="I44" s="123">
        <v>149</v>
      </c>
      <c r="J44" s="123">
        <v>47</v>
      </c>
      <c r="K44" s="140">
        <v>45984</v>
      </c>
      <c r="L44" s="123">
        <v>0</v>
      </c>
      <c r="M44" s="123">
        <v>10</v>
      </c>
      <c r="N44" s="123">
        <v>54</v>
      </c>
      <c r="O44" s="121" t="s">
        <v>488</v>
      </c>
      <c r="P44" s="120"/>
      <c r="Q44" s="120"/>
      <c r="R44" s="120"/>
      <c r="S44" s="120"/>
      <c r="T44" s="120"/>
      <c r="U44" s="120"/>
      <c r="V44" s="120"/>
      <c r="W44" s="120"/>
      <c r="X44" s="123">
        <v>5</v>
      </c>
      <c r="Y44" s="123">
        <v>6</v>
      </c>
      <c r="Z44" s="123">
        <v>20</v>
      </c>
      <c r="AA44" s="123">
        <v>4</v>
      </c>
      <c r="AB44" s="123">
        <v>10</v>
      </c>
      <c r="AC44" s="123">
        <v>17</v>
      </c>
      <c r="AD44" s="123">
        <v>30</v>
      </c>
      <c r="AE44" s="123">
        <v>10</v>
      </c>
      <c r="AF44" s="120"/>
      <c r="AG44" s="120"/>
      <c r="AH44" s="123">
        <v>47</v>
      </c>
      <c r="AI44" s="120"/>
    </row>
    <row r="45" spans="1:35" ht="18" x14ac:dyDescent="0.3">
      <c r="A45" s="139" t="s">
        <v>1211</v>
      </c>
      <c r="B45" s="140">
        <v>45987</v>
      </c>
      <c r="C45" s="121" t="s">
        <v>652</v>
      </c>
      <c r="D45" s="141">
        <v>0.1076388888888889</v>
      </c>
      <c r="E45" s="121" t="s">
        <v>649</v>
      </c>
      <c r="F45" s="121" t="s">
        <v>159</v>
      </c>
      <c r="G45" s="142">
        <v>1</v>
      </c>
      <c r="H45" s="123">
        <v>180</v>
      </c>
      <c r="I45" s="123">
        <v>180</v>
      </c>
      <c r="J45" s="123">
        <v>180</v>
      </c>
      <c r="K45" s="140">
        <v>45984</v>
      </c>
      <c r="L45" s="123">
        <v>0</v>
      </c>
      <c r="M45" s="123">
        <v>3</v>
      </c>
      <c r="N45" s="123">
        <v>3</v>
      </c>
      <c r="O45" s="121" t="s">
        <v>46</v>
      </c>
      <c r="P45" s="120"/>
      <c r="Q45" s="120"/>
      <c r="R45" s="120"/>
      <c r="S45" s="120"/>
      <c r="T45" s="120"/>
      <c r="U45" s="120"/>
      <c r="V45" s="120"/>
      <c r="W45" s="120"/>
      <c r="X45" s="120"/>
      <c r="Y45" s="120"/>
      <c r="Z45" s="120"/>
      <c r="AA45" s="120"/>
      <c r="AB45" s="120"/>
      <c r="AC45" s="120"/>
      <c r="AD45" s="120"/>
      <c r="AE45" s="120"/>
      <c r="AF45" s="123">
        <v>45</v>
      </c>
      <c r="AG45" s="120"/>
      <c r="AH45" s="123">
        <v>135</v>
      </c>
      <c r="AI45" s="120"/>
    </row>
    <row r="46" spans="1:35" ht="18" x14ac:dyDescent="0.3">
      <c r="A46" s="139" t="s">
        <v>193</v>
      </c>
      <c r="B46" s="140">
        <v>45988</v>
      </c>
      <c r="C46" s="121" t="s">
        <v>652</v>
      </c>
      <c r="D46" s="141">
        <v>0.3298611111111111</v>
      </c>
      <c r="E46" s="121" t="s">
        <v>649</v>
      </c>
      <c r="F46" s="121" t="s">
        <v>159</v>
      </c>
      <c r="G46" s="142">
        <v>1</v>
      </c>
      <c r="H46" s="123">
        <v>180</v>
      </c>
      <c r="I46" s="123">
        <v>180</v>
      </c>
      <c r="J46" s="123">
        <v>135</v>
      </c>
      <c r="K46" s="140">
        <v>45983</v>
      </c>
      <c r="L46" s="123">
        <v>0</v>
      </c>
      <c r="M46" s="123">
        <v>0</v>
      </c>
      <c r="N46" s="123">
        <v>14</v>
      </c>
      <c r="O46" s="121" t="s">
        <v>46</v>
      </c>
      <c r="P46" s="120"/>
      <c r="Q46" s="120"/>
      <c r="R46" s="120"/>
      <c r="S46" s="120"/>
      <c r="T46" s="120"/>
      <c r="U46" s="120"/>
      <c r="V46" s="120"/>
      <c r="W46" s="120"/>
      <c r="X46" s="120"/>
      <c r="Y46" s="123">
        <v>2</v>
      </c>
      <c r="Z46" s="123">
        <v>1</v>
      </c>
      <c r="AA46" s="123">
        <v>9</v>
      </c>
      <c r="AB46" s="123">
        <v>23</v>
      </c>
      <c r="AC46" s="123">
        <v>5</v>
      </c>
      <c r="AD46" s="123">
        <v>3</v>
      </c>
      <c r="AE46" s="123">
        <v>2</v>
      </c>
      <c r="AF46" s="120"/>
      <c r="AG46" s="120"/>
      <c r="AH46" s="123">
        <v>135</v>
      </c>
      <c r="AI46" s="120"/>
    </row>
    <row r="47" spans="1:35" ht="18" x14ac:dyDescent="0.3">
      <c r="A47" s="139" t="s">
        <v>192</v>
      </c>
      <c r="B47" s="140">
        <v>45986</v>
      </c>
      <c r="C47" s="121" t="s">
        <v>655</v>
      </c>
      <c r="D47" s="141">
        <v>0.52777777777777779</v>
      </c>
      <c r="E47" s="121" t="s">
        <v>649</v>
      </c>
      <c r="F47" s="121" t="s">
        <v>159</v>
      </c>
      <c r="G47" s="142">
        <v>0.9778</v>
      </c>
      <c r="H47" s="123">
        <v>180</v>
      </c>
      <c r="I47" s="123">
        <v>176</v>
      </c>
      <c r="J47" s="123">
        <v>69</v>
      </c>
      <c r="K47" s="140">
        <v>45984</v>
      </c>
      <c r="L47" s="123">
        <v>0</v>
      </c>
      <c r="M47" s="123">
        <v>4</v>
      </c>
      <c r="N47" s="123">
        <v>56</v>
      </c>
      <c r="O47" s="121" t="s">
        <v>187</v>
      </c>
      <c r="P47" s="120"/>
      <c r="Q47" s="120"/>
      <c r="R47" s="120"/>
      <c r="S47" s="120"/>
      <c r="T47" s="120"/>
      <c r="U47" s="120"/>
      <c r="V47" s="120"/>
      <c r="W47" s="120"/>
      <c r="X47" s="123">
        <v>6</v>
      </c>
      <c r="Y47" s="123">
        <v>36</v>
      </c>
      <c r="Z47" s="123">
        <v>12</v>
      </c>
      <c r="AA47" s="123">
        <v>10</v>
      </c>
      <c r="AB47" s="123">
        <v>9</v>
      </c>
      <c r="AC47" s="123">
        <v>41</v>
      </c>
      <c r="AD47" s="123">
        <v>10</v>
      </c>
      <c r="AE47" s="123">
        <v>2</v>
      </c>
      <c r="AF47" s="120"/>
      <c r="AG47" s="120"/>
      <c r="AH47" s="123">
        <v>50</v>
      </c>
      <c r="AI47" s="120"/>
    </row>
    <row r="48" spans="1:35" ht="18" x14ac:dyDescent="0.3">
      <c r="A48" s="139" t="s">
        <v>193</v>
      </c>
      <c r="B48" s="140">
        <v>45988</v>
      </c>
      <c r="C48" s="121" t="s">
        <v>655</v>
      </c>
      <c r="D48" s="141">
        <v>0.54861111111111105</v>
      </c>
      <c r="E48" s="121" t="s">
        <v>649</v>
      </c>
      <c r="F48" s="121" t="s">
        <v>159</v>
      </c>
      <c r="G48" s="142">
        <v>1</v>
      </c>
      <c r="H48" s="123">
        <v>180</v>
      </c>
      <c r="I48" s="123">
        <v>180</v>
      </c>
      <c r="J48" s="123">
        <v>95</v>
      </c>
      <c r="K48" s="140">
        <v>45985</v>
      </c>
      <c r="L48" s="123">
        <v>4</v>
      </c>
      <c r="M48" s="123">
        <v>1</v>
      </c>
      <c r="N48" s="123">
        <v>67</v>
      </c>
      <c r="O48" s="121" t="s">
        <v>46</v>
      </c>
      <c r="P48" s="120"/>
      <c r="Q48" s="120"/>
      <c r="R48" s="120"/>
      <c r="S48" s="120"/>
      <c r="T48" s="120"/>
      <c r="U48" s="120"/>
      <c r="V48" s="120"/>
      <c r="W48" s="120"/>
      <c r="X48" s="120"/>
      <c r="Y48" s="123">
        <v>14</v>
      </c>
      <c r="Z48" s="123">
        <v>28</v>
      </c>
      <c r="AA48" s="123">
        <v>15</v>
      </c>
      <c r="AB48" s="123">
        <v>25</v>
      </c>
      <c r="AC48" s="120"/>
      <c r="AD48" s="123">
        <v>2</v>
      </c>
      <c r="AE48" s="123">
        <v>1</v>
      </c>
      <c r="AF48" s="120"/>
      <c r="AG48" s="120"/>
      <c r="AH48" s="123">
        <v>95</v>
      </c>
      <c r="AI48" s="120"/>
    </row>
    <row r="49" spans="1:35" ht="18" x14ac:dyDescent="0.3">
      <c r="A49" s="139" t="s">
        <v>194</v>
      </c>
      <c r="B49" s="140">
        <v>45990</v>
      </c>
      <c r="C49" s="121" t="s">
        <v>655</v>
      </c>
      <c r="D49" s="141">
        <v>0.52777777777777779</v>
      </c>
      <c r="E49" s="121" t="s">
        <v>649</v>
      </c>
      <c r="F49" s="121" t="s">
        <v>159</v>
      </c>
      <c r="G49" s="142">
        <v>0.95</v>
      </c>
      <c r="H49" s="123">
        <v>180</v>
      </c>
      <c r="I49" s="123">
        <v>171</v>
      </c>
      <c r="J49" s="123">
        <v>90</v>
      </c>
      <c r="K49" s="140">
        <v>45984</v>
      </c>
      <c r="L49" s="123">
        <v>0</v>
      </c>
      <c r="M49" s="123">
        <v>2</v>
      </c>
      <c r="N49" s="123">
        <v>18</v>
      </c>
      <c r="O49" s="121" t="s">
        <v>169</v>
      </c>
      <c r="P49" s="123">
        <v>2</v>
      </c>
      <c r="Q49" s="120"/>
      <c r="R49" s="120"/>
      <c r="S49" s="120"/>
      <c r="T49" s="120"/>
      <c r="U49" s="120"/>
      <c r="V49" s="120"/>
      <c r="W49" s="120"/>
      <c r="X49" s="123">
        <v>22</v>
      </c>
      <c r="Y49" s="123">
        <v>19</v>
      </c>
      <c r="Z49" s="123">
        <v>25</v>
      </c>
      <c r="AA49" s="123">
        <v>2</v>
      </c>
      <c r="AB49" s="123">
        <v>11</v>
      </c>
      <c r="AC49" s="120"/>
      <c r="AD49" s="120"/>
      <c r="AE49" s="120"/>
      <c r="AF49" s="120"/>
      <c r="AG49" s="120"/>
      <c r="AH49" s="123">
        <v>90</v>
      </c>
      <c r="AI49" s="120"/>
    </row>
    <row r="50" spans="1:35" ht="18" x14ac:dyDescent="0.3">
      <c r="A50" s="139" t="s">
        <v>195</v>
      </c>
      <c r="B50" s="140">
        <v>45991</v>
      </c>
      <c r="C50" s="121" t="s">
        <v>655</v>
      </c>
      <c r="D50" s="141">
        <v>0.69097222222222221</v>
      </c>
      <c r="E50" s="121" t="s">
        <v>649</v>
      </c>
      <c r="F50" s="121" t="s">
        <v>159</v>
      </c>
      <c r="G50" s="142">
        <v>0.7278</v>
      </c>
      <c r="H50" s="123">
        <v>180</v>
      </c>
      <c r="I50" s="123">
        <v>131</v>
      </c>
      <c r="J50" s="123">
        <v>45</v>
      </c>
      <c r="K50" s="140">
        <v>45985</v>
      </c>
      <c r="L50" s="123">
        <v>3</v>
      </c>
      <c r="M50" s="123">
        <v>14</v>
      </c>
      <c r="N50" s="123">
        <v>65</v>
      </c>
      <c r="O50" s="121" t="s">
        <v>260</v>
      </c>
      <c r="P50" s="123">
        <v>1</v>
      </c>
      <c r="Q50" s="120"/>
      <c r="R50" s="120"/>
      <c r="S50" s="120"/>
      <c r="T50" s="120"/>
      <c r="U50" s="120"/>
      <c r="V50" s="120"/>
      <c r="W50" s="120"/>
      <c r="X50" s="120"/>
      <c r="Y50" s="123">
        <v>11</v>
      </c>
      <c r="Z50" s="123">
        <v>19</v>
      </c>
      <c r="AA50" s="123">
        <v>23</v>
      </c>
      <c r="AB50" s="123">
        <v>12</v>
      </c>
      <c r="AC50" s="123">
        <v>20</v>
      </c>
      <c r="AD50" s="120"/>
      <c r="AE50" s="120"/>
      <c r="AF50" s="120"/>
      <c r="AG50" s="120"/>
      <c r="AH50" s="123">
        <v>45</v>
      </c>
      <c r="AI50" s="120"/>
    </row>
    <row r="51" spans="1:35" ht="18" x14ac:dyDescent="0.3">
      <c r="A51" s="139" t="s">
        <v>1211</v>
      </c>
      <c r="B51" s="140">
        <v>45987</v>
      </c>
      <c r="C51" s="121" t="s">
        <v>591</v>
      </c>
      <c r="D51" s="141">
        <v>0.53125</v>
      </c>
      <c r="E51" s="121" t="s">
        <v>565</v>
      </c>
      <c r="F51" s="121" t="s">
        <v>159</v>
      </c>
      <c r="G51" s="142">
        <v>1</v>
      </c>
      <c r="H51" s="123">
        <v>180</v>
      </c>
      <c r="I51" s="123">
        <v>180</v>
      </c>
      <c r="J51" s="123">
        <v>135</v>
      </c>
      <c r="K51" s="140">
        <v>45972</v>
      </c>
      <c r="L51" s="123">
        <v>0</v>
      </c>
      <c r="M51" s="123">
        <v>0</v>
      </c>
      <c r="N51" s="123">
        <v>0</v>
      </c>
      <c r="O51" s="121" t="s">
        <v>46</v>
      </c>
      <c r="P51" s="120"/>
      <c r="Q51" s="120"/>
      <c r="R51" s="120"/>
      <c r="S51" s="120"/>
      <c r="T51" s="120"/>
      <c r="U51" s="120"/>
      <c r="V51" s="120"/>
      <c r="W51" s="120"/>
      <c r="X51" s="120"/>
      <c r="Y51" s="120"/>
      <c r="Z51" s="120"/>
      <c r="AA51" s="123">
        <v>9</v>
      </c>
      <c r="AB51" s="123">
        <v>9</v>
      </c>
      <c r="AC51" s="123">
        <v>9</v>
      </c>
      <c r="AD51" s="123">
        <v>9</v>
      </c>
      <c r="AE51" s="123">
        <v>9</v>
      </c>
      <c r="AF51" s="120"/>
      <c r="AG51" s="120"/>
      <c r="AH51" s="123">
        <v>135</v>
      </c>
      <c r="AI51" s="120"/>
    </row>
    <row r="52" spans="1:35" ht="18" x14ac:dyDescent="0.3">
      <c r="A52" s="139" t="s">
        <v>194</v>
      </c>
      <c r="B52" s="140">
        <v>45990</v>
      </c>
      <c r="C52" s="121" t="s">
        <v>591</v>
      </c>
      <c r="D52" s="141">
        <v>0.27083333333333331</v>
      </c>
      <c r="E52" s="121" t="s">
        <v>565</v>
      </c>
      <c r="F52" s="121" t="s">
        <v>159</v>
      </c>
      <c r="G52" s="142">
        <v>1</v>
      </c>
      <c r="H52" s="123">
        <v>180</v>
      </c>
      <c r="I52" s="123">
        <v>180</v>
      </c>
      <c r="J52" s="123">
        <v>135</v>
      </c>
      <c r="K52" s="140">
        <v>45985</v>
      </c>
      <c r="L52" s="123">
        <v>1</v>
      </c>
      <c r="M52" s="123">
        <v>0</v>
      </c>
      <c r="N52" s="123">
        <v>1</v>
      </c>
      <c r="O52" s="121" t="s">
        <v>46</v>
      </c>
      <c r="P52" s="120"/>
      <c r="Q52" s="120"/>
      <c r="R52" s="120"/>
      <c r="S52" s="120"/>
      <c r="T52" s="120"/>
      <c r="U52" s="120"/>
      <c r="V52" s="120"/>
      <c r="W52" s="123">
        <v>3</v>
      </c>
      <c r="X52" s="120"/>
      <c r="Y52" s="123">
        <v>8</v>
      </c>
      <c r="Z52" s="123">
        <v>16</v>
      </c>
      <c r="AA52" s="123">
        <v>9</v>
      </c>
      <c r="AB52" s="123">
        <v>9</v>
      </c>
      <c r="AC52" s="120"/>
      <c r="AD52" s="120"/>
      <c r="AE52" s="120"/>
      <c r="AF52" s="120"/>
      <c r="AG52" s="120"/>
      <c r="AH52" s="123">
        <v>135</v>
      </c>
      <c r="AI52" s="120"/>
    </row>
    <row r="53" spans="1:35" ht="18" x14ac:dyDescent="0.3">
      <c r="A53" s="139" t="s">
        <v>195</v>
      </c>
      <c r="B53" s="140">
        <v>45991</v>
      </c>
      <c r="C53" s="121" t="s">
        <v>591</v>
      </c>
      <c r="D53" s="141">
        <v>0.57986111111111105</v>
      </c>
      <c r="E53" s="121" t="s">
        <v>565</v>
      </c>
      <c r="F53" s="121" t="s">
        <v>159</v>
      </c>
      <c r="G53" s="142">
        <v>1</v>
      </c>
      <c r="H53" s="123">
        <v>180</v>
      </c>
      <c r="I53" s="123">
        <v>180</v>
      </c>
      <c r="J53" s="123">
        <v>135</v>
      </c>
      <c r="K53" s="140">
        <v>45982</v>
      </c>
      <c r="L53" s="123">
        <v>0</v>
      </c>
      <c r="M53" s="123">
        <v>0</v>
      </c>
      <c r="N53" s="123">
        <v>2</v>
      </c>
      <c r="O53" s="121" t="s">
        <v>46</v>
      </c>
      <c r="P53" s="120"/>
      <c r="Q53" s="120"/>
      <c r="R53" s="120"/>
      <c r="S53" s="120"/>
      <c r="T53" s="120"/>
      <c r="U53" s="120"/>
      <c r="V53" s="120"/>
      <c r="W53" s="120"/>
      <c r="X53" s="123">
        <v>6</v>
      </c>
      <c r="Y53" s="123">
        <v>3</v>
      </c>
      <c r="Z53" s="123">
        <v>1</v>
      </c>
      <c r="AA53" s="123">
        <v>18</v>
      </c>
      <c r="AB53" s="123">
        <v>17</v>
      </c>
      <c r="AC53" s="120"/>
      <c r="AD53" s="120"/>
      <c r="AE53" s="120"/>
      <c r="AF53" s="120"/>
      <c r="AG53" s="120"/>
      <c r="AH53" s="123">
        <v>135</v>
      </c>
      <c r="AI53" s="120"/>
    </row>
    <row r="54" spans="1:35" ht="18" x14ac:dyDescent="0.3">
      <c r="A54" s="139" t="s">
        <v>192</v>
      </c>
      <c r="B54" s="140">
        <v>45986</v>
      </c>
      <c r="C54" s="121" t="s">
        <v>329</v>
      </c>
      <c r="D54" s="141">
        <v>0.55208333333333337</v>
      </c>
      <c r="E54" s="121" t="s">
        <v>267</v>
      </c>
      <c r="F54" s="121" t="s">
        <v>159</v>
      </c>
      <c r="G54" s="142">
        <v>0.98329999999999995</v>
      </c>
      <c r="H54" s="123">
        <v>180</v>
      </c>
      <c r="I54" s="123">
        <v>177</v>
      </c>
      <c r="J54" s="123">
        <v>116</v>
      </c>
      <c r="K54" s="140">
        <v>45985</v>
      </c>
      <c r="L54" s="123">
        <v>1</v>
      </c>
      <c r="M54" s="123">
        <v>3</v>
      </c>
      <c r="N54" s="123">
        <v>49</v>
      </c>
      <c r="O54" s="121" t="s">
        <v>46</v>
      </c>
      <c r="P54" s="120"/>
      <c r="Q54" s="120"/>
      <c r="R54" s="120"/>
      <c r="S54" s="120"/>
      <c r="T54" s="120"/>
      <c r="U54" s="120"/>
      <c r="V54" s="120"/>
      <c r="W54" s="120"/>
      <c r="X54" s="120"/>
      <c r="Y54" s="123">
        <v>11</v>
      </c>
      <c r="Z54" s="120"/>
      <c r="AA54" s="120"/>
      <c r="AB54" s="120"/>
      <c r="AC54" s="123">
        <v>22</v>
      </c>
      <c r="AD54" s="123">
        <v>22</v>
      </c>
      <c r="AE54" s="123">
        <v>6</v>
      </c>
      <c r="AF54" s="123">
        <v>40</v>
      </c>
      <c r="AG54" s="120"/>
      <c r="AH54" s="123">
        <v>76</v>
      </c>
      <c r="AI54" s="120"/>
    </row>
    <row r="55" spans="1:35" ht="18" x14ac:dyDescent="0.3">
      <c r="A55" s="139" t="s">
        <v>1211</v>
      </c>
      <c r="B55" s="140">
        <v>45987</v>
      </c>
      <c r="C55" s="121" t="s">
        <v>329</v>
      </c>
      <c r="D55" s="141">
        <v>0.34375</v>
      </c>
      <c r="E55" s="121" t="s">
        <v>267</v>
      </c>
      <c r="F55" s="121" t="s">
        <v>159</v>
      </c>
      <c r="G55" s="142">
        <v>0.99439999999999995</v>
      </c>
      <c r="H55" s="123">
        <v>180</v>
      </c>
      <c r="I55" s="123">
        <v>179</v>
      </c>
      <c r="J55" s="123">
        <v>90</v>
      </c>
      <c r="K55" s="140">
        <v>45980</v>
      </c>
      <c r="L55" s="123">
        <v>0</v>
      </c>
      <c r="M55" s="123">
        <v>0</v>
      </c>
      <c r="N55" s="123">
        <v>8</v>
      </c>
      <c r="O55" s="121" t="s">
        <v>46</v>
      </c>
      <c r="P55" s="120"/>
      <c r="Q55" s="120"/>
      <c r="R55" s="120"/>
      <c r="S55" s="120"/>
      <c r="T55" s="120"/>
      <c r="U55" s="120"/>
      <c r="V55" s="120"/>
      <c r="W55" s="120"/>
      <c r="X55" s="120"/>
      <c r="Y55" s="120"/>
      <c r="Z55" s="120"/>
      <c r="AA55" s="123">
        <v>11</v>
      </c>
      <c r="AB55" s="123">
        <v>21</v>
      </c>
      <c r="AC55" s="123">
        <v>18</v>
      </c>
      <c r="AD55" s="123">
        <v>18</v>
      </c>
      <c r="AE55" s="123">
        <v>18</v>
      </c>
      <c r="AF55" s="120"/>
      <c r="AG55" s="120"/>
      <c r="AH55" s="123">
        <v>90</v>
      </c>
      <c r="AI55" s="123">
        <v>3</v>
      </c>
    </row>
    <row r="56" spans="1:35" ht="18" x14ac:dyDescent="0.3">
      <c r="A56" s="139" t="s">
        <v>1212</v>
      </c>
      <c r="B56" s="140">
        <v>45989</v>
      </c>
      <c r="C56" s="121" t="s">
        <v>329</v>
      </c>
      <c r="D56" s="141">
        <v>0.76041666666666663</v>
      </c>
      <c r="E56" s="121" t="s">
        <v>267</v>
      </c>
      <c r="F56" s="121" t="s">
        <v>159</v>
      </c>
      <c r="G56" s="142">
        <v>0.9889</v>
      </c>
      <c r="H56" s="123">
        <v>180</v>
      </c>
      <c r="I56" s="123">
        <v>178</v>
      </c>
      <c r="J56" s="123">
        <v>0</v>
      </c>
      <c r="K56" s="140">
        <v>45984</v>
      </c>
      <c r="L56" s="123">
        <v>0</v>
      </c>
      <c r="M56" s="123">
        <v>1</v>
      </c>
      <c r="N56" s="123">
        <v>18</v>
      </c>
      <c r="O56" s="121" t="s">
        <v>367</v>
      </c>
      <c r="P56" s="120"/>
      <c r="Q56" s="120"/>
      <c r="R56" s="120"/>
      <c r="S56" s="120"/>
      <c r="T56" s="120"/>
      <c r="U56" s="123">
        <v>25</v>
      </c>
      <c r="V56" s="123">
        <v>29</v>
      </c>
      <c r="W56" s="123">
        <v>26</v>
      </c>
      <c r="X56" s="123">
        <v>10</v>
      </c>
      <c r="Y56" s="123">
        <v>12</v>
      </c>
      <c r="Z56" s="123">
        <v>21</v>
      </c>
      <c r="AA56" s="123">
        <v>13</v>
      </c>
      <c r="AB56" s="123">
        <v>9</v>
      </c>
      <c r="AC56" s="123">
        <v>12</v>
      </c>
      <c r="AD56" s="123">
        <v>11</v>
      </c>
      <c r="AE56" s="123">
        <v>10</v>
      </c>
      <c r="AF56" s="120"/>
      <c r="AG56" s="120"/>
      <c r="AH56" s="120"/>
      <c r="AI56" s="120"/>
    </row>
    <row r="57" spans="1:35" ht="18" x14ac:dyDescent="0.3">
      <c r="A57" s="139" t="s">
        <v>195</v>
      </c>
      <c r="B57" s="140">
        <v>45991</v>
      </c>
      <c r="C57" s="121" t="s">
        <v>329</v>
      </c>
      <c r="D57" s="141">
        <v>0.33333333333333331</v>
      </c>
      <c r="E57" s="121" t="s">
        <v>267</v>
      </c>
      <c r="F57" s="121" t="s">
        <v>159</v>
      </c>
      <c r="G57" s="142">
        <v>1</v>
      </c>
      <c r="H57" s="123">
        <v>180</v>
      </c>
      <c r="I57" s="123">
        <v>180</v>
      </c>
      <c r="J57" s="123">
        <v>89</v>
      </c>
      <c r="K57" s="140">
        <v>45981</v>
      </c>
      <c r="L57" s="123">
        <v>0</v>
      </c>
      <c r="M57" s="123">
        <v>0</v>
      </c>
      <c r="N57" s="123">
        <v>4</v>
      </c>
      <c r="O57" s="121" t="s">
        <v>46</v>
      </c>
      <c r="P57" s="120"/>
      <c r="Q57" s="120"/>
      <c r="R57" s="120"/>
      <c r="S57" s="120"/>
      <c r="T57" s="120"/>
      <c r="U57" s="120"/>
      <c r="V57" s="120"/>
      <c r="W57" s="120"/>
      <c r="X57" s="123">
        <v>7</v>
      </c>
      <c r="Y57" s="123">
        <v>9</v>
      </c>
      <c r="Z57" s="123">
        <v>11</v>
      </c>
      <c r="AA57" s="123">
        <v>10</v>
      </c>
      <c r="AB57" s="123">
        <v>10</v>
      </c>
      <c r="AC57" s="123">
        <v>12</v>
      </c>
      <c r="AD57" s="123">
        <v>22</v>
      </c>
      <c r="AE57" s="123">
        <v>10</v>
      </c>
      <c r="AF57" s="120"/>
      <c r="AG57" s="120"/>
      <c r="AH57" s="123">
        <v>89</v>
      </c>
      <c r="AI57" s="120"/>
    </row>
    <row r="58" spans="1:35" ht="18" x14ac:dyDescent="0.3">
      <c r="A58" s="139" t="s">
        <v>1211</v>
      </c>
      <c r="B58" s="140">
        <v>45987</v>
      </c>
      <c r="C58" s="121" t="s">
        <v>780</v>
      </c>
      <c r="D58" s="141">
        <v>0.41319444444444442</v>
      </c>
      <c r="E58" s="121" t="s">
        <v>735</v>
      </c>
      <c r="F58" s="121" t="s">
        <v>159</v>
      </c>
      <c r="G58" s="142">
        <v>0.78210000000000002</v>
      </c>
      <c r="H58" s="123">
        <v>179</v>
      </c>
      <c r="I58" s="123">
        <v>140</v>
      </c>
      <c r="J58" s="123">
        <v>0</v>
      </c>
      <c r="K58" s="140">
        <v>45984</v>
      </c>
      <c r="L58" s="123">
        <v>0</v>
      </c>
      <c r="M58" s="123">
        <v>4</v>
      </c>
      <c r="N58" s="123">
        <v>79</v>
      </c>
      <c r="O58" s="121" t="s">
        <v>781</v>
      </c>
      <c r="P58" s="120"/>
      <c r="Q58" s="120"/>
      <c r="R58" s="120"/>
      <c r="S58" s="120"/>
      <c r="T58" s="120"/>
      <c r="U58" s="120"/>
      <c r="V58" s="120"/>
      <c r="W58" s="123">
        <v>6</v>
      </c>
      <c r="X58" s="123">
        <v>18</v>
      </c>
      <c r="Y58" s="123">
        <v>18</v>
      </c>
      <c r="Z58" s="123">
        <v>39</v>
      </c>
      <c r="AA58" s="120"/>
      <c r="AB58" s="123">
        <v>7</v>
      </c>
      <c r="AC58" s="123">
        <v>18</v>
      </c>
      <c r="AD58" s="123">
        <v>8</v>
      </c>
      <c r="AE58" s="123">
        <v>26</v>
      </c>
      <c r="AF58" s="120"/>
      <c r="AG58" s="120"/>
      <c r="AH58" s="120"/>
      <c r="AI58" s="120"/>
    </row>
    <row r="59" spans="1:35" ht="18" x14ac:dyDescent="0.3">
      <c r="A59" s="139" t="s">
        <v>193</v>
      </c>
      <c r="B59" s="140">
        <v>45988</v>
      </c>
      <c r="C59" s="121" t="s">
        <v>780</v>
      </c>
      <c r="D59" s="141">
        <v>0.41319444444444442</v>
      </c>
      <c r="E59" s="121" t="s">
        <v>735</v>
      </c>
      <c r="F59" s="121" t="s">
        <v>159</v>
      </c>
      <c r="G59" s="142">
        <v>0.65920000000000001</v>
      </c>
      <c r="H59" s="123">
        <v>179</v>
      </c>
      <c r="I59" s="123">
        <v>118</v>
      </c>
      <c r="J59" s="123">
        <v>0</v>
      </c>
      <c r="K59" s="140">
        <v>45984</v>
      </c>
      <c r="L59" s="123">
        <v>0</v>
      </c>
      <c r="M59" s="123">
        <v>7</v>
      </c>
      <c r="N59" s="123">
        <v>45</v>
      </c>
      <c r="O59" s="121" t="s">
        <v>426</v>
      </c>
      <c r="P59" s="120"/>
      <c r="Q59" s="120"/>
      <c r="R59" s="120"/>
      <c r="S59" s="120"/>
      <c r="T59" s="120"/>
      <c r="U59" s="120"/>
      <c r="V59" s="123">
        <v>8</v>
      </c>
      <c r="W59" s="123">
        <v>15</v>
      </c>
      <c r="X59" s="123">
        <v>30</v>
      </c>
      <c r="Y59" s="123">
        <v>18</v>
      </c>
      <c r="Z59" s="123">
        <v>9</v>
      </c>
      <c r="AA59" s="123">
        <v>7</v>
      </c>
      <c r="AB59" s="123">
        <v>12</v>
      </c>
      <c r="AC59" s="123">
        <v>10</v>
      </c>
      <c r="AD59" s="123">
        <v>6</v>
      </c>
      <c r="AE59" s="123">
        <v>3</v>
      </c>
      <c r="AF59" s="120"/>
      <c r="AG59" s="120"/>
      <c r="AH59" s="120"/>
      <c r="AI59" s="120"/>
    </row>
    <row r="60" spans="1:35" ht="18" x14ac:dyDescent="0.3">
      <c r="A60" s="139" t="s">
        <v>1212</v>
      </c>
      <c r="B60" s="140">
        <v>45989</v>
      </c>
      <c r="C60" s="121" t="s">
        <v>780</v>
      </c>
      <c r="D60" s="141">
        <v>0.40625</v>
      </c>
      <c r="E60" s="121" t="s">
        <v>735</v>
      </c>
      <c r="F60" s="121" t="s">
        <v>159</v>
      </c>
      <c r="G60" s="142">
        <v>0.5978</v>
      </c>
      <c r="H60" s="123">
        <v>179</v>
      </c>
      <c r="I60" s="123">
        <v>107</v>
      </c>
      <c r="J60" s="123">
        <v>0</v>
      </c>
      <c r="K60" s="140">
        <v>45984</v>
      </c>
      <c r="L60" s="123">
        <v>0</v>
      </c>
      <c r="M60" s="123">
        <v>2</v>
      </c>
      <c r="N60" s="123">
        <v>4</v>
      </c>
      <c r="O60" s="121" t="s">
        <v>808</v>
      </c>
      <c r="P60" s="120"/>
      <c r="Q60" s="120"/>
      <c r="R60" s="120"/>
      <c r="S60" s="120"/>
      <c r="T60" s="123">
        <v>4</v>
      </c>
      <c r="U60" s="123">
        <v>22</v>
      </c>
      <c r="V60" s="123">
        <v>7</v>
      </c>
      <c r="W60" s="123">
        <v>9</v>
      </c>
      <c r="X60" s="123">
        <v>12</v>
      </c>
      <c r="Y60" s="123">
        <v>15</v>
      </c>
      <c r="Z60" s="123">
        <v>8</v>
      </c>
      <c r="AA60" s="123">
        <v>6</v>
      </c>
      <c r="AB60" s="123">
        <v>4</v>
      </c>
      <c r="AC60" s="123">
        <v>9</v>
      </c>
      <c r="AD60" s="123">
        <v>5</v>
      </c>
      <c r="AE60" s="123">
        <v>6</v>
      </c>
      <c r="AF60" s="120"/>
      <c r="AG60" s="120"/>
      <c r="AH60" s="120"/>
      <c r="AI60" s="120"/>
    </row>
    <row r="61" spans="1:35" ht="18" x14ac:dyDescent="0.3">
      <c r="A61" s="139" t="s">
        <v>194</v>
      </c>
      <c r="B61" s="140">
        <v>45990</v>
      </c>
      <c r="C61" s="121" t="s">
        <v>780</v>
      </c>
      <c r="D61" s="141">
        <v>0.41319444444444442</v>
      </c>
      <c r="E61" s="121" t="s">
        <v>735</v>
      </c>
      <c r="F61" s="121" t="s">
        <v>159</v>
      </c>
      <c r="G61" s="142">
        <v>0.68720000000000003</v>
      </c>
      <c r="H61" s="123">
        <v>179</v>
      </c>
      <c r="I61" s="123">
        <v>123</v>
      </c>
      <c r="J61" s="123">
        <v>0</v>
      </c>
      <c r="K61" s="140">
        <v>45983</v>
      </c>
      <c r="L61" s="123">
        <v>0</v>
      </c>
      <c r="M61" s="123">
        <v>0</v>
      </c>
      <c r="N61" s="123">
        <v>25</v>
      </c>
      <c r="O61" s="121" t="s">
        <v>834</v>
      </c>
      <c r="P61" s="120"/>
      <c r="Q61" s="120"/>
      <c r="R61" s="123">
        <v>10</v>
      </c>
      <c r="S61" s="123">
        <v>21</v>
      </c>
      <c r="T61" s="120"/>
      <c r="U61" s="123">
        <v>12</v>
      </c>
      <c r="V61" s="123">
        <v>14</v>
      </c>
      <c r="W61" s="123">
        <v>11</v>
      </c>
      <c r="X61" s="123">
        <v>12</v>
      </c>
      <c r="Y61" s="123">
        <v>6</v>
      </c>
      <c r="Z61" s="123">
        <v>10</v>
      </c>
      <c r="AA61" s="123">
        <v>3</v>
      </c>
      <c r="AB61" s="123">
        <v>4</v>
      </c>
      <c r="AC61" s="123">
        <v>8</v>
      </c>
      <c r="AD61" s="123">
        <v>9</v>
      </c>
      <c r="AE61" s="123">
        <v>3</v>
      </c>
      <c r="AF61" s="120"/>
      <c r="AG61" s="120"/>
      <c r="AH61" s="120"/>
      <c r="AI61" s="120"/>
    </row>
    <row r="62" spans="1:35" ht="18" x14ac:dyDescent="0.3">
      <c r="A62" s="139" t="s">
        <v>195</v>
      </c>
      <c r="B62" s="140">
        <v>45991</v>
      </c>
      <c r="C62" s="121" t="s">
        <v>780</v>
      </c>
      <c r="D62" s="141">
        <v>0.42708333333333331</v>
      </c>
      <c r="E62" s="121" t="s">
        <v>735</v>
      </c>
      <c r="F62" s="121" t="s">
        <v>159</v>
      </c>
      <c r="G62" s="142">
        <v>0.67600000000000005</v>
      </c>
      <c r="H62" s="123">
        <v>179</v>
      </c>
      <c r="I62" s="123">
        <v>121</v>
      </c>
      <c r="J62" s="123">
        <v>0</v>
      </c>
      <c r="K62" s="140">
        <v>45984</v>
      </c>
      <c r="L62" s="123">
        <v>0</v>
      </c>
      <c r="M62" s="123">
        <v>12</v>
      </c>
      <c r="N62" s="123">
        <v>30</v>
      </c>
      <c r="O62" s="121" t="s">
        <v>498</v>
      </c>
      <c r="P62" s="120"/>
      <c r="Q62" s="120"/>
      <c r="R62" s="120"/>
      <c r="S62" s="120"/>
      <c r="T62" s="120"/>
      <c r="U62" s="123">
        <v>10</v>
      </c>
      <c r="V62" s="123">
        <v>22</v>
      </c>
      <c r="W62" s="123">
        <v>28</v>
      </c>
      <c r="X62" s="123">
        <v>7</v>
      </c>
      <c r="Y62" s="123">
        <v>19</v>
      </c>
      <c r="Z62" s="123">
        <v>6</v>
      </c>
      <c r="AA62" s="123">
        <v>7</v>
      </c>
      <c r="AB62" s="123">
        <v>4</v>
      </c>
      <c r="AC62" s="123">
        <v>6</v>
      </c>
      <c r="AD62" s="123">
        <v>7</v>
      </c>
      <c r="AE62" s="123">
        <v>5</v>
      </c>
      <c r="AF62" s="120"/>
      <c r="AG62" s="120"/>
      <c r="AH62" s="120"/>
      <c r="AI62" s="120"/>
    </row>
    <row r="63" spans="1:35" ht="18" x14ac:dyDescent="0.3">
      <c r="A63" s="139" t="s">
        <v>192</v>
      </c>
      <c r="B63" s="140">
        <v>45986</v>
      </c>
      <c r="C63" s="121" t="s">
        <v>877</v>
      </c>
      <c r="D63" s="141">
        <v>0.43055555555555558</v>
      </c>
      <c r="E63" s="121" t="s">
        <v>875</v>
      </c>
      <c r="F63" s="121" t="s">
        <v>159</v>
      </c>
      <c r="G63" s="142">
        <v>0.70389999999999997</v>
      </c>
      <c r="H63" s="123">
        <v>179</v>
      </c>
      <c r="I63" s="123">
        <v>126</v>
      </c>
      <c r="J63" s="123">
        <v>0</v>
      </c>
      <c r="K63" s="140">
        <v>45984</v>
      </c>
      <c r="L63" s="123">
        <v>0</v>
      </c>
      <c r="M63" s="123">
        <v>4</v>
      </c>
      <c r="N63" s="123">
        <v>38</v>
      </c>
      <c r="O63" s="121" t="s">
        <v>367</v>
      </c>
      <c r="P63" s="120"/>
      <c r="Q63" s="120"/>
      <c r="R63" s="120"/>
      <c r="S63" s="120"/>
      <c r="T63" s="123">
        <v>2</v>
      </c>
      <c r="U63" s="123">
        <v>19</v>
      </c>
      <c r="V63" s="123">
        <v>20</v>
      </c>
      <c r="W63" s="123">
        <v>16</v>
      </c>
      <c r="X63" s="123">
        <v>10</v>
      </c>
      <c r="Y63" s="123">
        <v>19</v>
      </c>
      <c r="Z63" s="123">
        <v>13</v>
      </c>
      <c r="AA63" s="123">
        <v>4</v>
      </c>
      <c r="AB63" s="123">
        <v>7</v>
      </c>
      <c r="AC63" s="123">
        <v>11</v>
      </c>
      <c r="AD63" s="123">
        <v>5</v>
      </c>
      <c r="AE63" s="120"/>
      <c r="AF63" s="120"/>
      <c r="AG63" s="120"/>
      <c r="AH63" s="120"/>
      <c r="AI63" s="120"/>
    </row>
    <row r="64" spans="1:35" ht="18" x14ac:dyDescent="0.3">
      <c r="A64" s="139" t="s">
        <v>195</v>
      </c>
      <c r="B64" s="140">
        <v>45991</v>
      </c>
      <c r="C64" s="121" t="s">
        <v>877</v>
      </c>
      <c r="D64" s="141">
        <v>0.42708333333333331</v>
      </c>
      <c r="E64" s="121" t="s">
        <v>875</v>
      </c>
      <c r="F64" s="121" t="s">
        <v>159</v>
      </c>
      <c r="G64" s="142">
        <v>0.62009999999999998</v>
      </c>
      <c r="H64" s="123">
        <v>179</v>
      </c>
      <c r="I64" s="123">
        <v>111</v>
      </c>
      <c r="J64" s="123">
        <v>0</v>
      </c>
      <c r="K64" s="140">
        <v>45984</v>
      </c>
      <c r="L64" s="123">
        <v>0</v>
      </c>
      <c r="M64" s="123">
        <v>8</v>
      </c>
      <c r="N64" s="123">
        <v>24</v>
      </c>
      <c r="O64" s="121" t="s">
        <v>912</v>
      </c>
      <c r="P64" s="120"/>
      <c r="Q64" s="120"/>
      <c r="R64" s="120"/>
      <c r="S64" s="123">
        <v>1</v>
      </c>
      <c r="T64" s="123">
        <v>22</v>
      </c>
      <c r="U64" s="123">
        <v>19</v>
      </c>
      <c r="V64" s="123">
        <v>7</v>
      </c>
      <c r="W64" s="123">
        <v>1</v>
      </c>
      <c r="X64" s="120"/>
      <c r="Y64" s="123">
        <v>1</v>
      </c>
      <c r="Z64" s="123">
        <v>12</v>
      </c>
      <c r="AA64" s="123">
        <v>16</v>
      </c>
      <c r="AB64" s="123">
        <v>12</v>
      </c>
      <c r="AC64" s="123">
        <v>13</v>
      </c>
      <c r="AD64" s="123">
        <v>6</v>
      </c>
      <c r="AE64" s="123">
        <v>1</v>
      </c>
      <c r="AF64" s="120"/>
      <c r="AG64" s="120"/>
      <c r="AH64" s="120"/>
      <c r="AI64" s="120"/>
    </row>
    <row r="65" spans="1:35" ht="18" x14ac:dyDescent="0.3">
      <c r="A65" s="139" t="s">
        <v>1211</v>
      </c>
      <c r="B65" s="140">
        <v>45987</v>
      </c>
      <c r="C65" s="121" t="s">
        <v>895</v>
      </c>
      <c r="D65" s="141">
        <v>0.40625</v>
      </c>
      <c r="E65" s="121" t="s">
        <v>875</v>
      </c>
      <c r="F65" s="121" t="s">
        <v>159</v>
      </c>
      <c r="G65" s="142">
        <v>0.81010000000000004</v>
      </c>
      <c r="H65" s="123">
        <v>179</v>
      </c>
      <c r="I65" s="123">
        <v>145</v>
      </c>
      <c r="J65" s="123">
        <v>0</v>
      </c>
      <c r="K65" s="140">
        <v>45984</v>
      </c>
      <c r="L65" s="123">
        <v>0</v>
      </c>
      <c r="M65" s="123">
        <v>1</v>
      </c>
      <c r="N65" s="123">
        <v>6</v>
      </c>
      <c r="O65" s="121" t="s">
        <v>896</v>
      </c>
      <c r="P65" s="123">
        <v>1</v>
      </c>
      <c r="Q65" s="120"/>
      <c r="R65" s="120"/>
      <c r="S65" s="123">
        <v>5</v>
      </c>
      <c r="T65" s="120"/>
      <c r="U65" s="120"/>
      <c r="V65" s="123">
        <v>2</v>
      </c>
      <c r="W65" s="123">
        <v>11</v>
      </c>
      <c r="X65" s="123">
        <v>14</v>
      </c>
      <c r="Y65" s="123">
        <v>26</v>
      </c>
      <c r="Z65" s="123">
        <v>16</v>
      </c>
      <c r="AA65" s="123">
        <v>17</v>
      </c>
      <c r="AB65" s="123">
        <v>18</v>
      </c>
      <c r="AC65" s="123">
        <v>32</v>
      </c>
      <c r="AD65" s="123">
        <v>3</v>
      </c>
      <c r="AE65" s="120"/>
      <c r="AF65" s="120"/>
      <c r="AG65" s="120"/>
      <c r="AH65" s="120"/>
      <c r="AI65" s="120"/>
    </row>
    <row r="66" spans="1:35" ht="18" x14ac:dyDescent="0.3">
      <c r="A66" s="139" t="s">
        <v>192</v>
      </c>
      <c r="B66" s="140">
        <v>45986</v>
      </c>
      <c r="C66" s="121" t="s">
        <v>754</v>
      </c>
      <c r="D66" s="141">
        <v>0.71527777777777779</v>
      </c>
      <c r="E66" s="121" t="s">
        <v>735</v>
      </c>
      <c r="F66" s="121" t="s">
        <v>159</v>
      </c>
      <c r="G66" s="142">
        <v>0.82679999999999998</v>
      </c>
      <c r="H66" s="123">
        <v>179</v>
      </c>
      <c r="I66" s="123">
        <v>148</v>
      </c>
      <c r="J66" s="123">
        <v>0</v>
      </c>
      <c r="K66" s="140">
        <v>45985</v>
      </c>
      <c r="L66" s="123">
        <v>6</v>
      </c>
      <c r="M66" s="123">
        <v>6</v>
      </c>
      <c r="N66" s="123">
        <v>57</v>
      </c>
      <c r="O66" s="121" t="s">
        <v>126</v>
      </c>
      <c r="P66" s="120"/>
      <c r="Q66" s="120"/>
      <c r="R66" s="120"/>
      <c r="S66" s="120"/>
      <c r="T66" s="120"/>
      <c r="U66" s="120"/>
      <c r="V66" s="123">
        <v>6</v>
      </c>
      <c r="W66" s="123">
        <v>8</v>
      </c>
      <c r="X66" s="123">
        <v>9</v>
      </c>
      <c r="Y66" s="123">
        <v>17</v>
      </c>
      <c r="Z66" s="123">
        <v>29</v>
      </c>
      <c r="AA66" s="123">
        <v>18</v>
      </c>
      <c r="AB66" s="123">
        <v>9</v>
      </c>
      <c r="AC66" s="123">
        <v>8</v>
      </c>
      <c r="AD66" s="123">
        <v>43</v>
      </c>
      <c r="AE66" s="123">
        <v>1</v>
      </c>
      <c r="AF66" s="120"/>
      <c r="AG66" s="120"/>
      <c r="AH66" s="120"/>
      <c r="AI66" s="120"/>
    </row>
    <row r="67" spans="1:35" ht="18" x14ac:dyDescent="0.3">
      <c r="A67" s="139" t="s">
        <v>1211</v>
      </c>
      <c r="B67" s="140">
        <v>45987</v>
      </c>
      <c r="C67" s="121" t="s">
        <v>754</v>
      </c>
      <c r="D67" s="141">
        <v>0.72569444444444453</v>
      </c>
      <c r="E67" s="121" t="s">
        <v>735</v>
      </c>
      <c r="F67" s="121" t="s">
        <v>159</v>
      </c>
      <c r="G67" s="142">
        <v>0.69269999999999998</v>
      </c>
      <c r="H67" s="123">
        <v>179</v>
      </c>
      <c r="I67" s="123">
        <v>124</v>
      </c>
      <c r="J67" s="123">
        <v>0</v>
      </c>
      <c r="K67" s="140">
        <v>45984</v>
      </c>
      <c r="L67" s="123">
        <v>0</v>
      </c>
      <c r="M67" s="123">
        <v>2</v>
      </c>
      <c r="N67" s="123">
        <v>35</v>
      </c>
      <c r="O67" s="121" t="s">
        <v>169</v>
      </c>
      <c r="P67" s="120"/>
      <c r="Q67" s="120"/>
      <c r="R67" s="120"/>
      <c r="S67" s="120"/>
      <c r="T67" s="120"/>
      <c r="U67" s="120"/>
      <c r="V67" s="123">
        <v>2</v>
      </c>
      <c r="W67" s="123">
        <v>9</v>
      </c>
      <c r="X67" s="123">
        <v>35</v>
      </c>
      <c r="Y67" s="123">
        <v>7</v>
      </c>
      <c r="Z67" s="123">
        <v>5</v>
      </c>
      <c r="AA67" s="123">
        <v>4</v>
      </c>
      <c r="AB67" s="123">
        <v>21</v>
      </c>
      <c r="AC67" s="123">
        <v>7</v>
      </c>
      <c r="AD67" s="123">
        <v>30</v>
      </c>
      <c r="AE67" s="123">
        <v>4</v>
      </c>
      <c r="AF67" s="120"/>
      <c r="AG67" s="120"/>
      <c r="AH67" s="120"/>
      <c r="AI67" s="120"/>
    </row>
    <row r="68" spans="1:35" ht="18" x14ac:dyDescent="0.3">
      <c r="A68" s="139" t="s">
        <v>1212</v>
      </c>
      <c r="B68" s="140">
        <v>45989</v>
      </c>
      <c r="C68" s="121" t="s">
        <v>754</v>
      </c>
      <c r="D68" s="141">
        <v>0.72569444444444453</v>
      </c>
      <c r="E68" s="121" t="s">
        <v>735</v>
      </c>
      <c r="F68" s="121" t="s">
        <v>159</v>
      </c>
      <c r="G68" s="142">
        <v>0.61450000000000005</v>
      </c>
      <c r="H68" s="123">
        <v>179</v>
      </c>
      <c r="I68" s="123">
        <v>110</v>
      </c>
      <c r="J68" s="123">
        <v>0</v>
      </c>
      <c r="K68" s="140">
        <v>45984</v>
      </c>
      <c r="L68" s="123">
        <v>0</v>
      </c>
      <c r="M68" s="123">
        <v>7</v>
      </c>
      <c r="N68" s="123">
        <v>17</v>
      </c>
      <c r="O68" s="121" t="s">
        <v>810</v>
      </c>
      <c r="P68" s="120"/>
      <c r="Q68" s="120"/>
      <c r="R68" s="120"/>
      <c r="S68" s="123">
        <v>6</v>
      </c>
      <c r="T68" s="123">
        <v>18</v>
      </c>
      <c r="U68" s="123">
        <v>9</v>
      </c>
      <c r="V68" s="123">
        <v>7</v>
      </c>
      <c r="W68" s="123">
        <v>16</v>
      </c>
      <c r="X68" s="123">
        <v>10</v>
      </c>
      <c r="Y68" s="123">
        <v>3</v>
      </c>
      <c r="Z68" s="123">
        <v>13</v>
      </c>
      <c r="AA68" s="123">
        <v>5</v>
      </c>
      <c r="AB68" s="123">
        <v>5</v>
      </c>
      <c r="AC68" s="123">
        <v>4</v>
      </c>
      <c r="AD68" s="123">
        <v>7</v>
      </c>
      <c r="AE68" s="123">
        <v>7</v>
      </c>
      <c r="AF68" s="120"/>
      <c r="AG68" s="120"/>
      <c r="AH68" s="120"/>
      <c r="AI68" s="120"/>
    </row>
    <row r="69" spans="1:35" ht="18" x14ac:dyDescent="0.3">
      <c r="A69" s="139" t="s">
        <v>192</v>
      </c>
      <c r="B69" s="140">
        <v>45986</v>
      </c>
      <c r="C69" s="121" t="s">
        <v>323</v>
      </c>
      <c r="D69" s="141">
        <v>5.2083333333333343E-2</v>
      </c>
      <c r="E69" s="121" t="s">
        <v>267</v>
      </c>
      <c r="F69" s="121" t="s">
        <v>159</v>
      </c>
      <c r="G69" s="142">
        <v>1</v>
      </c>
      <c r="H69" s="123">
        <v>179</v>
      </c>
      <c r="I69" s="123">
        <v>179</v>
      </c>
      <c r="J69" s="123">
        <v>46</v>
      </c>
      <c r="K69" s="140">
        <v>45984</v>
      </c>
      <c r="L69" s="123">
        <v>0</v>
      </c>
      <c r="M69" s="123">
        <v>4</v>
      </c>
      <c r="N69" s="123">
        <v>62</v>
      </c>
      <c r="O69" s="121" t="s">
        <v>46</v>
      </c>
      <c r="P69" s="120"/>
      <c r="Q69" s="120"/>
      <c r="R69" s="120"/>
      <c r="S69" s="120"/>
      <c r="T69" s="120"/>
      <c r="U69" s="120"/>
      <c r="V69" s="123">
        <v>7</v>
      </c>
      <c r="W69" s="123">
        <v>12</v>
      </c>
      <c r="X69" s="123">
        <v>11</v>
      </c>
      <c r="Y69" s="123">
        <v>10</v>
      </c>
      <c r="Z69" s="123">
        <v>12</v>
      </c>
      <c r="AA69" s="123">
        <v>11</v>
      </c>
      <c r="AB69" s="123">
        <v>28</v>
      </c>
      <c r="AC69" s="123">
        <v>10</v>
      </c>
      <c r="AD69" s="123">
        <v>11</v>
      </c>
      <c r="AE69" s="123">
        <v>21</v>
      </c>
      <c r="AF69" s="120"/>
      <c r="AG69" s="120"/>
      <c r="AH69" s="123">
        <v>46</v>
      </c>
      <c r="AI69" s="120"/>
    </row>
    <row r="70" spans="1:35" ht="18" x14ac:dyDescent="0.3">
      <c r="A70" s="139" t="s">
        <v>1211</v>
      </c>
      <c r="B70" s="140">
        <v>45987</v>
      </c>
      <c r="C70" s="121" t="s">
        <v>323</v>
      </c>
      <c r="D70" s="141">
        <v>0.9375</v>
      </c>
      <c r="E70" s="121" t="s">
        <v>267</v>
      </c>
      <c r="F70" s="121" t="s">
        <v>159</v>
      </c>
      <c r="G70" s="142">
        <v>0.99439999999999995</v>
      </c>
      <c r="H70" s="123">
        <v>180</v>
      </c>
      <c r="I70" s="123">
        <v>179</v>
      </c>
      <c r="J70" s="123">
        <v>0</v>
      </c>
      <c r="K70" s="140">
        <v>45984</v>
      </c>
      <c r="L70" s="123">
        <v>0</v>
      </c>
      <c r="M70" s="123">
        <v>7</v>
      </c>
      <c r="N70" s="123">
        <v>81</v>
      </c>
      <c r="O70" s="121" t="s">
        <v>46</v>
      </c>
      <c r="P70" s="120"/>
      <c r="Q70" s="120"/>
      <c r="R70" s="120"/>
      <c r="S70" s="120"/>
      <c r="T70" s="120"/>
      <c r="U70" s="120"/>
      <c r="V70" s="123">
        <v>14</v>
      </c>
      <c r="W70" s="123">
        <v>17</v>
      </c>
      <c r="X70" s="123">
        <v>33</v>
      </c>
      <c r="Y70" s="123">
        <v>33</v>
      </c>
      <c r="Z70" s="123">
        <v>18</v>
      </c>
      <c r="AA70" s="123">
        <v>24</v>
      </c>
      <c r="AB70" s="123">
        <v>10</v>
      </c>
      <c r="AC70" s="123">
        <v>11</v>
      </c>
      <c r="AD70" s="123">
        <v>9</v>
      </c>
      <c r="AE70" s="123">
        <v>10</v>
      </c>
      <c r="AF70" s="120"/>
      <c r="AG70" s="120"/>
      <c r="AH70" s="120"/>
      <c r="AI70" s="120"/>
    </row>
    <row r="71" spans="1:35" ht="18" x14ac:dyDescent="0.3">
      <c r="A71" s="139" t="s">
        <v>1212</v>
      </c>
      <c r="B71" s="140">
        <v>45989</v>
      </c>
      <c r="C71" s="121" t="s">
        <v>323</v>
      </c>
      <c r="D71" s="141">
        <v>0.55902777777777779</v>
      </c>
      <c r="E71" s="121" t="s">
        <v>267</v>
      </c>
      <c r="F71" s="121" t="s">
        <v>159</v>
      </c>
      <c r="G71" s="142">
        <v>0.9889</v>
      </c>
      <c r="H71" s="123">
        <v>180</v>
      </c>
      <c r="I71" s="123">
        <v>178</v>
      </c>
      <c r="J71" s="123">
        <v>0</v>
      </c>
      <c r="K71" s="140">
        <v>45984</v>
      </c>
      <c r="L71" s="123">
        <v>0</v>
      </c>
      <c r="M71" s="123">
        <v>8</v>
      </c>
      <c r="N71" s="123">
        <v>48</v>
      </c>
      <c r="O71" s="121" t="s">
        <v>367</v>
      </c>
      <c r="P71" s="120"/>
      <c r="Q71" s="120"/>
      <c r="R71" s="120"/>
      <c r="S71" s="120"/>
      <c r="T71" s="120"/>
      <c r="U71" s="123">
        <v>14</v>
      </c>
      <c r="V71" s="123">
        <v>30</v>
      </c>
      <c r="W71" s="123">
        <v>41</v>
      </c>
      <c r="X71" s="123">
        <v>11</v>
      </c>
      <c r="Y71" s="123">
        <v>11</v>
      </c>
      <c r="Z71" s="123">
        <v>11</v>
      </c>
      <c r="AA71" s="123">
        <v>10</v>
      </c>
      <c r="AB71" s="123">
        <v>18</v>
      </c>
      <c r="AC71" s="123">
        <v>11</v>
      </c>
      <c r="AD71" s="123">
        <v>11</v>
      </c>
      <c r="AE71" s="123">
        <v>10</v>
      </c>
      <c r="AF71" s="120"/>
      <c r="AG71" s="120"/>
      <c r="AH71" s="120"/>
      <c r="AI71" s="120"/>
    </row>
    <row r="72" spans="1:35" ht="18" x14ac:dyDescent="0.3">
      <c r="A72" s="139" t="s">
        <v>1211</v>
      </c>
      <c r="B72" s="140">
        <v>45987</v>
      </c>
      <c r="C72" s="121" t="s">
        <v>593</v>
      </c>
      <c r="D72" s="141">
        <v>0.86111111111111116</v>
      </c>
      <c r="E72" s="121" t="s">
        <v>565</v>
      </c>
      <c r="F72" s="121" t="s">
        <v>159</v>
      </c>
      <c r="G72" s="142">
        <v>1</v>
      </c>
      <c r="H72" s="123">
        <v>180</v>
      </c>
      <c r="I72" s="123">
        <v>180</v>
      </c>
      <c r="J72" s="123">
        <v>166</v>
      </c>
      <c r="K72" s="140">
        <v>45971</v>
      </c>
      <c r="L72" s="123">
        <v>0</v>
      </c>
      <c r="M72" s="123">
        <v>0</v>
      </c>
      <c r="N72" s="123">
        <v>0</v>
      </c>
      <c r="O72" s="121" t="s">
        <v>46</v>
      </c>
      <c r="P72" s="120"/>
      <c r="Q72" s="120"/>
      <c r="R72" s="120"/>
      <c r="S72" s="120"/>
      <c r="T72" s="120"/>
      <c r="U72" s="120"/>
      <c r="V72" s="120"/>
      <c r="W72" s="120"/>
      <c r="X72" s="120"/>
      <c r="Y72" s="123">
        <v>1</v>
      </c>
      <c r="Z72" s="120"/>
      <c r="AA72" s="123">
        <v>4</v>
      </c>
      <c r="AB72" s="123">
        <v>9</v>
      </c>
      <c r="AC72" s="120"/>
      <c r="AD72" s="120"/>
      <c r="AE72" s="120"/>
      <c r="AF72" s="120"/>
      <c r="AG72" s="120"/>
      <c r="AH72" s="123">
        <v>166</v>
      </c>
      <c r="AI72" s="120"/>
    </row>
    <row r="73" spans="1:35" ht="18" x14ac:dyDescent="0.3">
      <c r="A73" s="139" t="s">
        <v>192</v>
      </c>
      <c r="B73" s="140">
        <v>45986</v>
      </c>
      <c r="C73" s="121" t="s">
        <v>333</v>
      </c>
      <c r="D73" s="141">
        <v>0.79166666666666663</v>
      </c>
      <c r="E73" s="121" t="s">
        <v>267</v>
      </c>
      <c r="F73" s="121" t="s">
        <v>159</v>
      </c>
      <c r="G73" s="142">
        <v>0.99439999999999995</v>
      </c>
      <c r="H73" s="123">
        <v>180</v>
      </c>
      <c r="I73" s="123">
        <v>179</v>
      </c>
      <c r="J73" s="123">
        <v>2</v>
      </c>
      <c r="K73" s="140">
        <v>45984</v>
      </c>
      <c r="L73" s="123">
        <v>0</v>
      </c>
      <c r="M73" s="123">
        <v>6</v>
      </c>
      <c r="N73" s="123">
        <v>103</v>
      </c>
      <c r="O73" s="121" t="s">
        <v>46</v>
      </c>
      <c r="P73" s="120"/>
      <c r="Q73" s="120"/>
      <c r="R73" s="120"/>
      <c r="S73" s="120"/>
      <c r="T73" s="120"/>
      <c r="U73" s="120"/>
      <c r="V73" s="123">
        <v>8</v>
      </c>
      <c r="W73" s="123">
        <v>12</v>
      </c>
      <c r="X73" s="123">
        <v>26</v>
      </c>
      <c r="Y73" s="123">
        <v>28</v>
      </c>
      <c r="Z73" s="123">
        <v>12</v>
      </c>
      <c r="AA73" s="123">
        <v>19</v>
      </c>
      <c r="AB73" s="123">
        <v>21</v>
      </c>
      <c r="AC73" s="123">
        <v>29</v>
      </c>
      <c r="AD73" s="123">
        <v>11</v>
      </c>
      <c r="AE73" s="123">
        <v>10</v>
      </c>
      <c r="AF73" s="120"/>
      <c r="AG73" s="120"/>
      <c r="AH73" s="123">
        <v>2</v>
      </c>
      <c r="AI73" s="123">
        <v>1</v>
      </c>
    </row>
    <row r="74" spans="1:35" ht="18" x14ac:dyDescent="0.3">
      <c r="A74" s="139" t="s">
        <v>1211</v>
      </c>
      <c r="B74" s="140">
        <v>45987</v>
      </c>
      <c r="C74" s="121" t="s">
        <v>333</v>
      </c>
      <c r="D74" s="141">
        <v>0.34027777777777768</v>
      </c>
      <c r="E74" s="121" t="s">
        <v>267</v>
      </c>
      <c r="F74" s="121" t="s">
        <v>159</v>
      </c>
      <c r="G74" s="142">
        <v>0.99439999999999995</v>
      </c>
      <c r="H74" s="123">
        <v>180</v>
      </c>
      <c r="I74" s="123">
        <v>179</v>
      </c>
      <c r="J74" s="123">
        <v>51</v>
      </c>
      <c r="K74" s="140">
        <v>45983</v>
      </c>
      <c r="L74" s="123">
        <v>0</v>
      </c>
      <c r="M74" s="123">
        <v>0</v>
      </c>
      <c r="N74" s="123">
        <v>50</v>
      </c>
      <c r="O74" s="121" t="s">
        <v>46</v>
      </c>
      <c r="P74" s="120"/>
      <c r="Q74" s="120"/>
      <c r="R74" s="120"/>
      <c r="S74" s="120"/>
      <c r="T74" s="120"/>
      <c r="U74" s="120"/>
      <c r="V74" s="120"/>
      <c r="W74" s="120"/>
      <c r="X74" s="123">
        <v>2</v>
      </c>
      <c r="Y74" s="123">
        <v>18</v>
      </c>
      <c r="Z74" s="123">
        <v>18</v>
      </c>
      <c r="AA74" s="123">
        <v>18</v>
      </c>
      <c r="AB74" s="123">
        <v>20</v>
      </c>
      <c r="AC74" s="123">
        <v>16</v>
      </c>
      <c r="AD74" s="123">
        <v>18</v>
      </c>
      <c r="AE74" s="123">
        <v>18</v>
      </c>
      <c r="AF74" s="120"/>
      <c r="AG74" s="120"/>
      <c r="AH74" s="123">
        <v>51</v>
      </c>
      <c r="AI74" s="120"/>
    </row>
    <row r="75" spans="1:35" ht="18" x14ac:dyDescent="0.3">
      <c r="A75" s="139" t="s">
        <v>193</v>
      </c>
      <c r="B75" s="140">
        <v>45988</v>
      </c>
      <c r="C75" s="121" t="s">
        <v>333</v>
      </c>
      <c r="D75" s="141">
        <v>0.15625</v>
      </c>
      <c r="E75" s="121" t="s">
        <v>267</v>
      </c>
      <c r="F75" s="121" t="s">
        <v>159</v>
      </c>
      <c r="G75" s="142">
        <v>0.99439999999999995</v>
      </c>
      <c r="H75" s="123">
        <v>180</v>
      </c>
      <c r="I75" s="123">
        <v>179</v>
      </c>
      <c r="J75" s="123">
        <v>65</v>
      </c>
      <c r="K75" s="140">
        <v>45984</v>
      </c>
      <c r="L75" s="123">
        <v>0</v>
      </c>
      <c r="M75" s="123">
        <v>1</v>
      </c>
      <c r="N75" s="123">
        <v>23</v>
      </c>
      <c r="O75" s="121" t="s">
        <v>46</v>
      </c>
      <c r="P75" s="120"/>
      <c r="Q75" s="120"/>
      <c r="R75" s="120"/>
      <c r="S75" s="120"/>
      <c r="T75" s="120"/>
      <c r="U75" s="120"/>
      <c r="V75" s="120"/>
      <c r="W75" s="123">
        <v>3</v>
      </c>
      <c r="X75" s="123">
        <v>11</v>
      </c>
      <c r="Y75" s="123">
        <v>21</v>
      </c>
      <c r="Z75" s="123">
        <v>9</v>
      </c>
      <c r="AA75" s="123">
        <v>9</v>
      </c>
      <c r="AB75" s="123">
        <v>23</v>
      </c>
      <c r="AC75" s="123">
        <v>12</v>
      </c>
      <c r="AD75" s="123">
        <v>5</v>
      </c>
      <c r="AE75" s="123">
        <v>21</v>
      </c>
      <c r="AF75" s="120"/>
      <c r="AG75" s="120"/>
      <c r="AH75" s="123">
        <v>65</v>
      </c>
      <c r="AI75" s="120"/>
    </row>
    <row r="76" spans="1:35" ht="18" x14ac:dyDescent="0.3">
      <c r="A76" s="139" t="s">
        <v>1212</v>
      </c>
      <c r="B76" s="140">
        <v>45989</v>
      </c>
      <c r="C76" s="121" t="s">
        <v>333</v>
      </c>
      <c r="D76" s="141">
        <v>0.1423611111111111</v>
      </c>
      <c r="E76" s="121" t="s">
        <v>267</v>
      </c>
      <c r="F76" s="121" t="s">
        <v>159</v>
      </c>
      <c r="G76" s="142">
        <v>1</v>
      </c>
      <c r="H76" s="123">
        <v>180</v>
      </c>
      <c r="I76" s="123">
        <v>180</v>
      </c>
      <c r="J76" s="123">
        <v>35</v>
      </c>
      <c r="K76" s="140">
        <v>45980</v>
      </c>
      <c r="L76" s="123">
        <v>0</v>
      </c>
      <c r="M76" s="123">
        <v>0</v>
      </c>
      <c r="N76" s="123">
        <v>18</v>
      </c>
      <c r="O76" s="121" t="s">
        <v>46</v>
      </c>
      <c r="P76" s="120"/>
      <c r="Q76" s="120"/>
      <c r="R76" s="120"/>
      <c r="S76" s="120"/>
      <c r="T76" s="120"/>
      <c r="U76" s="123">
        <v>9</v>
      </c>
      <c r="V76" s="123">
        <v>11</v>
      </c>
      <c r="W76" s="123">
        <v>24</v>
      </c>
      <c r="X76" s="123">
        <v>11</v>
      </c>
      <c r="Y76" s="123">
        <v>14</v>
      </c>
      <c r="Z76" s="123">
        <v>11</v>
      </c>
      <c r="AA76" s="123">
        <v>9</v>
      </c>
      <c r="AB76" s="123">
        <v>11</v>
      </c>
      <c r="AC76" s="123">
        <v>23</v>
      </c>
      <c r="AD76" s="123">
        <v>11</v>
      </c>
      <c r="AE76" s="123">
        <v>10</v>
      </c>
      <c r="AF76" s="120"/>
      <c r="AG76" s="120"/>
      <c r="AH76" s="123">
        <v>35</v>
      </c>
      <c r="AI76" s="123">
        <v>1</v>
      </c>
    </row>
    <row r="77" spans="1:35" ht="18" x14ac:dyDescent="0.3">
      <c r="A77" s="139" t="s">
        <v>194</v>
      </c>
      <c r="B77" s="140">
        <v>45990</v>
      </c>
      <c r="C77" s="121" t="s">
        <v>333</v>
      </c>
      <c r="D77" s="141">
        <v>0.15625</v>
      </c>
      <c r="E77" s="121" t="s">
        <v>267</v>
      </c>
      <c r="F77" s="121" t="s">
        <v>159</v>
      </c>
      <c r="G77" s="142">
        <v>1</v>
      </c>
      <c r="H77" s="123">
        <v>180</v>
      </c>
      <c r="I77" s="123">
        <v>180</v>
      </c>
      <c r="J77" s="123">
        <v>135</v>
      </c>
      <c r="K77" s="140">
        <v>45983</v>
      </c>
      <c r="L77" s="123">
        <v>0</v>
      </c>
      <c r="M77" s="123">
        <v>0</v>
      </c>
      <c r="N77" s="123">
        <v>5</v>
      </c>
      <c r="O77" s="121" t="s">
        <v>46</v>
      </c>
      <c r="P77" s="120"/>
      <c r="Q77" s="120"/>
      <c r="R77" s="120"/>
      <c r="S77" s="120"/>
      <c r="T77" s="120"/>
      <c r="U77" s="120"/>
      <c r="V77" s="120"/>
      <c r="W77" s="120"/>
      <c r="X77" s="123">
        <v>5</v>
      </c>
      <c r="Y77" s="120"/>
      <c r="Z77" s="120"/>
      <c r="AA77" s="120"/>
      <c r="AB77" s="123">
        <v>7</v>
      </c>
      <c r="AC77" s="123">
        <v>11</v>
      </c>
      <c r="AD77" s="123">
        <v>11</v>
      </c>
      <c r="AE77" s="123">
        <v>10</v>
      </c>
      <c r="AF77" s="120"/>
      <c r="AG77" s="120"/>
      <c r="AH77" s="123">
        <v>135</v>
      </c>
      <c r="AI77" s="123">
        <v>1</v>
      </c>
    </row>
    <row r="78" spans="1:35" ht="18" x14ac:dyDescent="0.3">
      <c r="A78" s="139" t="s">
        <v>195</v>
      </c>
      <c r="B78" s="140">
        <v>45991</v>
      </c>
      <c r="C78" s="121" t="s">
        <v>333</v>
      </c>
      <c r="D78" s="141">
        <v>0.1423611111111111</v>
      </c>
      <c r="E78" s="121" t="s">
        <v>267</v>
      </c>
      <c r="F78" s="121" t="s">
        <v>159</v>
      </c>
      <c r="G78" s="142">
        <v>1</v>
      </c>
      <c r="H78" s="123">
        <v>180</v>
      </c>
      <c r="I78" s="123">
        <v>180</v>
      </c>
      <c r="J78" s="123">
        <v>90</v>
      </c>
      <c r="K78" s="140">
        <v>45966</v>
      </c>
      <c r="L78" s="123">
        <v>0</v>
      </c>
      <c r="M78" s="123">
        <v>0</v>
      </c>
      <c r="N78" s="123">
        <v>0</v>
      </c>
      <c r="O78" s="121" t="s">
        <v>46</v>
      </c>
      <c r="P78" s="120"/>
      <c r="Q78" s="120"/>
      <c r="R78" s="120"/>
      <c r="S78" s="120"/>
      <c r="T78" s="120"/>
      <c r="U78" s="120"/>
      <c r="V78" s="120"/>
      <c r="W78" s="120"/>
      <c r="X78" s="123">
        <v>2</v>
      </c>
      <c r="Y78" s="123">
        <v>10</v>
      </c>
      <c r="Z78" s="123">
        <v>12</v>
      </c>
      <c r="AA78" s="123">
        <v>11</v>
      </c>
      <c r="AB78" s="123">
        <v>11</v>
      </c>
      <c r="AC78" s="123">
        <v>23</v>
      </c>
      <c r="AD78" s="123">
        <v>11</v>
      </c>
      <c r="AE78" s="123">
        <v>10</v>
      </c>
      <c r="AF78" s="120"/>
      <c r="AG78" s="120"/>
      <c r="AH78" s="123">
        <v>90</v>
      </c>
      <c r="AI78" s="120"/>
    </row>
    <row r="79" spans="1:35" ht="18" x14ac:dyDescent="0.3">
      <c r="A79" s="139" t="s">
        <v>192</v>
      </c>
      <c r="B79" s="140">
        <v>45986</v>
      </c>
      <c r="C79" s="121" t="s">
        <v>327</v>
      </c>
      <c r="D79" s="141">
        <v>0.4375</v>
      </c>
      <c r="E79" s="121" t="s">
        <v>267</v>
      </c>
      <c r="F79" s="121" t="s">
        <v>159</v>
      </c>
      <c r="G79" s="142">
        <v>1</v>
      </c>
      <c r="H79" s="123">
        <v>180</v>
      </c>
      <c r="I79" s="123">
        <v>180</v>
      </c>
      <c r="J79" s="123">
        <v>93</v>
      </c>
      <c r="K79" s="140">
        <v>45984</v>
      </c>
      <c r="L79" s="123">
        <v>0</v>
      </c>
      <c r="M79" s="123">
        <v>2</v>
      </c>
      <c r="N79" s="123">
        <v>19</v>
      </c>
      <c r="O79" s="121" t="s">
        <v>46</v>
      </c>
      <c r="P79" s="120"/>
      <c r="Q79" s="120"/>
      <c r="R79" s="120"/>
      <c r="S79" s="120"/>
      <c r="T79" s="120"/>
      <c r="U79" s="120"/>
      <c r="V79" s="120"/>
      <c r="W79" s="120"/>
      <c r="X79" s="120"/>
      <c r="Y79" s="123">
        <v>9</v>
      </c>
      <c r="Z79" s="123">
        <v>12</v>
      </c>
      <c r="AA79" s="123">
        <v>12</v>
      </c>
      <c r="AB79" s="123">
        <v>10</v>
      </c>
      <c r="AC79" s="123">
        <v>12</v>
      </c>
      <c r="AD79" s="123">
        <v>22</v>
      </c>
      <c r="AE79" s="123">
        <v>10</v>
      </c>
      <c r="AF79" s="120"/>
      <c r="AG79" s="120"/>
      <c r="AH79" s="123">
        <v>93</v>
      </c>
      <c r="AI79" s="120"/>
    </row>
    <row r="80" spans="1:35" ht="18" x14ac:dyDescent="0.3">
      <c r="A80" s="139" t="s">
        <v>1211</v>
      </c>
      <c r="B80" s="140">
        <v>45987</v>
      </c>
      <c r="C80" s="121" t="s">
        <v>327</v>
      </c>
      <c r="D80" s="141">
        <v>0.4375</v>
      </c>
      <c r="E80" s="121" t="s">
        <v>267</v>
      </c>
      <c r="F80" s="121" t="s">
        <v>159</v>
      </c>
      <c r="G80" s="142">
        <v>0.99439999999999995</v>
      </c>
      <c r="H80" s="123">
        <v>180</v>
      </c>
      <c r="I80" s="123">
        <v>179</v>
      </c>
      <c r="J80" s="123">
        <v>114</v>
      </c>
      <c r="K80" s="140">
        <v>45983</v>
      </c>
      <c r="L80" s="123">
        <v>0</v>
      </c>
      <c r="M80" s="123">
        <v>0</v>
      </c>
      <c r="N80" s="123">
        <v>49</v>
      </c>
      <c r="O80" s="121" t="s">
        <v>46</v>
      </c>
      <c r="P80" s="120"/>
      <c r="Q80" s="120"/>
      <c r="R80" s="120"/>
      <c r="S80" s="120"/>
      <c r="T80" s="120"/>
      <c r="U80" s="120"/>
      <c r="V80" s="120"/>
      <c r="W80" s="120"/>
      <c r="X80" s="120"/>
      <c r="Y80" s="123">
        <v>3</v>
      </c>
      <c r="Z80" s="123">
        <v>6</v>
      </c>
      <c r="AA80" s="123">
        <v>11</v>
      </c>
      <c r="AB80" s="123">
        <v>12</v>
      </c>
      <c r="AC80" s="123">
        <v>12</v>
      </c>
      <c r="AD80" s="123">
        <v>10</v>
      </c>
      <c r="AE80" s="123">
        <v>11</v>
      </c>
      <c r="AF80" s="120"/>
      <c r="AG80" s="120"/>
      <c r="AH80" s="123">
        <v>114</v>
      </c>
      <c r="AI80" s="120"/>
    </row>
    <row r="81" spans="1:35" ht="18" x14ac:dyDescent="0.3">
      <c r="A81" s="139" t="s">
        <v>193</v>
      </c>
      <c r="B81" s="140">
        <v>45988</v>
      </c>
      <c r="C81" s="121" t="s">
        <v>327</v>
      </c>
      <c r="D81" s="141">
        <v>0.40625</v>
      </c>
      <c r="E81" s="121" t="s">
        <v>267</v>
      </c>
      <c r="F81" s="121" t="s">
        <v>159</v>
      </c>
      <c r="G81" s="142">
        <v>1</v>
      </c>
      <c r="H81" s="123">
        <v>180</v>
      </c>
      <c r="I81" s="123">
        <v>180</v>
      </c>
      <c r="J81" s="123">
        <v>135</v>
      </c>
      <c r="K81" s="140">
        <v>45960</v>
      </c>
      <c r="L81" s="123">
        <v>0</v>
      </c>
      <c r="M81" s="123">
        <v>0</v>
      </c>
      <c r="N81" s="123">
        <v>0</v>
      </c>
      <c r="O81" s="121" t="s">
        <v>46</v>
      </c>
      <c r="P81" s="120"/>
      <c r="Q81" s="120"/>
      <c r="R81" s="120"/>
      <c r="S81" s="120"/>
      <c r="T81" s="120"/>
      <c r="U81" s="120"/>
      <c r="V81" s="120"/>
      <c r="W81" s="120"/>
      <c r="X81" s="120"/>
      <c r="Y81" s="120"/>
      <c r="Z81" s="120"/>
      <c r="AA81" s="120"/>
      <c r="AB81" s="123">
        <v>1</v>
      </c>
      <c r="AC81" s="123">
        <v>12</v>
      </c>
      <c r="AD81" s="123">
        <v>11</v>
      </c>
      <c r="AE81" s="123">
        <v>21</v>
      </c>
      <c r="AF81" s="120"/>
      <c r="AG81" s="120"/>
      <c r="AH81" s="123">
        <v>135</v>
      </c>
      <c r="AI81" s="120"/>
    </row>
    <row r="82" spans="1:35" ht="18" x14ac:dyDescent="0.3">
      <c r="A82" s="139" t="s">
        <v>1212</v>
      </c>
      <c r="B82" s="140">
        <v>45989</v>
      </c>
      <c r="C82" s="121" t="s">
        <v>327</v>
      </c>
      <c r="D82" s="141">
        <v>0.28125</v>
      </c>
      <c r="E82" s="121" t="s">
        <v>267</v>
      </c>
      <c r="F82" s="121" t="s">
        <v>159</v>
      </c>
      <c r="G82" s="142">
        <v>0.98329999999999995</v>
      </c>
      <c r="H82" s="123">
        <v>180</v>
      </c>
      <c r="I82" s="123">
        <v>177</v>
      </c>
      <c r="J82" s="123">
        <v>0</v>
      </c>
      <c r="K82" s="140">
        <v>45984</v>
      </c>
      <c r="L82" s="123">
        <v>0</v>
      </c>
      <c r="M82" s="123">
        <v>5</v>
      </c>
      <c r="N82" s="123">
        <v>52</v>
      </c>
      <c r="O82" s="121" t="s">
        <v>383</v>
      </c>
      <c r="P82" s="120"/>
      <c r="Q82" s="120"/>
      <c r="R82" s="120"/>
      <c r="S82" s="120"/>
      <c r="T82" s="120"/>
      <c r="U82" s="123">
        <v>7</v>
      </c>
      <c r="V82" s="123">
        <v>10</v>
      </c>
      <c r="W82" s="123">
        <v>35</v>
      </c>
      <c r="X82" s="123">
        <v>38</v>
      </c>
      <c r="Y82" s="123">
        <v>10</v>
      </c>
      <c r="Z82" s="123">
        <v>11</v>
      </c>
      <c r="AA82" s="123">
        <v>11</v>
      </c>
      <c r="AB82" s="123">
        <v>11</v>
      </c>
      <c r="AC82" s="123">
        <v>12</v>
      </c>
      <c r="AD82" s="123">
        <v>22</v>
      </c>
      <c r="AE82" s="123">
        <v>10</v>
      </c>
      <c r="AF82" s="120"/>
      <c r="AG82" s="120"/>
      <c r="AH82" s="120"/>
      <c r="AI82" s="120"/>
    </row>
    <row r="83" spans="1:35" ht="18" x14ac:dyDescent="0.3">
      <c r="A83" s="139" t="s">
        <v>194</v>
      </c>
      <c r="B83" s="140">
        <v>45990</v>
      </c>
      <c r="C83" s="121" t="s">
        <v>327</v>
      </c>
      <c r="D83" s="141">
        <v>0.50347222222222221</v>
      </c>
      <c r="E83" s="121" t="s">
        <v>267</v>
      </c>
      <c r="F83" s="121" t="s">
        <v>159</v>
      </c>
      <c r="G83" s="142">
        <v>1</v>
      </c>
      <c r="H83" s="123">
        <v>180</v>
      </c>
      <c r="I83" s="123">
        <v>180</v>
      </c>
      <c r="J83" s="123">
        <v>90</v>
      </c>
      <c r="K83" s="140">
        <v>45973</v>
      </c>
      <c r="L83" s="123">
        <v>0</v>
      </c>
      <c r="M83" s="123">
        <v>0</v>
      </c>
      <c r="N83" s="123">
        <v>0</v>
      </c>
      <c r="O83" s="121" t="s">
        <v>46</v>
      </c>
      <c r="P83" s="123">
        <v>3</v>
      </c>
      <c r="Q83" s="120"/>
      <c r="R83" s="120"/>
      <c r="S83" s="120"/>
      <c r="T83" s="120"/>
      <c r="U83" s="123">
        <v>8</v>
      </c>
      <c r="V83" s="123">
        <v>9</v>
      </c>
      <c r="W83" s="123">
        <v>15</v>
      </c>
      <c r="X83" s="123">
        <v>9</v>
      </c>
      <c r="Y83" s="123">
        <v>10</v>
      </c>
      <c r="Z83" s="123">
        <v>18</v>
      </c>
      <c r="AA83" s="123">
        <v>9</v>
      </c>
      <c r="AB83" s="123">
        <v>9</v>
      </c>
      <c r="AC83" s="120"/>
      <c r="AD83" s="120"/>
      <c r="AE83" s="120"/>
      <c r="AF83" s="120"/>
      <c r="AG83" s="120"/>
      <c r="AH83" s="123">
        <v>90</v>
      </c>
      <c r="AI83" s="120"/>
    </row>
    <row r="84" spans="1:35" ht="18" x14ac:dyDescent="0.3">
      <c r="A84" s="139" t="s">
        <v>195</v>
      </c>
      <c r="B84" s="140">
        <v>45991</v>
      </c>
      <c r="C84" s="121" t="s">
        <v>327</v>
      </c>
      <c r="D84" s="141">
        <v>0.4548611111111111</v>
      </c>
      <c r="E84" s="121" t="s">
        <v>267</v>
      </c>
      <c r="F84" s="121" t="s">
        <v>159</v>
      </c>
      <c r="G84" s="142">
        <v>0.99439999999999995</v>
      </c>
      <c r="H84" s="123">
        <v>180</v>
      </c>
      <c r="I84" s="123">
        <v>179</v>
      </c>
      <c r="J84" s="123">
        <v>90</v>
      </c>
      <c r="K84" s="140">
        <v>45984</v>
      </c>
      <c r="L84" s="123">
        <v>0</v>
      </c>
      <c r="M84" s="123">
        <v>3</v>
      </c>
      <c r="N84" s="123">
        <v>24</v>
      </c>
      <c r="O84" s="121" t="s">
        <v>46</v>
      </c>
      <c r="P84" s="120"/>
      <c r="Q84" s="120"/>
      <c r="R84" s="120"/>
      <c r="S84" s="120"/>
      <c r="T84" s="120"/>
      <c r="U84" s="120"/>
      <c r="V84" s="120"/>
      <c r="W84" s="123">
        <v>8</v>
      </c>
      <c r="X84" s="123">
        <v>21</v>
      </c>
      <c r="Y84" s="123">
        <v>22</v>
      </c>
      <c r="Z84" s="123">
        <v>10</v>
      </c>
      <c r="AA84" s="123">
        <v>8</v>
      </c>
      <c r="AB84" s="123">
        <v>20</v>
      </c>
      <c r="AC84" s="120"/>
      <c r="AD84" s="120"/>
      <c r="AE84" s="120"/>
      <c r="AF84" s="120"/>
      <c r="AG84" s="120"/>
      <c r="AH84" s="123">
        <v>90</v>
      </c>
      <c r="AI84" s="120"/>
    </row>
    <row r="85" spans="1:35" ht="18" x14ac:dyDescent="0.3">
      <c r="A85" s="139" t="s">
        <v>192</v>
      </c>
      <c r="B85" s="140">
        <v>45986</v>
      </c>
      <c r="C85" s="121" t="s">
        <v>325</v>
      </c>
      <c r="D85" s="141">
        <v>0.38194444444444442</v>
      </c>
      <c r="E85" s="121" t="s">
        <v>267</v>
      </c>
      <c r="F85" s="121" t="s">
        <v>159</v>
      </c>
      <c r="G85" s="142">
        <v>1.0056</v>
      </c>
      <c r="H85" s="123">
        <v>180</v>
      </c>
      <c r="I85" s="123">
        <v>181</v>
      </c>
      <c r="J85" s="123">
        <v>139</v>
      </c>
      <c r="K85" s="140">
        <v>45981</v>
      </c>
      <c r="L85" s="123">
        <v>0</v>
      </c>
      <c r="M85" s="123">
        <v>0</v>
      </c>
      <c r="N85" s="123">
        <v>5</v>
      </c>
      <c r="O85" s="121" t="s">
        <v>46</v>
      </c>
      <c r="P85" s="120"/>
      <c r="Q85" s="120"/>
      <c r="R85" s="120"/>
      <c r="S85" s="120"/>
      <c r="T85" s="120"/>
      <c r="U85" s="120"/>
      <c r="V85" s="120"/>
      <c r="W85" s="120"/>
      <c r="X85" s="120"/>
      <c r="Y85" s="123">
        <v>4</v>
      </c>
      <c r="Z85" s="120"/>
      <c r="AA85" s="123">
        <v>1</v>
      </c>
      <c r="AB85" s="123">
        <v>9</v>
      </c>
      <c r="AC85" s="123">
        <v>10</v>
      </c>
      <c r="AD85" s="123">
        <v>10</v>
      </c>
      <c r="AE85" s="123">
        <v>5</v>
      </c>
      <c r="AF85" s="120"/>
      <c r="AG85" s="120"/>
      <c r="AH85" s="123">
        <v>139</v>
      </c>
      <c r="AI85" s="123">
        <v>3</v>
      </c>
    </row>
    <row r="86" spans="1:35" ht="18" x14ac:dyDescent="0.3">
      <c r="A86" s="139" t="s">
        <v>193</v>
      </c>
      <c r="B86" s="140">
        <v>45988</v>
      </c>
      <c r="C86" s="121" t="s">
        <v>325</v>
      </c>
      <c r="D86" s="141">
        <v>0.5625</v>
      </c>
      <c r="E86" s="121" t="s">
        <v>267</v>
      </c>
      <c r="F86" s="121" t="s">
        <v>159</v>
      </c>
      <c r="G86" s="142">
        <v>0.9889</v>
      </c>
      <c r="H86" s="123">
        <v>180</v>
      </c>
      <c r="I86" s="123">
        <v>178</v>
      </c>
      <c r="J86" s="123">
        <v>132</v>
      </c>
      <c r="K86" s="140">
        <v>45984</v>
      </c>
      <c r="L86" s="123">
        <v>0</v>
      </c>
      <c r="M86" s="123">
        <v>4</v>
      </c>
      <c r="N86" s="123">
        <v>4</v>
      </c>
      <c r="O86" s="121" t="s">
        <v>367</v>
      </c>
      <c r="P86" s="120"/>
      <c r="Q86" s="120"/>
      <c r="R86" s="120"/>
      <c r="S86" s="120"/>
      <c r="T86" s="120"/>
      <c r="U86" s="123">
        <v>5</v>
      </c>
      <c r="V86" s="120"/>
      <c r="W86" s="123">
        <v>5</v>
      </c>
      <c r="X86" s="120"/>
      <c r="Y86" s="123">
        <v>3</v>
      </c>
      <c r="Z86" s="123">
        <v>2</v>
      </c>
      <c r="AA86" s="123">
        <v>3</v>
      </c>
      <c r="AB86" s="123">
        <v>13</v>
      </c>
      <c r="AC86" s="123">
        <v>6</v>
      </c>
      <c r="AD86" s="123">
        <v>4</v>
      </c>
      <c r="AE86" s="123">
        <v>5</v>
      </c>
      <c r="AF86" s="120"/>
      <c r="AG86" s="120"/>
      <c r="AH86" s="123">
        <v>132</v>
      </c>
      <c r="AI86" s="120"/>
    </row>
    <row r="87" spans="1:35" ht="18" x14ac:dyDescent="0.3">
      <c r="A87" s="139" t="s">
        <v>1212</v>
      </c>
      <c r="B87" s="140">
        <v>45989</v>
      </c>
      <c r="C87" s="121" t="s">
        <v>325</v>
      </c>
      <c r="D87" s="141">
        <v>0.4375</v>
      </c>
      <c r="E87" s="121" t="s">
        <v>267</v>
      </c>
      <c r="F87" s="121" t="s">
        <v>159</v>
      </c>
      <c r="G87" s="142">
        <v>0.9889</v>
      </c>
      <c r="H87" s="123">
        <v>180</v>
      </c>
      <c r="I87" s="123">
        <v>178</v>
      </c>
      <c r="J87" s="123">
        <v>45</v>
      </c>
      <c r="K87" s="140">
        <v>45984</v>
      </c>
      <c r="L87" s="123">
        <v>0</v>
      </c>
      <c r="M87" s="123">
        <v>3</v>
      </c>
      <c r="N87" s="123">
        <v>28</v>
      </c>
      <c r="O87" s="121" t="s">
        <v>126</v>
      </c>
      <c r="P87" s="120"/>
      <c r="Q87" s="120"/>
      <c r="R87" s="120"/>
      <c r="S87" s="120"/>
      <c r="T87" s="120"/>
      <c r="U87" s="123">
        <v>3</v>
      </c>
      <c r="V87" s="123">
        <v>22</v>
      </c>
      <c r="W87" s="123">
        <v>34</v>
      </c>
      <c r="X87" s="123">
        <v>8</v>
      </c>
      <c r="Y87" s="123">
        <v>9</v>
      </c>
      <c r="Z87" s="123">
        <v>9</v>
      </c>
      <c r="AA87" s="123">
        <v>9</v>
      </c>
      <c r="AB87" s="123">
        <v>9</v>
      </c>
      <c r="AC87" s="123">
        <v>8</v>
      </c>
      <c r="AD87" s="123">
        <v>8</v>
      </c>
      <c r="AE87" s="123">
        <v>14</v>
      </c>
      <c r="AF87" s="120"/>
      <c r="AG87" s="120"/>
      <c r="AH87" s="123">
        <v>45</v>
      </c>
      <c r="AI87" s="120"/>
    </row>
    <row r="88" spans="1:35" ht="18" x14ac:dyDescent="0.3">
      <c r="A88" s="139" t="s">
        <v>195</v>
      </c>
      <c r="B88" s="140">
        <v>45991</v>
      </c>
      <c r="C88" s="121" t="s">
        <v>325</v>
      </c>
      <c r="D88" s="141">
        <v>0.82986111111111116</v>
      </c>
      <c r="E88" s="121" t="s">
        <v>267</v>
      </c>
      <c r="F88" s="121" t="s">
        <v>159</v>
      </c>
      <c r="G88" s="142">
        <v>0.99439999999999995</v>
      </c>
      <c r="H88" s="123">
        <v>180</v>
      </c>
      <c r="I88" s="123">
        <v>179</v>
      </c>
      <c r="J88" s="123">
        <v>90</v>
      </c>
      <c r="K88" s="140">
        <v>45985</v>
      </c>
      <c r="L88" s="123">
        <v>1</v>
      </c>
      <c r="M88" s="123">
        <v>0</v>
      </c>
      <c r="N88" s="123">
        <v>15</v>
      </c>
      <c r="O88" s="121" t="s">
        <v>46</v>
      </c>
      <c r="P88" s="120"/>
      <c r="Q88" s="120"/>
      <c r="R88" s="120"/>
      <c r="S88" s="120"/>
      <c r="T88" s="120"/>
      <c r="U88" s="120"/>
      <c r="V88" s="123">
        <v>5</v>
      </c>
      <c r="W88" s="123">
        <v>10</v>
      </c>
      <c r="X88" s="123">
        <v>23</v>
      </c>
      <c r="Y88" s="123">
        <v>11</v>
      </c>
      <c r="Z88" s="123">
        <v>7</v>
      </c>
      <c r="AA88" s="123">
        <v>9</v>
      </c>
      <c r="AB88" s="123">
        <v>9</v>
      </c>
      <c r="AC88" s="123">
        <v>5</v>
      </c>
      <c r="AD88" s="123">
        <v>5</v>
      </c>
      <c r="AE88" s="123">
        <v>5</v>
      </c>
      <c r="AF88" s="120"/>
      <c r="AG88" s="120"/>
      <c r="AH88" s="123">
        <v>90</v>
      </c>
      <c r="AI88" s="120"/>
    </row>
    <row r="89" spans="1:35" ht="18" x14ac:dyDescent="0.3">
      <c r="A89" s="139" t="s">
        <v>192</v>
      </c>
      <c r="B89" s="140">
        <v>45986</v>
      </c>
      <c r="C89" s="121" t="s">
        <v>721</v>
      </c>
      <c r="D89" s="141">
        <v>0.63888888888888895</v>
      </c>
      <c r="E89" s="121" t="s">
        <v>718</v>
      </c>
      <c r="F89" s="121" t="s">
        <v>159</v>
      </c>
      <c r="G89" s="142">
        <v>0</v>
      </c>
      <c r="H89" s="123">
        <v>180</v>
      </c>
      <c r="I89" s="123">
        <v>0</v>
      </c>
      <c r="J89" s="123">
        <v>0</v>
      </c>
      <c r="K89" s="140" t="s">
        <v>722</v>
      </c>
      <c r="L89" s="123">
        <v>0</v>
      </c>
      <c r="M89" s="123">
        <v>0</v>
      </c>
      <c r="N89" s="123">
        <v>0</v>
      </c>
      <c r="O89" s="121" t="s">
        <v>46</v>
      </c>
      <c r="P89" s="120"/>
      <c r="Q89" s="120"/>
      <c r="R89" s="120"/>
      <c r="S89" s="120"/>
      <c r="T89" s="120"/>
      <c r="U89" s="120"/>
      <c r="V89" s="120"/>
      <c r="W89" s="120"/>
      <c r="X89" s="120"/>
      <c r="Y89" s="120"/>
      <c r="Z89" s="120"/>
      <c r="AA89" s="120"/>
      <c r="AB89" s="120"/>
      <c r="AC89" s="120"/>
      <c r="AD89" s="120"/>
      <c r="AE89" s="120"/>
      <c r="AF89" s="120"/>
      <c r="AG89" s="120"/>
      <c r="AH89" s="120"/>
      <c r="AI89" s="120"/>
    </row>
    <row r="90" spans="1:35" ht="18" x14ac:dyDescent="0.3">
      <c r="A90" s="139" t="s">
        <v>192</v>
      </c>
      <c r="B90" s="140">
        <v>45986</v>
      </c>
      <c r="C90" s="121" t="s">
        <v>197</v>
      </c>
      <c r="D90" s="141">
        <v>0.15972222222222221</v>
      </c>
      <c r="E90" s="121" t="s">
        <v>196</v>
      </c>
      <c r="F90" s="121" t="s">
        <v>159</v>
      </c>
      <c r="G90" s="142">
        <v>1</v>
      </c>
      <c r="H90" s="123">
        <v>180</v>
      </c>
      <c r="I90" s="123">
        <v>180</v>
      </c>
      <c r="J90" s="123">
        <v>166</v>
      </c>
      <c r="K90" s="140">
        <v>45983</v>
      </c>
      <c r="L90" s="123">
        <v>0</v>
      </c>
      <c r="M90" s="123">
        <v>0</v>
      </c>
      <c r="N90" s="123">
        <v>48</v>
      </c>
      <c r="O90" s="121" t="s">
        <v>46</v>
      </c>
      <c r="P90" s="120"/>
      <c r="Q90" s="120"/>
      <c r="R90" s="120"/>
      <c r="S90" s="120"/>
      <c r="T90" s="120"/>
      <c r="U90" s="120"/>
      <c r="V90" s="123">
        <v>5</v>
      </c>
      <c r="W90" s="120"/>
      <c r="X90" s="120"/>
      <c r="Y90" s="120"/>
      <c r="Z90" s="120"/>
      <c r="AA90" s="123">
        <v>5</v>
      </c>
      <c r="AB90" s="123">
        <v>4</v>
      </c>
      <c r="AC90" s="120"/>
      <c r="AD90" s="120"/>
      <c r="AE90" s="120"/>
      <c r="AF90" s="123">
        <v>41</v>
      </c>
      <c r="AG90" s="120"/>
      <c r="AH90" s="123">
        <v>125</v>
      </c>
      <c r="AI90" s="120"/>
    </row>
    <row r="91" spans="1:35" ht="18" x14ac:dyDescent="0.3">
      <c r="A91" s="139" t="s">
        <v>1211</v>
      </c>
      <c r="B91" s="140">
        <v>45987</v>
      </c>
      <c r="C91" s="121" t="s">
        <v>197</v>
      </c>
      <c r="D91" s="141">
        <v>0.77777777777777779</v>
      </c>
      <c r="E91" s="121" t="s">
        <v>196</v>
      </c>
      <c r="F91" s="121" t="s">
        <v>159</v>
      </c>
      <c r="G91" s="142">
        <v>0.99439999999999995</v>
      </c>
      <c r="H91" s="123">
        <v>180</v>
      </c>
      <c r="I91" s="123">
        <v>179</v>
      </c>
      <c r="J91" s="123">
        <v>175</v>
      </c>
      <c r="K91" s="140">
        <v>45976</v>
      </c>
      <c r="L91" s="123">
        <v>0</v>
      </c>
      <c r="M91" s="123">
        <v>0</v>
      </c>
      <c r="N91" s="123">
        <v>0</v>
      </c>
      <c r="O91" s="121" t="s">
        <v>46</v>
      </c>
      <c r="P91" s="120"/>
      <c r="Q91" s="120"/>
      <c r="R91" s="120"/>
      <c r="S91" s="120"/>
      <c r="T91" s="120"/>
      <c r="U91" s="120"/>
      <c r="V91" s="120"/>
      <c r="W91" s="120"/>
      <c r="X91" s="123">
        <v>1</v>
      </c>
      <c r="Y91" s="120"/>
      <c r="Z91" s="120"/>
      <c r="AA91" s="120"/>
      <c r="AB91" s="120"/>
      <c r="AC91" s="120"/>
      <c r="AD91" s="120"/>
      <c r="AE91" s="123">
        <v>3</v>
      </c>
      <c r="AF91" s="120"/>
      <c r="AG91" s="120"/>
      <c r="AH91" s="123">
        <v>175</v>
      </c>
      <c r="AI91" s="120"/>
    </row>
    <row r="92" spans="1:35" ht="18" x14ac:dyDescent="0.3">
      <c r="A92" s="139" t="s">
        <v>193</v>
      </c>
      <c r="B92" s="140">
        <v>45988</v>
      </c>
      <c r="C92" s="121" t="s">
        <v>197</v>
      </c>
      <c r="D92" s="141">
        <v>0.47916666666666669</v>
      </c>
      <c r="E92" s="121" t="s">
        <v>196</v>
      </c>
      <c r="F92" s="121" t="s">
        <v>159</v>
      </c>
      <c r="G92" s="142">
        <v>1</v>
      </c>
      <c r="H92" s="123">
        <v>180</v>
      </c>
      <c r="I92" s="123">
        <v>180</v>
      </c>
      <c r="J92" s="123">
        <v>166</v>
      </c>
      <c r="K92" s="140">
        <v>45980</v>
      </c>
      <c r="L92" s="123">
        <v>0</v>
      </c>
      <c r="M92" s="123">
        <v>0</v>
      </c>
      <c r="N92" s="123">
        <v>2</v>
      </c>
      <c r="O92" s="121" t="s">
        <v>46</v>
      </c>
      <c r="P92" s="120"/>
      <c r="Q92" s="120"/>
      <c r="R92" s="120"/>
      <c r="S92" s="120"/>
      <c r="T92" s="120"/>
      <c r="U92" s="120"/>
      <c r="V92" s="120"/>
      <c r="W92" s="120"/>
      <c r="X92" s="123">
        <v>3</v>
      </c>
      <c r="Y92" s="120"/>
      <c r="Z92" s="120"/>
      <c r="AA92" s="120"/>
      <c r="AB92" s="123">
        <v>3</v>
      </c>
      <c r="AC92" s="120"/>
      <c r="AD92" s="120"/>
      <c r="AE92" s="123">
        <v>8</v>
      </c>
      <c r="AF92" s="120"/>
      <c r="AG92" s="120"/>
      <c r="AH92" s="123">
        <v>166</v>
      </c>
      <c r="AI92" s="120"/>
    </row>
    <row r="93" spans="1:35" ht="18" x14ac:dyDescent="0.3">
      <c r="A93" s="139" t="s">
        <v>195</v>
      </c>
      <c r="B93" s="140">
        <v>45991</v>
      </c>
      <c r="C93" s="121" t="s">
        <v>197</v>
      </c>
      <c r="D93" s="141">
        <v>0.2361111111111111</v>
      </c>
      <c r="E93" s="121" t="s">
        <v>196</v>
      </c>
      <c r="F93" s="121" t="s">
        <v>159</v>
      </c>
      <c r="G93" s="142">
        <v>1</v>
      </c>
      <c r="H93" s="123">
        <v>180</v>
      </c>
      <c r="I93" s="123">
        <v>180</v>
      </c>
      <c r="J93" s="123">
        <v>135</v>
      </c>
      <c r="K93" s="140">
        <v>45977</v>
      </c>
      <c r="L93" s="123">
        <v>0</v>
      </c>
      <c r="M93" s="123">
        <v>0</v>
      </c>
      <c r="N93" s="123">
        <v>0</v>
      </c>
      <c r="O93" s="121" t="s">
        <v>46</v>
      </c>
      <c r="P93" s="120"/>
      <c r="Q93" s="120"/>
      <c r="R93" s="120"/>
      <c r="S93" s="120"/>
      <c r="T93" s="120"/>
      <c r="U93" s="120"/>
      <c r="V93" s="120"/>
      <c r="W93" s="123">
        <v>3</v>
      </c>
      <c r="X93" s="120"/>
      <c r="Y93" s="120"/>
      <c r="Z93" s="120"/>
      <c r="AA93" s="120"/>
      <c r="AB93" s="123">
        <v>10</v>
      </c>
      <c r="AC93" s="123">
        <v>11</v>
      </c>
      <c r="AD93" s="123">
        <v>11</v>
      </c>
      <c r="AE93" s="123">
        <v>10</v>
      </c>
      <c r="AF93" s="120"/>
      <c r="AG93" s="120"/>
      <c r="AH93" s="123">
        <v>135</v>
      </c>
      <c r="AI93" s="120"/>
    </row>
    <row r="94" spans="1:35" ht="18" x14ac:dyDescent="0.3">
      <c r="A94" s="139" t="s">
        <v>192</v>
      </c>
      <c r="B94" s="140">
        <v>45986</v>
      </c>
      <c r="C94" s="121" t="s">
        <v>40</v>
      </c>
      <c r="D94" s="141">
        <v>0.11805555555555559</v>
      </c>
      <c r="E94" s="121" t="s">
        <v>1</v>
      </c>
      <c r="F94" s="121" t="s">
        <v>159</v>
      </c>
      <c r="G94" s="142">
        <v>0.97219999999999995</v>
      </c>
      <c r="H94" s="123">
        <v>180</v>
      </c>
      <c r="I94" s="123">
        <v>175</v>
      </c>
      <c r="J94" s="123">
        <v>115</v>
      </c>
      <c r="K94" s="140">
        <v>45984</v>
      </c>
      <c r="L94" s="123">
        <v>0</v>
      </c>
      <c r="M94" s="123">
        <v>10</v>
      </c>
      <c r="N94" s="123">
        <v>11</v>
      </c>
      <c r="O94" s="121" t="s">
        <v>41</v>
      </c>
      <c r="P94" s="120"/>
      <c r="Q94" s="120"/>
      <c r="R94" s="120"/>
      <c r="S94" s="120"/>
      <c r="T94" s="120"/>
      <c r="U94" s="120"/>
      <c r="V94" s="120"/>
      <c r="W94" s="120"/>
      <c r="X94" s="123">
        <v>6</v>
      </c>
      <c r="Y94" s="120"/>
      <c r="Z94" s="123">
        <v>4</v>
      </c>
      <c r="AA94" s="123">
        <v>10</v>
      </c>
      <c r="AB94" s="123">
        <v>10</v>
      </c>
      <c r="AC94" s="123">
        <v>10</v>
      </c>
      <c r="AD94" s="123">
        <v>10</v>
      </c>
      <c r="AE94" s="123">
        <v>10</v>
      </c>
      <c r="AF94" s="120"/>
      <c r="AG94" s="120"/>
      <c r="AH94" s="123">
        <v>115</v>
      </c>
      <c r="AI94" s="120"/>
    </row>
    <row r="95" spans="1:35" ht="18" x14ac:dyDescent="0.3">
      <c r="A95" s="139" t="s">
        <v>194</v>
      </c>
      <c r="B95" s="140">
        <v>45990</v>
      </c>
      <c r="C95" s="121" t="s">
        <v>40</v>
      </c>
      <c r="D95" s="141">
        <v>0.80208333333333337</v>
      </c>
      <c r="E95" s="121" t="s">
        <v>240</v>
      </c>
      <c r="F95" s="121" t="s">
        <v>159</v>
      </c>
      <c r="G95" s="142">
        <v>0.86109999999999998</v>
      </c>
      <c r="H95" s="123">
        <v>180</v>
      </c>
      <c r="I95" s="123">
        <v>155</v>
      </c>
      <c r="J95" s="123">
        <v>97</v>
      </c>
      <c r="K95" s="140">
        <v>45984</v>
      </c>
      <c r="L95" s="123">
        <v>0</v>
      </c>
      <c r="M95" s="123">
        <v>1</v>
      </c>
      <c r="N95" s="123">
        <v>17</v>
      </c>
      <c r="O95" s="121" t="s">
        <v>247</v>
      </c>
      <c r="P95" s="123">
        <v>1</v>
      </c>
      <c r="Q95" s="120"/>
      <c r="R95" s="120"/>
      <c r="S95" s="120"/>
      <c r="T95" s="120"/>
      <c r="U95" s="120"/>
      <c r="V95" s="120"/>
      <c r="W95" s="120"/>
      <c r="X95" s="120"/>
      <c r="Y95" s="123">
        <v>2</v>
      </c>
      <c r="Z95" s="123">
        <v>1</v>
      </c>
      <c r="AA95" s="123">
        <v>17</v>
      </c>
      <c r="AB95" s="123">
        <v>19</v>
      </c>
      <c r="AC95" s="123">
        <v>5</v>
      </c>
      <c r="AD95" s="123">
        <v>4</v>
      </c>
      <c r="AE95" s="123">
        <v>9</v>
      </c>
      <c r="AF95" s="120"/>
      <c r="AG95" s="120"/>
      <c r="AH95" s="123">
        <v>97</v>
      </c>
      <c r="AI95" s="120"/>
    </row>
    <row r="96" spans="1:35" ht="18" x14ac:dyDescent="0.3">
      <c r="A96" s="139" t="s">
        <v>1211</v>
      </c>
      <c r="B96" s="140">
        <v>45987</v>
      </c>
      <c r="C96" s="121" t="s">
        <v>243</v>
      </c>
      <c r="D96" s="141">
        <v>0.46180555555555558</v>
      </c>
      <c r="E96" s="121" t="s">
        <v>240</v>
      </c>
      <c r="F96" s="121" t="s">
        <v>159</v>
      </c>
      <c r="G96" s="142">
        <v>0.84440000000000004</v>
      </c>
      <c r="H96" s="123">
        <v>180</v>
      </c>
      <c r="I96" s="123">
        <v>152</v>
      </c>
      <c r="J96" s="123">
        <v>50</v>
      </c>
      <c r="K96" s="140">
        <v>45984</v>
      </c>
      <c r="L96" s="123">
        <v>0</v>
      </c>
      <c r="M96" s="123">
        <v>3</v>
      </c>
      <c r="N96" s="123">
        <v>41</v>
      </c>
      <c r="O96" s="121" t="s">
        <v>244</v>
      </c>
      <c r="P96" s="120"/>
      <c r="Q96" s="120"/>
      <c r="R96" s="120"/>
      <c r="S96" s="120"/>
      <c r="T96" s="120"/>
      <c r="U96" s="120"/>
      <c r="V96" s="120"/>
      <c r="W96" s="120"/>
      <c r="X96" s="120"/>
      <c r="Y96" s="123">
        <v>1</v>
      </c>
      <c r="Z96" s="123">
        <v>2</v>
      </c>
      <c r="AA96" s="123">
        <v>19</v>
      </c>
      <c r="AB96" s="123">
        <v>18</v>
      </c>
      <c r="AC96" s="123">
        <v>18</v>
      </c>
      <c r="AD96" s="123">
        <v>21</v>
      </c>
      <c r="AE96" s="123">
        <v>23</v>
      </c>
      <c r="AF96" s="120"/>
      <c r="AG96" s="120"/>
      <c r="AH96" s="123">
        <v>50</v>
      </c>
      <c r="AI96" s="120"/>
    </row>
    <row r="97" spans="1:35" ht="18" x14ac:dyDescent="0.3">
      <c r="A97" s="139" t="s">
        <v>1211</v>
      </c>
      <c r="B97" s="140">
        <v>45987</v>
      </c>
      <c r="C97" s="121" t="s">
        <v>666</v>
      </c>
      <c r="D97" s="141">
        <v>0.5</v>
      </c>
      <c r="E97" s="121" t="s">
        <v>649</v>
      </c>
      <c r="F97" s="121" t="s">
        <v>159</v>
      </c>
      <c r="G97" s="142">
        <v>1</v>
      </c>
      <c r="H97" s="123">
        <v>180</v>
      </c>
      <c r="I97" s="123">
        <v>180</v>
      </c>
      <c r="J97" s="123">
        <v>136</v>
      </c>
      <c r="K97" s="140">
        <v>45984</v>
      </c>
      <c r="L97" s="123">
        <v>0</v>
      </c>
      <c r="M97" s="123">
        <v>5</v>
      </c>
      <c r="N97" s="123">
        <v>8</v>
      </c>
      <c r="O97" s="121" t="s">
        <v>46</v>
      </c>
      <c r="P97" s="120"/>
      <c r="Q97" s="120"/>
      <c r="R97" s="120"/>
      <c r="S97" s="120"/>
      <c r="T97" s="120"/>
      <c r="U97" s="120"/>
      <c r="V97" s="120"/>
      <c r="W97" s="123">
        <v>1</v>
      </c>
      <c r="X97" s="123">
        <v>4</v>
      </c>
      <c r="Y97" s="120"/>
      <c r="Z97" s="120"/>
      <c r="AA97" s="120"/>
      <c r="AB97" s="123">
        <v>3</v>
      </c>
      <c r="AC97" s="123">
        <v>14</v>
      </c>
      <c r="AD97" s="123">
        <v>10</v>
      </c>
      <c r="AE97" s="123">
        <v>12</v>
      </c>
      <c r="AF97" s="120"/>
      <c r="AG97" s="120"/>
      <c r="AH97" s="123">
        <v>136</v>
      </c>
      <c r="AI97" s="120"/>
    </row>
    <row r="98" spans="1:35" ht="18" x14ac:dyDescent="0.3">
      <c r="A98" s="139" t="s">
        <v>1212</v>
      </c>
      <c r="B98" s="140">
        <v>45989</v>
      </c>
      <c r="C98" s="121" t="s">
        <v>666</v>
      </c>
      <c r="D98" s="141">
        <v>0.13541666666666671</v>
      </c>
      <c r="E98" s="121" t="s">
        <v>649</v>
      </c>
      <c r="F98" s="121" t="s">
        <v>159</v>
      </c>
      <c r="G98" s="142">
        <v>0.61109999999999998</v>
      </c>
      <c r="H98" s="123">
        <v>180</v>
      </c>
      <c r="I98" s="123">
        <v>110</v>
      </c>
      <c r="J98" s="123">
        <v>0</v>
      </c>
      <c r="K98" s="140">
        <v>45985</v>
      </c>
      <c r="L98" s="123">
        <v>1</v>
      </c>
      <c r="M98" s="123">
        <v>12</v>
      </c>
      <c r="N98" s="123">
        <v>66</v>
      </c>
      <c r="O98" s="121" t="s">
        <v>471</v>
      </c>
      <c r="P98" s="120"/>
      <c r="Q98" s="120"/>
      <c r="R98" s="120"/>
      <c r="S98" s="120"/>
      <c r="T98" s="120"/>
      <c r="U98" s="120"/>
      <c r="V98" s="120"/>
      <c r="W98" s="120"/>
      <c r="X98" s="123">
        <v>3</v>
      </c>
      <c r="Y98" s="123">
        <v>17</v>
      </c>
      <c r="Z98" s="123">
        <v>20</v>
      </c>
      <c r="AA98" s="123">
        <v>22</v>
      </c>
      <c r="AB98" s="123">
        <v>46</v>
      </c>
      <c r="AC98" s="123">
        <v>1</v>
      </c>
      <c r="AD98" s="123">
        <v>1</v>
      </c>
      <c r="AE98" s="120"/>
      <c r="AF98" s="120"/>
      <c r="AG98" s="120"/>
      <c r="AH98" s="120"/>
      <c r="AI98" s="120"/>
    </row>
    <row r="99" spans="1:35" ht="18" x14ac:dyDescent="0.3">
      <c r="A99" s="139" t="s">
        <v>194</v>
      </c>
      <c r="B99" s="140">
        <v>45990</v>
      </c>
      <c r="C99" s="121" t="s">
        <v>666</v>
      </c>
      <c r="D99" s="141">
        <v>0.1423611111111111</v>
      </c>
      <c r="E99" s="121" t="s">
        <v>649</v>
      </c>
      <c r="F99" s="121" t="s">
        <v>159</v>
      </c>
      <c r="G99" s="142">
        <v>0.68889999999999996</v>
      </c>
      <c r="H99" s="123">
        <v>180</v>
      </c>
      <c r="I99" s="123">
        <v>124</v>
      </c>
      <c r="J99" s="123">
        <v>85</v>
      </c>
      <c r="K99" s="140">
        <v>45985</v>
      </c>
      <c r="L99" s="123">
        <v>1</v>
      </c>
      <c r="M99" s="123">
        <v>1</v>
      </c>
      <c r="N99" s="123">
        <v>15</v>
      </c>
      <c r="O99" s="121" t="s">
        <v>435</v>
      </c>
      <c r="P99" s="123">
        <v>1</v>
      </c>
      <c r="Q99" s="120"/>
      <c r="R99" s="120"/>
      <c r="S99" s="120"/>
      <c r="T99" s="120"/>
      <c r="U99" s="120"/>
      <c r="V99" s="120"/>
      <c r="W99" s="120"/>
      <c r="X99" s="123">
        <v>2</v>
      </c>
      <c r="Y99" s="123">
        <v>16</v>
      </c>
      <c r="Z99" s="123">
        <v>11</v>
      </c>
      <c r="AA99" s="123">
        <v>5</v>
      </c>
      <c r="AB99" s="123">
        <v>4</v>
      </c>
      <c r="AC99" s="120"/>
      <c r="AD99" s="120"/>
      <c r="AE99" s="120"/>
      <c r="AF99" s="120"/>
      <c r="AG99" s="120"/>
      <c r="AH99" s="123">
        <v>85</v>
      </c>
      <c r="AI99" s="120"/>
    </row>
    <row r="100" spans="1:35" ht="18" x14ac:dyDescent="0.3">
      <c r="A100" s="139" t="s">
        <v>195</v>
      </c>
      <c r="B100" s="140">
        <v>45991</v>
      </c>
      <c r="C100" s="121" t="s">
        <v>666</v>
      </c>
      <c r="D100" s="141">
        <v>0.3298611111111111</v>
      </c>
      <c r="E100" s="121" t="s">
        <v>649</v>
      </c>
      <c r="F100" s="121" t="s">
        <v>159</v>
      </c>
      <c r="G100" s="142">
        <v>0.91669999999999996</v>
      </c>
      <c r="H100" s="123">
        <v>180</v>
      </c>
      <c r="I100" s="123">
        <v>165</v>
      </c>
      <c r="J100" s="123">
        <v>82</v>
      </c>
      <c r="K100" s="140">
        <v>45985</v>
      </c>
      <c r="L100" s="123">
        <v>2</v>
      </c>
      <c r="M100" s="123">
        <v>8</v>
      </c>
      <c r="N100" s="123">
        <v>54</v>
      </c>
      <c r="O100" s="121" t="s">
        <v>472</v>
      </c>
      <c r="P100" s="120"/>
      <c r="Q100" s="120"/>
      <c r="R100" s="120"/>
      <c r="S100" s="120"/>
      <c r="T100" s="120"/>
      <c r="U100" s="120"/>
      <c r="V100" s="120"/>
      <c r="W100" s="120"/>
      <c r="X100" s="120"/>
      <c r="Y100" s="120"/>
      <c r="Z100" s="123">
        <v>8</v>
      </c>
      <c r="AA100" s="123">
        <v>31</v>
      </c>
      <c r="AB100" s="123">
        <v>17</v>
      </c>
      <c r="AC100" s="123">
        <v>22</v>
      </c>
      <c r="AD100" s="123">
        <v>3</v>
      </c>
      <c r="AE100" s="123">
        <v>2</v>
      </c>
      <c r="AF100" s="123">
        <v>37</v>
      </c>
      <c r="AG100" s="120"/>
      <c r="AH100" s="123">
        <v>45</v>
      </c>
      <c r="AI100" s="120"/>
    </row>
    <row r="101" spans="1:35" ht="18" x14ac:dyDescent="0.3">
      <c r="A101" s="139" t="s">
        <v>192</v>
      </c>
      <c r="B101" s="140">
        <v>45986</v>
      </c>
      <c r="C101" s="121" t="s">
        <v>43</v>
      </c>
      <c r="D101" s="141">
        <v>0.81944444444444453</v>
      </c>
      <c r="E101" s="121" t="s">
        <v>1</v>
      </c>
      <c r="F101" s="121" t="s">
        <v>159</v>
      </c>
      <c r="G101" s="142">
        <v>0.99439999999999995</v>
      </c>
      <c r="H101" s="123">
        <v>180</v>
      </c>
      <c r="I101" s="123">
        <v>179</v>
      </c>
      <c r="J101" s="123">
        <v>152</v>
      </c>
      <c r="K101" s="140">
        <v>45984</v>
      </c>
      <c r="L101" s="123">
        <v>0</v>
      </c>
      <c r="M101" s="123">
        <v>1</v>
      </c>
      <c r="N101" s="123">
        <v>5</v>
      </c>
      <c r="O101" s="121" t="s">
        <v>46</v>
      </c>
      <c r="P101" s="120"/>
      <c r="Q101" s="120"/>
      <c r="R101" s="120"/>
      <c r="S101" s="120"/>
      <c r="T101" s="120"/>
      <c r="U101" s="120"/>
      <c r="V101" s="123">
        <v>1</v>
      </c>
      <c r="W101" s="120"/>
      <c r="X101" s="123">
        <v>1</v>
      </c>
      <c r="Y101" s="120"/>
      <c r="Z101" s="120"/>
      <c r="AA101" s="120"/>
      <c r="AB101" s="120"/>
      <c r="AC101" s="123">
        <v>3</v>
      </c>
      <c r="AD101" s="123">
        <v>12</v>
      </c>
      <c r="AE101" s="123">
        <v>8</v>
      </c>
      <c r="AF101" s="123">
        <v>65</v>
      </c>
      <c r="AG101" s="120"/>
      <c r="AH101" s="123">
        <v>87</v>
      </c>
      <c r="AI101" s="123">
        <v>2</v>
      </c>
    </row>
    <row r="102" spans="1:35" ht="18" x14ac:dyDescent="0.3">
      <c r="A102" s="139" t="s">
        <v>193</v>
      </c>
      <c r="B102" s="140">
        <v>45988</v>
      </c>
      <c r="C102" s="121" t="s">
        <v>43</v>
      </c>
      <c r="D102" s="141">
        <v>0.38194444444444442</v>
      </c>
      <c r="E102" s="121" t="s">
        <v>1</v>
      </c>
      <c r="F102" s="121" t="s">
        <v>159</v>
      </c>
      <c r="G102" s="142">
        <v>1.0111000000000001</v>
      </c>
      <c r="H102" s="123">
        <v>180</v>
      </c>
      <c r="I102" s="123">
        <v>182</v>
      </c>
      <c r="J102" s="123">
        <v>170</v>
      </c>
      <c r="K102" s="140">
        <v>45984</v>
      </c>
      <c r="L102" s="123">
        <v>0</v>
      </c>
      <c r="M102" s="123">
        <v>1</v>
      </c>
      <c r="N102" s="123">
        <v>1</v>
      </c>
      <c r="O102" s="121" t="s">
        <v>46</v>
      </c>
      <c r="P102" s="120"/>
      <c r="Q102" s="120"/>
      <c r="R102" s="120"/>
      <c r="S102" s="120"/>
      <c r="T102" s="120"/>
      <c r="U102" s="120"/>
      <c r="V102" s="120"/>
      <c r="W102" s="123">
        <v>1</v>
      </c>
      <c r="X102" s="120"/>
      <c r="Y102" s="120"/>
      <c r="Z102" s="120"/>
      <c r="AA102" s="120"/>
      <c r="AB102" s="120"/>
      <c r="AC102" s="120"/>
      <c r="AD102" s="123">
        <v>3</v>
      </c>
      <c r="AE102" s="123">
        <v>8</v>
      </c>
      <c r="AF102" s="120"/>
      <c r="AG102" s="120"/>
      <c r="AH102" s="123">
        <v>168</v>
      </c>
      <c r="AI102" s="123">
        <v>2</v>
      </c>
    </row>
    <row r="103" spans="1:35" ht="18" x14ac:dyDescent="0.3">
      <c r="A103" s="139" t="s">
        <v>194</v>
      </c>
      <c r="B103" s="140">
        <v>45990</v>
      </c>
      <c r="C103" s="121" t="s">
        <v>43</v>
      </c>
      <c r="D103" s="141">
        <v>0.2361111111111111</v>
      </c>
      <c r="E103" s="121" t="s">
        <v>1</v>
      </c>
      <c r="F103" s="121" t="s">
        <v>159</v>
      </c>
      <c r="G103" s="142">
        <v>0.99439999999999995</v>
      </c>
      <c r="H103" s="123">
        <v>180</v>
      </c>
      <c r="I103" s="123">
        <v>179</v>
      </c>
      <c r="J103" s="123">
        <v>138</v>
      </c>
      <c r="K103" s="140">
        <v>45977</v>
      </c>
      <c r="L103" s="123">
        <v>0</v>
      </c>
      <c r="M103" s="123">
        <v>0</v>
      </c>
      <c r="N103" s="123">
        <v>0</v>
      </c>
      <c r="O103" s="121" t="s">
        <v>46</v>
      </c>
      <c r="P103" s="120"/>
      <c r="Q103" s="120"/>
      <c r="R103" s="120"/>
      <c r="S103" s="120"/>
      <c r="T103" s="120"/>
      <c r="U103" s="120"/>
      <c r="V103" s="120"/>
      <c r="W103" s="120"/>
      <c r="X103" s="123">
        <v>2</v>
      </c>
      <c r="Y103" s="120"/>
      <c r="Z103" s="120"/>
      <c r="AA103" s="120"/>
      <c r="AB103" s="123">
        <v>7</v>
      </c>
      <c r="AC103" s="123">
        <v>11</v>
      </c>
      <c r="AD103" s="123">
        <v>11</v>
      </c>
      <c r="AE103" s="123">
        <v>10</v>
      </c>
      <c r="AF103" s="120"/>
      <c r="AG103" s="120"/>
      <c r="AH103" s="123">
        <v>135</v>
      </c>
      <c r="AI103" s="123">
        <v>3</v>
      </c>
    </row>
    <row r="104" spans="1:35" ht="18" x14ac:dyDescent="0.3">
      <c r="A104" s="139" t="s">
        <v>195</v>
      </c>
      <c r="B104" s="140">
        <v>45991</v>
      </c>
      <c r="C104" s="121" t="s">
        <v>43</v>
      </c>
      <c r="D104" s="141">
        <v>0.74305555555555547</v>
      </c>
      <c r="E104" s="121" t="s">
        <v>1</v>
      </c>
      <c r="F104" s="121" t="s">
        <v>159</v>
      </c>
      <c r="G104" s="142">
        <v>0.99439999999999995</v>
      </c>
      <c r="H104" s="123">
        <v>180</v>
      </c>
      <c r="I104" s="123">
        <v>179</v>
      </c>
      <c r="J104" s="123">
        <v>135</v>
      </c>
      <c r="K104" s="140">
        <v>45977</v>
      </c>
      <c r="L104" s="123">
        <v>0</v>
      </c>
      <c r="M104" s="123">
        <v>0</v>
      </c>
      <c r="N104" s="123">
        <v>0</v>
      </c>
      <c r="O104" s="121" t="s">
        <v>126</v>
      </c>
      <c r="P104" s="120"/>
      <c r="Q104" s="120"/>
      <c r="R104" s="120"/>
      <c r="S104" s="120"/>
      <c r="T104" s="120"/>
      <c r="U104" s="120"/>
      <c r="V104" s="120"/>
      <c r="W104" s="123">
        <v>4</v>
      </c>
      <c r="X104" s="120"/>
      <c r="Y104" s="120"/>
      <c r="Z104" s="120"/>
      <c r="AA104" s="120"/>
      <c r="AB104" s="123">
        <v>8</v>
      </c>
      <c r="AC104" s="123">
        <v>11</v>
      </c>
      <c r="AD104" s="123">
        <v>11</v>
      </c>
      <c r="AE104" s="123">
        <v>10</v>
      </c>
      <c r="AF104" s="120"/>
      <c r="AG104" s="120"/>
      <c r="AH104" s="123">
        <v>135</v>
      </c>
      <c r="AI104" s="120"/>
    </row>
    <row r="105" spans="1:35" ht="18" x14ac:dyDescent="0.3">
      <c r="A105" s="139" t="s">
        <v>192</v>
      </c>
      <c r="B105" s="140">
        <v>45986</v>
      </c>
      <c r="C105" s="121" t="s">
        <v>723</v>
      </c>
      <c r="D105" s="141">
        <v>0.79166666666666663</v>
      </c>
      <c r="E105" s="121" t="s">
        <v>718</v>
      </c>
      <c r="F105" s="121" t="s">
        <v>159</v>
      </c>
      <c r="G105" s="142">
        <v>0</v>
      </c>
      <c r="H105" s="123">
        <v>180</v>
      </c>
      <c r="I105" s="123">
        <v>0</v>
      </c>
      <c r="J105" s="123">
        <v>0</v>
      </c>
      <c r="K105" s="140" t="s">
        <v>722</v>
      </c>
      <c r="L105" s="123">
        <v>0</v>
      </c>
      <c r="M105" s="123">
        <v>0</v>
      </c>
      <c r="N105" s="123">
        <v>0</v>
      </c>
      <c r="O105" s="121" t="s">
        <v>46</v>
      </c>
      <c r="P105" s="120"/>
      <c r="Q105" s="120"/>
      <c r="R105" s="120"/>
      <c r="S105" s="120"/>
      <c r="T105" s="120"/>
      <c r="U105" s="120"/>
      <c r="V105" s="120"/>
      <c r="W105" s="120"/>
      <c r="X105" s="120"/>
      <c r="Y105" s="120"/>
      <c r="Z105" s="120"/>
      <c r="AA105" s="120"/>
      <c r="AB105" s="120"/>
      <c r="AC105" s="120"/>
      <c r="AD105" s="120"/>
      <c r="AE105" s="120"/>
      <c r="AF105" s="120"/>
      <c r="AG105" s="120"/>
      <c r="AH105" s="120"/>
      <c r="AI105" s="120"/>
    </row>
    <row r="106" spans="1:35" ht="18" x14ac:dyDescent="0.3">
      <c r="A106" s="139" t="s">
        <v>192</v>
      </c>
      <c r="B106" s="140">
        <v>45986</v>
      </c>
      <c r="C106" s="121" t="s">
        <v>1050</v>
      </c>
      <c r="D106" s="141">
        <v>0.3125</v>
      </c>
      <c r="E106" s="121" t="s">
        <v>1047</v>
      </c>
      <c r="F106" s="121" t="s">
        <v>159</v>
      </c>
      <c r="G106" s="142">
        <v>0.94969999999999999</v>
      </c>
      <c r="H106" s="123">
        <v>179</v>
      </c>
      <c r="I106" s="123">
        <v>170</v>
      </c>
      <c r="J106" s="123">
        <v>0</v>
      </c>
      <c r="K106" s="140">
        <v>45985</v>
      </c>
      <c r="L106" s="123">
        <v>1</v>
      </c>
      <c r="M106" s="123">
        <v>22</v>
      </c>
      <c r="N106" s="123">
        <v>126</v>
      </c>
      <c r="O106" s="121" t="s">
        <v>511</v>
      </c>
      <c r="P106" s="120"/>
      <c r="Q106" s="120"/>
      <c r="R106" s="120"/>
      <c r="S106" s="120"/>
      <c r="T106" s="123">
        <v>1</v>
      </c>
      <c r="U106" s="123">
        <v>14</v>
      </c>
      <c r="V106" s="123">
        <v>5</v>
      </c>
      <c r="W106" s="120"/>
      <c r="X106" s="123">
        <v>54</v>
      </c>
      <c r="Y106" s="123">
        <v>23</v>
      </c>
      <c r="Z106" s="123">
        <v>20</v>
      </c>
      <c r="AA106" s="123">
        <v>9</v>
      </c>
      <c r="AB106" s="123">
        <v>34</v>
      </c>
      <c r="AC106" s="120"/>
      <c r="AD106" s="123">
        <v>1</v>
      </c>
      <c r="AE106" s="123">
        <v>9</v>
      </c>
      <c r="AF106" s="120"/>
      <c r="AG106" s="120"/>
      <c r="AH106" s="120"/>
      <c r="AI106" s="120"/>
    </row>
    <row r="107" spans="1:35" ht="18" x14ac:dyDescent="0.3">
      <c r="A107" s="139" t="s">
        <v>193</v>
      </c>
      <c r="B107" s="140">
        <v>45988</v>
      </c>
      <c r="C107" s="121" t="s">
        <v>1050</v>
      </c>
      <c r="D107" s="141">
        <v>0.76736111111111116</v>
      </c>
      <c r="E107" s="121" t="s">
        <v>1047</v>
      </c>
      <c r="F107" s="121" t="s">
        <v>159</v>
      </c>
      <c r="G107" s="142">
        <v>0.91059999999999997</v>
      </c>
      <c r="H107" s="123">
        <v>179</v>
      </c>
      <c r="I107" s="123">
        <v>163</v>
      </c>
      <c r="J107" s="123">
        <v>0</v>
      </c>
      <c r="K107" s="140">
        <v>45984</v>
      </c>
      <c r="L107" s="123">
        <v>0</v>
      </c>
      <c r="M107" s="123">
        <v>8</v>
      </c>
      <c r="N107" s="123">
        <v>69</v>
      </c>
      <c r="O107" s="121" t="s">
        <v>511</v>
      </c>
      <c r="P107" s="120"/>
      <c r="Q107" s="120"/>
      <c r="R107" s="120"/>
      <c r="S107" s="120"/>
      <c r="T107" s="120"/>
      <c r="U107" s="123">
        <v>2</v>
      </c>
      <c r="V107" s="123">
        <v>30</v>
      </c>
      <c r="W107" s="123">
        <v>21</v>
      </c>
      <c r="X107" s="123">
        <v>14</v>
      </c>
      <c r="Y107" s="123">
        <v>25</v>
      </c>
      <c r="Z107" s="123">
        <v>3</v>
      </c>
      <c r="AA107" s="123">
        <v>15</v>
      </c>
      <c r="AB107" s="123">
        <v>24</v>
      </c>
      <c r="AC107" s="123">
        <v>8</v>
      </c>
      <c r="AD107" s="123">
        <v>4</v>
      </c>
      <c r="AE107" s="123">
        <v>17</v>
      </c>
      <c r="AF107" s="120"/>
      <c r="AG107" s="120"/>
      <c r="AH107" s="120"/>
      <c r="AI107" s="120"/>
    </row>
    <row r="108" spans="1:35" ht="18" x14ac:dyDescent="0.3">
      <c r="A108" s="139" t="s">
        <v>194</v>
      </c>
      <c r="B108" s="140">
        <v>45990</v>
      </c>
      <c r="C108" s="121" t="s">
        <v>1050</v>
      </c>
      <c r="D108" s="141">
        <v>0.71875</v>
      </c>
      <c r="E108" s="121" t="s">
        <v>1047</v>
      </c>
      <c r="F108" s="121" t="s">
        <v>159</v>
      </c>
      <c r="G108" s="142">
        <v>0.88270000000000004</v>
      </c>
      <c r="H108" s="123">
        <v>179</v>
      </c>
      <c r="I108" s="123">
        <v>158</v>
      </c>
      <c r="J108" s="123">
        <v>0</v>
      </c>
      <c r="K108" s="140">
        <v>45984</v>
      </c>
      <c r="L108" s="123">
        <v>0</v>
      </c>
      <c r="M108" s="123">
        <v>10</v>
      </c>
      <c r="N108" s="123">
        <v>36</v>
      </c>
      <c r="O108" s="121" t="s">
        <v>981</v>
      </c>
      <c r="P108" s="120"/>
      <c r="Q108" s="120"/>
      <c r="R108" s="120"/>
      <c r="S108" s="123">
        <v>4</v>
      </c>
      <c r="T108" s="123">
        <v>21</v>
      </c>
      <c r="U108" s="123">
        <v>14</v>
      </c>
      <c r="V108" s="123">
        <v>34</v>
      </c>
      <c r="W108" s="123">
        <v>13</v>
      </c>
      <c r="X108" s="123">
        <v>3</v>
      </c>
      <c r="Y108" s="123">
        <v>6</v>
      </c>
      <c r="Z108" s="123">
        <v>16</v>
      </c>
      <c r="AA108" s="123">
        <v>12</v>
      </c>
      <c r="AB108" s="123">
        <v>8</v>
      </c>
      <c r="AC108" s="123">
        <v>9</v>
      </c>
      <c r="AD108" s="123">
        <v>14</v>
      </c>
      <c r="AE108" s="123">
        <v>4</v>
      </c>
      <c r="AF108" s="120"/>
      <c r="AG108" s="120"/>
      <c r="AH108" s="120"/>
      <c r="AI108" s="120"/>
    </row>
    <row r="109" spans="1:35" ht="18" x14ac:dyDescent="0.3">
      <c r="A109" s="139" t="s">
        <v>1212</v>
      </c>
      <c r="B109" s="140">
        <v>45989</v>
      </c>
      <c r="C109" s="121" t="s">
        <v>1073</v>
      </c>
      <c r="D109" s="141">
        <v>0.47916666666666669</v>
      </c>
      <c r="E109" s="121" t="s">
        <v>1070</v>
      </c>
      <c r="F109" s="121" t="s">
        <v>159</v>
      </c>
      <c r="G109" s="142">
        <v>0.73180000000000001</v>
      </c>
      <c r="H109" s="123">
        <v>179</v>
      </c>
      <c r="I109" s="123">
        <v>131</v>
      </c>
      <c r="J109" s="123">
        <v>0</v>
      </c>
      <c r="K109" s="140">
        <v>45984</v>
      </c>
      <c r="L109" s="123">
        <v>0</v>
      </c>
      <c r="M109" s="123">
        <v>18</v>
      </c>
      <c r="N109" s="123">
        <v>82</v>
      </c>
      <c r="O109" s="121" t="s">
        <v>436</v>
      </c>
      <c r="P109" s="120"/>
      <c r="Q109" s="120"/>
      <c r="R109" s="120"/>
      <c r="S109" s="120"/>
      <c r="T109" s="120"/>
      <c r="U109" s="120"/>
      <c r="V109" s="120"/>
      <c r="W109" s="120"/>
      <c r="X109" s="120"/>
      <c r="Y109" s="120"/>
      <c r="Z109" s="120"/>
      <c r="AA109" s="120"/>
      <c r="AB109" s="123">
        <v>54</v>
      </c>
      <c r="AC109" s="123">
        <v>14</v>
      </c>
      <c r="AD109" s="123">
        <v>19</v>
      </c>
      <c r="AE109" s="123">
        <v>44</v>
      </c>
      <c r="AF109" s="120"/>
      <c r="AG109" s="120"/>
      <c r="AH109" s="120"/>
      <c r="AI109" s="120"/>
    </row>
    <row r="110" spans="1:35" x14ac:dyDescent="0.3">
      <c r="A110" s="143" t="s">
        <v>189</v>
      </c>
      <c r="B110" s="144"/>
      <c r="C110" s="145">
        <f>COUNTA(C2:C109)</f>
        <v>108</v>
      </c>
      <c r="D110" s="144"/>
      <c r="E110" s="144"/>
      <c r="F110" s="144"/>
      <c r="G110" s="146">
        <f>AVERAGE(G2:G109)</f>
        <v>0.88538888888888878</v>
      </c>
      <c r="H110" s="147">
        <f>SUM(H2:H109)</f>
        <v>19402</v>
      </c>
      <c r="I110" s="147">
        <f>SUM(I2:I109)</f>
        <v>17182</v>
      </c>
      <c r="J110" s="147">
        <f>SUM(J2:J109)</f>
        <v>6578</v>
      </c>
      <c r="K110" s="144"/>
      <c r="L110" s="147">
        <f>SUM(L2:L109)</f>
        <v>134</v>
      </c>
      <c r="M110" s="147">
        <f>SUM(M2:M109)</f>
        <v>511</v>
      </c>
      <c r="N110" s="147">
        <f>SUM(N2:N109)</f>
        <v>3155</v>
      </c>
      <c r="O110" s="144"/>
      <c r="P110" s="147">
        <f t="shared" ref="P110:AI110" si="0">SUM(P2:P109)</f>
        <v>108</v>
      </c>
      <c r="Q110" s="147">
        <f t="shared" si="0"/>
        <v>37</v>
      </c>
      <c r="R110" s="147">
        <f t="shared" si="0"/>
        <v>104</v>
      </c>
      <c r="S110" s="147">
        <f t="shared" si="0"/>
        <v>213</v>
      </c>
      <c r="T110" s="147">
        <f t="shared" si="0"/>
        <v>258</v>
      </c>
      <c r="U110" s="147">
        <f t="shared" si="0"/>
        <v>429</v>
      </c>
      <c r="V110" s="147">
        <f t="shared" si="0"/>
        <v>681</v>
      </c>
      <c r="W110" s="147">
        <f t="shared" si="0"/>
        <v>789</v>
      </c>
      <c r="X110" s="147">
        <f t="shared" si="0"/>
        <v>985</v>
      </c>
      <c r="Y110" s="147">
        <f t="shared" si="0"/>
        <v>1134</v>
      </c>
      <c r="Z110" s="147">
        <f t="shared" si="0"/>
        <v>942</v>
      </c>
      <c r="AA110" s="147">
        <f t="shared" si="0"/>
        <v>988</v>
      </c>
      <c r="AB110" s="147">
        <f t="shared" si="0"/>
        <v>1153</v>
      </c>
      <c r="AC110" s="147">
        <f t="shared" si="0"/>
        <v>933</v>
      </c>
      <c r="AD110" s="147">
        <f t="shared" si="0"/>
        <v>957</v>
      </c>
      <c r="AE110" s="147">
        <f t="shared" si="0"/>
        <v>885</v>
      </c>
      <c r="AF110" s="147">
        <f t="shared" si="0"/>
        <v>268</v>
      </c>
      <c r="AG110" s="147">
        <f t="shared" si="0"/>
        <v>0</v>
      </c>
      <c r="AH110" s="147">
        <f t="shared" si="0"/>
        <v>6286</v>
      </c>
      <c r="AI110" s="147">
        <f t="shared" si="0"/>
        <v>32</v>
      </c>
    </row>
  </sheetData>
  <autoFilter ref="A1:AI109"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CAI-MED</vt:lpstr>
      <vt:lpstr>CAI-MED LF LEGACY</vt:lpstr>
      <vt:lpstr>CAI-MED — FOCUS MODE</vt:lpstr>
      <vt:lpstr>LF_ALL_ROUTES</vt:lpstr>
      <vt:lpstr>HBE-MED</vt:lpstr>
      <vt:lpstr>HBE-MED LF LEGACY</vt:lpstr>
      <vt:lpstr>HBE-MED — FOCUS MODE</vt:lpstr>
      <vt:lpstr>ATZ-MED</vt:lpstr>
      <vt:lpstr>ATZ-MED LF LEGACY</vt:lpstr>
      <vt:lpstr>ATZ-MED — FOCUS MODE</vt:lpstr>
      <vt:lpstr>CAI-JED</vt:lpstr>
      <vt:lpstr>CAI-JED LF LEGACY</vt:lpstr>
      <vt:lpstr>CAI-JED — FOCUS MODE</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ATZ-RUH</vt:lpstr>
      <vt:lpstr>ATZ-RUH LF LEGACY</vt:lpstr>
      <vt:lpstr>ATZ-RUH — FOCUS MODE</vt:lpstr>
      <vt:lpstr>CAI-DMM</vt:lpstr>
      <vt:lpstr>CAI-DMM LF LEGACY</vt:lpstr>
      <vt:lpstr>CAI-DMM — FOCUS MODE</vt:lpstr>
      <vt:lpstr>ATZ-DMM</vt:lpstr>
      <vt:lpstr>ATZ-DMM LF LEGACY</vt:lpstr>
      <vt:lpstr>ATZ-DMM — FOCUS MODE</vt:lpstr>
      <vt:lpstr>CAI-TUU</vt:lpstr>
      <vt:lpstr>CAI-TUU LF LEGACY</vt:lpstr>
      <vt:lpstr>CAI-TUU — FOCUS MODE</vt:lpstr>
      <vt:lpstr>ATZ-TUU</vt:lpstr>
      <vt:lpstr>ATZ-TUU LF LEGACY</vt:lpstr>
      <vt:lpstr>ATZ-TUU — FOCUS MODE</vt:lpstr>
      <vt:lpstr>CAI-AJF</vt:lpstr>
      <vt:lpstr>CAI-AJF LF LEGACY</vt:lpstr>
      <vt:lpstr>CAI-AJF — FOCUS MODE</vt:lpstr>
      <vt:lpstr>ATZ-AJF</vt:lpstr>
      <vt:lpstr>ATZ-AJF LF LEGACY</vt:lpstr>
      <vt:lpstr>ATZ-AJF — FOCUS MODE</vt:lpstr>
      <vt:lpstr>CAI-YNB</vt:lpstr>
      <vt:lpstr>CAI-YNB LF LEGACY</vt:lpstr>
      <vt:lpstr>CAI-YNB — FOCUS MODE</vt:lpstr>
      <vt:lpstr>CAI-AHB</vt:lpstr>
      <vt:lpstr>CAI-AHB LF LEGACY</vt:lpstr>
      <vt:lpstr>CAI-AHB — FOCUS MODE</vt:lpstr>
      <vt:lpstr>ATZ-AHB</vt:lpstr>
      <vt:lpstr>ATZ-AHB LF LEGACY</vt:lpstr>
      <vt:lpstr>ATZ-AHB — FOCUS MODE</vt:lpstr>
      <vt:lpstr>CAI-ELQ</vt:lpstr>
      <vt:lpstr>CAI-ELQ LF LEGACY</vt:lpstr>
      <vt:lpstr>CAI-ELQ — FOCUS MODE</vt:lpstr>
      <vt:lpstr>ATZ-ELQ</vt:lpstr>
      <vt:lpstr>ATZ-ELQ LF LEGACY</vt:lpstr>
      <vt:lpstr>ATZ-ELQ — FOCUS MODE</vt:lpstr>
      <vt:lpstr>CAI-GIZ</vt:lpstr>
      <vt:lpstr>CAI-GIZ LF LEGACY</vt:lpstr>
      <vt:lpstr>CAI-GIZ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2025-11-24T05:41:26Z</dcterms:created>
  <dcterms:modified xsi:type="dcterms:W3CDTF">2025-11-24T05:41:40Z</dcterms:modified>
</cp:coreProperties>
</file>