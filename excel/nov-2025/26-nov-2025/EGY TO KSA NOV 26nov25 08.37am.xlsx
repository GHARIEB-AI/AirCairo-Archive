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BIG_DATA\big_data_egy_oct_9222\9222_OUTPUT\"/>
    </mc:Choice>
  </mc:AlternateContent>
  <xr:revisionPtr revIDLastSave="0" documentId="13_ncr:1_{A0CCA8F7-02AD-4BF4-9298-4BD114743D6A}" xr6:coauthVersionLast="47" xr6:coauthVersionMax="47" xr10:uidLastSave="{00000000-0000-0000-0000-000000000000}"/>
  <bookViews>
    <workbookView xWindow="-108" yWindow="-108" windowWidth="23256" windowHeight="12456" firstSheet="68" activeTab="72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5" r:id="rId4"/>
    <sheet name="HBE-MED LF LEGACY" sheetId="6" r:id="rId5"/>
    <sheet name="HBE-MED — FOCUS MODE" sheetId="7" r:id="rId6"/>
    <sheet name="ATZ-MED" sheetId="8" r:id="rId7"/>
    <sheet name="ATZ-MED LF LEGACY" sheetId="9" r:id="rId8"/>
    <sheet name="ATZ-MED — FOCUS MODE" sheetId="10" r:id="rId9"/>
    <sheet name="CAI-JED" sheetId="11" r:id="rId10"/>
    <sheet name="CAI-JED LF LEGACY" sheetId="12" r:id="rId11"/>
    <sheet name="CAI-JED — FOCUS MODE" sheetId="13" r:id="rId12"/>
    <sheet name="HBE-JED" sheetId="14" r:id="rId13"/>
    <sheet name="HBE-JED LF LEGACY" sheetId="15" r:id="rId14"/>
    <sheet name="HBE-JED — FOCUS MODE" sheetId="16" r:id="rId15"/>
    <sheet name="ATZ-JED" sheetId="17" r:id="rId16"/>
    <sheet name="ATZ-JED LF LEGACY" sheetId="18" r:id="rId17"/>
    <sheet name="ATZ-JED — FOCUS MODE" sheetId="19" r:id="rId18"/>
    <sheet name="LXR-JED" sheetId="20" r:id="rId19"/>
    <sheet name="LXR-JED LF LEGACY" sheetId="21" r:id="rId20"/>
    <sheet name="LXR-JED — FOCUS MODE" sheetId="22" r:id="rId21"/>
    <sheet name="ASW-JED" sheetId="23" r:id="rId22"/>
    <sheet name="ASW-JED LF LEGACY" sheetId="24" r:id="rId23"/>
    <sheet name="ASW-JED — FOCUS MODE" sheetId="25" r:id="rId24"/>
    <sheet name="SSH-JED" sheetId="26" r:id="rId25"/>
    <sheet name="SSH-JED LF LEGACY" sheetId="27" r:id="rId26"/>
    <sheet name="SSH-JED — FOCUS MODE" sheetId="28" r:id="rId27"/>
    <sheet name="HRG-JED" sheetId="29" r:id="rId28"/>
    <sheet name="HRG-JED LF LEGACY" sheetId="30" r:id="rId29"/>
    <sheet name="HRG-JED — FOCUS MODE" sheetId="31" r:id="rId30"/>
    <sheet name="CAI-RUH" sheetId="32" r:id="rId31"/>
    <sheet name="CAI-RUH LF LEGACY" sheetId="33" r:id="rId32"/>
    <sheet name="CAI-RUH — FOCUS MODE" sheetId="34" r:id="rId33"/>
    <sheet name="ATZ-RUH" sheetId="35" r:id="rId34"/>
    <sheet name="ATZ-RUH LF LEGACY" sheetId="36" r:id="rId35"/>
    <sheet name="ATZ-RUH — FOCUS MODE" sheetId="37" r:id="rId36"/>
    <sheet name="CAI-DMM" sheetId="38" r:id="rId37"/>
    <sheet name="CAI-DMM LF LEGACY" sheetId="39" r:id="rId38"/>
    <sheet name="CAI-DMM — FOCUS MODE" sheetId="40" r:id="rId39"/>
    <sheet name="ATZ-DMM" sheetId="41" r:id="rId40"/>
    <sheet name="ATZ-DMM LF LEGACY" sheetId="42" r:id="rId41"/>
    <sheet name="ATZ-DMM — FOCUS MODE" sheetId="43" r:id="rId42"/>
    <sheet name="CAI-TUU" sheetId="44" r:id="rId43"/>
    <sheet name="CAI-TUU LF LEGACY" sheetId="45" r:id="rId44"/>
    <sheet name="CAI-TUU — FOCUS MODE" sheetId="46" r:id="rId45"/>
    <sheet name="ATZ-TUU" sheetId="47" r:id="rId46"/>
    <sheet name="ATZ-TUU LF LEGACY" sheetId="48" r:id="rId47"/>
    <sheet name="ATZ-TUU — FOCUS MODE" sheetId="49" r:id="rId48"/>
    <sheet name="CAI-AJF" sheetId="50" r:id="rId49"/>
    <sheet name="CAI-AJF LF LEGACY" sheetId="51" r:id="rId50"/>
    <sheet name="CAI-AJF — FOCUS MODE" sheetId="52" r:id="rId51"/>
    <sheet name="ATZ-AJF" sheetId="53" r:id="rId52"/>
    <sheet name="ATZ-AJF LF LEGACY" sheetId="54" r:id="rId53"/>
    <sheet name="ATZ-AJF — FOCUS MODE" sheetId="55" r:id="rId54"/>
    <sheet name="CAI-YNB" sheetId="56" r:id="rId55"/>
    <sheet name="CAI-YNB LF LEGACY" sheetId="57" r:id="rId56"/>
    <sheet name="CAI-YNB — FOCUS MODE" sheetId="58" r:id="rId57"/>
    <sheet name="CAI-AHB" sheetId="59" r:id="rId58"/>
    <sheet name="CAI-AHB LF LEGACY" sheetId="60" r:id="rId59"/>
    <sheet name="CAI-AHB — FOCUS MODE" sheetId="61" r:id="rId60"/>
    <sheet name="ATZ-AHB" sheetId="62" r:id="rId61"/>
    <sheet name="ATZ-AHB LF LEGACY" sheetId="63" r:id="rId62"/>
    <sheet name="ATZ-AHB — FOCUS MODE" sheetId="64" r:id="rId63"/>
    <sheet name="CAI-ELQ" sheetId="65" r:id="rId64"/>
    <sheet name="CAI-ELQ LF LEGACY" sheetId="66" r:id="rId65"/>
    <sheet name="CAI-ELQ — FOCUS MODE" sheetId="67" r:id="rId66"/>
    <sheet name="ATZ-ELQ" sheetId="68" r:id="rId67"/>
    <sheet name="ATZ-ELQ LF LEGACY" sheetId="69" r:id="rId68"/>
    <sheet name="ATZ-ELQ — FOCUS MODE" sheetId="70" r:id="rId69"/>
    <sheet name="CAI-GIZ" sheetId="71" r:id="rId70"/>
    <sheet name="CAI-GIZ LF LEGACY" sheetId="72" r:id="rId71"/>
    <sheet name="CAI-GIZ — FOCUS MODE" sheetId="73" r:id="rId72"/>
    <sheet name="LF_ALL_ROUTES1" sheetId="74" r:id="rId73"/>
  </sheets>
  <definedNames>
    <definedName name="_xlnm._FilterDatabase" localSheetId="61" hidden="1">'ATZ-AHB LF LEGACY'!$A$1:$AI$2</definedName>
    <definedName name="_xlnm._FilterDatabase" localSheetId="52" hidden="1">'ATZ-AJF LF LEGACY'!$A$1:$AI$2</definedName>
    <definedName name="_xlnm._FilterDatabase" localSheetId="40" hidden="1">'ATZ-DMM LF LEGACY'!$A$1:$AI$2</definedName>
    <definedName name="_xlnm._FilterDatabase" localSheetId="67" hidden="1">'ATZ-ELQ LF LEGACY'!$A$1:$AI$2</definedName>
    <definedName name="_xlnm._FilterDatabase" localSheetId="16" hidden="1">'ATZ-JED LF LEGACY'!$A$1:$AI$8</definedName>
    <definedName name="_xlnm._FilterDatabase" localSheetId="7" hidden="1">'ATZ-MED LF LEGACY'!$A$1:$AI$2</definedName>
    <definedName name="_xlnm._FilterDatabase" localSheetId="34" hidden="1">'ATZ-RUH LF LEGACY'!$A$1:$AI$2</definedName>
    <definedName name="_xlnm._FilterDatabase" localSheetId="46" hidden="1">'ATZ-TUU LF LEGACY'!$A$1:$AI$2</definedName>
    <definedName name="_xlnm._FilterDatabase" localSheetId="58" hidden="1">'CAI-AHB LF LEGACY'!$A$1:$AI$3</definedName>
    <definedName name="_xlnm._FilterDatabase" localSheetId="49" hidden="1">'CAI-AJF LF LEGACY'!$A$1:$AI$3</definedName>
    <definedName name="_xlnm._FilterDatabase" localSheetId="37" hidden="1">'CAI-DMM LF LEGACY'!$A$1:$AI$4</definedName>
    <definedName name="_xlnm._FilterDatabase" localSheetId="64" hidden="1">'CAI-ELQ LF LEGACY'!$A$1:$AI$4</definedName>
    <definedName name="_xlnm._FilterDatabase" localSheetId="70" hidden="1">'CAI-GIZ LF LEGACY'!$A$1:$AI$3</definedName>
    <definedName name="_xlnm._FilterDatabase" localSheetId="10" hidden="1">'CAI-JED LF LEGACY'!$A$1:$AI$21</definedName>
    <definedName name="_xlnm._FilterDatabase" localSheetId="1" hidden="1">'CAI-MED LF LEGACY'!$A$1:$AI$4</definedName>
    <definedName name="_xlnm._FilterDatabase" localSheetId="31" hidden="1">'CAI-RUH LF LEGACY'!$A$1:$AI$6</definedName>
    <definedName name="_xlnm._FilterDatabase" localSheetId="43" hidden="1">'CAI-TUU LF LEGACY'!$A$1:$AI$3</definedName>
    <definedName name="_xlnm._FilterDatabase" localSheetId="55" hidden="1">'CAI-YNB LF LEGACY'!$A$1:$AI$5</definedName>
    <definedName name="_xlnm._FilterDatabase" localSheetId="13" hidden="1">'HBE-JED LF LEGACY'!$A$1:$AI$7</definedName>
    <definedName name="_xlnm._FilterDatabase" localSheetId="4" hidden="1">'HBE-MED LF LEGACY'!$A$1:$AI$3</definedName>
    <definedName name="_xlnm._FilterDatabase" localSheetId="72" hidden="1">LF_ALL_ROUTES1!$A$1:$AI$69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70" i="74" l="1"/>
  <c r="AH70" i="74"/>
  <c r="AG70" i="74"/>
  <c r="AF70" i="74"/>
  <c r="AE70" i="74"/>
  <c r="AD70" i="74"/>
  <c r="AC70" i="74"/>
  <c r="AB70" i="74"/>
  <c r="AA70" i="74"/>
  <c r="Z70" i="74"/>
  <c r="Y70" i="74"/>
  <c r="X70" i="74"/>
  <c r="W70" i="74"/>
  <c r="V70" i="74"/>
  <c r="U70" i="74"/>
  <c r="T70" i="74"/>
  <c r="S70" i="74"/>
  <c r="R70" i="74"/>
  <c r="Q70" i="74"/>
  <c r="P70" i="74"/>
  <c r="N70" i="74"/>
  <c r="M70" i="74"/>
  <c r="L70" i="74"/>
  <c r="J70" i="74"/>
  <c r="I70" i="74"/>
  <c r="H70" i="74"/>
  <c r="G70" i="74"/>
  <c r="C70" i="74"/>
  <c r="AI4" i="72"/>
  <c r="AH4" i="72"/>
  <c r="AG4" i="72"/>
  <c r="AF4" i="72"/>
  <c r="AE4" i="72"/>
  <c r="AD4" i="72"/>
  <c r="AC4" i="72"/>
  <c r="AB4" i="72"/>
  <c r="AA4" i="72"/>
  <c r="Z4" i="72"/>
  <c r="Y4" i="72"/>
  <c r="X4" i="72"/>
  <c r="W4" i="72"/>
  <c r="V4" i="72"/>
  <c r="U4" i="72"/>
  <c r="T4" i="72"/>
  <c r="S4" i="72"/>
  <c r="R4" i="72"/>
  <c r="Q4" i="72"/>
  <c r="P4" i="72"/>
  <c r="N4" i="72"/>
  <c r="M4" i="72"/>
  <c r="L4" i="72"/>
  <c r="J4" i="72"/>
  <c r="I4" i="72"/>
  <c r="H4" i="72"/>
  <c r="G4" i="72"/>
  <c r="C4" i="72"/>
  <c r="AI3" i="69"/>
  <c r="AH3" i="69"/>
  <c r="AG3" i="69"/>
  <c r="AF3" i="69"/>
  <c r="AE3" i="69"/>
  <c r="AD3" i="69"/>
  <c r="AC3" i="69"/>
  <c r="AB3" i="69"/>
  <c r="AA3" i="69"/>
  <c r="Z3" i="69"/>
  <c r="Y3" i="69"/>
  <c r="X3" i="69"/>
  <c r="W3" i="69"/>
  <c r="V3" i="69"/>
  <c r="U3" i="69"/>
  <c r="T3" i="69"/>
  <c r="S3" i="69"/>
  <c r="R3" i="69"/>
  <c r="Q3" i="69"/>
  <c r="P3" i="69"/>
  <c r="N3" i="69"/>
  <c r="M3" i="69"/>
  <c r="L3" i="69"/>
  <c r="J3" i="69"/>
  <c r="I3" i="69"/>
  <c r="H3" i="69"/>
  <c r="G3" i="69"/>
  <c r="C3" i="69"/>
  <c r="AI5" i="66"/>
  <c r="AH5" i="66"/>
  <c r="AG5" i="66"/>
  <c r="AF5" i="66"/>
  <c r="AE5" i="66"/>
  <c r="AD5" i="66"/>
  <c r="AC5" i="66"/>
  <c r="AB5" i="66"/>
  <c r="AA5" i="66"/>
  <c r="Z5" i="66"/>
  <c r="Y5" i="66"/>
  <c r="X5" i="66"/>
  <c r="W5" i="66"/>
  <c r="V5" i="66"/>
  <c r="U5" i="66"/>
  <c r="T5" i="66"/>
  <c r="S5" i="66"/>
  <c r="R5" i="66"/>
  <c r="Q5" i="66"/>
  <c r="P5" i="66"/>
  <c r="N5" i="66"/>
  <c r="M5" i="66"/>
  <c r="L5" i="66"/>
  <c r="J5" i="66"/>
  <c r="I5" i="66"/>
  <c r="H5" i="66"/>
  <c r="G5" i="66"/>
  <c r="C5" i="66"/>
  <c r="AI3" i="63"/>
  <c r="AH3" i="63"/>
  <c r="AG3" i="63"/>
  <c r="AF3" i="63"/>
  <c r="AE3" i="63"/>
  <c r="AD3" i="63"/>
  <c r="AC3" i="63"/>
  <c r="AB3" i="63"/>
  <c r="AA3" i="63"/>
  <c r="Z3" i="63"/>
  <c r="Y3" i="63"/>
  <c r="X3" i="63"/>
  <c r="W3" i="63"/>
  <c r="V3" i="63"/>
  <c r="U3" i="63"/>
  <c r="T3" i="63"/>
  <c r="S3" i="63"/>
  <c r="R3" i="63"/>
  <c r="Q3" i="63"/>
  <c r="P3" i="63"/>
  <c r="N3" i="63"/>
  <c r="M3" i="63"/>
  <c r="L3" i="63"/>
  <c r="J3" i="63"/>
  <c r="I3" i="63"/>
  <c r="H3" i="63"/>
  <c r="G3" i="63"/>
  <c r="C3" i="63"/>
  <c r="AI4" i="60"/>
  <c r="AH4" i="60"/>
  <c r="AG4" i="60"/>
  <c r="AF4" i="60"/>
  <c r="AE4" i="60"/>
  <c r="AD4" i="60"/>
  <c r="AC4" i="60"/>
  <c r="AB4" i="60"/>
  <c r="AA4" i="60"/>
  <c r="Z4" i="60"/>
  <c r="Y4" i="60"/>
  <c r="X4" i="60"/>
  <c r="W4" i="60"/>
  <c r="V4" i="60"/>
  <c r="U4" i="60"/>
  <c r="T4" i="60"/>
  <c r="S4" i="60"/>
  <c r="R4" i="60"/>
  <c r="Q4" i="60"/>
  <c r="P4" i="60"/>
  <c r="N4" i="60"/>
  <c r="M4" i="60"/>
  <c r="L4" i="60"/>
  <c r="J4" i="60"/>
  <c r="I4" i="60"/>
  <c r="H4" i="60"/>
  <c r="G4" i="60"/>
  <c r="C4" i="60"/>
  <c r="AI6" i="57"/>
  <c r="AH6" i="57"/>
  <c r="AG6" i="57"/>
  <c r="AF6" i="57"/>
  <c r="AE6" i="57"/>
  <c r="AD6" i="57"/>
  <c r="AC6" i="57"/>
  <c r="AB6" i="57"/>
  <c r="AA6" i="57"/>
  <c r="Z6" i="57"/>
  <c r="Y6" i="57"/>
  <c r="X6" i="57"/>
  <c r="W6" i="57"/>
  <c r="V6" i="57"/>
  <c r="U6" i="57"/>
  <c r="T6" i="57"/>
  <c r="S6" i="57"/>
  <c r="R6" i="57"/>
  <c r="Q6" i="57"/>
  <c r="P6" i="57"/>
  <c r="N6" i="57"/>
  <c r="M6" i="57"/>
  <c r="L6" i="57"/>
  <c r="J6" i="57"/>
  <c r="I6" i="57"/>
  <c r="H6" i="57"/>
  <c r="G6" i="57"/>
  <c r="C6" i="57"/>
  <c r="AI3" i="54"/>
  <c r="AH3" i="54"/>
  <c r="AG3" i="54"/>
  <c r="AF3" i="54"/>
  <c r="AE3" i="54"/>
  <c r="AD3" i="54"/>
  <c r="AC3" i="54"/>
  <c r="AB3" i="54"/>
  <c r="AA3" i="54"/>
  <c r="Z3" i="54"/>
  <c r="Y3" i="54"/>
  <c r="X3" i="54"/>
  <c r="W3" i="54"/>
  <c r="V3" i="54"/>
  <c r="U3" i="54"/>
  <c r="T3" i="54"/>
  <c r="S3" i="54"/>
  <c r="R3" i="54"/>
  <c r="Q3" i="54"/>
  <c r="P3" i="54"/>
  <c r="N3" i="54"/>
  <c r="M3" i="54"/>
  <c r="L3" i="54"/>
  <c r="J3" i="54"/>
  <c r="I3" i="54"/>
  <c r="H3" i="54"/>
  <c r="G3" i="54"/>
  <c r="C3" i="54"/>
  <c r="AI4" i="51"/>
  <c r="AH4" i="51"/>
  <c r="AG4" i="51"/>
  <c r="AF4" i="51"/>
  <c r="AE4" i="51"/>
  <c r="AD4" i="51"/>
  <c r="AC4" i="51"/>
  <c r="AB4" i="51"/>
  <c r="AA4" i="51"/>
  <c r="Z4" i="51"/>
  <c r="Y4" i="51"/>
  <c r="X4" i="51"/>
  <c r="W4" i="51"/>
  <c r="V4" i="51"/>
  <c r="U4" i="51"/>
  <c r="T4" i="51"/>
  <c r="S4" i="51"/>
  <c r="R4" i="51"/>
  <c r="Q4" i="51"/>
  <c r="P4" i="51"/>
  <c r="N4" i="51"/>
  <c r="M4" i="51"/>
  <c r="L4" i="51"/>
  <c r="J4" i="51"/>
  <c r="I4" i="51"/>
  <c r="H4" i="51"/>
  <c r="G4" i="51"/>
  <c r="C4" i="51"/>
  <c r="AI3" i="48"/>
  <c r="AH3" i="48"/>
  <c r="AG3" i="48"/>
  <c r="AF3" i="48"/>
  <c r="AE3" i="48"/>
  <c r="AD3" i="48"/>
  <c r="AC3" i="48"/>
  <c r="AB3" i="48"/>
  <c r="AA3" i="48"/>
  <c r="Z3" i="48"/>
  <c r="Y3" i="48"/>
  <c r="X3" i="48"/>
  <c r="W3" i="48"/>
  <c r="V3" i="48"/>
  <c r="U3" i="48"/>
  <c r="T3" i="48"/>
  <c r="S3" i="48"/>
  <c r="R3" i="48"/>
  <c r="Q3" i="48"/>
  <c r="P3" i="48"/>
  <c r="N3" i="48"/>
  <c r="M3" i="48"/>
  <c r="L3" i="48"/>
  <c r="J3" i="48"/>
  <c r="I3" i="48"/>
  <c r="H3" i="48"/>
  <c r="G3" i="48"/>
  <c r="C3" i="48"/>
  <c r="AI4" i="4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N4" i="45"/>
  <c r="M4" i="45"/>
  <c r="L4" i="45"/>
  <c r="J4" i="45"/>
  <c r="I4" i="45"/>
  <c r="H4" i="45"/>
  <c r="G4" i="45"/>
  <c r="C4" i="45"/>
  <c r="AI3" i="42"/>
  <c r="AH3" i="42"/>
  <c r="AG3" i="42"/>
  <c r="AF3" i="42"/>
  <c r="AE3" i="42"/>
  <c r="AD3" i="42"/>
  <c r="AC3" i="42"/>
  <c r="AB3" i="42"/>
  <c r="AA3" i="42"/>
  <c r="Z3" i="42"/>
  <c r="Y3" i="42"/>
  <c r="X3" i="42"/>
  <c r="W3" i="42"/>
  <c r="V3" i="42"/>
  <c r="U3" i="42"/>
  <c r="T3" i="42"/>
  <c r="S3" i="42"/>
  <c r="R3" i="42"/>
  <c r="Q3" i="42"/>
  <c r="P3" i="42"/>
  <c r="N3" i="42"/>
  <c r="M3" i="42"/>
  <c r="L3" i="42"/>
  <c r="J3" i="42"/>
  <c r="I3" i="42"/>
  <c r="H3" i="42"/>
  <c r="G3" i="42"/>
  <c r="C3" i="42"/>
  <c r="AI5" i="39"/>
  <c r="AH5" i="39"/>
  <c r="AG5" i="39"/>
  <c r="AF5" i="39"/>
  <c r="AE5" i="39"/>
  <c r="AD5" i="39"/>
  <c r="AC5" i="39"/>
  <c r="AB5" i="39"/>
  <c r="AA5" i="39"/>
  <c r="Z5" i="39"/>
  <c r="Y5" i="39"/>
  <c r="X5" i="39"/>
  <c r="W5" i="39"/>
  <c r="V5" i="39"/>
  <c r="U5" i="39"/>
  <c r="T5" i="39"/>
  <c r="S5" i="39"/>
  <c r="R5" i="39"/>
  <c r="Q5" i="39"/>
  <c r="P5" i="39"/>
  <c r="N5" i="39"/>
  <c r="M5" i="39"/>
  <c r="L5" i="39"/>
  <c r="J5" i="39"/>
  <c r="I5" i="39"/>
  <c r="H5" i="39"/>
  <c r="G5" i="39"/>
  <c r="C5" i="39"/>
  <c r="AI3" i="36"/>
  <c r="AH3" i="36"/>
  <c r="AG3" i="36"/>
  <c r="AF3" i="36"/>
  <c r="AE3" i="36"/>
  <c r="AD3" i="36"/>
  <c r="AC3" i="36"/>
  <c r="AB3" i="36"/>
  <c r="AA3" i="36"/>
  <c r="Z3" i="36"/>
  <c r="Y3" i="36"/>
  <c r="X3" i="36"/>
  <c r="W3" i="36"/>
  <c r="V3" i="36"/>
  <c r="U3" i="36"/>
  <c r="T3" i="36"/>
  <c r="S3" i="36"/>
  <c r="R3" i="36"/>
  <c r="Q3" i="36"/>
  <c r="P3" i="36"/>
  <c r="N3" i="36"/>
  <c r="M3" i="36"/>
  <c r="L3" i="36"/>
  <c r="J3" i="36"/>
  <c r="I3" i="36"/>
  <c r="H3" i="36"/>
  <c r="G3" i="36"/>
  <c r="C3" i="36"/>
  <c r="AI7" i="33"/>
  <c r="AH7" i="33"/>
  <c r="AG7" i="33"/>
  <c r="AF7" i="33"/>
  <c r="AE7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N7" i="33"/>
  <c r="M7" i="33"/>
  <c r="L7" i="33"/>
  <c r="J7" i="33"/>
  <c r="I7" i="33"/>
  <c r="H7" i="33"/>
  <c r="G7" i="33"/>
  <c r="C7" i="33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N9" i="18"/>
  <c r="M9" i="18"/>
  <c r="L9" i="18"/>
  <c r="J9" i="18"/>
  <c r="I9" i="18"/>
  <c r="H9" i="18"/>
  <c r="G9" i="18"/>
  <c r="C9" i="18"/>
  <c r="AI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N8" i="15"/>
  <c r="M8" i="15"/>
  <c r="L8" i="15"/>
  <c r="J8" i="15"/>
  <c r="I8" i="15"/>
  <c r="H8" i="15"/>
  <c r="G8" i="15"/>
  <c r="C8" i="15"/>
  <c r="AI22" i="12"/>
  <c r="AH22" i="12"/>
  <c r="AG22" i="12"/>
  <c r="AF22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N22" i="12"/>
  <c r="M22" i="12"/>
  <c r="L22" i="12"/>
  <c r="J22" i="12"/>
  <c r="I22" i="12"/>
  <c r="H22" i="12"/>
  <c r="G22" i="12"/>
  <c r="C22" i="12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N3" i="9"/>
  <c r="M3" i="9"/>
  <c r="L3" i="9"/>
  <c r="J3" i="9"/>
  <c r="I3" i="9"/>
  <c r="H3" i="9"/>
  <c r="G3" i="9"/>
  <c r="C3" i="9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N4" i="6"/>
  <c r="M4" i="6"/>
  <c r="L4" i="6"/>
  <c r="J4" i="6"/>
  <c r="I4" i="6"/>
  <c r="H4" i="6"/>
  <c r="G4" i="6"/>
  <c r="C4" i="6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N5" i="2"/>
  <c r="M5" i="2"/>
  <c r="L5" i="2"/>
  <c r="J5" i="2"/>
  <c r="I5" i="2"/>
  <c r="H5" i="2"/>
  <c r="G5" i="2"/>
  <c r="C5" i="2"/>
</calcChain>
</file>

<file path=xl/sharedStrings.xml><?xml version="1.0" encoding="utf-8"?>
<sst xmlns="http://schemas.openxmlformats.org/spreadsheetml/2006/main" count="9586" uniqueCount="930">
  <si>
    <t>COMPREHENSIVE REPORT</t>
  </si>
  <si>
    <t>CAI-MED</t>
  </si>
  <si>
    <t>FROM</t>
  </si>
  <si>
    <t>TO</t>
  </si>
  <si>
    <t>THIS REPORT GENERATED AT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</si>
  <si>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</si>
  <si>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</si>
  <si>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</si>
  <si>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</si>
  <si>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</si>
  <si>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</si>
  <si>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</si>
  <si>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</si>
  <si>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</si>
  <si>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</si>
  <si>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</si>
  <si>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</si>
  <si>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</si>
  <si>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</si>
  <si>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</si>
  <si>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</si>
  <si>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</si>
  <si>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</si>
  <si>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</si>
  <si>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</si>
  <si>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</si>
  <si>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</si>
  <si>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</si>
  <si>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</si>
  <si>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13,049 EGP</t>
  </si>
  <si>
    <t>Cabin: 10 KG / Check-in: 25 KG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</si>
  <si>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</si>
  <si>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14,969 EGP</t>
  </si>
  <si>
    <t>Cabin: 10 KG / Check-in: 2 x 40 KG</t>
  </si>
  <si>
    <t>23,037 EGP</t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</si>
  <si>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</si>
  <si>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</si>
  <si>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</si>
  <si>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</si>
  <si>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14,201 EGP</t>
  </si>
  <si>
    <t>Cabin: 7 KG / Check-in: 30 KG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</si>
  <si>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</si>
  <si>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15,482 EGP</t>
  </si>
  <si>
    <t>Cabin: 7 KG / Check-in: 2 x 40 KG</t>
  </si>
  <si>
    <t>16,250 EGP</t>
  </si>
  <si>
    <t>XY-794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</si>
  <si>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</si>
  <si>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</si>
  <si>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16,634 EGP</t>
  </si>
  <si>
    <t>Saudia</t>
  </si>
  <si>
    <t>SV-318</t>
  </si>
  <si>
    <t>Cabin: 7 KG / Check-in: 2 x 46 KG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</si>
  <si>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</si>
  <si>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20,419 EGP</t>
  </si>
  <si>
    <t>SV-380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</si>
  <si>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</si>
  <si>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SV-6904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</si>
  <si>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</si>
  <si>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48,797 EGP</t>
  </si>
  <si>
    <t>Air Cairo</t>
  </si>
  <si>
    <t>SM493</t>
  </si>
  <si>
    <t>20KG + 7KG CABIN</t>
  </si>
  <si>
    <t>FULLY BOOKED</t>
  </si>
  <si>
    <t>CLOSED</t>
  </si>
  <si>
    <t>L1 &amp; O3 &amp; I8 &amp; P168 &amp; N2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</si>
  <si>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</si>
  <si>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10,744 EGP</t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</si>
  <si>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</si>
  <si>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12,664 EGP</t>
  </si>
  <si>
    <t>15,354 EGP</t>
  </si>
  <si>
    <t>EgyptAir</t>
  </si>
  <si>
    <t>MS-675</t>
  </si>
  <si>
    <t>Cabin: 7 KG | Check-in: 2 PIECE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</si>
  <si>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</si>
  <si>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12,160 EGP</t>
  </si>
  <si>
    <t>MS-677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</si>
  <si>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</si>
  <si>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12,280 EGP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</si>
  <si>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</si>
  <si>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13,561 EGP</t>
  </si>
  <si>
    <t>14,713 EGP</t>
  </si>
  <si>
    <t>17,871 EGP</t>
  </si>
  <si>
    <t>SV-390</t>
  </si>
  <si>
    <t>22,724 EGP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</si>
  <si>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</si>
  <si>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</si>
  <si>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</si>
  <si>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11,000 EGP</t>
  </si>
  <si>
    <t>13,433 EGP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</si>
  <si>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</si>
  <si>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MS-693</t>
  </si>
  <si>
    <t>MS-639</t>
  </si>
  <si>
    <t>13,325 EGP</t>
  </si>
  <si>
    <t>MS-695</t>
  </si>
  <si>
    <t>17,973 EGP</t>
  </si>
  <si>
    <t>G2 &amp; X7 &amp; U11 &amp; O11 &amp; I10 &amp; P135 &amp; N3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</si>
  <si>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</si>
  <si>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9,719 EGP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</si>
  <si>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</si>
  <si>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11,640 EGP</t>
  </si>
  <si>
    <t>9,842 EGP</t>
  </si>
  <si>
    <t>16,309 EGP</t>
  </si>
  <si>
    <t>15,323 EGP</t>
  </si>
  <si>
    <t>L5 &amp; X8 &amp; U11 &amp; O11 &amp; I10 &amp; P135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</si>
  <si>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</si>
  <si>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</si>
  <si>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</si>
  <si>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</si>
  <si>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</si>
  <si>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</si>
  <si>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</si>
  <si>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</si>
  <si>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</si>
  <si>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</si>
  <si>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</si>
  <si>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</si>
  <si>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</si>
  <si>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</si>
  <si>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</si>
  <si>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</si>
  <si>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</si>
  <si>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</si>
  <si>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</si>
  <si>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</si>
  <si>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</si>
  <si>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</si>
  <si>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</si>
  <si>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</si>
  <si>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</si>
  <si>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</si>
  <si>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</si>
  <si>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</si>
  <si>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</si>
  <si>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</si>
  <si>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</si>
  <si>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L1</t>
  </si>
  <si>
    <t>O3</t>
  </si>
  <si>
    <t>I8</t>
  </si>
  <si>
    <t>P168</t>
  </si>
  <si>
    <t>N2</t>
  </si>
  <si>
    <t>SATURDAY</t>
  </si>
  <si>
    <t>G2</t>
  </si>
  <si>
    <t>X7</t>
  </si>
  <si>
    <t>U11</t>
  </si>
  <si>
    <t>O11</t>
  </si>
  <si>
    <t>I10</t>
  </si>
  <si>
    <t>P135</t>
  </si>
  <si>
    <t>N3</t>
  </si>
  <si>
    <t>SUNDAY</t>
  </si>
  <si>
    <t>L5</t>
  </si>
  <si>
    <t>X8</t>
  </si>
  <si>
    <t>TOTAL</t>
  </si>
  <si>
    <t>DATE</t>
  </si>
  <si>
    <t>ROUTE</t>
  </si>
  <si>
    <t>THU</t>
  </si>
  <si>
    <t>SAT</t>
  </si>
  <si>
    <t>SUN</t>
  </si>
  <si>
    <t>HBE-MED</t>
  </si>
  <si>
    <t>MS-679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</si>
  <si>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</si>
  <si>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15,822 EGP</t>
  </si>
  <si>
    <t>SM485</t>
  </si>
  <si>
    <t>G3 &amp; X3 &amp; I8 &amp; P166</t>
  </si>
  <si>
    <t>Indirect competition route CAI – MED - diversion ratio &amp; passenger leakage</t>
  </si>
  <si>
    <t>05:30</t>
  </si>
  <si>
    <t>2 FOR SAME CLASS</t>
  </si>
  <si>
    <t>14:35</t>
  </si>
  <si>
    <t>9 FOR SAME CLASS</t>
  </si>
  <si>
    <t>10:25</t>
  </si>
  <si>
    <t>7 FOR SAME CLASS</t>
  </si>
  <si>
    <t>08:30</t>
  </si>
  <si>
    <t>1 FOR SAME CLASS</t>
  </si>
  <si>
    <t>21:30</t>
  </si>
  <si>
    <t>3 FOR SAME CLASS</t>
  </si>
  <si>
    <t>14,285 EGP</t>
  </si>
  <si>
    <t>8 FOR SAME CLASS</t>
  </si>
  <si>
    <t>22:35</t>
  </si>
  <si>
    <t>+9 FOR SAME CLASS</t>
  </si>
  <si>
    <t>16:45</t>
  </si>
  <si>
    <t>08:25</t>
  </si>
  <si>
    <t>L3 &amp; X10 &amp; U11 &amp; O11 &amp; I10 &amp; P135</t>
  </si>
  <si>
    <t>01:35</t>
  </si>
  <si>
    <t>04:25</t>
  </si>
  <si>
    <t>G3</t>
  </si>
  <si>
    <t>X3</t>
  </si>
  <si>
    <t>P166</t>
  </si>
  <si>
    <t>L3</t>
  </si>
  <si>
    <t>X10</t>
  </si>
  <si>
    <t>CAI-MED AS ALTERNATIVE ROUTE</t>
  </si>
  <si>
    <t>ATZ-MED</t>
  </si>
  <si>
    <t>SM-487</t>
  </si>
  <si>
    <t>Cabin: 7 KG | Check-in: 30 KG</t>
  </si>
  <si>
    <t>8,830 EGP</t>
  </si>
  <si>
    <t>SM487</t>
  </si>
  <si>
    <t>W1</t>
  </si>
  <si>
    <t>Y1 &amp; S8 &amp; W9 &amp; T23 &amp; X19 &amp; U5 &amp; O4 &amp; I9 &amp; P97</t>
  </si>
  <si>
    <t>4 FOR SAME CLASS</t>
  </si>
  <si>
    <t>08:05</t>
  </si>
  <si>
    <t>Y1</t>
  </si>
  <si>
    <t>S8</t>
  </si>
  <si>
    <t>W9</t>
  </si>
  <si>
    <t>T23</t>
  </si>
  <si>
    <t>X19</t>
  </si>
  <si>
    <t>U5</t>
  </si>
  <si>
    <t>O4</t>
  </si>
  <si>
    <t>I9</t>
  </si>
  <si>
    <t>P97</t>
  </si>
  <si>
    <t>CAI-JED</t>
  </si>
  <si>
    <t>SM-423</t>
  </si>
  <si>
    <t>11,230 EGP</t>
  </si>
  <si>
    <t>SM423</t>
  </si>
  <si>
    <t>V1</t>
  </si>
  <si>
    <t>K6 &amp; V35 &amp; L25 &amp; G11 &amp; S22 &amp; W12 &amp; T9 &amp; X12 &amp; U21 &amp; O11 &amp; I10 &amp; N4</t>
  </si>
  <si>
    <t>SM449</t>
  </si>
  <si>
    <t>V10 &amp; L9 &amp; G25 &amp; S32 &amp; W21 &amp; T20 &amp; X19 &amp; U11 &amp; O11 &amp; I21</t>
  </si>
  <si>
    <t>SM475</t>
  </si>
  <si>
    <t>L3 &amp; G11 &amp; S21 &amp; W9 &amp; T9 &amp; X23 &amp; U12 &amp; O5 &amp; I21 &amp; P65</t>
  </si>
  <si>
    <t>SM431</t>
  </si>
  <si>
    <t>V4 &amp; L10 &amp; G25 &amp; S46 &amp; W9 &amp; T20 &amp; X5 &amp; U5 &amp; O5 &amp; I5 &amp; P45</t>
  </si>
  <si>
    <t>SM477</t>
  </si>
  <si>
    <t>X1 &amp; U12 &amp; O11 &amp; I21 &amp; P135</t>
  </si>
  <si>
    <t>SM479</t>
  </si>
  <si>
    <t>K6 &amp; L5 &amp; S3 &amp; W2 &amp; T3 &amp; X13 &amp; U6 &amp; O4 &amp; I5 &amp; P132</t>
  </si>
  <si>
    <t>F3-754</t>
  </si>
  <si>
    <t>11,512 EGP</t>
  </si>
  <si>
    <t>F3-756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</si>
  <si>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</si>
  <si>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</si>
  <si>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F3-764</t>
  </si>
  <si>
    <t>F3-762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</si>
  <si>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</si>
  <si>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12,152 EGP</t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</si>
  <si>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</si>
  <si>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14,073 EGP</t>
  </si>
  <si>
    <t>XY-566</t>
  </si>
  <si>
    <t>12,792 EGP</t>
  </si>
  <si>
    <t>13,945 EGP</t>
  </si>
  <si>
    <t>XY-568</t>
  </si>
  <si>
    <t>XY-572</t>
  </si>
  <si>
    <t>XY-574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</si>
  <si>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</si>
  <si>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XY-578</t>
  </si>
  <si>
    <t>XY-584</t>
  </si>
  <si>
    <t>XY-590</t>
  </si>
  <si>
    <t>XY-570</t>
  </si>
  <si>
    <t>16,122 EGP</t>
  </si>
  <si>
    <t>Nile Air</t>
  </si>
  <si>
    <t>NP-127</t>
  </si>
  <si>
    <t>12,063 EGP</t>
  </si>
  <si>
    <t>Nesma Airlines</t>
  </si>
  <si>
    <t>NE-170</t>
  </si>
  <si>
    <t>13,522 EGP</t>
  </si>
  <si>
    <t>NE-172</t>
  </si>
  <si>
    <t>SV-308</t>
  </si>
  <si>
    <t>15,277 EGP</t>
  </si>
  <si>
    <t>SV-300</t>
  </si>
  <si>
    <t>20,578 EGP</t>
  </si>
  <si>
    <t>SV-302</t>
  </si>
  <si>
    <t>SV-304</t>
  </si>
  <si>
    <t>SV-382</t>
  </si>
  <si>
    <t>SV-386</t>
  </si>
  <si>
    <t>SV-388</t>
  </si>
  <si>
    <t>SV-6665</t>
  </si>
  <si>
    <t>22,154 EGP</t>
  </si>
  <si>
    <t>SV-6892</t>
  </si>
  <si>
    <t>SV-6894</t>
  </si>
  <si>
    <t>SV-6896</t>
  </si>
  <si>
    <t>SV-330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</si>
  <si>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</si>
  <si>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23,844 EGP</t>
  </si>
  <si>
    <t>10,167 EGP</t>
  </si>
  <si>
    <t>SM-471</t>
  </si>
  <si>
    <t>10,462 EGP</t>
  </si>
  <si>
    <t>SM471</t>
  </si>
  <si>
    <t>K15 &amp; V28 &amp; L40 &amp; G11 &amp; S11 &amp; W11 &amp; T10 &amp; X18 &amp; U11 &amp; O11 &amp; I10</t>
  </si>
  <si>
    <t>SM-459</t>
  </si>
  <si>
    <t>SM459</t>
  </si>
  <si>
    <t>Q1 &amp; K25 &amp; V30 &amp; L26 &amp; G10 &amp; S12 &amp; W19 &amp; T13 &amp; X9 &amp; U12 &amp; O11 &amp; I10</t>
  </si>
  <si>
    <t>K9 &amp; V9 &amp; L24 &amp; G11 &amp; S14 &amp; W11 &amp; T9 &amp; X11 &amp; U25 &amp; O11 &amp; I10 &amp; P35 &amp; N1</t>
  </si>
  <si>
    <t>K9 &amp; V10 &amp; L35 &amp; G38 &amp; S10 &amp; W11 &amp; T11 &amp; X11 &amp; U12 &amp; O22 &amp; I10</t>
  </si>
  <si>
    <t>K3 &amp; V23 &amp; L34 &amp; G8 &amp; S9 &amp; W9 &amp; T9 &amp; X9 &amp; U8 &amp; O8 &amp; I14 &amp; P45 &amp; N2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</si>
  <si>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</si>
  <si>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</si>
  <si>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Air Arabia Egypt</t>
  </si>
  <si>
    <t>E5-327</t>
  </si>
  <si>
    <t>Cabin: 10 KG / Check-in: 30 KG</t>
  </si>
  <si>
    <t>12,075 EGP</t>
  </si>
  <si>
    <t>13,712 EGP</t>
  </si>
  <si>
    <t>E5-321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</si>
  <si>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</si>
  <si>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13,798 EGP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</si>
  <si>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</si>
  <si>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15,435 EGP</t>
  </si>
  <si>
    <t>14,585 EGP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</si>
  <si>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</si>
  <si>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15,994 EGP</t>
  </si>
  <si>
    <t>17,146 EGP</t>
  </si>
  <si>
    <t>MS-643</t>
  </si>
  <si>
    <t>14,342 EGP</t>
  </si>
  <si>
    <t>32,603 EGP</t>
  </si>
  <si>
    <t>V1 &amp; G15 &amp; S21 &amp; W20 &amp; T42 &amp; X9 &amp; U12 &amp; O11 &amp; I10 &amp; P45</t>
  </si>
  <si>
    <t>G6 &amp; X7 &amp; U11 &amp; O11 &amp; I10 &amp; P134 &amp; N1</t>
  </si>
  <si>
    <t>Y3 &amp; K8 &amp; V9 &amp; L15 &amp; G9 &amp; S10 &amp; W18 &amp; T9 &amp; X8 &amp; P90</t>
  </si>
  <si>
    <t>LAST SEATS</t>
  </si>
  <si>
    <t>B5</t>
  </si>
  <si>
    <t>M1 &amp; H4 &amp; Q10 &amp; K13 &amp; V20 &amp; L18 &amp; G16 &amp; S21 &amp; W12 &amp; T11 &amp; X11 &amp; U12 &amp; O11 &amp; I10 &amp; P1 &amp; N3</t>
  </si>
  <si>
    <t>L3 &amp; G2 &amp; S10 &amp; W12 &amp; T11 &amp; X9 &amp; U23 &amp; O11 &amp; I10 &amp; P89</t>
  </si>
  <si>
    <t>V4 &amp; L11 &amp; G31 &amp; S12 &amp; W9 &amp; T9 &amp; X4 &amp; U5 &amp; O5 &amp; I5 &amp; E40 &amp; P45</t>
  </si>
  <si>
    <t>G9 &amp; S9 &amp; W11 &amp; T10 &amp; X10 &amp; U12 &amp; O20 &amp; I10 &amp; P89</t>
  </si>
  <si>
    <t>L8 &amp; G21 &amp; S22 &amp; W10 &amp; T8 &amp; X20 &amp; P90</t>
  </si>
  <si>
    <t>V5 &amp; L10 &amp; G23 &amp; S11 &amp; W7 &amp; T9 &amp; X9 &amp; U5 &amp; O5 &amp; I5 &amp; P90</t>
  </si>
  <si>
    <t>V10</t>
  </si>
  <si>
    <t>L9</t>
  </si>
  <si>
    <t>G25</t>
  </si>
  <si>
    <t>S32</t>
  </si>
  <si>
    <t>W21</t>
  </si>
  <si>
    <t>T20</t>
  </si>
  <si>
    <t>I21</t>
  </si>
  <si>
    <t>G11</t>
  </si>
  <si>
    <t>S21</t>
  </si>
  <si>
    <t>T9</t>
  </si>
  <si>
    <t>X23</t>
  </si>
  <si>
    <t>U12</t>
  </si>
  <si>
    <t>O5</t>
  </si>
  <si>
    <t>P65</t>
  </si>
  <si>
    <t>V4</t>
  </si>
  <si>
    <t>L10</t>
  </si>
  <si>
    <t>S46</t>
  </si>
  <si>
    <t>X5</t>
  </si>
  <si>
    <t>I5</t>
  </si>
  <si>
    <t>P45</t>
  </si>
  <si>
    <t>X1</t>
  </si>
  <si>
    <t>K6</t>
  </si>
  <si>
    <t>S3</t>
  </si>
  <si>
    <t>W2</t>
  </si>
  <si>
    <t>T3</t>
  </si>
  <si>
    <t>X13</t>
  </si>
  <si>
    <t>U6</t>
  </si>
  <si>
    <t>P132</t>
  </si>
  <si>
    <t>V35</t>
  </si>
  <si>
    <t>L25</t>
  </si>
  <si>
    <t>S22</t>
  </si>
  <si>
    <t>W12</t>
  </si>
  <si>
    <t>X12</t>
  </si>
  <si>
    <t>U21</t>
  </si>
  <si>
    <t>N4</t>
  </si>
  <si>
    <t>FRIDAY</t>
  </si>
  <si>
    <t>K9</t>
  </si>
  <si>
    <t>V9</t>
  </si>
  <si>
    <t>L24</t>
  </si>
  <si>
    <t>S14</t>
  </si>
  <si>
    <t>W11</t>
  </si>
  <si>
    <t>X11</t>
  </si>
  <si>
    <t>U25</t>
  </si>
  <si>
    <t>P35</t>
  </si>
  <si>
    <t>N1</t>
  </si>
  <si>
    <t>L35</t>
  </si>
  <si>
    <t>G38</t>
  </si>
  <si>
    <t>S10</t>
  </si>
  <si>
    <t>T11</t>
  </si>
  <si>
    <t>O22</t>
  </si>
  <si>
    <t>K3</t>
  </si>
  <si>
    <t>V23</t>
  </si>
  <si>
    <t>L34</t>
  </si>
  <si>
    <t>G8</t>
  </si>
  <si>
    <t>S9</t>
  </si>
  <si>
    <t>X9</t>
  </si>
  <si>
    <t>U8</t>
  </si>
  <si>
    <t>O8</t>
  </si>
  <si>
    <t>I14</t>
  </si>
  <si>
    <t>K15</t>
  </si>
  <si>
    <t>V28</t>
  </si>
  <si>
    <t>L40</t>
  </si>
  <si>
    <t>S11</t>
  </si>
  <si>
    <t>T10</t>
  </si>
  <si>
    <t>X18</t>
  </si>
  <si>
    <t>Q1</t>
  </si>
  <si>
    <t>K25</t>
  </si>
  <si>
    <t>V30</t>
  </si>
  <si>
    <t>L26</t>
  </si>
  <si>
    <t>G10</t>
  </si>
  <si>
    <t>S12</t>
  </si>
  <si>
    <t>W19</t>
  </si>
  <si>
    <t>T13</t>
  </si>
  <si>
    <t>G15</t>
  </si>
  <si>
    <t>W20</t>
  </si>
  <si>
    <t>T42</t>
  </si>
  <si>
    <t>G6</t>
  </si>
  <si>
    <t>P134</t>
  </si>
  <si>
    <t>Y3</t>
  </si>
  <si>
    <t>K8</t>
  </si>
  <si>
    <t>L15</t>
  </si>
  <si>
    <t>G9</t>
  </si>
  <si>
    <t>W18</t>
  </si>
  <si>
    <t>P90</t>
  </si>
  <si>
    <t>M1</t>
  </si>
  <si>
    <t>H4</t>
  </si>
  <si>
    <t>Q10</t>
  </si>
  <si>
    <t>K13</t>
  </si>
  <si>
    <t>V20</t>
  </si>
  <si>
    <t>L18</t>
  </si>
  <si>
    <t>G16</t>
  </si>
  <si>
    <t>P1</t>
  </si>
  <si>
    <t>U23</t>
  </si>
  <si>
    <t>P89</t>
  </si>
  <si>
    <t>L11</t>
  </si>
  <si>
    <t>G31</t>
  </si>
  <si>
    <t>X4</t>
  </si>
  <si>
    <t>E40</t>
  </si>
  <si>
    <t>O20</t>
  </si>
  <si>
    <t>L8</t>
  </si>
  <si>
    <t>G21</t>
  </si>
  <si>
    <t>W10</t>
  </si>
  <si>
    <t>T8</t>
  </si>
  <si>
    <t>X20</t>
  </si>
  <si>
    <t>V5</t>
  </si>
  <si>
    <t>G23</t>
  </si>
  <si>
    <t>W7</t>
  </si>
  <si>
    <t>HBE-JED</t>
  </si>
  <si>
    <t>SV-410</t>
  </si>
  <si>
    <t>19,183 EGP</t>
  </si>
  <si>
    <t>SM451</t>
  </si>
  <si>
    <t>S20 &amp; W10 &amp; T5 &amp; X5 &amp; U5 &amp; O5 &amp; I5 &amp; P119 &amp; N5</t>
  </si>
  <si>
    <t>Indirect competition route CAI – JED - diversion ratio &amp; passenger leakage</t>
  </si>
  <si>
    <t>22:30</t>
  </si>
  <si>
    <t>09:35</t>
  </si>
  <si>
    <t>11:45</t>
  </si>
  <si>
    <t>5 FOR SAME CLASS</t>
  </si>
  <si>
    <t>23:45</t>
  </si>
  <si>
    <t>08:20</t>
  </si>
  <si>
    <t>23:50</t>
  </si>
  <si>
    <t>20:05</t>
  </si>
  <si>
    <t>22:40</t>
  </si>
  <si>
    <t>11:40</t>
  </si>
  <si>
    <t>09:25</t>
  </si>
  <si>
    <t>E5-391</t>
  </si>
  <si>
    <t>Cabin: 10 KG</t>
  </si>
  <si>
    <t>12,940 EGP</t>
  </si>
  <si>
    <t>Cabin: 10 KG / Check-in: 20 KG</t>
  </si>
  <si>
    <t>14,089 EGP</t>
  </si>
  <si>
    <t>14,807 EGP</t>
  </si>
  <si>
    <t>G7 &amp; S40 &amp; W28 &amp; T33 &amp; X18 &amp; I2 &amp; P50 &amp; N2</t>
  </si>
  <si>
    <t>11:50</t>
  </si>
  <si>
    <t>13:25</t>
  </si>
  <si>
    <t>18:15</t>
  </si>
  <si>
    <t>05:25</t>
  </si>
  <si>
    <t>10 FOR SAME CLASS</t>
  </si>
  <si>
    <t>F3-774</t>
  </si>
  <si>
    <t>Hand baggage only</t>
  </si>
  <si>
    <t>19,964 EGP</t>
  </si>
  <si>
    <t>20,719 EGP</t>
  </si>
  <si>
    <t>21,027 EGP</t>
  </si>
  <si>
    <t>Cabin: 10 KG / Check-in: 32 KG</t>
  </si>
  <si>
    <t>23,165 EGP</t>
  </si>
  <si>
    <t>SV-332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</si>
  <si>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</si>
  <si>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SM457</t>
  </si>
  <si>
    <t>L3 &amp; S8 &amp; W16 &amp; T9 &amp; X9 &amp; P135</t>
  </si>
  <si>
    <t>K4 &amp; V9 &amp; L11 &amp; G7 &amp; S18 &amp; W18 &amp; T9 &amp; X9 &amp; P95</t>
  </si>
  <si>
    <t>E5-325</t>
  </si>
  <si>
    <t>13,917 EGP</t>
  </si>
  <si>
    <t>15,353 EGP</t>
  </si>
  <si>
    <t>15,784 EGP</t>
  </si>
  <si>
    <t>G5 &amp; S11 &amp; W4 &amp; T5 &amp; X5 &amp; U5 &amp; O5 &amp; I4 &amp; P135 &amp; N1</t>
  </si>
  <si>
    <t>G7 &amp; S3 &amp; W1 &amp; T17 &amp; X17 &amp; P135</t>
  </si>
  <si>
    <t>S20</t>
  </si>
  <si>
    <t>T5</t>
  </si>
  <si>
    <t>P119</t>
  </si>
  <si>
    <t>N5</t>
  </si>
  <si>
    <t>G7</t>
  </si>
  <si>
    <t>S40</t>
  </si>
  <si>
    <t>W28</t>
  </si>
  <si>
    <t>T33</t>
  </si>
  <si>
    <t>I2</t>
  </si>
  <si>
    <t>P50</t>
  </si>
  <si>
    <t>W16</t>
  </si>
  <si>
    <t>K4</t>
  </si>
  <si>
    <t>S18</t>
  </si>
  <si>
    <t>P95</t>
  </si>
  <si>
    <t>G5</t>
  </si>
  <si>
    <t>W4</t>
  </si>
  <si>
    <t>I4</t>
  </si>
  <si>
    <t>T17</t>
  </si>
  <si>
    <t>X17</t>
  </si>
  <si>
    <t>CAI-JED AS ALTERNATIVE ROUTE</t>
  </si>
  <si>
    <t>ATZ-JED</t>
  </si>
  <si>
    <t>SM-455</t>
  </si>
  <si>
    <t>7,107 EGP</t>
  </si>
  <si>
    <t>SM455</t>
  </si>
  <si>
    <t>S14 &amp; W29 &amp; T15 &amp; X23 &amp; O2 &amp; I1 &amp; P95</t>
  </si>
  <si>
    <t>SM453</t>
  </si>
  <si>
    <t>S2 &amp; W1 &amp; T12 &amp; X23 &amp; U5 &amp; O3 &amp; I2 &amp; P132</t>
  </si>
  <si>
    <t>SM-491</t>
  </si>
  <si>
    <t>7,593 EGP</t>
  </si>
  <si>
    <t>SM491</t>
  </si>
  <si>
    <t>S1</t>
  </si>
  <si>
    <t>G12 &amp; S19 &amp; W20 &amp; T23 &amp; X45 &amp; U1 &amp; O1</t>
  </si>
  <si>
    <t>8,925 EGP</t>
  </si>
  <si>
    <t>G15 &amp; S20 &amp; W11 &amp; T5 &amp; X4 &amp; P85</t>
  </si>
  <si>
    <t>Y2 &amp; L3 &amp; G23 &amp; S19 &amp; W25 &amp; T2 &amp; X11 &amp; P95</t>
  </si>
  <si>
    <t>F3-778</t>
  </si>
  <si>
    <t>6,390 EGP</t>
  </si>
  <si>
    <t>7,145 EGP</t>
  </si>
  <si>
    <t>7,452 EGP</t>
  </si>
  <si>
    <t>9,591 EGP</t>
  </si>
  <si>
    <t>S5 &amp; W14 &amp; T31 &amp; X16 &amp; U22 &amp; O3 &amp; I3 &amp; E37 &amp; P45</t>
  </si>
  <si>
    <t>8,259 EGP</t>
  </si>
  <si>
    <t>Y1 &amp; G6 &amp; S14 &amp; W20 &amp; T23 &amp; X12 &amp; U20 &amp; P45</t>
  </si>
  <si>
    <t>S2</t>
  </si>
  <si>
    <t>T12</t>
  </si>
  <si>
    <t>W29</t>
  </si>
  <si>
    <t>T15</t>
  </si>
  <si>
    <t>O2</t>
  </si>
  <si>
    <t>I1</t>
  </si>
  <si>
    <t>G12</t>
  </si>
  <si>
    <t>S19</t>
  </si>
  <si>
    <t>X45</t>
  </si>
  <si>
    <t>U1</t>
  </si>
  <si>
    <t>O1</t>
  </si>
  <si>
    <t>P85</t>
  </si>
  <si>
    <t>Y2</t>
  </si>
  <si>
    <t>W25</t>
  </si>
  <si>
    <t>T2</t>
  </si>
  <si>
    <t>S5</t>
  </si>
  <si>
    <t>W14</t>
  </si>
  <si>
    <t>T31</t>
  </si>
  <si>
    <t>X16</t>
  </si>
  <si>
    <t>U22</t>
  </si>
  <si>
    <t>I3</t>
  </si>
  <si>
    <t>E37</t>
  </si>
  <si>
    <t>U20</t>
  </si>
  <si>
    <t>LXR-JED</t>
  </si>
  <si>
    <t>NE-675</t>
  </si>
  <si>
    <t>15,495 EGP</t>
  </si>
  <si>
    <t>ASW-JED</t>
  </si>
  <si>
    <t>SSH-JED</t>
  </si>
  <si>
    <t>SV-326</t>
  </si>
  <si>
    <t>21,526 EGP</t>
  </si>
  <si>
    <t>HRG-JED</t>
  </si>
  <si>
    <t>CAI-RUH</t>
  </si>
  <si>
    <t>NP-151</t>
  </si>
  <si>
    <t>9,156 EGP</t>
  </si>
  <si>
    <t>NP-251</t>
  </si>
  <si>
    <t>9,860 EGP</t>
  </si>
  <si>
    <t>SM-461</t>
  </si>
  <si>
    <t>9,501 EGP</t>
  </si>
  <si>
    <t>SM461</t>
  </si>
  <si>
    <t>V36 &amp; L14 &amp; G30 &amp; S18 &amp; W9 &amp; T7 &amp; X11 &amp; U10 &amp; O6 &amp; I3</t>
  </si>
  <si>
    <t>NE-164</t>
  </si>
  <si>
    <t>12,267 EGP</t>
  </si>
  <si>
    <t>SV-310</t>
  </si>
  <si>
    <t>13,650 EGP</t>
  </si>
  <si>
    <t>SV-320</t>
  </si>
  <si>
    <t>SV-418</t>
  </si>
  <si>
    <t>SV-312</t>
  </si>
  <si>
    <t>15,904 EGP</t>
  </si>
  <si>
    <t>SV-6632</t>
  </si>
  <si>
    <t>22,064 EGP</t>
  </si>
  <si>
    <t>SV-6693</t>
  </si>
  <si>
    <t>SV-6905</t>
  </si>
  <si>
    <t>MS-649</t>
  </si>
  <si>
    <t>18,440 EGP</t>
  </si>
  <si>
    <t>MS-651</t>
  </si>
  <si>
    <t>SEATS AVAILABLE</t>
  </si>
  <si>
    <t>Q5</t>
  </si>
  <si>
    <t>Q5 &amp; K49 &amp; V7 &amp; L9 &amp; G12 &amp; S15 &amp; W8 &amp; T6 &amp; X3 &amp; U9 &amp; O5 &amp; I6</t>
  </si>
  <si>
    <t>SM469</t>
  </si>
  <si>
    <t>Q6</t>
  </si>
  <si>
    <t>H6 &amp; Q29 &amp; K9 &amp; V7 &amp; L16 &amp; G10 &amp; S3 &amp; W13 &amp; T5 &amp; X5 &amp; U4 &amp; O7 &amp; I7</t>
  </si>
  <si>
    <t>NP-153</t>
  </si>
  <si>
    <t>10,808 EGP</t>
  </si>
  <si>
    <t>NP-351</t>
  </si>
  <si>
    <t>13,484 EGP</t>
  </si>
  <si>
    <t>NE-160</t>
  </si>
  <si>
    <t>13,676 EGP</t>
  </si>
  <si>
    <t>16,045 EGP</t>
  </si>
  <si>
    <t>E5-410</t>
  </si>
  <si>
    <t>13,700 EGP</t>
  </si>
  <si>
    <t>15,337 EGP</t>
  </si>
  <si>
    <t>13,919 EGP</t>
  </si>
  <si>
    <t>H9</t>
  </si>
  <si>
    <t>M10 &amp; H35 &amp; K12 &amp; V14 &amp; L11 &amp; G12 &amp; S6 &amp; W10 &amp; T3 &amp; X4 &amp; U8 &amp; O9 &amp; I3</t>
  </si>
  <si>
    <t>XY-264</t>
  </si>
  <si>
    <t>XY-274</t>
  </si>
  <si>
    <t>XY-268</t>
  </si>
  <si>
    <t>17,275 EGP</t>
  </si>
  <si>
    <t>18,555 EGP</t>
  </si>
  <si>
    <t>19,708 EGP</t>
  </si>
  <si>
    <t>XY-270</t>
  </si>
  <si>
    <t>XY-276</t>
  </si>
  <si>
    <t>20,476 EGP</t>
  </si>
  <si>
    <t>21,757 EGP</t>
  </si>
  <si>
    <t>22,909 EGP</t>
  </si>
  <si>
    <t>XY-266</t>
  </si>
  <si>
    <t>24,318 EGP</t>
  </si>
  <si>
    <t>25,598 EGP</t>
  </si>
  <si>
    <t>26,751 EGP</t>
  </si>
  <si>
    <t>XY-272</t>
  </si>
  <si>
    <t>F3-606</t>
  </si>
  <si>
    <t>15,098 EGP</t>
  </si>
  <si>
    <t>17,018 EGP</t>
  </si>
  <si>
    <t>18,299 EGP</t>
  </si>
  <si>
    <t>F3-608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</si>
  <si>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</si>
  <si>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16,378 EGP</t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</si>
  <si>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</si>
  <si>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27,519 EGP</t>
  </si>
  <si>
    <t>F3-612</t>
  </si>
  <si>
    <t>18,939 EGP</t>
  </si>
  <si>
    <t>20,860 EGP</t>
  </si>
  <si>
    <t>F3-616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</si>
  <si>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</si>
  <si>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</si>
  <si>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18,491 EGP</t>
  </si>
  <si>
    <t>10,705 EGP</t>
  </si>
  <si>
    <t>K1</t>
  </si>
  <si>
    <t>Q8 &amp; K14 &amp; V22 &amp; L31 &amp; G5 &amp; S19 &amp; W6 &amp; T6 &amp; X4 &amp; U6 &amp; O7 &amp; I5</t>
  </si>
  <si>
    <t>NE-162</t>
  </si>
  <si>
    <t>11,012 EGP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</si>
  <si>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</si>
  <si>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</si>
  <si>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</si>
  <si>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11,896 EGP</t>
  </si>
  <si>
    <t>MS-647</t>
  </si>
  <si>
    <t>16,173 EGP</t>
  </si>
  <si>
    <t>12,037 EGP</t>
  </si>
  <si>
    <t>NP-353</t>
  </si>
  <si>
    <t>15,866 EGP</t>
  </si>
  <si>
    <t>SV-324</t>
  </si>
  <si>
    <t>20,425 EGP</t>
  </si>
  <si>
    <t>24,945 EGP</t>
  </si>
  <si>
    <t>V36</t>
  </si>
  <si>
    <t>L14</t>
  </si>
  <si>
    <t>G30</t>
  </si>
  <si>
    <t>T7</t>
  </si>
  <si>
    <t>U10</t>
  </si>
  <si>
    <t>O6</t>
  </si>
  <si>
    <t>K49</t>
  </si>
  <si>
    <t>V7</t>
  </si>
  <si>
    <t>S15</t>
  </si>
  <si>
    <t>W8</t>
  </si>
  <si>
    <t>T6</t>
  </si>
  <si>
    <t>U9</t>
  </si>
  <si>
    <t>I6</t>
  </si>
  <si>
    <t>H6</t>
  </si>
  <si>
    <t>Q29</t>
  </si>
  <si>
    <t>L16</t>
  </si>
  <si>
    <t>W13</t>
  </si>
  <si>
    <t>U4</t>
  </si>
  <si>
    <t>O7</t>
  </si>
  <si>
    <t>I7</t>
  </si>
  <si>
    <t>M10</t>
  </si>
  <si>
    <t>H35</t>
  </si>
  <si>
    <t>K12</t>
  </si>
  <si>
    <t>V14</t>
  </si>
  <si>
    <t>S6</t>
  </si>
  <si>
    <t>O9</t>
  </si>
  <si>
    <t>Q8</t>
  </si>
  <si>
    <t>K14</t>
  </si>
  <si>
    <t>V22</t>
  </si>
  <si>
    <t>L31</t>
  </si>
  <si>
    <t>W6</t>
  </si>
  <si>
    <t>ATZ-RUH</t>
  </si>
  <si>
    <t>XY-284</t>
  </si>
  <si>
    <t>Cabin: 7 KG</t>
  </si>
  <si>
    <t>13,445 EGP</t>
  </si>
  <si>
    <t>14,572 EGP</t>
  </si>
  <si>
    <t>15,635 EGP</t>
  </si>
  <si>
    <t>Indirect competition route CAI – RUH - diversion ratio &amp; passenger leakage</t>
  </si>
  <si>
    <t>00:35</t>
  </si>
  <si>
    <t>12:55</t>
  </si>
  <si>
    <t>02:05</t>
  </si>
  <si>
    <t>10:30</t>
  </si>
  <si>
    <t>09:55</t>
  </si>
  <si>
    <t>12:10</t>
  </si>
  <si>
    <t>13:50</t>
  </si>
  <si>
    <t>SM-463</t>
  </si>
  <si>
    <t>12,319 EGP</t>
  </si>
  <si>
    <t>SM463</t>
  </si>
  <si>
    <t>H1 &amp; Q30 &amp; K19 &amp; V7 &amp; L1 &amp; S1 &amp; W12 &amp; T15 &amp; X12 &amp; U13 &amp; O6 &amp; I1</t>
  </si>
  <si>
    <t>MS-8245</t>
  </si>
  <si>
    <t>20,105 EGP</t>
  </si>
  <si>
    <t>10:15</t>
  </si>
  <si>
    <t>6 FOR SAME CLASS</t>
  </si>
  <si>
    <t>15:05</t>
  </si>
  <si>
    <t>11 FOR SAME CLASS</t>
  </si>
  <si>
    <t>21:20</t>
  </si>
  <si>
    <t>23:35</t>
  </si>
  <si>
    <t>04:10</t>
  </si>
  <si>
    <t>03:10</t>
  </si>
  <si>
    <t>23:00</t>
  </si>
  <si>
    <t>H1</t>
  </si>
  <si>
    <t>Q30</t>
  </si>
  <si>
    <t>K19</t>
  </si>
  <si>
    <t>U13</t>
  </si>
  <si>
    <t>CAI-RUH AS ALTERNATIVE ROUTE</t>
  </si>
  <si>
    <t>CAI-DMM</t>
  </si>
  <si>
    <t>NP-131</t>
  </si>
  <si>
    <t>8,720 EGP</t>
  </si>
  <si>
    <t>NP-331</t>
  </si>
  <si>
    <t>9,514 EGP</t>
  </si>
  <si>
    <t>NE-154</t>
  </si>
  <si>
    <t>8,823 EGP</t>
  </si>
  <si>
    <t>NE-150</t>
  </si>
  <si>
    <t>10,423 EGP</t>
  </si>
  <si>
    <t>NE-152</t>
  </si>
  <si>
    <t>XY-855</t>
  </si>
  <si>
    <t>11,128 EGP</t>
  </si>
  <si>
    <t>12,408 EGP</t>
  </si>
  <si>
    <t>XY-895</t>
  </si>
  <si>
    <t>16,506 EGP</t>
  </si>
  <si>
    <t>F3-912</t>
  </si>
  <si>
    <t>SM-433</t>
  </si>
  <si>
    <t>12,216 EGP</t>
  </si>
  <si>
    <t>SM433</t>
  </si>
  <si>
    <t>Q2</t>
  </si>
  <si>
    <t>M1 &amp; H10 &amp; Q51 &amp; K18 &amp; V7 &amp; L10 &amp; G8 &amp; S8 &amp; W17 &amp; T9 &amp; X7 &amp; U9 &amp; O7 &amp; I7</t>
  </si>
  <si>
    <t>MS-681</t>
  </si>
  <si>
    <t>14,035 EGP</t>
  </si>
  <si>
    <t>MS-687</t>
  </si>
  <si>
    <t>16,724 EGP</t>
  </si>
  <si>
    <t>MS-683</t>
  </si>
  <si>
    <t>29,760 EGP</t>
  </si>
  <si>
    <t>SV-6447</t>
  </si>
  <si>
    <t>M8 &amp; H25 &amp; Q3 &amp; K16 &amp; V7 &amp; L11 &amp; G27 &amp; S13 &amp; W12 &amp; T8 &amp; X5 &amp; U3 &amp; O5 &amp; I4</t>
  </si>
  <si>
    <t>NP-233</t>
  </si>
  <si>
    <t>13,740 EGP</t>
  </si>
  <si>
    <t>14,662 EGP</t>
  </si>
  <si>
    <t>13,817 EGP</t>
  </si>
  <si>
    <t>15,738 EGP</t>
  </si>
  <si>
    <t>17,915 EGP</t>
  </si>
  <si>
    <t>15,981 EGP</t>
  </si>
  <si>
    <t>M6</t>
  </si>
  <si>
    <t>B1 &amp; M31 &amp; H21 &amp; Q9 &amp; V12 &amp; L12 &amp; G8 &amp; S6 &amp; W9 &amp; T10 &amp; X2 &amp; U4 &amp; O7 &amp; I3</t>
  </si>
  <si>
    <t>E5-315</t>
  </si>
  <si>
    <t>16,477 EGP</t>
  </si>
  <si>
    <t>18,114 EGP</t>
  </si>
  <si>
    <t>28,416 EGP</t>
  </si>
  <si>
    <t>9,194 EGP</t>
  </si>
  <si>
    <t>11,717 EGP</t>
  </si>
  <si>
    <t>NP-133</t>
  </si>
  <si>
    <t>11,448 EGP</t>
  </si>
  <si>
    <t>37,124 EGP</t>
  </si>
  <si>
    <t>H10</t>
  </si>
  <si>
    <t>Q51</t>
  </si>
  <si>
    <t>K18</t>
  </si>
  <si>
    <t>W17</t>
  </si>
  <si>
    <t>M8</t>
  </si>
  <si>
    <t>H25</t>
  </si>
  <si>
    <t>Q3</t>
  </si>
  <si>
    <t>K16</t>
  </si>
  <si>
    <t>G27</t>
  </si>
  <si>
    <t>S13</t>
  </si>
  <si>
    <t>U3</t>
  </si>
  <si>
    <t>B1</t>
  </si>
  <si>
    <t>M31</t>
  </si>
  <si>
    <t>H21</t>
  </si>
  <si>
    <t>Q9</t>
  </si>
  <si>
    <t>V12</t>
  </si>
  <si>
    <t>L12</t>
  </si>
  <si>
    <t>X2</t>
  </si>
  <si>
    <t>ATZ-DMM</t>
  </si>
  <si>
    <t>SM-437</t>
  </si>
  <si>
    <t>22,781 EGP</t>
  </si>
  <si>
    <t>SM437</t>
  </si>
  <si>
    <t>Y5</t>
  </si>
  <si>
    <t>Y2 &amp; M2 &amp; H9 &amp; Q7 &amp; K15 &amp; V10 &amp; L15 &amp; G31 &amp; S16 &amp; W19 &amp; T19 &amp; X20 &amp; U5 &amp; O4 &amp; I1</t>
  </si>
  <si>
    <t>M2</t>
  </si>
  <si>
    <t>Q7</t>
  </si>
  <si>
    <t>S16</t>
  </si>
  <si>
    <t>T19</t>
  </si>
  <si>
    <t>CAI-DMM AS ALTERNATIVE ROUTE</t>
  </si>
  <si>
    <t>CAI-TUU</t>
  </si>
  <si>
    <t>SM325</t>
  </si>
  <si>
    <t>T9 &amp; X31 &amp; U10 &amp; O20 &amp; I40</t>
  </si>
  <si>
    <t>NE-120</t>
  </si>
  <si>
    <t>8,541 EGP</t>
  </si>
  <si>
    <t>SM-325</t>
  </si>
  <si>
    <t>12,396 EGP</t>
  </si>
  <si>
    <t>H1 &amp; Q1 &amp; K19 &amp; V22 &amp; L18 &amp; G5 &amp; T7 &amp; X12 &amp; U9 &amp; O8 &amp; I18</t>
  </si>
  <si>
    <t>NP-107</t>
  </si>
  <si>
    <t>12,485 EGP</t>
  </si>
  <si>
    <t>9,335 EGP</t>
  </si>
  <si>
    <t>NP-307</t>
  </si>
  <si>
    <t>10,065 EGP</t>
  </si>
  <si>
    <t>E5-599</t>
  </si>
  <si>
    <t>10,173 EGP</t>
  </si>
  <si>
    <t>11,810 EGP</t>
  </si>
  <si>
    <t>X31</t>
  </si>
  <si>
    <t>I40</t>
  </si>
  <si>
    <t>I18</t>
  </si>
  <si>
    <t>ATZ-TUU</t>
  </si>
  <si>
    <t>SM-327</t>
  </si>
  <si>
    <t>7,517 EGP</t>
  </si>
  <si>
    <t>SM327</t>
  </si>
  <si>
    <t>U16 &amp; O50 &amp; I50</t>
  </si>
  <si>
    <t>U16</t>
  </si>
  <si>
    <t>O50</t>
  </si>
  <si>
    <t>I50</t>
  </si>
  <si>
    <t>CAI-TUU AS ALTERNATIVE ROUTE</t>
  </si>
  <si>
    <t>CAI-AJF</t>
  </si>
  <si>
    <t>SM321</t>
  </si>
  <si>
    <t>K7</t>
  </si>
  <si>
    <t>K9 &amp; V35 &amp; L21 &amp; G11 &amp; S25 &amp; W3 &amp; T15 &amp; X24 &amp; U8 &amp; O4 &amp; I17</t>
  </si>
  <si>
    <t>NP-109</t>
  </si>
  <si>
    <t>9,066 EGP</t>
  </si>
  <si>
    <t>SM-321</t>
  </si>
  <si>
    <t>14,368 EGP</t>
  </si>
  <si>
    <t>M5</t>
  </si>
  <si>
    <t>M4 &amp; H7 &amp; Q26 &amp; K14 &amp; V32 &amp; L13 &amp; G3 &amp; S6 &amp; W16 &amp; T12 &amp; X8 &amp; U9 &amp; O14 &amp; I4</t>
  </si>
  <si>
    <t>L21</t>
  </si>
  <si>
    <t>S25</t>
  </si>
  <si>
    <t>W3</t>
  </si>
  <si>
    <t>X24</t>
  </si>
  <si>
    <t>I17</t>
  </si>
  <si>
    <t>M4</t>
  </si>
  <si>
    <t>H7</t>
  </si>
  <si>
    <t>Q26</t>
  </si>
  <si>
    <t>V32</t>
  </si>
  <si>
    <t>L13</t>
  </si>
  <si>
    <t>O14</t>
  </si>
  <si>
    <t>ATZ-AJF</t>
  </si>
  <si>
    <t>SM-323</t>
  </si>
  <si>
    <t>6,953 EGP</t>
  </si>
  <si>
    <t>SM323</t>
  </si>
  <si>
    <t>W8 &amp; T7 &amp; X62 &amp; U14 &amp; O19 &amp; I44</t>
  </si>
  <si>
    <t>Indirect competition route CAI – AJF - diversion ratio &amp; passenger leakage</t>
  </si>
  <si>
    <t>07:25</t>
  </si>
  <si>
    <t>X62</t>
  </si>
  <si>
    <t>U14</t>
  </si>
  <si>
    <t>O19</t>
  </si>
  <si>
    <t>I44</t>
  </si>
  <si>
    <t>CAI-AJF AS ALTERNATIVE ROUTE</t>
  </si>
  <si>
    <t>CAI-YNB</t>
  </si>
  <si>
    <t>SM441</t>
  </si>
  <si>
    <t>Q1 &amp; V1 &amp; L6 &amp; G18 &amp; S10 &amp; W2 &amp; T4 &amp; X2 &amp; P135</t>
  </si>
  <si>
    <t>M1 &amp; Q2 &amp; K10 &amp; V12 &amp; L18 &amp; G18 &amp; S29 &amp; W3 &amp; T4 &amp; X2 &amp; P80</t>
  </si>
  <si>
    <t>SM-441</t>
  </si>
  <si>
    <t>20,796 EGP</t>
  </si>
  <si>
    <t>Y4</t>
  </si>
  <si>
    <t>Y1 &amp; B16 &amp; M1 &amp; H11 &amp; Q16 &amp; K16 &amp; V18 &amp; L17 &amp; G18 &amp; S9 &amp; W3 &amp; T4 &amp; X1 &amp; P44</t>
  </si>
  <si>
    <t>V9 &amp; L12 &amp; G20 &amp; S23 &amp; W19 &amp; T4 &amp; X2 &amp; P90</t>
  </si>
  <si>
    <t>L6</t>
  </si>
  <si>
    <t>G18</t>
  </si>
  <si>
    <t>T4</t>
  </si>
  <si>
    <t>K10</t>
  </si>
  <si>
    <t>S29</t>
  </si>
  <si>
    <t>P80</t>
  </si>
  <si>
    <t>B16</t>
  </si>
  <si>
    <t>H11</t>
  </si>
  <si>
    <t>Q16</t>
  </si>
  <si>
    <t>V18</t>
  </si>
  <si>
    <t>L17</t>
  </si>
  <si>
    <t>P44</t>
  </si>
  <si>
    <t>G20</t>
  </si>
  <si>
    <t>S23</t>
  </si>
  <si>
    <t>CAI-AHB</t>
  </si>
  <si>
    <t>SM443</t>
  </si>
  <si>
    <t>B9</t>
  </si>
  <si>
    <t>B2 &amp; M15 &amp; H25 &amp; Q12 &amp; K9 &amp; V8 &amp; L9 &amp; G9 &amp; S8 &amp; W13 &amp; T9 &amp; X8 &amp; U6 &amp; O6 &amp; I3</t>
  </si>
  <si>
    <t>E5-511</t>
  </si>
  <si>
    <t>19,527 EGP</t>
  </si>
  <si>
    <t>21,164 EGP</t>
  </si>
  <si>
    <t>NP-243</t>
  </si>
  <si>
    <t>16,519 EGP</t>
  </si>
  <si>
    <t>SM-443</t>
  </si>
  <si>
    <t>19,362 EGP</t>
  </si>
  <si>
    <t>Y9</t>
  </si>
  <si>
    <t>Y23 &amp; B5 &amp; M9 &amp; H7 &amp; Q20 &amp; L9 &amp; G3 &amp; S10 &amp; W8 &amp; T9 &amp; X7 &amp; U5 &amp; O7 &amp; I6</t>
  </si>
  <si>
    <t>NP-143</t>
  </si>
  <si>
    <t>18,862 EGP</t>
  </si>
  <si>
    <t>B2</t>
  </si>
  <si>
    <t>M15</t>
  </si>
  <si>
    <t>Q12</t>
  </si>
  <si>
    <t>V8</t>
  </si>
  <si>
    <t>Y23</t>
  </si>
  <si>
    <t>M9</t>
  </si>
  <si>
    <t>Q20</t>
  </si>
  <si>
    <t>ATZ-AHB</t>
  </si>
  <si>
    <t>SM445</t>
  </si>
  <si>
    <t>L9 &amp; G20 &amp; S20 &amp; W20 &amp; T40 &amp; X17 &amp; U26 &amp; O27</t>
  </si>
  <si>
    <t>Indirect competition route CAI – AHB - diversion ratio &amp; passenger leakage</t>
  </si>
  <si>
    <t>17:25</t>
  </si>
  <si>
    <t>T40</t>
  </si>
  <si>
    <t>U26</t>
  </si>
  <si>
    <t>O27</t>
  </si>
  <si>
    <t>CAI-AHB AS ALTERNATIVE ROUTE</t>
  </si>
  <si>
    <t>CAI-ELQ</t>
  </si>
  <si>
    <t>NP-105</t>
  </si>
  <si>
    <t>9,668 EGP</t>
  </si>
  <si>
    <t>NE-140</t>
  </si>
  <si>
    <t>9,732 EGP</t>
  </si>
  <si>
    <t>SM-427</t>
  </si>
  <si>
    <t>11,038 EGP</t>
  </si>
  <si>
    <t>SM427</t>
  </si>
  <si>
    <t>Q23 &amp; K12 &amp; V10 &amp; L9 &amp; G17 &amp; S10 &amp; W10 &amp; T21 &amp; X16 &amp; U3 &amp; O6 &amp; I8</t>
  </si>
  <si>
    <t>MS-633</t>
  </si>
  <si>
    <t>14,188 EGP</t>
  </si>
  <si>
    <t>M15 &amp; H45 &amp; K9 &amp; V7 &amp; L9 &amp; G10 &amp; S8 &amp; W5 &amp; T6 &amp; X7 &amp; U8 &amp; O11</t>
  </si>
  <si>
    <t>HIGH DEMAND</t>
  </si>
  <si>
    <t>H2 &amp; Q3 &amp; K7 &amp; V64 &amp; L9 &amp; G10 &amp; S15 &amp; W11 &amp; T10 &amp; X12 &amp; U5 &amp; O8 &amp; I4 &amp; N2</t>
  </si>
  <si>
    <t>Q23</t>
  </si>
  <si>
    <t>G17</t>
  </si>
  <si>
    <t>T21</t>
  </si>
  <si>
    <t>H45</t>
  </si>
  <si>
    <t>W5</t>
  </si>
  <si>
    <t>H2</t>
  </si>
  <si>
    <t>V64</t>
  </si>
  <si>
    <t>ATZ-ELQ</t>
  </si>
  <si>
    <t>SM-435</t>
  </si>
  <si>
    <t>7,670 EGP</t>
  </si>
  <si>
    <t>SM435</t>
  </si>
  <si>
    <t>V10 &amp; L14 &amp; G15 &amp; S16 &amp; W20 &amp; T11 &amp; X7 &amp; U9 &amp; O5</t>
  </si>
  <si>
    <t>CAI-ELQ AS ALTERNATIVE ROUTE</t>
  </si>
  <si>
    <t>CAI-GIZ</t>
  </si>
  <si>
    <t>NP-141</t>
  </si>
  <si>
    <t>13,382 EGP</t>
  </si>
  <si>
    <t>SM-329</t>
  </si>
  <si>
    <t>15,072 EGP</t>
  </si>
  <si>
    <t>SM329</t>
  </si>
  <si>
    <t>H8</t>
  </si>
  <si>
    <t>H7 &amp; Q20 &amp; K40 &amp; V20 &amp; L8 &amp; G7 &amp; S9 &amp; W9 &amp; T10 &amp; X6 &amp; U8 &amp; O9 &amp; I4</t>
  </si>
  <si>
    <t>17,108 EGP</t>
  </si>
  <si>
    <t>M16 &amp; H21 &amp; Q15 &amp; K8 &amp; V5 &amp; L9 &amp; G7 &amp; S9 &amp; W7 &amp; T10 &amp; X9 &amp; U9 &amp; O9 &amp; I2</t>
  </si>
  <si>
    <t>23,101 EGP</t>
  </si>
  <si>
    <t>K40</t>
  </si>
  <si>
    <t>X6</t>
  </si>
  <si>
    <t>M16</t>
  </si>
  <si>
    <t>Q15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</si>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</sst>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0.0%"/>
    <numFmt numFmtId="167" formatCode="h:mm;@"/>
    <numFmt numFmtId="168" formatCode="[$-409]d\-mmm"/>
    <numFmt numFmtId="169" formatCode="[$-409]dddd"/>
    <numFmt numFmtId="170" formatCode="dd\-mmm\-yy"/>
    <numFmt numFmtId="171" formatCode="hh:mm"/>
  </numFmts>
  <fonts count="33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1"/>
      <name val="Calibri"/>
    </font>
    <font>
      <b/>
      <i/>
      <sz val="14"/>
      <color rgb="FF8B0000"/>
      <name val="Calibri"/>
    </font>
    <font>
      <b/>
      <sz val="11"/>
      <name val="Calibri"/>
    </font>
    <font>
      <b/>
      <i/>
      <sz val="12"/>
      <color rgb="FFFF0000"/>
      <name val="Calibri"/>
    </font>
    <font>
      <b/>
      <i/>
      <sz val="2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808080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CC00"/>
      </patternFill>
    </fill>
    <fill>
      <patternFill patternType="solid">
        <fgColor rgb="FFD9E1F2"/>
        <bgColor rgb="FFD9E1F2"/>
      </patternFill>
    </fill>
    <fill>
      <patternFill patternType="solid">
        <fgColor rgb="FFFFFF99"/>
        <bgColor rgb="FFFFFF99"/>
      </patternFill>
    </fill>
    <fill>
      <patternFill patternType="solid">
        <fgColor rgb="FFD3D3D3"/>
      </patternFill>
    </fill>
    <fill>
      <patternFill patternType="solid">
        <fgColor rgb="FFF2CA93"/>
      </patternFill>
    </fill>
    <fill>
      <patternFill patternType="solid">
        <fgColor rgb="FFC5D9F1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B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8B0000"/>
      </bottom>
      <diagonal/>
    </border>
  </borders>
  <cellStyleXfs count="1">
    <xf numFmtId="0" fontId="0" fillId="0" borderId="0"/>
  </cellStyleXfs>
  <cellXfs count="30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165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19" xfId="0" applyNumberFormat="1" applyFont="1" applyBorder="1" applyAlignment="1">
      <alignment horizontal="center" vertical="center"/>
    </xf>
    <xf numFmtId="167" fontId="15" fillId="0" borderId="19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20" xfId="0" applyNumberFormat="1" applyFont="1" applyBorder="1" applyAlignment="1">
      <alignment horizontal="center" vertical="center"/>
    </xf>
    <xf numFmtId="167" fontId="18" fillId="0" borderId="20" xfId="0" applyNumberFormat="1" applyFont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167" fontId="15" fillId="0" borderId="20" xfId="0" applyNumberFormat="1" applyFont="1" applyBorder="1" applyAlignment="1">
      <alignment horizontal="center" vertical="center"/>
    </xf>
    <xf numFmtId="49" fontId="19" fillId="0" borderId="20" xfId="0" applyNumberFormat="1" applyFont="1" applyBorder="1" applyAlignment="1">
      <alignment horizontal="center" vertical="center"/>
    </xf>
    <xf numFmtId="167" fontId="19" fillId="0" borderId="20" xfId="0" applyNumberFormat="1" applyFont="1" applyBorder="1" applyAlignment="1">
      <alignment horizontal="center" vertical="center"/>
    </xf>
    <xf numFmtId="49" fontId="15" fillId="8" borderId="21" xfId="0" applyNumberFormat="1" applyFont="1" applyFill="1" applyBorder="1" applyAlignment="1">
      <alignment horizontal="center" vertical="center"/>
    </xf>
    <xf numFmtId="167" fontId="15" fillId="8" borderId="21" xfId="0" applyNumberFormat="1" applyFont="1" applyFill="1" applyBorder="1" applyAlignment="1">
      <alignment horizontal="center" vertical="center"/>
    </xf>
    <xf numFmtId="0" fontId="15" fillId="8" borderId="21" xfId="0" applyFont="1" applyFill="1" applyBorder="1" applyAlignment="1">
      <alignment horizontal="center" vertical="center"/>
    </xf>
    <xf numFmtId="49" fontId="9" fillId="8" borderId="16" xfId="0" applyNumberFormat="1" applyFont="1" applyFill="1" applyBorder="1" applyAlignment="1">
      <alignment horizontal="center" vertical="center"/>
    </xf>
    <xf numFmtId="166" fontId="20" fillId="8" borderId="17" xfId="0" applyNumberFormat="1" applyFont="1" applyFill="1" applyBorder="1" applyAlignment="1">
      <alignment horizontal="center" vertical="center"/>
    </xf>
    <xf numFmtId="1" fontId="9" fillId="8" borderId="17" xfId="0" applyNumberFormat="1" applyFont="1" applyFill="1" applyBorder="1" applyAlignment="1">
      <alignment horizontal="center" vertical="center"/>
    </xf>
    <xf numFmtId="168" fontId="9" fillId="8" borderId="17" xfId="0" applyNumberFormat="1" applyFont="1" applyFill="1" applyBorder="1" applyAlignment="1">
      <alignment horizontal="center" vertical="center"/>
    </xf>
    <xf numFmtId="49" fontId="8" fillId="8" borderId="17" xfId="0" applyNumberFormat="1" applyFont="1" applyFill="1" applyBorder="1" applyAlignment="1">
      <alignment horizontal="center" vertical="center"/>
    </xf>
    <xf numFmtId="167" fontId="9" fillId="8" borderId="17" xfId="0" applyNumberFormat="1" applyFont="1" applyFill="1" applyBorder="1" applyAlignment="1">
      <alignment horizontal="center" vertical="center"/>
    </xf>
    <xf numFmtId="49" fontId="9" fillId="8" borderId="18" xfId="0" applyNumberFormat="1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6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49" fontId="19" fillId="0" borderId="21" xfId="0" applyNumberFormat="1" applyFont="1" applyBorder="1" applyAlignment="1">
      <alignment horizontal="center" vertical="center"/>
    </xf>
    <xf numFmtId="167" fontId="19" fillId="0" borderId="21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5" fillId="10" borderId="21" xfId="0" applyNumberFormat="1" applyFont="1" applyFill="1" applyBorder="1" applyAlignment="1">
      <alignment horizontal="center" vertical="center"/>
    </xf>
    <xf numFmtId="167" fontId="15" fillId="10" borderId="21" xfId="0" applyNumberFormat="1" applyFont="1" applyFill="1" applyBorder="1" applyAlignment="1">
      <alignment horizontal="center" vertical="center"/>
    </xf>
    <xf numFmtId="0" fontId="15" fillId="10" borderId="21" xfId="0" applyFont="1" applyFill="1" applyBorder="1" applyAlignment="1">
      <alignment horizontal="center" vertical="center"/>
    </xf>
    <xf numFmtId="49" fontId="9" fillId="10" borderId="16" xfId="0" applyNumberFormat="1" applyFont="1" applyFill="1" applyBorder="1" applyAlignment="1">
      <alignment horizontal="center" vertical="center"/>
    </xf>
    <xf numFmtId="166" fontId="20" fillId="10" borderId="17" xfId="0" applyNumberFormat="1" applyFont="1" applyFill="1" applyBorder="1" applyAlignment="1">
      <alignment horizontal="center" vertical="center"/>
    </xf>
    <xf numFmtId="1" fontId="9" fillId="10" borderId="17" xfId="0" applyNumberFormat="1" applyFont="1" applyFill="1" applyBorder="1" applyAlignment="1">
      <alignment horizontal="center" vertical="center"/>
    </xf>
    <xf numFmtId="168" fontId="9" fillId="10" borderId="17" xfId="0" applyNumberFormat="1" applyFont="1" applyFill="1" applyBorder="1" applyAlignment="1">
      <alignment horizontal="center" vertical="center"/>
    </xf>
    <xf numFmtId="49" fontId="8" fillId="10" borderId="17" xfId="0" applyNumberFormat="1" applyFont="1" applyFill="1" applyBorder="1" applyAlignment="1">
      <alignment horizontal="center" vertical="center"/>
    </xf>
    <xf numFmtId="167" fontId="9" fillId="10" borderId="17" xfId="0" applyNumberFormat="1" applyFont="1" applyFill="1" applyBorder="1" applyAlignment="1">
      <alignment horizontal="center" vertical="center"/>
    </xf>
    <xf numFmtId="49" fontId="9" fillId="10" borderId="18" xfId="0" applyNumberFormat="1" applyFont="1" applyFill="1" applyBorder="1" applyAlignment="1">
      <alignment horizontal="center" vertical="center"/>
    </xf>
    <xf numFmtId="49" fontId="15" fillId="11" borderId="21" xfId="0" applyNumberFormat="1" applyFont="1" applyFill="1" applyBorder="1" applyAlignment="1">
      <alignment horizontal="center" vertical="center"/>
    </xf>
    <xf numFmtId="167" fontId="15" fillId="11" borderId="21" xfId="0" applyNumberFormat="1" applyFont="1" applyFill="1" applyBorder="1" applyAlignment="1">
      <alignment horizontal="center" vertical="center"/>
    </xf>
    <xf numFmtId="0" fontId="15" fillId="11" borderId="21" xfId="0" applyFont="1" applyFill="1" applyBorder="1" applyAlignment="1">
      <alignment horizontal="center" vertical="center"/>
    </xf>
    <xf numFmtId="49" fontId="9" fillId="11" borderId="16" xfId="0" applyNumberFormat="1" applyFont="1" applyFill="1" applyBorder="1" applyAlignment="1">
      <alignment horizontal="center" vertical="center"/>
    </xf>
    <xf numFmtId="166" fontId="20" fillId="11" borderId="17" xfId="0" applyNumberFormat="1" applyFont="1" applyFill="1" applyBorder="1" applyAlignment="1">
      <alignment horizontal="center" vertical="center"/>
    </xf>
    <xf numFmtId="1" fontId="9" fillId="11" borderId="17" xfId="0" applyNumberFormat="1" applyFont="1" applyFill="1" applyBorder="1" applyAlignment="1">
      <alignment horizontal="center" vertical="center"/>
    </xf>
    <xf numFmtId="168" fontId="9" fillId="11" borderId="17" xfId="0" applyNumberFormat="1" applyFont="1" applyFill="1" applyBorder="1" applyAlignment="1">
      <alignment horizontal="center" vertical="center"/>
    </xf>
    <xf numFmtId="49" fontId="8" fillId="11" borderId="17" xfId="0" applyNumberFormat="1" applyFont="1" applyFill="1" applyBorder="1" applyAlignment="1">
      <alignment horizontal="center" vertical="center"/>
    </xf>
    <xf numFmtId="167" fontId="9" fillId="11" borderId="17" xfId="0" applyNumberFormat="1" applyFont="1" applyFill="1" applyBorder="1" applyAlignment="1">
      <alignment horizontal="center" vertical="center"/>
    </xf>
    <xf numFmtId="49" fontId="9" fillId="11" borderId="18" xfId="0" applyNumberFormat="1" applyFont="1" applyFill="1" applyBorder="1" applyAlignment="1">
      <alignment horizontal="center" vertical="center"/>
    </xf>
    <xf numFmtId="0" fontId="24" fillId="12" borderId="25" xfId="0" applyFont="1" applyFill="1" applyBorder="1" applyAlignment="1">
      <alignment horizontal="center" vertical="center"/>
    </xf>
    <xf numFmtId="169" fontId="8" fillId="13" borderId="25" xfId="0" applyNumberFormat="1" applyFont="1" applyFill="1" applyBorder="1" applyAlignment="1">
      <alignment horizontal="center" vertical="center"/>
    </xf>
    <xf numFmtId="168" fontId="8" fillId="13" borderId="25" xfId="0" applyNumberFormat="1" applyFont="1" applyFill="1" applyBorder="1" applyAlignment="1">
      <alignment horizontal="center" vertical="center"/>
    </xf>
    <xf numFmtId="49" fontId="8" fillId="13" borderId="25" xfId="0" applyNumberFormat="1" applyFont="1" applyFill="1" applyBorder="1" applyAlignment="1">
      <alignment horizontal="center" vertical="center"/>
    </xf>
    <xf numFmtId="167" fontId="8" fillId="13" borderId="25" xfId="0" applyNumberFormat="1" applyFont="1" applyFill="1" applyBorder="1" applyAlignment="1">
      <alignment horizontal="center" vertical="center"/>
    </xf>
    <xf numFmtId="166" fontId="8" fillId="13" borderId="25" xfId="0" applyNumberFormat="1" applyFont="1" applyFill="1" applyBorder="1" applyAlignment="1">
      <alignment horizontal="center" vertical="center"/>
    </xf>
    <xf numFmtId="1" fontId="8" fillId="13" borderId="25" xfId="0" applyNumberFormat="1" applyFont="1" applyFill="1" applyBorder="1" applyAlignment="1">
      <alignment horizontal="center" vertical="center"/>
    </xf>
    <xf numFmtId="0" fontId="8" fillId="13" borderId="25" xfId="0" applyFont="1" applyFill="1" applyBorder="1" applyAlignment="1">
      <alignment horizontal="center" vertical="center"/>
    </xf>
    <xf numFmtId="169" fontId="8" fillId="14" borderId="25" xfId="0" applyNumberFormat="1" applyFont="1" applyFill="1" applyBorder="1" applyAlignment="1">
      <alignment horizontal="center" vertical="center"/>
    </xf>
    <xf numFmtId="168" fontId="8" fillId="14" borderId="25" xfId="0" applyNumberFormat="1" applyFont="1" applyFill="1" applyBorder="1" applyAlignment="1">
      <alignment horizontal="center" vertical="center"/>
    </xf>
    <xf numFmtId="49" fontId="8" fillId="14" borderId="25" xfId="0" applyNumberFormat="1" applyFont="1" applyFill="1" applyBorder="1" applyAlignment="1">
      <alignment horizontal="center" vertical="center"/>
    </xf>
    <xf numFmtId="167" fontId="8" fillId="14" borderId="25" xfId="0" applyNumberFormat="1" applyFont="1" applyFill="1" applyBorder="1" applyAlignment="1">
      <alignment horizontal="center" vertical="center"/>
    </xf>
    <xf numFmtId="166" fontId="8" fillId="14" borderId="25" xfId="0" applyNumberFormat="1" applyFont="1" applyFill="1" applyBorder="1" applyAlignment="1">
      <alignment horizontal="center" vertical="center"/>
    </xf>
    <xf numFmtId="1" fontId="8" fillId="14" borderId="25" xfId="0" applyNumberFormat="1" applyFont="1" applyFill="1" applyBorder="1" applyAlignment="1">
      <alignment horizontal="center" vertical="center"/>
    </xf>
    <xf numFmtId="0" fontId="8" fillId="14" borderId="25" xfId="0" applyFont="1" applyFill="1" applyBorder="1" applyAlignment="1">
      <alignment horizontal="center" vertical="center"/>
    </xf>
    <xf numFmtId="169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66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0" fontId="25" fillId="16" borderId="25" xfId="0" applyFont="1" applyFill="1" applyBorder="1" applyAlignment="1">
      <alignment horizontal="center" vertical="center"/>
    </xf>
    <xf numFmtId="170" fontId="10" fillId="0" borderId="26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49" fontId="10" fillId="0" borderId="25" xfId="0" applyNumberFormat="1" applyFont="1" applyBorder="1" applyAlignment="1">
      <alignment horizontal="center" vertical="center"/>
    </xf>
    <xf numFmtId="171" fontId="10" fillId="0" borderId="25" xfId="0" applyNumberFormat="1" applyFont="1" applyBorder="1" applyAlignment="1">
      <alignment horizontal="center" vertical="center"/>
    </xf>
    <xf numFmtId="1" fontId="10" fillId="0" borderId="25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170" fontId="11" fillId="0" borderId="25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49" fontId="11" fillId="0" borderId="25" xfId="0" applyNumberFormat="1" applyFont="1" applyBorder="1" applyAlignment="1">
      <alignment horizontal="center" vertical="center"/>
    </xf>
    <xf numFmtId="171" fontId="11" fillId="0" borderId="25" xfId="0" applyNumberFormat="1" applyFont="1" applyBorder="1" applyAlignment="1">
      <alignment horizontal="center" vertical="center"/>
    </xf>
    <xf numFmtId="1" fontId="11" fillId="0" borderId="25" xfId="0" applyNumberFormat="1" applyFont="1" applyBorder="1" applyAlignment="1">
      <alignment horizontal="center" vertical="center"/>
    </xf>
    <xf numFmtId="170" fontId="10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0" fontId="10" fillId="17" borderId="27" xfId="0" applyNumberFormat="1" applyFont="1" applyFill="1" applyBorder="1" applyAlignment="1">
      <alignment horizontal="center" vertical="center"/>
    </xf>
    <xf numFmtId="0" fontId="10" fillId="17" borderId="27" xfId="0" applyFont="1" applyFill="1" applyBorder="1" applyAlignment="1">
      <alignment horizontal="center" vertical="center"/>
    </xf>
    <xf numFmtId="49" fontId="26" fillId="17" borderId="27" xfId="0" applyNumberFormat="1" applyFont="1" applyFill="1" applyBorder="1" applyAlignment="1">
      <alignment horizontal="center" vertical="center"/>
    </xf>
    <xf numFmtId="171" fontId="10" fillId="17" borderId="27" xfId="0" applyNumberFormat="1" applyFont="1" applyFill="1" applyBorder="1" applyAlignment="1">
      <alignment horizontal="center" vertical="center"/>
    </xf>
    <xf numFmtId="170" fontId="8" fillId="0" borderId="27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49" fontId="8" fillId="0" borderId="27" xfId="0" applyNumberFormat="1" applyFont="1" applyBorder="1" applyAlignment="1">
      <alignment horizontal="center" vertical="center"/>
    </xf>
    <xf numFmtId="171" fontId="8" fillId="0" borderId="27" xfId="0" applyNumberFormat="1" applyFont="1" applyBorder="1" applyAlignment="1">
      <alignment horizontal="center" vertical="center"/>
    </xf>
    <xf numFmtId="1" fontId="8" fillId="0" borderId="27" xfId="0" applyNumberFormat="1" applyFont="1" applyBorder="1" applyAlignment="1">
      <alignment horizontal="center" vertical="center"/>
    </xf>
    <xf numFmtId="0" fontId="27" fillId="18" borderId="25" xfId="0" applyFont="1" applyFill="1" applyBorder="1" applyAlignment="1">
      <alignment horizontal="center" vertical="center"/>
    </xf>
    <xf numFmtId="169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67" fontId="8" fillId="0" borderId="25" xfId="0" applyNumberFormat="1" applyFont="1" applyBorder="1" applyAlignment="1">
      <alignment horizontal="center" vertical="center"/>
    </xf>
    <xf numFmtId="166" fontId="8" fillId="0" borderId="25" xfId="0" applyNumberFormat="1" applyFont="1" applyBorder="1" applyAlignment="1">
      <alignment horizontal="center" vertical="center"/>
    </xf>
    <xf numFmtId="169" fontId="27" fillId="15" borderId="25" xfId="0" applyNumberFormat="1" applyFont="1" applyFill="1" applyBorder="1" applyAlignment="1">
      <alignment horizontal="center" vertical="center"/>
    </xf>
    <xf numFmtId="0" fontId="27" fillId="15" borderId="25" xfId="0" applyFont="1" applyFill="1" applyBorder="1" applyAlignment="1">
      <alignment horizontal="center" vertical="center"/>
    </xf>
    <xf numFmtId="49" fontId="27" fillId="15" borderId="25" xfId="0" applyNumberFormat="1" applyFont="1" applyFill="1" applyBorder="1" applyAlignment="1">
      <alignment horizontal="center" vertical="center"/>
    </xf>
    <xf numFmtId="166" fontId="27" fillId="15" borderId="25" xfId="0" applyNumberFormat="1" applyFont="1" applyFill="1" applyBorder="1" applyAlignment="1">
      <alignment horizontal="center" vertical="center"/>
    </xf>
    <xf numFmtId="1" fontId="27" fillId="15" borderId="25" xfId="0" applyNumberFormat="1" applyFont="1" applyFill="1" applyBorder="1" applyAlignment="1">
      <alignment horizontal="center" vertical="center"/>
    </xf>
    <xf numFmtId="49" fontId="15" fillId="19" borderId="3" xfId="0" applyNumberFormat="1" applyFont="1" applyFill="1" applyBorder="1" applyAlignment="1">
      <alignment horizontal="center" vertical="center"/>
    </xf>
    <xf numFmtId="167" fontId="15" fillId="19" borderId="3" xfId="0" applyNumberFormat="1" applyFont="1" applyFill="1" applyBorder="1" applyAlignment="1">
      <alignment horizontal="center" vertical="center"/>
    </xf>
    <xf numFmtId="0" fontId="15" fillId="19" borderId="3" xfId="0" applyFont="1" applyFill="1" applyBorder="1" applyAlignment="1">
      <alignment horizontal="center" vertical="center"/>
    </xf>
    <xf numFmtId="49" fontId="9" fillId="19" borderId="10" xfId="0" applyNumberFormat="1" applyFont="1" applyFill="1" applyBorder="1" applyAlignment="1">
      <alignment horizontal="center" vertical="center"/>
    </xf>
    <xf numFmtId="166" fontId="20" fillId="19" borderId="11" xfId="0" applyNumberFormat="1" applyFont="1" applyFill="1" applyBorder="1" applyAlignment="1">
      <alignment horizontal="center" vertical="center"/>
    </xf>
    <xf numFmtId="1" fontId="9" fillId="19" borderId="11" xfId="0" applyNumberFormat="1" applyFont="1" applyFill="1" applyBorder="1" applyAlignment="1">
      <alignment horizontal="center" vertical="center"/>
    </xf>
    <xf numFmtId="168" fontId="9" fillId="19" borderId="11" xfId="0" applyNumberFormat="1" applyFont="1" applyFill="1" applyBorder="1" applyAlignment="1">
      <alignment horizontal="center" vertical="center"/>
    </xf>
    <xf numFmtId="49" fontId="8" fillId="19" borderId="11" xfId="0" applyNumberFormat="1" applyFont="1" applyFill="1" applyBorder="1" applyAlignment="1">
      <alignment horizontal="center" vertical="center"/>
    </xf>
    <xf numFmtId="167" fontId="9" fillId="19" borderId="11" xfId="0" applyNumberFormat="1" applyFont="1" applyFill="1" applyBorder="1" applyAlignment="1">
      <alignment horizontal="center" vertical="center"/>
    </xf>
    <xf numFmtId="49" fontId="9" fillId="19" borderId="12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15" fillId="20" borderId="3" xfId="0" applyNumberFormat="1" applyFont="1" applyFill="1" applyBorder="1" applyAlignment="1">
      <alignment horizontal="center" vertical="center"/>
    </xf>
    <xf numFmtId="167" fontId="15" fillId="20" borderId="3" xfId="0" applyNumberFormat="1" applyFont="1" applyFill="1" applyBorder="1" applyAlignment="1">
      <alignment horizontal="center" vertical="center"/>
    </xf>
    <xf numFmtId="0" fontId="15" fillId="20" borderId="3" xfId="0" applyFont="1" applyFill="1" applyBorder="1" applyAlignment="1">
      <alignment horizontal="center" vertical="center"/>
    </xf>
    <xf numFmtId="49" fontId="9" fillId="20" borderId="10" xfId="0" applyNumberFormat="1" applyFont="1" applyFill="1" applyBorder="1" applyAlignment="1">
      <alignment horizontal="center" vertical="center"/>
    </xf>
    <xf numFmtId="166" fontId="20" fillId="20" borderId="11" xfId="0" applyNumberFormat="1" applyFont="1" applyFill="1" applyBorder="1" applyAlignment="1">
      <alignment horizontal="center" vertical="center"/>
    </xf>
    <xf numFmtId="1" fontId="9" fillId="20" borderId="11" xfId="0" applyNumberFormat="1" applyFont="1" applyFill="1" applyBorder="1" applyAlignment="1">
      <alignment horizontal="center" vertical="center"/>
    </xf>
    <xf numFmtId="168" fontId="9" fillId="20" borderId="11" xfId="0" applyNumberFormat="1" applyFont="1" applyFill="1" applyBorder="1" applyAlignment="1">
      <alignment horizontal="center" vertical="center"/>
    </xf>
    <xf numFmtId="49" fontId="8" fillId="20" borderId="11" xfId="0" applyNumberFormat="1" applyFont="1" applyFill="1" applyBorder="1" applyAlignment="1">
      <alignment horizontal="center" vertical="center"/>
    </xf>
    <xf numFmtId="167" fontId="9" fillId="20" borderId="11" xfId="0" applyNumberFormat="1" applyFont="1" applyFill="1" applyBorder="1" applyAlignment="1">
      <alignment horizontal="center" vertical="center"/>
    </xf>
    <xf numFmtId="49" fontId="9" fillId="20" borderId="12" xfId="0" applyNumberFormat="1" applyFont="1" applyFill="1" applyBorder="1" applyAlignment="1">
      <alignment horizontal="center" vertical="center"/>
    </xf>
    <xf numFmtId="170" fontId="10" fillId="17" borderId="25" xfId="0" applyNumberFormat="1" applyFont="1" applyFill="1" applyBorder="1" applyAlignment="1">
      <alignment horizontal="center" vertical="center"/>
    </xf>
    <xf numFmtId="0" fontId="10" fillId="17" borderId="25" xfId="0" applyFont="1" applyFill="1" applyBorder="1" applyAlignment="1">
      <alignment horizontal="center" vertical="center"/>
    </xf>
    <xf numFmtId="49" fontId="26" fillId="17" borderId="25" xfId="0" applyNumberFormat="1" applyFont="1" applyFill="1" applyBorder="1" applyAlignment="1">
      <alignment horizontal="center" vertical="center"/>
    </xf>
    <xf numFmtId="171" fontId="10" fillId="17" borderId="25" xfId="0" applyNumberFormat="1" applyFont="1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28" fillId="0" borderId="25" xfId="0" applyFont="1" applyBorder="1" applyAlignment="1">
      <alignment horizontal="center" vertical="center"/>
    </xf>
    <xf numFmtId="170" fontId="10" fillId="17" borderId="26" xfId="0" applyNumberFormat="1" applyFont="1" applyFill="1" applyBorder="1" applyAlignment="1">
      <alignment horizontal="center" vertical="center"/>
    </xf>
    <xf numFmtId="0" fontId="10" fillId="17" borderId="26" xfId="0" applyFont="1" applyFill="1" applyBorder="1" applyAlignment="1">
      <alignment horizontal="center" vertical="center"/>
    </xf>
    <xf numFmtId="1" fontId="10" fillId="17" borderId="25" xfId="0" applyNumberFormat="1" applyFont="1" applyFill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67" fontId="15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6" fontId="20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68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67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9" fillId="20" borderId="3" xfId="0" applyNumberFormat="1" applyFont="1" applyFill="1" applyBorder="1" applyAlignment="1">
      <alignment horizontal="center" vertical="center"/>
    </xf>
    <xf numFmtId="167" fontId="19" fillId="20" borderId="3" xfId="0" applyNumberFormat="1" applyFont="1" applyFill="1" applyBorder="1" applyAlignment="1">
      <alignment horizontal="center" vertical="center"/>
    </xf>
    <xf numFmtId="0" fontId="19" fillId="20" borderId="3" xfId="0" applyFont="1" applyFill="1" applyBorder="1" applyAlignment="1">
      <alignment horizontal="center" vertical="center"/>
    </xf>
    <xf numFmtId="49" fontId="19" fillId="10" borderId="3" xfId="0" applyNumberFormat="1" applyFont="1" applyFill="1" applyBorder="1" applyAlignment="1">
      <alignment horizontal="center" vertical="center"/>
    </xf>
    <xf numFmtId="167" fontId="19" fillId="10" borderId="3" xfId="0" applyNumberFormat="1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49" fontId="19" fillId="19" borderId="3" xfId="0" applyNumberFormat="1" applyFont="1" applyFill="1" applyBorder="1" applyAlignment="1">
      <alignment horizontal="center" vertical="center"/>
    </xf>
    <xf numFmtId="167" fontId="19" fillId="19" borderId="3" xfId="0" applyNumberFormat="1" applyFont="1" applyFill="1" applyBorder="1" applyAlignment="1">
      <alignment horizontal="center" vertical="center"/>
    </xf>
    <xf numFmtId="0" fontId="19" fillId="19" borderId="3" xfId="0" applyFont="1" applyFill="1" applyBorder="1" applyAlignment="1">
      <alignment horizontal="center" vertical="center"/>
    </xf>
    <xf numFmtId="49" fontId="19" fillId="11" borderId="3" xfId="0" applyNumberFormat="1" applyFont="1" applyFill="1" applyBorder="1" applyAlignment="1">
      <alignment horizontal="center" vertical="center"/>
    </xf>
    <xf numFmtId="167" fontId="19" fillId="11" borderId="3" xfId="0" applyNumberFormat="1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6" fontId="20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67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19" fillId="8" borderId="3" xfId="0" applyNumberFormat="1" applyFont="1" applyFill="1" applyBorder="1" applyAlignment="1">
      <alignment horizontal="center" vertical="center"/>
    </xf>
    <xf numFmtId="167" fontId="19" fillId="8" borderId="3" xfId="0" applyNumberFormat="1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6" fontId="20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67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49" fontId="19" fillId="19" borderId="21" xfId="0" applyNumberFormat="1" applyFont="1" applyFill="1" applyBorder="1" applyAlignment="1">
      <alignment horizontal="center" vertical="center"/>
    </xf>
    <xf numFmtId="167" fontId="19" fillId="19" borderId="21" xfId="0" applyNumberFormat="1" applyFont="1" applyFill="1" applyBorder="1" applyAlignment="1">
      <alignment horizontal="center" vertical="center"/>
    </xf>
    <xf numFmtId="0" fontId="19" fillId="19" borderId="21" xfId="0" applyFont="1" applyFill="1" applyBorder="1" applyAlignment="1">
      <alignment horizontal="center" vertical="center"/>
    </xf>
    <xf numFmtId="49" fontId="9" fillId="19" borderId="16" xfId="0" applyNumberFormat="1" applyFont="1" applyFill="1" applyBorder="1" applyAlignment="1">
      <alignment horizontal="center" vertical="center"/>
    </xf>
    <xf numFmtId="166" fontId="20" fillId="19" borderId="17" xfId="0" applyNumberFormat="1" applyFont="1" applyFill="1" applyBorder="1" applyAlignment="1">
      <alignment horizontal="center" vertical="center"/>
    </xf>
    <xf numFmtId="1" fontId="9" fillId="19" borderId="17" xfId="0" applyNumberFormat="1" applyFont="1" applyFill="1" applyBorder="1" applyAlignment="1">
      <alignment horizontal="center" vertical="center"/>
    </xf>
    <xf numFmtId="168" fontId="9" fillId="19" borderId="17" xfId="0" applyNumberFormat="1" applyFont="1" applyFill="1" applyBorder="1" applyAlignment="1">
      <alignment horizontal="center" vertical="center"/>
    </xf>
    <xf numFmtId="49" fontId="8" fillId="19" borderId="17" xfId="0" applyNumberFormat="1" applyFont="1" applyFill="1" applyBorder="1" applyAlignment="1">
      <alignment horizontal="center" vertical="center"/>
    </xf>
    <xf numFmtId="167" fontId="9" fillId="19" borderId="17" xfId="0" applyNumberFormat="1" applyFont="1" applyFill="1" applyBorder="1" applyAlignment="1">
      <alignment horizontal="center" vertical="center"/>
    </xf>
    <xf numFmtId="49" fontId="9" fillId="19" borderId="18" xfId="0" applyNumberFormat="1" applyFont="1" applyFill="1" applyBorder="1" applyAlignment="1">
      <alignment horizontal="center" vertical="center"/>
    </xf>
    <xf numFmtId="49" fontId="15" fillId="8" borderId="3" xfId="0" applyNumberFormat="1" applyFont="1" applyFill="1" applyBorder="1" applyAlignment="1">
      <alignment horizontal="center" vertical="center"/>
    </xf>
    <xf numFmtId="167" fontId="15" fillId="8" borderId="3" xfId="0" applyNumberFormat="1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49" fontId="19" fillId="8" borderId="21" xfId="0" applyNumberFormat="1" applyFont="1" applyFill="1" applyBorder="1" applyAlignment="1">
      <alignment horizontal="center" vertical="center"/>
    </xf>
    <xf numFmtId="167" fontId="19" fillId="8" borderId="21" xfId="0" applyNumberFormat="1" applyFont="1" applyFill="1" applyBorder="1" applyAlignment="1">
      <alignment horizontal="center" vertical="center"/>
    </xf>
    <xf numFmtId="0" fontId="19" fillId="8" borderId="21" xfId="0" applyFont="1" applyFill="1" applyBorder="1" applyAlignment="1">
      <alignment horizontal="center" vertical="center"/>
    </xf>
    <xf numFmtId="170" fontId="8" fillId="17" borderId="25" xfId="0" applyNumberFormat="1" applyFont="1" applyFill="1" applyBorder="1" applyAlignment="1">
      <alignment horizontal="center" vertical="center"/>
    </xf>
    <xf numFmtId="0" fontId="8" fillId="17" borderId="25" xfId="0" applyFont="1" applyFill="1" applyBorder="1" applyAlignment="1">
      <alignment horizontal="center" vertical="center"/>
    </xf>
    <xf numFmtId="49" fontId="6" fillId="17" borderId="25" xfId="0" applyNumberFormat="1" applyFont="1" applyFill="1" applyBorder="1" applyAlignment="1">
      <alignment horizontal="center" vertical="center"/>
    </xf>
    <xf numFmtId="171" fontId="8" fillId="17" borderId="25" xfId="0" applyNumberFormat="1" applyFont="1" applyFill="1" applyBorder="1" applyAlignment="1">
      <alignment horizontal="center" vertical="center"/>
    </xf>
    <xf numFmtId="1" fontId="8" fillId="17" borderId="25" xfId="0" applyNumberFormat="1" applyFont="1" applyFill="1" applyBorder="1" applyAlignment="1">
      <alignment horizontal="center" vertical="center"/>
    </xf>
    <xf numFmtId="170" fontId="8" fillId="17" borderId="27" xfId="0" applyNumberFormat="1" applyFont="1" applyFill="1" applyBorder="1" applyAlignment="1">
      <alignment horizontal="center" vertical="center"/>
    </xf>
    <xf numFmtId="0" fontId="8" fillId="17" borderId="27" xfId="0" applyFont="1" applyFill="1" applyBorder="1" applyAlignment="1">
      <alignment horizontal="center" vertical="center"/>
    </xf>
    <xf numFmtId="49" fontId="6" fillId="17" borderId="27" xfId="0" applyNumberFormat="1" applyFont="1" applyFill="1" applyBorder="1" applyAlignment="1">
      <alignment horizontal="center" vertical="center"/>
    </xf>
    <xf numFmtId="171" fontId="8" fillId="17" borderId="27" xfId="0" applyNumberFormat="1" applyFont="1" applyFill="1" applyBorder="1" applyAlignment="1">
      <alignment horizontal="center" vertical="center"/>
    </xf>
    <xf numFmtId="49" fontId="19" fillId="11" borderId="21" xfId="0" applyNumberFormat="1" applyFont="1" applyFill="1" applyBorder="1" applyAlignment="1">
      <alignment horizontal="center" vertical="center"/>
    </xf>
    <xf numFmtId="167" fontId="19" fillId="11" borderId="21" xfId="0" applyNumberFormat="1" applyFont="1" applyFill="1" applyBorder="1" applyAlignment="1">
      <alignment horizontal="center" vertical="center"/>
    </xf>
    <xf numFmtId="0" fontId="19" fillId="11" borderId="21" xfId="0" applyFont="1" applyFill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67" fontId="15" fillId="11" borderId="3" xfId="0" applyNumberFormat="1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166" fontId="9" fillId="20" borderId="11" xfId="0" applyNumberFormat="1" applyFont="1" applyFill="1" applyBorder="1" applyAlignment="1">
      <alignment horizontal="center" vertical="center"/>
    </xf>
    <xf numFmtId="166" fontId="9" fillId="8" borderId="11" xfId="0" applyNumberFormat="1" applyFont="1" applyFill="1" applyBorder="1" applyAlignment="1">
      <alignment horizontal="center" vertical="center"/>
    </xf>
    <xf numFmtId="49" fontId="19" fillId="20" borderId="21" xfId="0" applyNumberFormat="1" applyFont="1" applyFill="1" applyBorder="1" applyAlignment="1">
      <alignment horizontal="center" vertical="center"/>
    </xf>
    <xf numFmtId="167" fontId="19" fillId="20" borderId="21" xfId="0" applyNumberFormat="1" applyFont="1" applyFill="1" applyBorder="1" applyAlignment="1">
      <alignment horizontal="center" vertical="center"/>
    </xf>
    <xf numFmtId="49" fontId="9" fillId="20" borderId="16" xfId="0" applyNumberFormat="1" applyFont="1" applyFill="1" applyBorder="1" applyAlignment="1">
      <alignment horizontal="center" vertical="center"/>
    </xf>
    <xf numFmtId="166" fontId="9" fillId="20" borderId="17" xfId="0" applyNumberFormat="1" applyFont="1" applyFill="1" applyBorder="1" applyAlignment="1">
      <alignment horizontal="center" vertical="center"/>
    </xf>
    <xf numFmtId="1" fontId="9" fillId="20" borderId="17" xfId="0" applyNumberFormat="1" applyFont="1" applyFill="1" applyBorder="1" applyAlignment="1">
      <alignment horizontal="center" vertical="center"/>
    </xf>
    <xf numFmtId="168" fontId="9" fillId="20" borderId="17" xfId="0" applyNumberFormat="1" applyFont="1" applyFill="1" applyBorder="1" applyAlignment="1">
      <alignment horizontal="center" vertical="center"/>
    </xf>
    <xf numFmtId="49" fontId="8" fillId="20" borderId="17" xfId="0" applyNumberFormat="1" applyFont="1" applyFill="1" applyBorder="1" applyAlignment="1">
      <alignment horizontal="center" vertical="center"/>
    </xf>
    <xf numFmtId="167" fontId="9" fillId="20" borderId="17" xfId="0" applyNumberFormat="1" applyFont="1" applyFill="1" applyBorder="1" applyAlignment="1">
      <alignment horizontal="center" vertical="center"/>
    </xf>
    <xf numFmtId="49" fontId="9" fillId="20" borderId="18" xfId="0" applyNumberFormat="1" applyFont="1" applyFill="1" applyBorder="1" applyAlignment="1">
      <alignment horizontal="center" vertical="center"/>
    </xf>
    <xf numFmtId="1" fontId="8" fillId="17" borderId="27" xfId="0" applyNumberFormat="1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67" fontId="15" fillId="0" borderId="3" xfId="0" applyNumberFormat="1" applyFont="1" applyBorder="1" applyAlignment="1">
      <alignment horizontal="center" vertical="center"/>
    </xf>
    <xf numFmtId="170" fontId="10" fillId="0" borderId="29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49" fontId="10" fillId="0" borderId="27" xfId="0" applyNumberFormat="1" applyFont="1" applyBorder="1" applyAlignment="1">
      <alignment horizontal="center" vertical="center"/>
    </xf>
    <xf numFmtId="171" fontId="10" fillId="0" borderId="27" xfId="0" applyNumberFormat="1" applyFont="1" applyBorder="1" applyAlignment="1">
      <alignment horizontal="center" vertical="center"/>
    </xf>
    <xf numFmtId="1" fontId="10" fillId="0" borderId="27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6" fontId="9" fillId="10" borderId="11" xfId="0" applyNumberFormat="1" applyFont="1" applyFill="1" applyBorder="1" applyAlignment="1">
      <alignment horizontal="center" vertical="center"/>
    </xf>
    <xf numFmtId="166" fontId="9" fillId="8" borderId="17" xfId="0" applyNumberFormat="1" applyFont="1" applyFill="1" applyBorder="1" applyAlignment="1">
      <alignment horizontal="center" vertical="center"/>
    </xf>
    <xf numFmtId="166" fontId="9" fillId="11" borderId="11" xfId="0" applyNumberFormat="1" applyFont="1" applyFill="1" applyBorder="1" applyAlignment="1">
      <alignment horizontal="center" vertical="center"/>
    </xf>
    <xf numFmtId="49" fontId="15" fillId="0" borderId="21" xfId="0" applyNumberFormat="1" applyFont="1" applyBorder="1" applyAlignment="1">
      <alignment horizontal="center" vertical="center"/>
    </xf>
    <xf numFmtId="167" fontId="15" fillId="0" borderId="21" xfId="0" applyNumberFormat="1" applyFont="1" applyBorder="1" applyAlignment="1">
      <alignment horizontal="center" vertical="center"/>
    </xf>
    <xf numFmtId="170" fontId="10" fillId="0" borderId="27" xfId="0" applyNumberFormat="1" applyFont="1" applyBorder="1" applyAlignment="1">
      <alignment horizontal="center" vertical="center"/>
    </xf>
    <xf numFmtId="170" fontId="10" fillId="17" borderId="29" xfId="0" applyNumberFormat="1" applyFont="1" applyFill="1" applyBorder="1" applyAlignment="1">
      <alignment horizontal="center" vertical="center"/>
    </xf>
    <xf numFmtId="0" fontId="10" fillId="17" borderId="29" xfId="0" applyFont="1" applyFill="1" applyBorder="1" applyAlignment="1">
      <alignment horizontal="center" vertical="center"/>
    </xf>
    <xf numFmtId="1" fontId="10" fillId="17" borderId="27" xfId="0" applyNumberFormat="1" applyFont="1" applyFill="1" applyBorder="1" applyAlignment="1">
      <alignment horizontal="center" vertical="center"/>
    </xf>
    <xf numFmtId="49" fontId="18" fillId="0" borderId="21" xfId="0" applyNumberFormat="1" applyFont="1" applyBorder="1" applyAlignment="1">
      <alignment horizontal="center" vertical="center"/>
    </xf>
    <xf numFmtId="167" fontId="18" fillId="0" borderId="21" xfId="0" applyNumberFormat="1" applyFont="1" applyBorder="1" applyAlignment="1">
      <alignment horizontal="center" vertical="center"/>
    </xf>
    <xf numFmtId="170" fontId="11" fillId="0" borderId="27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49" fontId="11" fillId="0" borderId="27" xfId="0" applyNumberFormat="1" applyFont="1" applyBorder="1" applyAlignment="1">
      <alignment horizontal="center" vertical="center"/>
    </xf>
    <xf numFmtId="171" fontId="11" fillId="0" borderId="27" xfId="0" applyNumberFormat="1" applyFont="1" applyBorder="1" applyAlignment="1">
      <alignment horizontal="center" vertical="center"/>
    </xf>
    <xf numFmtId="1" fontId="11" fillId="0" borderId="27" xfId="0" applyNumberFormat="1" applyFont="1" applyBorder="1" applyAlignment="1">
      <alignment horizontal="center" vertical="center"/>
    </xf>
    <xf numFmtId="166" fontId="9" fillId="10" borderId="17" xfId="0" applyNumberFormat="1" applyFont="1" applyFill="1" applyBorder="1" applyAlignment="1">
      <alignment horizontal="center" vertical="center"/>
    </xf>
    <xf numFmtId="166" fontId="20" fillId="20" borderId="17" xfId="0" applyNumberFormat="1" applyFont="1" applyFill="1" applyBorder="1" applyAlignment="1">
      <alignment horizontal="center" vertical="center"/>
    </xf>
    <xf numFmtId="49" fontId="15" fillId="19" borderId="21" xfId="0" applyNumberFormat="1" applyFont="1" applyFill="1" applyBorder="1" applyAlignment="1">
      <alignment horizontal="center" vertical="center"/>
    </xf>
    <xf numFmtId="167" fontId="15" fillId="19" borderId="21" xfId="0" applyNumberFormat="1" applyFont="1" applyFill="1" applyBorder="1" applyAlignment="1">
      <alignment horizontal="center" vertical="center"/>
    </xf>
    <xf numFmtId="166" fontId="9" fillId="19" borderId="17" xfId="0" applyNumberFormat="1" applyFont="1" applyFill="1" applyBorder="1" applyAlignment="1">
      <alignment horizontal="center" vertical="center"/>
    </xf>
    <xf numFmtId="49" fontId="15" fillId="20" borderId="21" xfId="0" applyNumberFormat="1" applyFont="1" applyFill="1" applyBorder="1" applyAlignment="1">
      <alignment horizontal="center" vertical="center"/>
    </xf>
    <xf numFmtId="167" fontId="15" fillId="20" borderId="21" xfId="0" applyNumberFormat="1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165" fontId="12" fillId="3" borderId="0" xfId="0" applyNumberFormat="1" applyFont="1" applyFill="1" applyAlignment="1">
      <alignment horizontal="left" vertical="center"/>
    </xf>
    <xf numFmtId="0" fontId="12" fillId="3" borderId="0" xfId="0" applyFont="1" applyFill="1" applyAlignment="1">
      <alignment vertical="center"/>
    </xf>
    <xf numFmtId="49" fontId="13" fillId="4" borderId="3" xfId="0" applyNumberFormat="1" applyFont="1" applyFill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3" fillId="4" borderId="3" xfId="0" applyFont="1" applyFill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0" fontId="21" fillId="9" borderId="7" xfId="0" applyFont="1" applyFill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18" fontId="12" fillId="3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164" fontId="3" fillId="2" borderId="0" xfId="0" applyNumberFormat="1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3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28" fillId="0" borderId="20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vertical="center"/>
    </xf>
    <xf numFmtId="0" fontId="22" fillId="0" borderId="2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57">
  <autoFilter ref="A1:H57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49">
  <autoFilter ref="A1:H49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46">
  <autoFilter ref="A1:H46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123">
  <autoFilter ref="A1:H123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44">
  <autoFilter ref="A1:H44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34">
  <autoFilter ref="A1:H34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2">
  <autoFilter ref="A1:H2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SSH_JED" displayName="FocusMode_SSH_JED" ref="A1:H2">
  <autoFilter ref="A1:H2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CAI_RUH" displayName="FocusMode_CAI_RUH" ref="A1:H103">
  <autoFilter ref="A1:H103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ATZ_RUH" displayName="FocusMode_ATZ_RUH" ref="A1:H39">
  <autoFilter ref="A1:H39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CAI_DMM" displayName="FocusMode_CAI_DMM" ref="A1:H50">
  <autoFilter ref="A1:H50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ATZ_DMM" displayName="FocusMode_ATZ_DMM" ref="A1:H35">
  <autoFilter ref="A1:H35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CAI_TUU" displayName="FocusMode_CAI_TUU" ref="A1:H9">
  <autoFilter ref="A1:H9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ATZ_TUU" displayName="FocusMode_ATZ_TUU" ref="A1:H11">
  <autoFilter ref="A1:H11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CAI_AJF" displayName="FocusMode_CAI_AJF" ref="A1:H4">
  <autoFilter ref="A1:H4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TZ_AJF" displayName="FocusMode_ATZ_AJF" ref="A1:H6">
  <autoFilter ref="A1:H6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CAI_YNB" displayName="FocusMode_CAI_YNB" ref="A1:H5">
  <autoFilter ref="A1:H5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AHB" displayName="FocusMode_CAI_AHB" ref="A1:H7">
  <autoFilter ref="A1:H7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TZ_AHB" displayName="FocusMode_ATZ_AHB" ref="A1:H10">
  <autoFilter ref="A1:H10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CAI_ELQ" displayName="FocusMode_CAI_ELQ" ref="A1:H7">
  <autoFilter ref="A1:H7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ATZ_ELQ" displayName="FocusMode_ATZ_ELQ" ref="A1:H7">
  <autoFilter ref="A1:H7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CAI_GIZ" displayName="FocusMode_CAI_GIZ" ref="A1:H5">
  <autoFilter ref="A1:H5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1"/>
  <sheetViews>
    <sheetView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4.4414062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1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45987.359161135428</v>
      </c>
      <c r="H2" s="279"/>
      <c r="I2" s="279"/>
      <c r="J2" s="279"/>
      <c r="K2" s="288">
        <v>45987.359161135777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2" t="s">
        <v>5</v>
      </c>
      <c r="B4" s="283"/>
      <c r="C4" s="283"/>
      <c r="D4" s="283"/>
      <c r="E4" s="283"/>
      <c r="F4" s="283"/>
      <c r="G4" s="5">
        <v>45988</v>
      </c>
      <c r="H4" s="294" t="s">
        <v>6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25</v>
      </c>
      <c r="B6" s="8" t="s">
        <v>26</v>
      </c>
      <c r="C6" s="9">
        <v>0.22916666666666671</v>
      </c>
      <c r="D6" s="8" t="s">
        <v>27</v>
      </c>
      <c r="E6" s="8" t="s">
        <v>28</v>
      </c>
      <c r="F6" s="8" t="s">
        <v>29</v>
      </c>
      <c r="G6" s="275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15" t="s">
        <v>25</v>
      </c>
      <c r="B7" s="15" t="s">
        <v>26</v>
      </c>
      <c r="C7" s="16">
        <v>0.22916666666666671</v>
      </c>
      <c r="D7" s="15" t="s">
        <v>30</v>
      </c>
      <c r="E7" s="15" t="s">
        <v>31</v>
      </c>
      <c r="F7" s="15" t="s">
        <v>32</v>
      </c>
      <c r="G7" s="276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15" t="s">
        <v>25</v>
      </c>
      <c r="B8" s="15" t="s">
        <v>26</v>
      </c>
      <c r="C8" s="16">
        <v>0.22916666666666671</v>
      </c>
      <c r="D8" s="15" t="s">
        <v>33</v>
      </c>
      <c r="E8" s="15" t="s">
        <v>31</v>
      </c>
      <c r="F8" s="15" t="s">
        <v>34</v>
      </c>
      <c r="G8" s="276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7" t="s">
        <v>35</v>
      </c>
      <c r="B9" s="17" t="s">
        <v>36</v>
      </c>
      <c r="C9" s="18">
        <v>0.60763888888888895</v>
      </c>
      <c r="D9" s="17" t="s">
        <v>37</v>
      </c>
      <c r="E9" s="17" t="s">
        <v>38</v>
      </c>
      <c r="F9" s="17" t="s">
        <v>39</v>
      </c>
      <c r="G9" s="276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5" t="s">
        <v>35</v>
      </c>
      <c r="B10" s="15" t="s">
        <v>36</v>
      </c>
      <c r="C10" s="16">
        <v>0.60763888888888895</v>
      </c>
      <c r="D10" s="15" t="s">
        <v>40</v>
      </c>
      <c r="E10" s="15" t="s">
        <v>41</v>
      </c>
      <c r="F10" s="15" t="s">
        <v>42</v>
      </c>
      <c r="G10" s="276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5" t="s">
        <v>35</v>
      </c>
      <c r="B11" s="15" t="s">
        <v>36</v>
      </c>
      <c r="C11" s="16">
        <v>0.60763888888888895</v>
      </c>
      <c r="D11" s="15" t="s">
        <v>43</v>
      </c>
      <c r="E11" s="15" t="s">
        <v>41</v>
      </c>
      <c r="F11" s="15" t="s">
        <v>44</v>
      </c>
      <c r="G11" s="276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35</v>
      </c>
      <c r="B12" s="19" t="s">
        <v>45</v>
      </c>
      <c r="C12" s="20">
        <v>0.43402777777777768</v>
      </c>
      <c r="D12" s="19" t="s">
        <v>37</v>
      </c>
      <c r="E12" s="19" t="s">
        <v>46</v>
      </c>
      <c r="F12" s="19" t="s">
        <v>39</v>
      </c>
      <c r="G12" s="276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5" t="s">
        <v>35</v>
      </c>
      <c r="B13" s="15" t="s">
        <v>45</v>
      </c>
      <c r="C13" s="16">
        <v>0.43402777777777768</v>
      </c>
      <c r="D13" s="15" t="s">
        <v>40</v>
      </c>
      <c r="E13" s="15" t="s">
        <v>47</v>
      </c>
      <c r="F13" s="15" t="s">
        <v>42</v>
      </c>
      <c r="G13" s="276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5" t="s">
        <v>35</v>
      </c>
      <c r="B14" s="15" t="s">
        <v>45</v>
      </c>
      <c r="C14" s="16">
        <v>0.43402777777777768</v>
      </c>
      <c r="D14" s="15" t="s">
        <v>43</v>
      </c>
      <c r="E14" s="15" t="s">
        <v>47</v>
      </c>
      <c r="F14" s="15" t="s">
        <v>48</v>
      </c>
      <c r="G14" s="276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7" t="s">
        <v>49</v>
      </c>
      <c r="B15" s="17" t="s">
        <v>50</v>
      </c>
      <c r="C15" s="18">
        <v>0.35416666666666669</v>
      </c>
      <c r="D15" s="17" t="s">
        <v>51</v>
      </c>
      <c r="E15" s="17" t="s">
        <v>52</v>
      </c>
      <c r="F15" s="17" t="s">
        <v>53</v>
      </c>
      <c r="G15" s="276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9" t="s">
        <v>49</v>
      </c>
      <c r="B16" s="19" t="s">
        <v>54</v>
      </c>
      <c r="C16" s="20">
        <v>0.89583333333333337</v>
      </c>
      <c r="D16" s="19" t="s">
        <v>51</v>
      </c>
      <c r="E16" s="19" t="s">
        <v>55</v>
      </c>
      <c r="F16" s="19" t="s">
        <v>53</v>
      </c>
      <c r="G16" s="276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9" t="s">
        <v>49</v>
      </c>
      <c r="B17" s="19" t="s">
        <v>56</v>
      </c>
      <c r="C17" s="20">
        <v>0.22916666666666671</v>
      </c>
      <c r="D17" s="19" t="s">
        <v>51</v>
      </c>
      <c r="E17" s="19" t="s">
        <v>57</v>
      </c>
      <c r="F17" s="19" t="s">
        <v>58</v>
      </c>
      <c r="G17" s="276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5" customHeight="1" x14ac:dyDescent="0.3">
      <c r="A18" s="21" t="s">
        <v>59</v>
      </c>
      <c r="B18" s="21" t="s">
        <v>60</v>
      </c>
      <c r="C18" s="22">
        <v>0.38194444444444442</v>
      </c>
      <c r="D18" s="21" t="s">
        <v>61</v>
      </c>
      <c r="E18" s="23"/>
      <c r="F18" s="21" t="s">
        <v>62</v>
      </c>
      <c r="G18" s="277"/>
      <c r="H18" s="24" t="s">
        <v>60</v>
      </c>
      <c r="I18" s="25">
        <v>1.0111000000000001</v>
      </c>
      <c r="J18" s="26">
        <v>182</v>
      </c>
      <c r="K18" s="27">
        <v>45985</v>
      </c>
      <c r="L18" s="26">
        <v>14</v>
      </c>
      <c r="M18" s="26">
        <v>0</v>
      </c>
      <c r="N18" s="26">
        <v>0</v>
      </c>
      <c r="O18" s="28" t="s">
        <v>63</v>
      </c>
      <c r="P18" s="29">
        <v>0.38194444444444442</v>
      </c>
      <c r="Q18" s="26">
        <v>180</v>
      </c>
      <c r="R18" s="30" t="s">
        <v>64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4.4" customHeight="1" x14ac:dyDescent="0.3">
      <c r="A19" s="284"/>
      <c r="B19" s="285"/>
      <c r="C19" s="285"/>
      <c r="D19" s="285"/>
      <c r="E19" s="285"/>
      <c r="F19" s="285"/>
      <c r="G19" s="273"/>
      <c r="H19" s="286"/>
      <c r="I19" s="286"/>
      <c r="J19" s="286"/>
      <c r="K19" s="286"/>
      <c r="L19" s="286"/>
      <c r="M19" s="286"/>
      <c r="N19" s="286"/>
      <c r="O19" s="287"/>
      <c r="P19" s="286"/>
      <c r="Q19" s="273"/>
      <c r="R19" s="27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22.05" customHeight="1" x14ac:dyDescent="0.3">
      <c r="A20" s="280" t="s">
        <v>5</v>
      </c>
      <c r="B20" s="281"/>
      <c r="C20" s="281"/>
      <c r="D20" s="281"/>
      <c r="E20" s="281"/>
      <c r="F20" s="281"/>
      <c r="G20" s="5">
        <v>45989</v>
      </c>
      <c r="H20" s="290" t="s">
        <v>6</v>
      </c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24" customHeight="1" x14ac:dyDescent="0.3">
      <c r="A21" s="31" t="s">
        <v>7</v>
      </c>
      <c r="B21" s="31" t="s">
        <v>8</v>
      </c>
      <c r="C21" s="32" t="s">
        <v>9</v>
      </c>
      <c r="D21" s="31" t="s">
        <v>10</v>
      </c>
      <c r="E21" s="31" t="s">
        <v>11</v>
      </c>
      <c r="F21" s="31" t="s">
        <v>12</v>
      </c>
      <c r="G21" s="33" t="s">
        <v>13</v>
      </c>
      <c r="H21" s="31" t="s">
        <v>14</v>
      </c>
      <c r="I21" s="34" t="s">
        <v>15</v>
      </c>
      <c r="J21" s="35" t="s">
        <v>16</v>
      </c>
      <c r="K21" s="36" t="s">
        <v>17</v>
      </c>
      <c r="L21" s="35" t="s">
        <v>18</v>
      </c>
      <c r="M21" s="35" t="s">
        <v>19</v>
      </c>
      <c r="N21" s="35" t="s">
        <v>20</v>
      </c>
      <c r="O21" s="31" t="s">
        <v>21</v>
      </c>
      <c r="P21" s="32" t="s">
        <v>22</v>
      </c>
      <c r="Q21" s="35" t="s">
        <v>23</v>
      </c>
      <c r="R21" s="31" t="s">
        <v>24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5" customHeight="1" x14ac:dyDescent="0.3">
      <c r="A22" s="8" t="s">
        <v>25</v>
      </c>
      <c r="B22" s="8" t="s">
        <v>26</v>
      </c>
      <c r="C22" s="9">
        <v>0.22916666666666671</v>
      </c>
      <c r="D22" s="8" t="s">
        <v>27</v>
      </c>
      <c r="E22" s="8" t="s">
        <v>65</v>
      </c>
      <c r="F22" s="8" t="s">
        <v>66</v>
      </c>
      <c r="G22" s="275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5" customHeight="1" x14ac:dyDescent="0.3">
      <c r="A23" s="15" t="s">
        <v>25</v>
      </c>
      <c r="B23" s="15" t="s">
        <v>26</v>
      </c>
      <c r="C23" s="16">
        <v>0.22916666666666671</v>
      </c>
      <c r="D23" s="15" t="s">
        <v>30</v>
      </c>
      <c r="E23" s="15" t="s">
        <v>67</v>
      </c>
      <c r="F23" s="15" t="s">
        <v>68</v>
      </c>
      <c r="G23" s="276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5" customHeight="1" x14ac:dyDescent="0.3">
      <c r="A24" s="15" t="s">
        <v>25</v>
      </c>
      <c r="B24" s="15" t="s">
        <v>26</v>
      </c>
      <c r="C24" s="16">
        <v>0.22916666666666671</v>
      </c>
      <c r="D24" s="15" t="s">
        <v>33</v>
      </c>
      <c r="E24" s="15" t="s">
        <v>67</v>
      </c>
      <c r="F24" s="15" t="s">
        <v>69</v>
      </c>
      <c r="G24" s="276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5" customHeight="1" x14ac:dyDescent="0.3">
      <c r="A25" s="17" t="s">
        <v>70</v>
      </c>
      <c r="B25" s="17" t="s">
        <v>71</v>
      </c>
      <c r="C25" s="18">
        <v>0.94097222222222221</v>
      </c>
      <c r="D25" s="17" t="s">
        <v>72</v>
      </c>
      <c r="E25" s="17" t="s">
        <v>73</v>
      </c>
      <c r="F25" s="17" t="s">
        <v>74</v>
      </c>
      <c r="G25" s="276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19" t="s">
        <v>70</v>
      </c>
      <c r="B26" s="19" t="s">
        <v>75</v>
      </c>
      <c r="C26" s="20">
        <v>0.69791666666666663</v>
      </c>
      <c r="D26" s="19" t="s">
        <v>72</v>
      </c>
      <c r="E26" s="19" t="s">
        <v>76</v>
      </c>
      <c r="F26" s="19" t="s">
        <v>74</v>
      </c>
      <c r="G26" s="276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5" customHeight="1" x14ac:dyDescent="0.3">
      <c r="A27" s="17" t="s">
        <v>35</v>
      </c>
      <c r="B27" s="17" t="s">
        <v>36</v>
      </c>
      <c r="C27" s="18">
        <v>0.60763888888888895</v>
      </c>
      <c r="D27" s="17" t="s">
        <v>37</v>
      </c>
      <c r="E27" s="17" t="s">
        <v>52</v>
      </c>
      <c r="F27" s="17" t="s">
        <v>77</v>
      </c>
      <c r="G27" s="276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15" t="s">
        <v>35</v>
      </c>
      <c r="B28" s="15" t="s">
        <v>36</v>
      </c>
      <c r="C28" s="16">
        <v>0.60763888888888895</v>
      </c>
      <c r="D28" s="15" t="s">
        <v>40</v>
      </c>
      <c r="E28" s="15" t="s">
        <v>78</v>
      </c>
      <c r="F28" s="15" t="s">
        <v>79</v>
      </c>
      <c r="G28" s="276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5" customHeight="1" x14ac:dyDescent="0.3">
      <c r="A29" s="15" t="s">
        <v>35</v>
      </c>
      <c r="B29" s="15" t="s">
        <v>36</v>
      </c>
      <c r="C29" s="16">
        <v>0.60763888888888895</v>
      </c>
      <c r="D29" s="15" t="s">
        <v>43</v>
      </c>
      <c r="E29" s="15" t="s">
        <v>78</v>
      </c>
      <c r="F29" s="15" t="s">
        <v>80</v>
      </c>
      <c r="G29" s="276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17" t="s">
        <v>49</v>
      </c>
      <c r="B30" s="17" t="s">
        <v>50</v>
      </c>
      <c r="C30" s="18">
        <v>0.35069444444444442</v>
      </c>
      <c r="D30" s="17" t="s">
        <v>51</v>
      </c>
      <c r="E30" s="17" t="s">
        <v>73</v>
      </c>
      <c r="F30" s="17" t="s">
        <v>81</v>
      </c>
      <c r="G30" s="276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5" customHeight="1" x14ac:dyDescent="0.3">
      <c r="A31" s="19" t="s">
        <v>49</v>
      </c>
      <c r="B31" s="19" t="s">
        <v>54</v>
      </c>
      <c r="C31" s="20">
        <v>0.89583333333333337</v>
      </c>
      <c r="D31" s="19" t="s">
        <v>51</v>
      </c>
      <c r="E31" s="19" t="s">
        <v>76</v>
      </c>
      <c r="F31" s="19" t="s">
        <v>81</v>
      </c>
      <c r="G31" s="276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19" t="s">
        <v>49</v>
      </c>
      <c r="B32" s="19" t="s">
        <v>82</v>
      </c>
      <c r="C32" s="20">
        <v>0.18402777777777779</v>
      </c>
      <c r="D32" s="19" t="s">
        <v>51</v>
      </c>
      <c r="E32" s="19" t="s">
        <v>76</v>
      </c>
      <c r="F32" s="19" t="s">
        <v>81</v>
      </c>
      <c r="G32" s="276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5" customHeight="1" x14ac:dyDescent="0.3">
      <c r="A33" s="37" t="s">
        <v>49</v>
      </c>
      <c r="B33" s="37" t="s">
        <v>56</v>
      </c>
      <c r="C33" s="38">
        <v>0.22916666666666671</v>
      </c>
      <c r="D33" s="37" t="s">
        <v>51</v>
      </c>
      <c r="E33" s="37" t="s">
        <v>57</v>
      </c>
      <c r="F33" s="37" t="s">
        <v>83</v>
      </c>
      <c r="G33" s="277"/>
      <c r="H33" s="39"/>
      <c r="I33" s="40"/>
      <c r="J33" s="40"/>
      <c r="K33" s="40"/>
      <c r="L33" s="40"/>
      <c r="M33" s="40"/>
      <c r="N33" s="40"/>
      <c r="O33" s="41"/>
      <c r="P33" s="40"/>
      <c r="Q33" s="42"/>
      <c r="R33" s="4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4.4" customHeight="1" x14ac:dyDescent="0.3">
      <c r="A34" s="284"/>
      <c r="B34" s="285"/>
      <c r="C34" s="285"/>
      <c r="D34" s="285"/>
      <c r="E34" s="285"/>
      <c r="F34" s="285"/>
      <c r="G34" s="273"/>
      <c r="H34" s="286"/>
      <c r="I34" s="286"/>
      <c r="J34" s="286"/>
      <c r="K34" s="286"/>
      <c r="L34" s="286"/>
      <c r="M34" s="286"/>
      <c r="N34" s="286"/>
      <c r="O34" s="287"/>
      <c r="P34" s="286"/>
      <c r="Q34" s="273"/>
      <c r="R34" s="274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22.05" customHeight="1" x14ac:dyDescent="0.3">
      <c r="A35" s="280" t="s">
        <v>5</v>
      </c>
      <c r="B35" s="281"/>
      <c r="C35" s="281"/>
      <c r="D35" s="281"/>
      <c r="E35" s="281"/>
      <c r="F35" s="281"/>
      <c r="G35" s="5">
        <v>45990</v>
      </c>
      <c r="H35" s="290" t="s">
        <v>6</v>
      </c>
      <c r="I35" s="291"/>
      <c r="J35" s="291"/>
      <c r="K35" s="291"/>
      <c r="L35" s="291"/>
      <c r="M35" s="291"/>
      <c r="N35" s="291"/>
      <c r="O35" s="291"/>
      <c r="P35" s="291"/>
      <c r="Q35" s="291"/>
      <c r="R35" s="291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24" customHeight="1" x14ac:dyDescent="0.3">
      <c r="A36" s="31" t="s">
        <v>7</v>
      </c>
      <c r="B36" s="31" t="s">
        <v>8</v>
      </c>
      <c r="C36" s="32" t="s">
        <v>9</v>
      </c>
      <c r="D36" s="31" t="s">
        <v>10</v>
      </c>
      <c r="E36" s="31" t="s">
        <v>11</v>
      </c>
      <c r="F36" s="31" t="s">
        <v>12</v>
      </c>
      <c r="G36" s="33" t="s">
        <v>13</v>
      </c>
      <c r="H36" s="31" t="s">
        <v>14</v>
      </c>
      <c r="I36" s="34" t="s">
        <v>15</v>
      </c>
      <c r="J36" s="35" t="s">
        <v>16</v>
      </c>
      <c r="K36" s="36" t="s">
        <v>17</v>
      </c>
      <c r="L36" s="35" t="s">
        <v>18</v>
      </c>
      <c r="M36" s="35" t="s">
        <v>19</v>
      </c>
      <c r="N36" s="35" t="s">
        <v>20</v>
      </c>
      <c r="O36" s="31" t="s">
        <v>21</v>
      </c>
      <c r="P36" s="32" t="s">
        <v>22</v>
      </c>
      <c r="Q36" s="35" t="s">
        <v>23</v>
      </c>
      <c r="R36" s="31" t="s">
        <v>24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15" customHeight="1" x14ac:dyDescent="0.3">
      <c r="A37" s="8" t="s">
        <v>25</v>
      </c>
      <c r="B37" s="8" t="s">
        <v>26</v>
      </c>
      <c r="C37" s="9">
        <v>0.22916666666666671</v>
      </c>
      <c r="D37" s="8" t="s">
        <v>27</v>
      </c>
      <c r="E37" s="8" t="s">
        <v>84</v>
      </c>
      <c r="F37" s="8" t="s">
        <v>66</v>
      </c>
      <c r="G37" s="275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15" customHeight="1" x14ac:dyDescent="0.3">
      <c r="A38" s="15" t="s">
        <v>25</v>
      </c>
      <c r="B38" s="15" t="s">
        <v>26</v>
      </c>
      <c r="C38" s="16">
        <v>0.22916666666666671</v>
      </c>
      <c r="D38" s="15" t="s">
        <v>30</v>
      </c>
      <c r="E38" s="15" t="s">
        <v>85</v>
      </c>
      <c r="F38" s="15" t="s">
        <v>68</v>
      </c>
      <c r="G38" s="276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15" customHeight="1" x14ac:dyDescent="0.3">
      <c r="A39" s="15" t="s">
        <v>25</v>
      </c>
      <c r="B39" s="15" t="s">
        <v>26</v>
      </c>
      <c r="C39" s="16">
        <v>0.22916666666666671</v>
      </c>
      <c r="D39" s="15" t="s">
        <v>33</v>
      </c>
      <c r="E39" s="15" t="s">
        <v>85</v>
      </c>
      <c r="F39" s="15" t="s">
        <v>69</v>
      </c>
      <c r="G39" s="276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15" customHeight="1" x14ac:dyDescent="0.3">
      <c r="A40" s="17" t="s">
        <v>35</v>
      </c>
      <c r="B40" s="17" t="s">
        <v>36</v>
      </c>
      <c r="C40" s="18">
        <v>0.60763888888888895</v>
      </c>
      <c r="D40" s="17" t="s">
        <v>37</v>
      </c>
      <c r="E40" s="17" t="s">
        <v>86</v>
      </c>
      <c r="F40" s="17" t="s">
        <v>87</v>
      </c>
      <c r="G40" s="276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15" customHeight="1" x14ac:dyDescent="0.3">
      <c r="A41" s="15" t="s">
        <v>35</v>
      </c>
      <c r="B41" s="15" t="s">
        <v>36</v>
      </c>
      <c r="C41" s="16">
        <v>0.60763888888888895</v>
      </c>
      <c r="D41" s="15" t="s">
        <v>40</v>
      </c>
      <c r="E41" s="15" t="s">
        <v>47</v>
      </c>
      <c r="F41" s="15" t="s">
        <v>77</v>
      </c>
      <c r="G41" s="276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5" customHeight="1" x14ac:dyDescent="0.3">
      <c r="A42" s="15" t="s">
        <v>35</v>
      </c>
      <c r="B42" s="15" t="s">
        <v>36</v>
      </c>
      <c r="C42" s="16">
        <v>0.60763888888888895</v>
      </c>
      <c r="D42" s="15" t="s">
        <v>43</v>
      </c>
      <c r="E42" s="15" t="s">
        <v>47</v>
      </c>
      <c r="F42" s="15" t="s">
        <v>88</v>
      </c>
      <c r="G42" s="276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15" customHeight="1" x14ac:dyDescent="0.3">
      <c r="A43" s="19" t="s">
        <v>35</v>
      </c>
      <c r="B43" s="19" t="s">
        <v>45</v>
      </c>
      <c r="C43" s="20">
        <v>0.43402777777777768</v>
      </c>
      <c r="D43" s="19" t="s">
        <v>37</v>
      </c>
      <c r="E43" s="19" t="s">
        <v>89</v>
      </c>
      <c r="F43" s="19" t="s">
        <v>87</v>
      </c>
      <c r="G43" s="276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5" customHeight="1" x14ac:dyDescent="0.3">
      <c r="A44" s="15" t="s">
        <v>35</v>
      </c>
      <c r="B44" s="15" t="s">
        <v>45</v>
      </c>
      <c r="C44" s="16">
        <v>0.43402777777777768</v>
      </c>
      <c r="D44" s="15" t="s">
        <v>40</v>
      </c>
      <c r="E44" s="15" t="s">
        <v>67</v>
      </c>
      <c r="F44" s="15" t="s">
        <v>77</v>
      </c>
      <c r="G44" s="276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15" customHeight="1" x14ac:dyDescent="0.3">
      <c r="A45" s="15" t="s">
        <v>35</v>
      </c>
      <c r="B45" s="15" t="s">
        <v>45</v>
      </c>
      <c r="C45" s="16">
        <v>0.43402777777777768</v>
      </c>
      <c r="D45" s="15" t="s">
        <v>43</v>
      </c>
      <c r="E45" s="15" t="s">
        <v>67</v>
      </c>
      <c r="F45" s="15" t="s">
        <v>88</v>
      </c>
      <c r="G45" s="276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15" customHeight="1" x14ac:dyDescent="0.3">
      <c r="A46" s="17" t="s">
        <v>70</v>
      </c>
      <c r="B46" s="17" t="s">
        <v>71</v>
      </c>
      <c r="C46" s="18">
        <v>0.94097222222222221</v>
      </c>
      <c r="D46" s="17" t="s">
        <v>72</v>
      </c>
      <c r="E46" s="17" t="s">
        <v>73</v>
      </c>
      <c r="F46" s="17" t="s">
        <v>74</v>
      </c>
      <c r="G46" s="276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19" t="s">
        <v>70</v>
      </c>
      <c r="B47" s="19" t="s">
        <v>90</v>
      </c>
      <c r="C47" s="20">
        <v>6.5972222222222224E-2</v>
      </c>
      <c r="D47" s="19" t="s">
        <v>72</v>
      </c>
      <c r="E47" s="19" t="s">
        <v>76</v>
      </c>
      <c r="F47" s="19" t="s">
        <v>74</v>
      </c>
      <c r="G47" s="276"/>
      <c r="H47" s="10"/>
      <c r="I47" s="11"/>
      <c r="J47" s="11"/>
      <c r="K47" s="11"/>
      <c r="L47" s="11"/>
      <c r="M47" s="11"/>
      <c r="N47" s="11"/>
      <c r="O47" s="12"/>
      <c r="P47" s="11"/>
      <c r="Q47" s="13"/>
      <c r="R47" s="14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5" customHeight="1" x14ac:dyDescent="0.3">
      <c r="A48" s="19" t="s">
        <v>70</v>
      </c>
      <c r="B48" s="19" t="s">
        <v>91</v>
      </c>
      <c r="C48" s="20">
        <v>0.33680555555555558</v>
      </c>
      <c r="D48" s="19" t="s">
        <v>72</v>
      </c>
      <c r="E48" s="19" t="s">
        <v>76</v>
      </c>
      <c r="F48" s="19" t="s">
        <v>92</v>
      </c>
      <c r="G48" s="276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15" customHeight="1" x14ac:dyDescent="0.3">
      <c r="A49" s="19" t="s">
        <v>70</v>
      </c>
      <c r="B49" s="19" t="s">
        <v>75</v>
      </c>
      <c r="C49" s="20">
        <v>0.69791666666666663</v>
      </c>
      <c r="D49" s="19" t="s">
        <v>72</v>
      </c>
      <c r="E49" s="19" t="s">
        <v>76</v>
      </c>
      <c r="F49" s="19" t="s">
        <v>92</v>
      </c>
      <c r="G49" s="276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:92" ht="15" customHeight="1" x14ac:dyDescent="0.3">
      <c r="A50" s="19" t="s">
        <v>70</v>
      </c>
      <c r="B50" s="19" t="s">
        <v>93</v>
      </c>
      <c r="C50" s="20">
        <v>0.2986111111111111</v>
      </c>
      <c r="D50" s="19" t="s">
        <v>72</v>
      </c>
      <c r="E50" s="19" t="s">
        <v>46</v>
      </c>
      <c r="F50" s="19" t="s">
        <v>94</v>
      </c>
      <c r="G50" s="276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  <row r="51" spans="1:92" ht="15" customHeight="1" x14ac:dyDescent="0.3">
      <c r="A51" s="17" t="s">
        <v>49</v>
      </c>
      <c r="B51" s="17" t="s">
        <v>50</v>
      </c>
      <c r="C51" s="18">
        <v>0.35416666666666669</v>
      </c>
      <c r="D51" s="17" t="s">
        <v>51</v>
      </c>
      <c r="E51" s="17" t="s">
        <v>73</v>
      </c>
      <c r="F51" s="17" t="s">
        <v>81</v>
      </c>
      <c r="G51" s="276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</row>
    <row r="52" spans="1:92" ht="15" customHeight="1" x14ac:dyDescent="0.3">
      <c r="A52" s="19" t="s">
        <v>49</v>
      </c>
      <c r="B52" s="19" t="s">
        <v>54</v>
      </c>
      <c r="C52" s="20">
        <v>0.89583333333333337</v>
      </c>
      <c r="D52" s="19" t="s">
        <v>51</v>
      </c>
      <c r="E52" s="19" t="s">
        <v>76</v>
      </c>
      <c r="F52" s="19" t="s">
        <v>81</v>
      </c>
      <c r="G52" s="276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</row>
    <row r="53" spans="1:92" ht="15" customHeight="1" x14ac:dyDescent="0.3">
      <c r="A53" s="19" t="s">
        <v>49</v>
      </c>
      <c r="B53" s="19" t="s">
        <v>82</v>
      </c>
      <c r="C53" s="20">
        <v>0.18402777777777779</v>
      </c>
      <c r="D53" s="19" t="s">
        <v>51</v>
      </c>
      <c r="E53" s="19" t="s">
        <v>76</v>
      </c>
      <c r="F53" s="19" t="s">
        <v>81</v>
      </c>
      <c r="G53" s="276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</row>
    <row r="54" spans="1:92" ht="15" customHeight="1" x14ac:dyDescent="0.3">
      <c r="A54" s="19" t="s">
        <v>49</v>
      </c>
      <c r="B54" s="19" t="s">
        <v>56</v>
      </c>
      <c r="C54" s="20">
        <v>0.22916666666666671</v>
      </c>
      <c r="D54" s="19" t="s">
        <v>51</v>
      </c>
      <c r="E54" s="19" t="s">
        <v>57</v>
      </c>
      <c r="F54" s="19" t="s">
        <v>83</v>
      </c>
      <c r="G54" s="276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</row>
    <row r="55" spans="1:92" ht="15" customHeight="1" x14ac:dyDescent="0.3">
      <c r="A55" s="44" t="s">
        <v>59</v>
      </c>
      <c r="B55" s="44" t="s">
        <v>60</v>
      </c>
      <c r="C55" s="45">
        <v>0.2361111111111111</v>
      </c>
      <c r="D55" s="44" t="s">
        <v>61</v>
      </c>
      <c r="E55" s="46"/>
      <c r="F55" s="44" t="s">
        <v>62</v>
      </c>
      <c r="G55" s="277"/>
      <c r="H55" s="47" t="s">
        <v>60</v>
      </c>
      <c r="I55" s="48">
        <v>0.99439999999999995</v>
      </c>
      <c r="J55" s="49">
        <v>179</v>
      </c>
      <c r="K55" s="50">
        <v>45977</v>
      </c>
      <c r="L55" s="49">
        <v>0</v>
      </c>
      <c r="M55" s="49">
        <v>0</v>
      </c>
      <c r="N55" s="49">
        <v>0</v>
      </c>
      <c r="O55" s="51" t="s">
        <v>63</v>
      </c>
      <c r="P55" s="52">
        <v>0.2361111111111111</v>
      </c>
      <c r="Q55" s="49">
        <v>180</v>
      </c>
      <c r="R55" s="53" t="s">
        <v>95</v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</row>
    <row r="56" spans="1:92" ht="14.4" customHeight="1" x14ac:dyDescent="0.3">
      <c r="A56" s="272"/>
      <c r="B56" s="273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4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</row>
    <row r="57" spans="1:92" ht="22.05" customHeight="1" x14ac:dyDescent="0.3">
      <c r="A57" s="280" t="s">
        <v>5</v>
      </c>
      <c r="B57" s="281"/>
      <c r="C57" s="281"/>
      <c r="D57" s="281"/>
      <c r="E57" s="281"/>
      <c r="F57" s="281"/>
      <c r="G57" s="5">
        <v>45991</v>
      </c>
      <c r="H57" s="290" t="s">
        <v>6</v>
      </c>
      <c r="I57" s="291"/>
      <c r="J57" s="291"/>
      <c r="K57" s="291"/>
      <c r="L57" s="291"/>
      <c r="M57" s="291"/>
      <c r="N57" s="291"/>
      <c r="O57" s="291"/>
      <c r="P57" s="291"/>
      <c r="Q57" s="291"/>
      <c r="R57" s="291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</row>
    <row r="58" spans="1:92" ht="24" customHeight="1" x14ac:dyDescent="0.3">
      <c r="A58" s="31" t="s">
        <v>7</v>
      </c>
      <c r="B58" s="31" t="s">
        <v>8</v>
      </c>
      <c r="C58" s="32" t="s">
        <v>9</v>
      </c>
      <c r="D58" s="31" t="s">
        <v>10</v>
      </c>
      <c r="E58" s="31" t="s">
        <v>11</v>
      </c>
      <c r="F58" s="31" t="s">
        <v>12</v>
      </c>
      <c r="G58" s="33" t="s">
        <v>13</v>
      </c>
      <c r="H58" s="31" t="s">
        <v>14</v>
      </c>
      <c r="I58" s="34" t="s">
        <v>15</v>
      </c>
      <c r="J58" s="35" t="s">
        <v>16</v>
      </c>
      <c r="K58" s="36" t="s">
        <v>17</v>
      </c>
      <c r="L58" s="35" t="s">
        <v>18</v>
      </c>
      <c r="M58" s="35" t="s">
        <v>19</v>
      </c>
      <c r="N58" s="35" t="s">
        <v>20</v>
      </c>
      <c r="O58" s="31" t="s">
        <v>21</v>
      </c>
      <c r="P58" s="32" t="s">
        <v>22</v>
      </c>
      <c r="Q58" s="35" t="s">
        <v>23</v>
      </c>
      <c r="R58" s="31" t="s">
        <v>24</v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</row>
    <row r="59" spans="1:92" ht="15" customHeight="1" x14ac:dyDescent="0.3">
      <c r="A59" s="8" t="s">
        <v>25</v>
      </c>
      <c r="B59" s="8" t="s">
        <v>26</v>
      </c>
      <c r="C59" s="9">
        <v>0.22916666666666671</v>
      </c>
      <c r="D59" s="8" t="s">
        <v>27</v>
      </c>
      <c r="E59" s="8" t="s">
        <v>96</v>
      </c>
      <c r="F59" s="8" t="s">
        <v>97</v>
      </c>
      <c r="G59" s="275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</row>
    <row r="60" spans="1:92" ht="15" customHeight="1" x14ac:dyDescent="0.3">
      <c r="A60" s="15" t="s">
        <v>25</v>
      </c>
      <c r="B60" s="15" t="s">
        <v>26</v>
      </c>
      <c r="C60" s="16">
        <v>0.22916666666666671</v>
      </c>
      <c r="D60" s="15" t="s">
        <v>30</v>
      </c>
      <c r="E60" s="15" t="s">
        <v>98</v>
      </c>
      <c r="F60" s="15" t="s">
        <v>99</v>
      </c>
      <c r="G60" s="276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</row>
    <row r="61" spans="1:92" ht="15" customHeight="1" x14ac:dyDescent="0.3">
      <c r="A61" s="15" t="s">
        <v>25</v>
      </c>
      <c r="B61" s="15" t="s">
        <v>26</v>
      </c>
      <c r="C61" s="16">
        <v>0.22916666666666671</v>
      </c>
      <c r="D61" s="15" t="s">
        <v>33</v>
      </c>
      <c r="E61" s="15" t="s">
        <v>98</v>
      </c>
      <c r="F61" s="15" t="s">
        <v>69</v>
      </c>
      <c r="G61" s="276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</row>
    <row r="62" spans="1:92" ht="15" customHeight="1" x14ac:dyDescent="0.3">
      <c r="A62" s="17" t="s">
        <v>70</v>
      </c>
      <c r="B62" s="17" t="s">
        <v>90</v>
      </c>
      <c r="C62" s="18">
        <v>6.5972222222222224E-2</v>
      </c>
      <c r="D62" s="17" t="s">
        <v>72</v>
      </c>
      <c r="E62" s="17" t="s">
        <v>73</v>
      </c>
      <c r="F62" s="17" t="s">
        <v>100</v>
      </c>
      <c r="G62" s="276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</row>
    <row r="63" spans="1:92" ht="15" customHeight="1" x14ac:dyDescent="0.3">
      <c r="A63" s="19" t="s">
        <v>70</v>
      </c>
      <c r="B63" s="19" t="s">
        <v>71</v>
      </c>
      <c r="C63" s="20">
        <v>0.94097222222222221</v>
      </c>
      <c r="D63" s="19" t="s">
        <v>72</v>
      </c>
      <c r="E63" s="19" t="s">
        <v>76</v>
      </c>
      <c r="F63" s="19" t="s">
        <v>101</v>
      </c>
      <c r="G63" s="276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</row>
    <row r="64" spans="1:92" ht="15" customHeight="1" x14ac:dyDescent="0.3">
      <c r="A64" s="17" t="s">
        <v>35</v>
      </c>
      <c r="B64" s="17" t="s">
        <v>36</v>
      </c>
      <c r="C64" s="18">
        <v>0.60763888888888895</v>
      </c>
      <c r="D64" s="17" t="s">
        <v>37</v>
      </c>
      <c r="E64" s="17" t="s">
        <v>86</v>
      </c>
      <c r="F64" s="17" t="s">
        <v>87</v>
      </c>
      <c r="G64" s="276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</row>
    <row r="65" spans="1:92" ht="15" customHeight="1" x14ac:dyDescent="0.3">
      <c r="A65" s="15" t="s">
        <v>35</v>
      </c>
      <c r="B65" s="15" t="s">
        <v>36</v>
      </c>
      <c r="C65" s="16">
        <v>0.60763888888888895</v>
      </c>
      <c r="D65" s="15" t="s">
        <v>40</v>
      </c>
      <c r="E65" s="15" t="s">
        <v>47</v>
      </c>
      <c r="F65" s="15" t="s">
        <v>77</v>
      </c>
      <c r="G65" s="276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</row>
    <row r="66" spans="1:92" ht="15" customHeight="1" x14ac:dyDescent="0.3">
      <c r="A66" s="15" t="s">
        <v>35</v>
      </c>
      <c r="B66" s="15" t="s">
        <v>36</v>
      </c>
      <c r="C66" s="16">
        <v>0.60763888888888895</v>
      </c>
      <c r="D66" s="15" t="s">
        <v>43</v>
      </c>
      <c r="E66" s="15" t="s">
        <v>47</v>
      </c>
      <c r="F66" s="15" t="s">
        <v>88</v>
      </c>
      <c r="G66" s="276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</row>
    <row r="67" spans="1:92" ht="15" customHeight="1" x14ac:dyDescent="0.3">
      <c r="A67" s="17" t="s">
        <v>49</v>
      </c>
      <c r="B67" s="17" t="s">
        <v>82</v>
      </c>
      <c r="C67" s="18">
        <v>0.18402777777777779</v>
      </c>
      <c r="D67" s="17" t="s">
        <v>51</v>
      </c>
      <c r="E67" s="17" t="s">
        <v>73</v>
      </c>
      <c r="F67" s="17" t="s">
        <v>102</v>
      </c>
      <c r="G67" s="276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</row>
    <row r="68" spans="1:92" ht="15" customHeight="1" x14ac:dyDescent="0.3">
      <c r="A68" s="19" t="s">
        <v>49</v>
      </c>
      <c r="B68" s="19" t="s">
        <v>54</v>
      </c>
      <c r="C68" s="20">
        <v>0.89583333333333337</v>
      </c>
      <c r="D68" s="19" t="s">
        <v>51</v>
      </c>
      <c r="E68" s="19" t="s">
        <v>55</v>
      </c>
      <c r="F68" s="19" t="s">
        <v>53</v>
      </c>
      <c r="G68" s="276"/>
      <c r="H68" s="10"/>
      <c r="I68" s="11"/>
      <c r="J68" s="11"/>
      <c r="K68" s="11"/>
      <c r="L68" s="11"/>
      <c r="M68" s="11"/>
      <c r="N68" s="11"/>
      <c r="O68" s="12"/>
      <c r="P68" s="11"/>
      <c r="Q68" s="13"/>
      <c r="R68" s="14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</row>
    <row r="69" spans="1:92" ht="15" customHeight="1" x14ac:dyDescent="0.3">
      <c r="A69" s="19" t="s">
        <v>49</v>
      </c>
      <c r="B69" s="19" t="s">
        <v>56</v>
      </c>
      <c r="C69" s="20">
        <v>0.22916666666666671</v>
      </c>
      <c r="D69" s="19" t="s">
        <v>51</v>
      </c>
      <c r="E69" s="19" t="s">
        <v>57</v>
      </c>
      <c r="F69" s="19" t="s">
        <v>83</v>
      </c>
      <c r="G69" s="276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</row>
    <row r="70" spans="1:92" ht="15" customHeight="1" x14ac:dyDescent="0.3">
      <c r="A70" s="54" t="s">
        <v>59</v>
      </c>
      <c r="B70" s="54" t="s">
        <v>60</v>
      </c>
      <c r="C70" s="55">
        <v>0.74305555555555547</v>
      </c>
      <c r="D70" s="54" t="s">
        <v>61</v>
      </c>
      <c r="E70" s="56"/>
      <c r="F70" s="54" t="s">
        <v>62</v>
      </c>
      <c r="G70" s="277"/>
      <c r="H70" s="57" t="s">
        <v>60</v>
      </c>
      <c r="I70" s="58">
        <v>1</v>
      </c>
      <c r="J70" s="59">
        <v>180</v>
      </c>
      <c r="K70" s="60">
        <v>45986</v>
      </c>
      <c r="L70" s="59">
        <v>1</v>
      </c>
      <c r="M70" s="59">
        <v>0</v>
      </c>
      <c r="N70" s="59">
        <v>1</v>
      </c>
      <c r="O70" s="61" t="s">
        <v>63</v>
      </c>
      <c r="P70" s="62">
        <v>0.74305555555555547</v>
      </c>
      <c r="Q70" s="59">
        <v>180</v>
      </c>
      <c r="R70" s="63" t="s">
        <v>103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</row>
    <row r="71" spans="1:92" ht="14.4" customHeight="1" x14ac:dyDescent="0.3">
      <c r="A71" s="272"/>
      <c r="B71" s="273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3"/>
      <c r="Q71" s="273"/>
      <c r="R71" s="274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</row>
  </sheetData>
  <mergeCells count="25">
    <mergeCell ref="O1:Q1"/>
    <mergeCell ref="H35:R35"/>
    <mergeCell ref="H20:R20"/>
    <mergeCell ref="G59:G70"/>
    <mergeCell ref="H4:R4"/>
    <mergeCell ref="G22:G33"/>
    <mergeCell ref="A56:R56"/>
    <mergeCell ref="A57:F57"/>
    <mergeCell ref="A2:F2"/>
    <mergeCell ref="A3:R3"/>
    <mergeCell ref="J1:M1"/>
    <mergeCell ref="D1:F1"/>
    <mergeCell ref="A1:C1"/>
    <mergeCell ref="G1:H1"/>
    <mergeCell ref="A71:R71"/>
    <mergeCell ref="G6:G18"/>
    <mergeCell ref="G2:J2"/>
    <mergeCell ref="A35:F35"/>
    <mergeCell ref="A4:F4"/>
    <mergeCell ref="A20:F20"/>
    <mergeCell ref="A19:R19"/>
    <mergeCell ref="K2:R2"/>
    <mergeCell ref="G37:G55"/>
    <mergeCell ref="H57:R57"/>
    <mergeCell ref="A34:R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9.7773437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7.21875" bestFit="1" customWidth="1"/>
    <col min="35" max="35" width="6.7773437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  <row r="2" spans="1:35" ht="18" x14ac:dyDescent="0.3">
      <c r="A2" s="65" t="s">
        <v>133</v>
      </c>
      <c r="B2" s="66">
        <v>45988</v>
      </c>
      <c r="C2" s="67" t="s">
        <v>60</v>
      </c>
      <c r="D2" s="68">
        <v>0.38194444444444442</v>
      </c>
      <c r="E2" s="67" t="s">
        <v>1</v>
      </c>
      <c r="F2" s="67" t="s">
        <v>134</v>
      </c>
      <c r="G2" s="69">
        <v>1.0111000000000001</v>
      </c>
      <c r="H2" s="70">
        <v>180</v>
      </c>
      <c r="I2" s="70">
        <v>182</v>
      </c>
      <c r="J2" s="70">
        <v>170</v>
      </c>
      <c r="K2" s="66">
        <v>45985</v>
      </c>
      <c r="L2" s="70">
        <v>0</v>
      </c>
      <c r="M2" s="70">
        <v>0</v>
      </c>
      <c r="N2" s="70">
        <v>14</v>
      </c>
      <c r="O2" s="67" t="s">
        <v>63</v>
      </c>
      <c r="P2" s="71"/>
      <c r="Q2" s="71"/>
      <c r="R2" s="71"/>
      <c r="S2" s="71"/>
      <c r="T2" s="71"/>
      <c r="U2" s="71"/>
      <c r="V2" s="71"/>
      <c r="W2" s="70" t="s">
        <v>135</v>
      </c>
      <c r="X2" s="71"/>
      <c r="Y2" s="71"/>
      <c r="Z2" s="71"/>
      <c r="AA2" s="71"/>
      <c r="AB2" s="71"/>
      <c r="AC2" s="71"/>
      <c r="AD2" s="70" t="s">
        <v>136</v>
      </c>
      <c r="AE2" s="70" t="s">
        <v>137</v>
      </c>
      <c r="AF2" s="71"/>
      <c r="AG2" s="71"/>
      <c r="AH2" s="70" t="s">
        <v>138</v>
      </c>
      <c r="AI2" s="70" t="s">
        <v>139</v>
      </c>
    </row>
    <row r="3" spans="1:35" ht="18" x14ac:dyDescent="0.3">
      <c r="A3" s="72" t="s">
        <v>140</v>
      </c>
      <c r="B3" s="73">
        <v>45990</v>
      </c>
      <c r="C3" s="74" t="s">
        <v>60</v>
      </c>
      <c r="D3" s="75">
        <v>0.2361111111111111</v>
      </c>
      <c r="E3" s="74" t="s">
        <v>1</v>
      </c>
      <c r="F3" s="74" t="s">
        <v>134</v>
      </c>
      <c r="G3" s="76">
        <v>0.99439999999999995</v>
      </c>
      <c r="H3" s="77">
        <v>180</v>
      </c>
      <c r="I3" s="77">
        <v>179</v>
      </c>
      <c r="J3" s="77">
        <v>138</v>
      </c>
      <c r="K3" s="73">
        <v>45977</v>
      </c>
      <c r="L3" s="77">
        <v>0</v>
      </c>
      <c r="M3" s="77">
        <v>0</v>
      </c>
      <c r="N3" s="77">
        <v>0</v>
      </c>
      <c r="O3" s="74" t="s">
        <v>63</v>
      </c>
      <c r="P3" s="78"/>
      <c r="Q3" s="78"/>
      <c r="R3" s="78"/>
      <c r="S3" s="78"/>
      <c r="T3" s="78"/>
      <c r="U3" s="78"/>
      <c r="V3" s="78"/>
      <c r="W3" s="78"/>
      <c r="X3" s="77" t="s">
        <v>141</v>
      </c>
      <c r="Y3" s="78"/>
      <c r="Z3" s="78"/>
      <c r="AA3" s="78"/>
      <c r="AB3" s="77" t="s">
        <v>142</v>
      </c>
      <c r="AC3" s="77" t="s">
        <v>143</v>
      </c>
      <c r="AD3" s="77" t="s">
        <v>144</v>
      </c>
      <c r="AE3" s="77" t="s">
        <v>145</v>
      </c>
      <c r="AF3" s="78"/>
      <c r="AG3" s="78"/>
      <c r="AH3" s="77" t="s">
        <v>146</v>
      </c>
      <c r="AI3" s="77" t="s">
        <v>147</v>
      </c>
    </row>
    <row r="4" spans="1:35" ht="18" x14ac:dyDescent="0.3">
      <c r="A4" s="65" t="s">
        <v>148</v>
      </c>
      <c r="B4" s="66">
        <v>45991</v>
      </c>
      <c r="C4" s="67" t="s">
        <v>60</v>
      </c>
      <c r="D4" s="68">
        <v>0.74305555555555547</v>
      </c>
      <c r="E4" s="67" t="s">
        <v>1</v>
      </c>
      <c r="F4" s="67" t="s">
        <v>134</v>
      </c>
      <c r="G4" s="69">
        <v>1</v>
      </c>
      <c r="H4" s="70">
        <v>180</v>
      </c>
      <c r="I4" s="70">
        <v>180</v>
      </c>
      <c r="J4" s="70">
        <v>135</v>
      </c>
      <c r="K4" s="66">
        <v>45986</v>
      </c>
      <c r="L4" s="70">
        <v>0</v>
      </c>
      <c r="M4" s="70">
        <v>1</v>
      </c>
      <c r="N4" s="70">
        <v>1</v>
      </c>
      <c r="O4" s="67" t="s">
        <v>63</v>
      </c>
      <c r="P4" s="71"/>
      <c r="Q4" s="71"/>
      <c r="R4" s="71"/>
      <c r="S4" s="71"/>
      <c r="T4" s="71"/>
      <c r="U4" s="71"/>
      <c r="V4" s="71"/>
      <c r="W4" s="70" t="s">
        <v>149</v>
      </c>
      <c r="X4" s="71"/>
      <c r="Y4" s="71"/>
      <c r="Z4" s="71"/>
      <c r="AA4" s="71"/>
      <c r="AB4" s="70" t="s">
        <v>150</v>
      </c>
      <c r="AC4" s="70" t="s">
        <v>143</v>
      </c>
      <c r="AD4" s="70" t="s">
        <v>144</v>
      </c>
      <c r="AE4" s="70" t="s">
        <v>145</v>
      </c>
      <c r="AF4" s="71"/>
      <c r="AG4" s="71"/>
      <c r="AH4" s="70" t="s">
        <v>146</v>
      </c>
      <c r="AI4" s="71"/>
    </row>
    <row r="5" spans="1:35" ht="18" x14ac:dyDescent="0.3">
      <c r="A5" s="79" t="s">
        <v>151</v>
      </c>
      <c r="B5" s="80"/>
      <c r="C5" s="81">
        <f>COUNTA(C2:C4)</f>
        <v>3</v>
      </c>
      <c r="D5" s="80"/>
      <c r="E5" s="80"/>
      <c r="F5" s="80"/>
      <c r="G5" s="82">
        <f>AVERAGE(G2:G4)</f>
        <v>1.0018333333333334</v>
      </c>
      <c r="H5" s="83">
        <f>SUM(H2:H4)</f>
        <v>540</v>
      </c>
      <c r="I5" s="83">
        <f>SUM(I2:I4)</f>
        <v>541</v>
      </c>
      <c r="J5" s="83">
        <f>SUM(J2:J4)</f>
        <v>443</v>
      </c>
      <c r="K5" s="80"/>
      <c r="L5" s="83">
        <f>SUM(L2:L4)</f>
        <v>0</v>
      </c>
      <c r="M5" s="83">
        <f>SUM(M2:M4)</f>
        <v>1</v>
      </c>
      <c r="N5" s="83">
        <f>SUM(N2:N4)</f>
        <v>15</v>
      </c>
      <c r="O5" s="80"/>
      <c r="P5" s="83">
        <f t="shared" ref="P5:AI5" si="0">SUMPRODUCT(--IFERROR(VALUE(SUBSTITUTE(SUBSTITUTE(SUBSTITUTE(SUBSTITUTE(SUBSTITUTE(SUBSTITUTE(SUBSTITUTE(SUBSTITUTE(SUBSTITUTE(SUBSTITUTE(SUBSTITUTE(SUBSTITUTE(SUBSTITUTE(SUBSTITUTE(SUBSTITUTE(SUBSTITUTE(SUBSTITUTE(SUBSTITUTE(SUBSTITUTE(SUBSTITUTE(P2:P4,"Y",""),"B",""),"M",""),"H",""),"Q",""),"K",""),"V",""),"L",""),"G",""),"S",""),"W",""),"T",""),"X",""),"U",""),"O",""),"I",""),"E",""),"A",""),"P",""),"N","")),0))</f>
        <v>0</v>
      </c>
      <c r="Q5" s="83">
        <f t="shared" si="0"/>
        <v>0</v>
      </c>
      <c r="R5" s="83">
        <f t="shared" si="0"/>
        <v>0</v>
      </c>
      <c r="S5" s="83">
        <f t="shared" si="0"/>
        <v>0</v>
      </c>
      <c r="T5" s="83">
        <f t="shared" si="0"/>
        <v>0</v>
      </c>
      <c r="U5" s="83">
        <f t="shared" si="0"/>
        <v>0</v>
      </c>
      <c r="V5" s="83">
        <f t="shared" si="0"/>
        <v>0</v>
      </c>
      <c r="W5" s="83">
        <f t="shared" si="0"/>
        <v>0</v>
      </c>
      <c r="X5" s="83">
        <f t="shared" si="0"/>
        <v>0</v>
      </c>
      <c r="Y5" s="83">
        <f t="shared" si="0"/>
        <v>0</v>
      </c>
      <c r="Z5" s="83">
        <f t="shared" si="0"/>
        <v>0</v>
      </c>
      <c r="AA5" s="83">
        <f t="shared" si="0"/>
        <v>0</v>
      </c>
      <c r="AB5" s="83">
        <f t="shared" si="0"/>
        <v>0</v>
      </c>
      <c r="AC5" s="83">
        <f t="shared" si="0"/>
        <v>0</v>
      </c>
      <c r="AD5" s="83">
        <f t="shared" si="0"/>
        <v>0</v>
      </c>
      <c r="AE5" s="83">
        <f t="shared" si="0"/>
        <v>0</v>
      </c>
      <c r="AF5" s="83">
        <f t="shared" si="0"/>
        <v>0</v>
      </c>
      <c r="AG5" s="83">
        <f t="shared" si="0"/>
        <v>0</v>
      </c>
      <c r="AH5" s="83">
        <f t="shared" si="0"/>
        <v>0</v>
      </c>
      <c r="AI5" s="83">
        <f t="shared" si="0"/>
        <v>0</v>
      </c>
    </row>
  </sheetData>
  <autoFilter ref="A1:AI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33203125" bestFit="1" customWidth="1"/>
    <col min="5" max="5" width="15.55468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  <row r="2" spans="1:8" ht="18" x14ac:dyDescent="0.3">
      <c r="A2" s="85">
        <v>45988</v>
      </c>
      <c r="B2" s="86" t="s">
        <v>25</v>
      </c>
      <c r="C2" s="87" t="s">
        <v>26</v>
      </c>
      <c r="D2" s="86" t="s">
        <v>1</v>
      </c>
      <c r="E2" s="88">
        <v>1.229166666666667</v>
      </c>
      <c r="F2" s="86" t="s">
        <v>27</v>
      </c>
      <c r="G2" s="89">
        <v>2</v>
      </c>
      <c r="H2" s="90" t="s">
        <v>29</v>
      </c>
    </row>
    <row r="3" spans="1:8" ht="18" x14ac:dyDescent="0.3">
      <c r="A3" s="91">
        <v>45988</v>
      </c>
      <c r="B3" s="92" t="s">
        <v>25</v>
      </c>
      <c r="C3" s="93" t="s">
        <v>26</v>
      </c>
      <c r="D3" s="92" t="s">
        <v>1</v>
      </c>
      <c r="E3" s="94">
        <v>1.229166666666667</v>
      </c>
      <c r="F3" s="92" t="s">
        <v>30</v>
      </c>
      <c r="G3" s="95">
        <v>2</v>
      </c>
      <c r="H3" s="92" t="s">
        <v>32</v>
      </c>
    </row>
    <row r="4" spans="1:8" ht="18" x14ac:dyDescent="0.3">
      <c r="A4" s="91">
        <v>45988</v>
      </c>
      <c r="B4" s="92" t="s">
        <v>25</v>
      </c>
      <c r="C4" s="93" t="s">
        <v>26</v>
      </c>
      <c r="D4" s="92" t="s">
        <v>1</v>
      </c>
      <c r="E4" s="94">
        <v>1.229166666666667</v>
      </c>
      <c r="F4" s="92" t="s">
        <v>33</v>
      </c>
      <c r="G4" s="95">
        <v>2</v>
      </c>
      <c r="H4" s="92" t="s">
        <v>34</v>
      </c>
    </row>
    <row r="5" spans="1:8" ht="18" x14ac:dyDescent="0.3">
      <c r="A5" s="96">
        <v>45988</v>
      </c>
      <c r="B5" s="86" t="s">
        <v>35</v>
      </c>
      <c r="C5" s="87" t="s">
        <v>36</v>
      </c>
      <c r="D5" s="86" t="s">
        <v>1</v>
      </c>
      <c r="E5" s="88">
        <v>1.6076388888888891</v>
      </c>
      <c r="F5" s="86" t="s">
        <v>37</v>
      </c>
      <c r="G5" s="89">
        <v>9</v>
      </c>
      <c r="H5" s="86" t="s">
        <v>39</v>
      </c>
    </row>
    <row r="6" spans="1:8" ht="18" x14ac:dyDescent="0.3">
      <c r="A6" s="91">
        <v>45988</v>
      </c>
      <c r="B6" s="92" t="s">
        <v>35</v>
      </c>
      <c r="C6" s="93" t="s">
        <v>36</v>
      </c>
      <c r="D6" s="92" t="s">
        <v>1</v>
      </c>
      <c r="E6" s="94">
        <v>1.6076388888888891</v>
      </c>
      <c r="F6" s="92" t="s">
        <v>40</v>
      </c>
      <c r="G6" s="95">
        <v>9</v>
      </c>
      <c r="H6" s="92" t="s">
        <v>42</v>
      </c>
    </row>
    <row r="7" spans="1:8" ht="18" x14ac:dyDescent="0.3">
      <c r="A7" s="91">
        <v>45988</v>
      </c>
      <c r="B7" s="92" t="s">
        <v>35</v>
      </c>
      <c r="C7" s="93" t="s">
        <v>36</v>
      </c>
      <c r="D7" s="92" t="s">
        <v>1</v>
      </c>
      <c r="E7" s="94">
        <v>1.6076388888888891</v>
      </c>
      <c r="F7" s="92" t="s">
        <v>43</v>
      </c>
      <c r="G7" s="95">
        <v>9</v>
      </c>
      <c r="H7" s="92" t="s">
        <v>44</v>
      </c>
    </row>
    <row r="8" spans="1:8" ht="18" x14ac:dyDescent="0.3">
      <c r="A8" s="97">
        <v>45988</v>
      </c>
      <c r="B8" s="98" t="s">
        <v>35</v>
      </c>
      <c r="C8" s="99" t="s">
        <v>45</v>
      </c>
      <c r="D8" s="98" t="s">
        <v>1</v>
      </c>
      <c r="E8" s="100">
        <v>1.4340277777777779</v>
      </c>
      <c r="F8" s="98" t="s">
        <v>37</v>
      </c>
      <c r="G8" s="101">
        <v>7</v>
      </c>
      <c r="H8" s="98" t="s">
        <v>39</v>
      </c>
    </row>
    <row r="9" spans="1:8" ht="18" x14ac:dyDescent="0.3">
      <c r="A9" s="91">
        <v>45988</v>
      </c>
      <c r="B9" s="92" t="s">
        <v>35</v>
      </c>
      <c r="C9" s="93" t="s">
        <v>45</v>
      </c>
      <c r="D9" s="92" t="s">
        <v>1</v>
      </c>
      <c r="E9" s="94">
        <v>1.4340277777777779</v>
      </c>
      <c r="F9" s="92" t="s">
        <v>40</v>
      </c>
      <c r="G9" s="95">
        <v>7</v>
      </c>
      <c r="H9" s="92" t="s">
        <v>42</v>
      </c>
    </row>
    <row r="10" spans="1:8" ht="18" x14ac:dyDescent="0.3">
      <c r="A10" s="91">
        <v>45988</v>
      </c>
      <c r="B10" s="92" t="s">
        <v>35</v>
      </c>
      <c r="C10" s="93" t="s">
        <v>45</v>
      </c>
      <c r="D10" s="92" t="s">
        <v>1</v>
      </c>
      <c r="E10" s="94">
        <v>1.4340277777777779</v>
      </c>
      <c r="F10" s="92" t="s">
        <v>43</v>
      </c>
      <c r="G10" s="95">
        <v>7</v>
      </c>
      <c r="H10" s="92" t="s">
        <v>48</v>
      </c>
    </row>
    <row r="11" spans="1:8" ht="18" x14ac:dyDescent="0.3">
      <c r="A11" s="96">
        <v>45988</v>
      </c>
      <c r="B11" s="86" t="s">
        <v>49</v>
      </c>
      <c r="C11" s="87" t="s">
        <v>50</v>
      </c>
      <c r="D11" s="86" t="s">
        <v>1</v>
      </c>
      <c r="E11" s="88">
        <v>1.354166666666667</v>
      </c>
      <c r="F11" s="86" t="s">
        <v>51</v>
      </c>
      <c r="G11" s="89">
        <v>1</v>
      </c>
      <c r="H11" s="86" t="s">
        <v>53</v>
      </c>
    </row>
    <row r="12" spans="1:8" ht="18" x14ac:dyDescent="0.3">
      <c r="A12" s="97">
        <v>45988</v>
      </c>
      <c r="B12" s="98" t="s">
        <v>49</v>
      </c>
      <c r="C12" s="99" t="s">
        <v>54</v>
      </c>
      <c r="D12" s="98" t="s">
        <v>1</v>
      </c>
      <c r="E12" s="100">
        <v>1.895833333333333</v>
      </c>
      <c r="F12" s="98" t="s">
        <v>51</v>
      </c>
      <c r="G12" s="101">
        <v>3</v>
      </c>
      <c r="H12" s="98" t="s">
        <v>53</v>
      </c>
    </row>
    <row r="13" spans="1:8" ht="18" x14ac:dyDescent="0.3">
      <c r="A13" s="97">
        <v>45988</v>
      </c>
      <c r="B13" s="98" t="s">
        <v>49</v>
      </c>
      <c r="C13" s="99" t="s">
        <v>56</v>
      </c>
      <c r="D13" s="98" t="s">
        <v>1</v>
      </c>
      <c r="E13" s="100">
        <v>1.229166666666667</v>
      </c>
      <c r="F13" s="98" t="s">
        <v>51</v>
      </c>
      <c r="G13" s="101">
        <v>4</v>
      </c>
      <c r="H13" s="98" t="s">
        <v>58</v>
      </c>
    </row>
    <row r="14" spans="1:8" ht="18" x14ac:dyDescent="0.3">
      <c r="A14" s="102">
        <v>45988</v>
      </c>
      <c r="B14" s="103" t="s">
        <v>59</v>
      </c>
      <c r="C14" s="104" t="s">
        <v>60</v>
      </c>
      <c r="D14" s="103" t="s">
        <v>1</v>
      </c>
      <c r="E14" s="105">
        <v>1.381944444444444</v>
      </c>
      <c r="F14" s="103" t="s">
        <v>61</v>
      </c>
      <c r="G14" s="103"/>
      <c r="H14" s="103" t="s">
        <v>62</v>
      </c>
    </row>
    <row r="15" spans="1:8" ht="18" x14ac:dyDescent="0.3">
      <c r="A15" s="85">
        <v>45989</v>
      </c>
      <c r="B15" s="86" t="s">
        <v>25</v>
      </c>
      <c r="C15" s="87" t="s">
        <v>26</v>
      </c>
      <c r="D15" s="86" t="s">
        <v>1</v>
      </c>
      <c r="E15" s="88">
        <v>1.229166666666667</v>
      </c>
      <c r="F15" s="86" t="s">
        <v>27</v>
      </c>
      <c r="G15" s="89">
        <v>8</v>
      </c>
      <c r="H15" s="90" t="s">
        <v>66</v>
      </c>
    </row>
    <row r="16" spans="1:8" ht="18" x14ac:dyDescent="0.3">
      <c r="A16" s="91">
        <v>45989</v>
      </c>
      <c r="B16" s="92" t="s">
        <v>25</v>
      </c>
      <c r="C16" s="93" t="s">
        <v>26</v>
      </c>
      <c r="D16" s="92" t="s">
        <v>1</v>
      </c>
      <c r="E16" s="94">
        <v>1.229166666666667</v>
      </c>
      <c r="F16" s="92" t="s">
        <v>30</v>
      </c>
      <c r="G16" s="95">
        <v>8</v>
      </c>
      <c r="H16" s="92" t="s">
        <v>68</v>
      </c>
    </row>
    <row r="17" spans="1:8" ht="18" x14ac:dyDescent="0.3">
      <c r="A17" s="91">
        <v>45989</v>
      </c>
      <c r="B17" s="92" t="s">
        <v>25</v>
      </c>
      <c r="C17" s="93" t="s">
        <v>26</v>
      </c>
      <c r="D17" s="92" t="s">
        <v>1</v>
      </c>
      <c r="E17" s="94">
        <v>1.229166666666667</v>
      </c>
      <c r="F17" s="92" t="s">
        <v>33</v>
      </c>
      <c r="G17" s="95">
        <v>8</v>
      </c>
      <c r="H17" s="92" t="s">
        <v>69</v>
      </c>
    </row>
    <row r="18" spans="1:8" ht="18" x14ac:dyDescent="0.3">
      <c r="A18" s="96">
        <v>45989</v>
      </c>
      <c r="B18" s="86" t="s">
        <v>70</v>
      </c>
      <c r="C18" s="87" t="s">
        <v>71</v>
      </c>
      <c r="D18" s="86" t="s">
        <v>1</v>
      </c>
      <c r="E18" s="88">
        <v>1.9409722222222221</v>
      </c>
      <c r="F18" s="86" t="s">
        <v>72</v>
      </c>
      <c r="G18" s="89">
        <v>9</v>
      </c>
      <c r="H18" s="86" t="s">
        <v>74</v>
      </c>
    </row>
    <row r="19" spans="1:8" ht="18" x14ac:dyDescent="0.3">
      <c r="A19" s="97">
        <v>45989</v>
      </c>
      <c r="B19" s="98" t="s">
        <v>70</v>
      </c>
      <c r="C19" s="99" t="s">
        <v>75</v>
      </c>
      <c r="D19" s="98" t="s">
        <v>1</v>
      </c>
      <c r="E19" s="100">
        <v>1.697916666666667</v>
      </c>
      <c r="F19" s="98" t="s">
        <v>72</v>
      </c>
      <c r="G19" s="101">
        <v>9</v>
      </c>
      <c r="H19" s="98" t="s">
        <v>74</v>
      </c>
    </row>
    <row r="20" spans="1:8" ht="18" x14ac:dyDescent="0.3">
      <c r="A20" s="96">
        <v>45989</v>
      </c>
      <c r="B20" s="86" t="s">
        <v>35</v>
      </c>
      <c r="C20" s="87" t="s">
        <v>36</v>
      </c>
      <c r="D20" s="86" t="s">
        <v>1</v>
      </c>
      <c r="E20" s="88">
        <v>1.6076388888888891</v>
      </c>
      <c r="F20" s="86" t="s">
        <v>37</v>
      </c>
      <c r="G20" s="89">
        <v>1</v>
      </c>
      <c r="H20" s="86" t="s">
        <v>77</v>
      </c>
    </row>
    <row r="21" spans="1:8" ht="18" x14ac:dyDescent="0.3">
      <c r="A21" s="91">
        <v>45989</v>
      </c>
      <c r="B21" s="92" t="s">
        <v>35</v>
      </c>
      <c r="C21" s="93" t="s">
        <v>36</v>
      </c>
      <c r="D21" s="92" t="s">
        <v>1</v>
      </c>
      <c r="E21" s="94">
        <v>1.6076388888888891</v>
      </c>
      <c r="F21" s="92" t="s">
        <v>40</v>
      </c>
      <c r="G21" s="95">
        <v>1</v>
      </c>
      <c r="H21" s="92" t="s">
        <v>79</v>
      </c>
    </row>
    <row r="22" spans="1:8" ht="18" x14ac:dyDescent="0.3">
      <c r="A22" s="91">
        <v>45989</v>
      </c>
      <c r="B22" s="92" t="s">
        <v>35</v>
      </c>
      <c r="C22" s="93" t="s">
        <v>36</v>
      </c>
      <c r="D22" s="92" t="s">
        <v>1</v>
      </c>
      <c r="E22" s="94">
        <v>1.6076388888888891</v>
      </c>
      <c r="F22" s="92" t="s">
        <v>43</v>
      </c>
      <c r="G22" s="95">
        <v>1</v>
      </c>
      <c r="H22" s="92" t="s">
        <v>80</v>
      </c>
    </row>
    <row r="23" spans="1:8" ht="18" x14ac:dyDescent="0.3">
      <c r="A23" s="96">
        <v>45989</v>
      </c>
      <c r="B23" s="86" t="s">
        <v>49</v>
      </c>
      <c r="C23" s="87" t="s">
        <v>50</v>
      </c>
      <c r="D23" s="86" t="s">
        <v>1</v>
      </c>
      <c r="E23" s="88">
        <v>1.350694444444444</v>
      </c>
      <c r="F23" s="86" t="s">
        <v>51</v>
      </c>
      <c r="G23" s="89">
        <v>9</v>
      </c>
      <c r="H23" s="86" t="s">
        <v>81</v>
      </c>
    </row>
    <row r="24" spans="1:8" ht="18" x14ac:dyDescent="0.3">
      <c r="A24" s="97">
        <v>45989</v>
      </c>
      <c r="B24" s="98" t="s">
        <v>49</v>
      </c>
      <c r="C24" s="99" t="s">
        <v>54</v>
      </c>
      <c r="D24" s="98" t="s">
        <v>1</v>
      </c>
      <c r="E24" s="100">
        <v>1.895833333333333</v>
      </c>
      <c r="F24" s="98" t="s">
        <v>51</v>
      </c>
      <c r="G24" s="101">
        <v>9</v>
      </c>
      <c r="H24" s="98" t="s">
        <v>81</v>
      </c>
    </row>
    <row r="25" spans="1:8" ht="18" x14ac:dyDescent="0.3">
      <c r="A25" s="97">
        <v>45989</v>
      </c>
      <c r="B25" s="98" t="s">
        <v>49</v>
      </c>
      <c r="C25" s="99" t="s">
        <v>82</v>
      </c>
      <c r="D25" s="98" t="s">
        <v>1</v>
      </c>
      <c r="E25" s="100">
        <v>1.1840277777777779</v>
      </c>
      <c r="F25" s="98" t="s">
        <v>51</v>
      </c>
      <c r="G25" s="101">
        <v>9</v>
      </c>
      <c r="H25" s="98" t="s">
        <v>81</v>
      </c>
    </row>
    <row r="26" spans="1:8" ht="18" x14ac:dyDescent="0.3">
      <c r="A26" s="106">
        <v>45989</v>
      </c>
      <c r="B26" s="107" t="s">
        <v>49</v>
      </c>
      <c r="C26" s="108" t="s">
        <v>56</v>
      </c>
      <c r="D26" s="107" t="s">
        <v>1</v>
      </c>
      <c r="E26" s="109">
        <v>1.229166666666667</v>
      </c>
      <c r="F26" s="107" t="s">
        <v>51</v>
      </c>
      <c r="G26" s="110">
        <v>4</v>
      </c>
      <c r="H26" s="107" t="s">
        <v>83</v>
      </c>
    </row>
    <row r="27" spans="1:8" ht="18" x14ac:dyDescent="0.3">
      <c r="A27" s="85">
        <v>45990</v>
      </c>
      <c r="B27" s="86" t="s">
        <v>25</v>
      </c>
      <c r="C27" s="87" t="s">
        <v>26</v>
      </c>
      <c r="D27" s="86" t="s">
        <v>1</v>
      </c>
      <c r="E27" s="88">
        <v>1.229166666666667</v>
      </c>
      <c r="F27" s="86" t="s">
        <v>27</v>
      </c>
      <c r="G27" s="89">
        <v>4</v>
      </c>
      <c r="H27" s="90" t="s">
        <v>66</v>
      </c>
    </row>
    <row r="28" spans="1:8" ht="18" x14ac:dyDescent="0.3">
      <c r="A28" s="91">
        <v>45990</v>
      </c>
      <c r="B28" s="92" t="s">
        <v>25</v>
      </c>
      <c r="C28" s="93" t="s">
        <v>26</v>
      </c>
      <c r="D28" s="92" t="s">
        <v>1</v>
      </c>
      <c r="E28" s="94">
        <v>1.229166666666667</v>
      </c>
      <c r="F28" s="92" t="s">
        <v>30</v>
      </c>
      <c r="G28" s="95">
        <v>4</v>
      </c>
      <c r="H28" s="92" t="s">
        <v>68</v>
      </c>
    </row>
    <row r="29" spans="1:8" ht="18" x14ac:dyDescent="0.3">
      <c r="A29" s="91">
        <v>45990</v>
      </c>
      <c r="B29" s="92" t="s">
        <v>25</v>
      </c>
      <c r="C29" s="93" t="s">
        <v>26</v>
      </c>
      <c r="D29" s="92" t="s">
        <v>1</v>
      </c>
      <c r="E29" s="94">
        <v>1.229166666666667</v>
      </c>
      <c r="F29" s="92" t="s">
        <v>33</v>
      </c>
      <c r="G29" s="95">
        <v>4</v>
      </c>
      <c r="H29" s="92" t="s">
        <v>69</v>
      </c>
    </row>
    <row r="30" spans="1:8" ht="18" x14ac:dyDescent="0.3">
      <c r="A30" s="96">
        <v>45990</v>
      </c>
      <c r="B30" s="86" t="s">
        <v>35</v>
      </c>
      <c r="C30" s="87" t="s">
        <v>36</v>
      </c>
      <c r="D30" s="86" t="s">
        <v>1</v>
      </c>
      <c r="E30" s="88">
        <v>1.6076388888888891</v>
      </c>
      <c r="F30" s="86" t="s">
        <v>37</v>
      </c>
      <c r="G30" s="89">
        <v>7</v>
      </c>
      <c r="H30" s="86" t="s">
        <v>87</v>
      </c>
    </row>
    <row r="31" spans="1:8" ht="18" x14ac:dyDescent="0.3">
      <c r="A31" s="91">
        <v>45990</v>
      </c>
      <c r="B31" s="92" t="s">
        <v>35</v>
      </c>
      <c r="C31" s="93" t="s">
        <v>36</v>
      </c>
      <c r="D31" s="92" t="s">
        <v>1</v>
      </c>
      <c r="E31" s="94">
        <v>1.6076388888888891</v>
      </c>
      <c r="F31" s="92" t="s">
        <v>40</v>
      </c>
      <c r="G31" s="95">
        <v>7</v>
      </c>
      <c r="H31" s="92" t="s">
        <v>77</v>
      </c>
    </row>
    <row r="32" spans="1:8" ht="18" x14ac:dyDescent="0.3">
      <c r="A32" s="91">
        <v>45990</v>
      </c>
      <c r="B32" s="92" t="s">
        <v>35</v>
      </c>
      <c r="C32" s="93" t="s">
        <v>36</v>
      </c>
      <c r="D32" s="92" t="s">
        <v>1</v>
      </c>
      <c r="E32" s="94">
        <v>1.6076388888888891</v>
      </c>
      <c r="F32" s="92" t="s">
        <v>43</v>
      </c>
      <c r="G32" s="95">
        <v>7</v>
      </c>
      <c r="H32" s="92" t="s">
        <v>88</v>
      </c>
    </row>
    <row r="33" spans="1:8" ht="18" x14ac:dyDescent="0.3">
      <c r="A33" s="97">
        <v>45990</v>
      </c>
      <c r="B33" s="98" t="s">
        <v>35</v>
      </c>
      <c r="C33" s="99" t="s">
        <v>45</v>
      </c>
      <c r="D33" s="98" t="s">
        <v>1</v>
      </c>
      <c r="E33" s="100">
        <v>1.4340277777777779</v>
      </c>
      <c r="F33" s="98" t="s">
        <v>37</v>
      </c>
      <c r="G33" s="101">
        <v>8</v>
      </c>
      <c r="H33" s="98" t="s">
        <v>87</v>
      </c>
    </row>
    <row r="34" spans="1:8" ht="18" x14ac:dyDescent="0.3">
      <c r="A34" s="91">
        <v>45990</v>
      </c>
      <c r="B34" s="92" t="s">
        <v>35</v>
      </c>
      <c r="C34" s="93" t="s">
        <v>45</v>
      </c>
      <c r="D34" s="92" t="s">
        <v>1</v>
      </c>
      <c r="E34" s="94">
        <v>1.4340277777777779</v>
      </c>
      <c r="F34" s="92" t="s">
        <v>40</v>
      </c>
      <c r="G34" s="95">
        <v>8</v>
      </c>
      <c r="H34" s="92" t="s">
        <v>77</v>
      </c>
    </row>
    <row r="35" spans="1:8" ht="18" x14ac:dyDescent="0.3">
      <c r="A35" s="91">
        <v>45990</v>
      </c>
      <c r="B35" s="92" t="s">
        <v>35</v>
      </c>
      <c r="C35" s="93" t="s">
        <v>45</v>
      </c>
      <c r="D35" s="92" t="s">
        <v>1</v>
      </c>
      <c r="E35" s="94">
        <v>1.4340277777777779</v>
      </c>
      <c r="F35" s="92" t="s">
        <v>43</v>
      </c>
      <c r="G35" s="95">
        <v>8</v>
      </c>
      <c r="H35" s="92" t="s">
        <v>88</v>
      </c>
    </row>
    <row r="36" spans="1:8" ht="18" x14ac:dyDescent="0.3">
      <c r="A36" s="96">
        <v>45990</v>
      </c>
      <c r="B36" s="86" t="s">
        <v>70</v>
      </c>
      <c r="C36" s="87" t="s">
        <v>71</v>
      </c>
      <c r="D36" s="86" t="s">
        <v>1</v>
      </c>
      <c r="E36" s="88">
        <v>1.9409722222222221</v>
      </c>
      <c r="F36" s="86" t="s">
        <v>72</v>
      </c>
      <c r="G36" s="89">
        <v>9</v>
      </c>
      <c r="H36" s="86" t="s">
        <v>74</v>
      </c>
    </row>
    <row r="37" spans="1:8" ht="18" x14ac:dyDescent="0.3">
      <c r="A37" s="97">
        <v>45990</v>
      </c>
      <c r="B37" s="98" t="s">
        <v>70</v>
      </c>
      <c r="C37" s="99" t="s">
        <v>90</v>
      </c>
      <c r="D37" s="98" t="s">
        <v>1</v>
      </c>
      <c r="E37" s="100">
        <v>1.0659722222222221</v>
      </c>
      <c r="F37" s="98" t="s">
        <v>72</v>
      </c>
      <c r="G37" s="101">
        <v>9</v>
      </c>
      <c r="H37" s="98" t="s">
        <v>74</v>
      </c>
    </row>
    <row r="38" spans="1:8" ht="18" x14ac:dyDescent="0.3">
      <c r="A38" s="97">
        <v>45990</v>
      </c>
      <c r="B38" s="98" t="s">
        <v>70</v>
      </c>
      <c r="C38" s="99" t="s">
        <v>91</v>
      </c>
      <c r="D38" s="98" t="s">
        <v>1</v>
      </c>
      <c r="E38" s="100">
        <v>1.336805555555556</v>
      </c>
      <c r="F38" s="98" t="s">
        <v>72</v>
      </c>
      <c r="G38" s="101">
        <v>9</v>
      </c>
      <c r="H38" s="98" t="s">
        <v>92</v>
      </c>
    </row>
    <row r="39" spans="1:8" ht="18" x14ac:dyDescent="0.3">
      <c r="A39" s="97">
        <v>45990</v>
      </c>
      <c r="B39" s="98" t="s">
        <v>70</v>
      </c>
      <c r="C39" s="99" t="s">
        <v>75</v>
      </c>
      <c r="D39" s="98" t="s">
        <v>1</v>
      </c>
      <c r="E39" s="100">
        <v>1.697916666666667</v>
      </c>
      <c r="F39" s="98" t="s">
        <v>72</v>
      </c>
      <c r="G39" s="101">
        <v>9</v>
      </c>
      <c r="H39" s="98" t="s">
        <v>92</v>
      </c>
    </row>
    <row r="40" spans="1:8" ht="18" x14ac:dyDescent="0.3">
      <c r="A40" s="97">
        <v>45990</v>
      </c>
      <c r="B40" s="98" t="s">
        <v>70</v>
      </c>
      <c r="C40" s="99" t="s">
        <v>93</v>
      </c>
      <c r="D40" s="98" t="s">
        <v>1</v>
      </c>
      <c r="E40" s="100">
        <v>1.2986111111111109</v>
      </c>
      <c r="F40" s="98" t="s">
        <v>72</v>
      </c>
      <c r="G40" s="101">
        <v>7</v>
      </c>
      <c r="H40" s="98" t="s">
        <v>94</v>
      </c>
    </row>
    <row r="41" spans="1:8" ht="18" x14ac:dyDescent="0.3">
      <c r="A41" s="96">
        <v>45990</v>
      </c>
      <c r="B41" s="86" t="s">
        <v>49</v>
      </c>
      <c r="C41" s="87" t="s">
        <v>50</v>
      </c>
      <c r="D41" s="86" t="s">
        <v>1</v>
      </c>
      <c r="E41" s="88">
        <v>1.354166666666667</v>
      </c>
      <c r="F41" s="86" t="s">
        <v>51</v>
      </c>
      <c r="G41" s="89">
        <v>9</v>
      </c>
      <c r="H41" s="86" t="s">
        <v>81</v>
      </c>
    </row>
    <row r="42" spans="1:8" ht="18" x14ac:dyDescent="0.3">
      <c r="A42" s="97">
        <v>45990</v>
      </c>
      <c r="B42" s="98" t="s">
        <v>49</v>
      </c>
      <c r="C42" s="99" t="s">
        <v>54</v>
      </c>
      <c r="D42" s="98" t="s">
        <v>1</v>
      </c>
      <c r="E42" s="100">
        <v>1.895833333333333</v>
      </c>
      <c r="F42" s="98" t="s">
        <v>51</v>
      </c>
      <c r="G42" s="101">
        <v>9</v>
      </c>
      <c r="H42" s="98" t="s">
        <v>81</v>
      </c>
    </row>
    <row r="43" spans="1:8" ht="18" x14ac:dyDescent="0.3">
      <c r="A43" s="97">
        <v>45990</v>
      </c>
      <c r="B43" s="98" t="s">
        <v>49</v>
      </c>
      <c r="C43" s="99" t="s">
        <v>82</v>
      </c>
      <c r="D43" s="98" t="s">
        <v>1</v>
      </c>
      <c r="E43" s="100">
        <v>1.1840277777777779</v>
      </c>
      <c r="F43" s="98" t="s">
        <v>51</v>
      </c>
      <c r="G43" s="101">
        <v>9</v>
      </c>
      <c r="H43" s="98" t="s">
        <v>81</v>
      </c>
    </row>
    <row r="44" spans="1:8" ht="18" x14ac:dyDescent="0.3">
      <c r="A44" s="97">
        <v>45990</v>
      </c>
      <c r="B44" s="98" t="s">
        <v>49</v>
      </c>
      <c r="C44" s="99" t="s">
        <v>56</v>
      </c>
      <c r="D44" s="98" t="s">
        <v>1</v>
      </c>
      <c r="E44" s="100">
        <v>1.229166666666667</v>
      </c>
      <c r="F44" s="98" t="s">
        <v>51</v>
      </c>
      <c r="G44" s="101">
        <v>4</v>
      </c>
      <c r="H44" s="98" t="s">
        <v>83</v>
      </c>
    </row>
    <row r="45" spans="1:8" ht="18" x14ac:dyDescent="0.3">
      <c r="A45" s="102">
        <v>45990</v>
      </c>
      <c r="B45" s="103" t="s">
        <v>59</v>
      </c>
      <c r="C45" s="104" t="s">
        <v>60</v>
      </c>
      <c r="D45" s="103" t="s">
        <v>1</v>
      </c>
      <c r="E45" s="105">
        <v>1.2361111111111109</v>
      </c>
      <c r="F45" s="103" t="s">
        <v>61</v>
      </c>
      <c r="G45" s="103"/>
      <c r="H45" s="103" t="s">
        <v>62</v>
      </c>
    </row>
    <row r="46" spans="1:8" ht="18" x14ac:dyDescent="0.3">
      <c r="A46" s="85">
        <v>45991</v>
      </c>
      <c r="B46" s="86" t="s">
        <v>25</v>
      </c>
      <c r="C46" s="87" t="s">
        <v>26</v>
      </c>
      <c r="D46" s="86" t="s">
        <v>1</v>
      </c>
      <c r="E46" s="88">
        <v>1.229166666666667</v>
      </c>
      <c r="F46" s="86" t="s">
        <v>27</v>
      </c>
      <c r="G46" s="89">
        <v>3</v>
      </c>
      <c r="H46" s="90" t="s">
        <v>97</v>
      </c>
    </row>
    <row r="47" spans="1:8" ht="18" x14ac:dyDescent="0.3">
      <c r="A47" s="91">
        <v>45991</v>
      </c>
      <c r="B47" s="92" t="s">
        <v>25</v>
      </c>
      <c r="C47" s="93" t="s">
        <v>26</v>
      </c>
      <c r="D47" s="92" t="s">
        <v>1</v>
      </c>
      <c r="E47" s="94">
        <v>1.229166666666667</v>
      </c>
      <c r="F47" s="92" t="s">
        <v>30</v>
      </c>
      <c r="G47" s="95">
        <v>3</v>
      </c>
      <c r="H47" s="92" t="s">
        <v>99</v>
      </c>
    </row>
    <row r="48" spans="1:8" ht="18" x14ac:dyDescent="0.3">
      <c r="A48" s="91">
        <v>45991</v>
      </c>
      <c r="B48" s="92" t="s">
        <v>25</v>
      </c>
      <c r="C48" s="93" t="s">
        <v>26</v>
      </c>
      <c r="D48" s="92" t="s">
        <v>1</v>
      </c>
      <c r="E48" s="94">
        <v>1.229166666666667</v>
      </c>
      <c r="F48" s="92" t="s">
        <v>33</v>
      </c>
      <c r="G48" s="95">
        <v>3</v>
      </c>
      <c r="H48" s="92" t="s">
        <v>69</v>
      </c>
    </row>
    <row r="49" spans="1:8" ht="18" x14ac:dyDescent="0.3">
      <c r="A49" s="96">
        <v>45991</v>
      </c>
      <c r="B49" s="86" t="s">
        <v>70</v>
      </c>
      <c r="C49" s="87" t="s">
        <v>90</v>
      </c>
      <c r="D49" s="86" t="s">
        <v>1</v>
      </c>
      <c r="E49" s="88">
        <v>1.0659722222222221</v>
      </c>
      <c r="F49" s="86" t="s">
        <v>72</v>
      </c>
      <c r="G49" s="89">
        <v>9</v>
      </c>
      <c r="H49" s="86" t="s">
        <v>100</v>
      </c>
    </row>
    <row r="50" spans="1:8" ht="18" x14ac:dyDescent="0.3">
      <c r="A50" s="97">
        <v>45991</v>
      </c>
      <c r="B50" s="98" t="s">
        <v>70</v>
      </c>
      <c r="C50" s="99" t="s">
        <v>71</v>
      </c>
      <c r="D50" s="98" t="s">
        <v>1</v>
      </c>
      <c r="E50" s="100">
        <v>1.9409722222222221</v>
      </c>
      <c r="F50" s="98" t="s">
        <v>72</v>
      </c>
      <c r="G50" s="101">
        <v>9</v>
      </c>
      <c r="H50" s="98" t="s">
        <v>101</v>
      </c>
    </row>
    <row r="51" spans="1:8" ht="18" x14ac:dyDescent="0.3">
      <c r="A51" s="96">
        <v>45991</v>
      </c>
      <c r="B51" s="86" t="s">
        <v>35</v>
      </c>
      <c r="C51" s="87" t="s">
        <v>36</v>
      </c>
      <c r="D51" s="86" t="s">
        <v>1</v>
      </c>
      <c r="E51" s="88">
        <v>1.6076388888888891</v>
      </c>
      <c r="F51" s="86" t="s">
        <v>37</v>
      </c>
      <c r="G51" s="89">
        <v>7</v>
      </c>
      <c r="H51" s="86" t="s">
        <v>87</v>
      </c>
    </row>
    <row r="52" spans="1:8" ht="18" x14ac:dyDescent="0.3">
      <c r="A52" s="91">
        <v>45991</v>
      </c>
      <c r="B52" s="92" t="s">
        <v>35</v>
      </c>
      <c r="C52" s="93" t="s">
        <v>36</v>
      </c>
      <c r="D52" s="92" t="s">
        <v>1</v>
      </c>
      <c r="E52" s="94">
        <v>1.6076388888888891</v>
      </c>
      <c r="F52" s="92" t="s">
        <v>40</v>
      </c>
      <c r="G52" s="95">
        <v>7</v>
      </c>
      <c r="H52" s="92" t="s">
        <v>77</v>
      </c>
    </row>
    <row r="53" spans="1:8" ht="18" x14ac:dyDescent="0.3">
      <c r="A53" s="91">
        <v>45991</v>
      </c>
      <c r="B53" s="92" t="s">
        <v>35</v>
      </c>
      <c r="C53" s="93" t="s">
        <v>36</v>
      </c>
      <c r="D53" s="92" t="s">
        <v>1</v>
      </c>
      <c r="E53" s="94">
        <v>1.6076388888888891</v>
      </c>
      <c r="F53" s="92" t="s">
        <v>43</v>
      </c>
      <c r="G53" s="95">
        <v>7</v>
      </c>
      <c r="H53" s="92" t="s">
        <v>88</v>
      </c>
    </row>
    <row r="54" spans="1:8" ht="18" x14ac:dyDescent="0.3">
      <c r="A54" s="96">
        <v>45991</v>
      </c>
      <c r="B54" s="86" t="s">
        <v>49</v>
      </c>
      <c r="C54" s="87" t="s">
        <v>82</v>
      </c>
      <c r="D54" s="86" t="s">
        <v>1</v>
      </c>
      <c r="E54" s="88">
        <v>1.1840277777777779</v>
      </c>
      <c r="F54" s="86" t="s">
        <v>51</v>
      </c>
      <c r="G54" s="89">
        <v>9</v>
      </c>
      <c r="H54" s="86" t="s">
        <v>102</v>
      </c>
    </row>
    <row r="55" spans="1:8" ht="18" x14ac:dyDescent="0.3">
      <c r="A55" s="97">
        <v>45991</v>
      </c>
      <c r="B55" s="98" t="s">
        <v>49</v>
      </c>
      <c r="C55" s="99" t="s">
        <v>54</v>
      </c>
      <c r="D55" s="98" t="s">
        <v>1</v>
      </c>
      <c r="E55" s="100">
        <v>1.895833333333333</v>
      </c>
      <c r="F55" s="98" t="s">
        <v>51</v>
      </c>
      <c r="G55" s="101">
        <v>3</v>
      </c>
      <c r="H55" s="98" t="s">
        <v>53</v>
      </c>
    </row>
    <row r="56" spans="1:8" ht="18" x14ac:dyDescent="0.3">
      <c r="A56" s="97">
        <v>45991</v>
      </c>
      <c r="B56" s="98" t="s">
        <v>49</v>
      </c>
      <c r="C56" s="99" t="s">
        <v>56</v>
      </c>
      <c r="D56" s="98" t="s">
        <v>1</v>
      </c>
      <c r="E56" s="100">
        <v>1.229166666666667</v>
      </c>
      <c r="F56" s="98" t="s">
        <v>51</v>
      </c>
      <c r="G56" s="101">
        <v>4</v>
      </c>
      <c r="H56" s="98" t="s">
        <v>83</v>
      </c>
    </row>
    <row r="57" spans="1:8" ht="18" x14ac:dyDescent="0.3">
      <c r="A57" s="102">
        <v>45991</v>
      </c>
      <c r="B57" s="103" t="s">
        <v>59</v>
      </c>
      <c r="C57" s="104" t="s">
        <v>60</v>
      </c>
      <c r="D57" s="103" t="s">
        <v>1</v>
      </c>
      <c r="E57" s="105">
        <v>1.743055555555556</v>
      </c>
      <c r="F57" s="103" t="s">
        <v>61</v>
      </c>
      <c r="G57" s="103"/>
      <c r="H57" s="103" t="s">
        <v>62</v>
      </c>
    </row>
  </sheetData>
  <dataValidations count="3">
    <dataValidation type="custom" allowBlank="1" showInputMessage="1" promptTitle="LOAD FACTOR ANALYSIS" prompt="SM493_x000d__x000a_LF 1.0%_x000d__x000a_SOLD 182_x000d__x000a_LST-SOLD 24NOV_x000d__x000a_WEEKLY 14_x000d__x000a_TO-DAY NIL_x000d__x000a_Y-DAY NIL_x000d__x000a_LOWEST AVAIL CLOSED_x000d__x000a_CAPACITY 180_x000d__x000a_CLASSES L1 &amp; O3 &amp; I8 &amp; +2 more" sqref="A14 B14 C14 D14 E14 F14 G14 H14" xr:uid="{00000000-0002-0000-0200-000000000000}">
      <formula1>TRUE</formula1>
    </dataValidation>
    <dataValidation type="custom" allowBlank="1" showInputMessage="1" promptTitle="LOAD FACTOR ANALYSIS" prompt="SM493_x000d__x000a_LF 99.4%_x000d__x000a_SOLD 179_x000d__x000a_LST-SOLD 16NOV_x000d__x000a_WEEKLY NIL_x000d__x000a_TO-DAY NIL_x000d__x000a_Y-DAY NIL_x000d__x000a_LOWEST AVAIL CLOSED_x000d__x000a_CAPACITY 180_x000d__x000a_CLASSES G2 &amp; X7 &amp; U11 &amp; +4 more" sqref="A45 B45 C45 D45 E45 F45 G45 H45" xr:uid="{00000000-0002-0000-0200-000001000000}">
      <formula1>TRUE</formula1>
    </dataValidation>
    <dataValidation type="custom" allowBlank="1" showInputMessage="1" promptTitle="LOAD FACTOR ANALYSIS" prompt="SM493_x000d__x000a_LF 1.0%_x000d__x000a_SOLD 180_x000d__x000a_LST-SOLD 25NOV_x000d__x000a_WEEKLY 1_x000d__x000a_TO-DAY NIL_x000d__x000a_Y-DAY 1_x000d__x000a_LOWEST AVAIL CLOSED_x000d__x000a_CAPACITY 180_x000d__x000a_CLASSES L5 &amp; X8 &amp; U11 &amp; +3 more" sqref="A57 B57 C57 D57 E57 F57 G57 H57" xr:uid="{00000000-0002-0000-0200-000002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49"/>
  <sheetViews>
    <sheetView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6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9.3320312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157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45987.359164936373</v>
      </c>
      <c r="H2" s="279"/>
      <c r="I2" s="279"/>
      <c r="J2" s="279"/>
      <c r="K2" s="288">
        <v>45987.359164936977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2" t="s">
        <v>5</v>
      </c>
      <c r="B4" s="283"/>
      <c r="C4" s="283"/>
      <c r="D4" s="283"/>
      <c r="E4" s="283"/>
      <c r="F4" s="283"/>
      <c r="G4" s="5">
        <v>45988</v>
      </c>
      <c r="H4" s="294" t="s">
        <v>6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70</v>
      </c>
      <c r="B6" s="8" t="s">
        <v>158</v>
      </c>
      <c r="C6" s="9">
        <v>0.3576388888888889</v>
      </c>
      <c r="D6" s="8" t="s">
        <v>72</v>
      </c>
      <c r="E6" s="8" t="s">
        <v>159</v>
      </c>
      <c r="F6" s="8" t="s">
        <v>160</v>
      </c>
      <c r="G6" s="275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121" t="s">
        <v>59</v>
      </c>
      <c r="B7" s="121" t="s">
        <v>161</v>
      </c>
      <c r="C7" s="122">
        <v>0.47916666666666669</v>
      </c>
      <c r="D7" s="121" t="s">
        <v>61</v>
      </c>
      <c r="E7" s="123"/>
      <c r="F7" s="121" t="s">
        <v>62</v>
      </c>
      <c r="G7" s="276"/>
      <c r="H7" s="124" t="s">
        <v>161</v>
      </c>
      <c r="I7" s="125">
        <v>1</v>
      </c>
      <c r="J7" s="126">
        <v>180</v>
      </c>
      <c r="K7" s="127">
        <v>45980</v>
      </c>
      <c r="L7" s="126">
        <v>2</v>
      </c>
      <c r="M7" s="126">
        <v>0</v>
      </c>
      <c r="N7" s="126">
        <v>0</v>
      </c>
      <c r="O7" s="128" t="s">
        <v>63</v>
      </c>
      <c r="P7" s="129">
        <v>0.47916666666666669</v>
      </c>
      <c r="Q7" s="126">
        <v>180</v>
      </c>
      <c r="R7" s="130" t="s">
        <v>162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8" x14ac:dyDescent="0.3">
      <c r="A8" s="300" t="s">
        <v>163</v>
      </c>
      <c r="B8" s="301"/>
      <c r="C8" s="301"/>
      <c r="D8" s="301"/>
      <c r="E8" s="301"/>
      <c r="F8" s="301"/>
      <c r="G8" s="276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9" t="s">
        <v>25</v>
      </c>
      <c r="B9" s="19" t="s">
        <v>26</v>
      </c>
      <c r="C9" s="20" t="s">
        <v>164</v>
      </c>
      <c r="D9" s="19" t="s">
        <v>27</v>
      </c>
      <c r="E9" s="19" t="s">
        <v>165</v>
      </c>
      <c r="F9" s="19" t="s">
        <v>29</v>
      </c>
      <c r="G9" s="276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9" t="s">
        <v>35</v>
      </c>
      <c r="B10" s="19" t="s">
        <v>36</v>
      </c>
      <c r="C10" s="20" t="s">
        <v>166</v>
      </c>
      <c r="D10" s="19" t="s">
        <v>37</v>
      </c>
      <c r="E10" s="19" t="s">
        <v>167</v>
      </c>
      <c r="F10" s="19" t="s">
        <v>39</v>
      </c>
      <c r="G10" s="276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9" t="s">
        <v>35</v>
      </c>
      <c r="B11" s="19" t="s">
        <v>45</v>
      </c>
      <c r="C11" s="20" t="s">
        <v>168</v>
      </c>
      <c r="D11" s="19" t="s">
        <v>37</v>
      </c>
      <c r="E11" s="19" t="s">
        <v>169</v>
      </c>
      <c r="F11" s="19" t="s">
        <v>39</v>
      </c>
      <c r="G11" s="276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25</v>
      </c>
      <c r="B12" s="19" t="s">
        <v>26</v>
      </c>
      <c r="C12" s="20" t="s">
        <v>164</v>
      </c>
      <c r="D12" s="19" t="s">
        <v>30</v>
      </c>
      <c r="E12" s="19" t="s">
        <v>165</v>
      </c>
      <c r="F12" s="19" t="s">
        <v>32</v>
      </c>
      <c r="G12" s="276"/>
      <c r="H12" s="131"/>
      <c r="I12" s="131"/>
      <c r="J12" s="131"/>
      <c r="K12" s="131"/>
      <c r="L12" s="131"/>
      <c r="M12" s="131"/>
      <c r="N12" s="131"/>
      <c r="O12" s="132"/>
      <c r="P12" s="131"/>
      <c r="Q12" s="133"/>
      <c r="R12" s="13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9" t="s">
        <v>35</v>
      </c>
      <c r="B13" s="19" t="s">
        <v>36</v>
      </c>
      <c r="C13" s="20" t="s">
        <v>166</v>
      </c>
      <c r="D13" s="19" t="s">
        <v>40</v>
      </c>
      <c r="E13" s="19" t="s">
        <v>167</v>
      </c>
      <c r="F13" s="19" t="s">
        <v>42</v>
      </c>
      <c r="G13" s="276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9" t="s">
        <v>35</v>
      </c>
      <c r="B14" s="19" t="s">
        <v>45</v>
      </c>
      <c r="C14" s="20" t="s">
        <v>168</v>
      </c>
      <c r="D14" s="19" t="s">
        <v>40</v>
      </c>
      <c r="E14" s="19" t="s">
        <v>169</v>
      </c>
      <c r="F14" s="19" t="s">
        <v>42</v>
      </c>
      <c r="G14" s="276"/>
      <c r="H14" s="131"/>
      <c r="I14" s="131"/>
      <c r="J14" s="131"/>
      <c r="K14" s="131"/>
      <c r="L14" s="131"/>
      <c r="M14" s="131"/>
      <c r="N14" s="131"/>
      <c r="O14" s="132"/>
      <c r="P14" s="131"/>
      <c r="Q14" s="133"/>
      <c r="R14" s="13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35</v>
      </c>
      <c r="B15" s="19" t="s">
        <v>36</v>
      </c>
      <c r="C15" s="20" t="s">
        <v>166</v>
      </c>
      <c r="D15" s="19" t="s">
        <v>43</v>
      </c>
      <c r="E15" s="19" t="s">
        <v>167</v>
      </c>
      <c r="F15" s="19" t="s">
        <v>44</v>
      </c>
      <c r="G15" s="276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9" t="s">
        <v>35</v>
      </c>
      <c r="B16" s="19" t="s">
        <v>45</v>
      </c>
      <c r="C16" s="20" t="s">
        <v>168</v>
      </c>
      <c r="D16" s="19" t="s">
        <v>43</v>
      </c>
      <c r="E16" s="19" t="s">
        <v>169</v>
      </c>
      <c r="F16" s="19" t="s">
        <v>48</v>
      </c>
      <c r="G16" s="276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9" t="s">
        <v>49</v>
      </c>
      <c r="B17" s="19" t="s">
        <v>50</v>
      </c>
      <c r="C17" s="20" t="s">
        <v>170</v>
      </c>
      <c r="D17" s="19" t="s">
        <v>51</v>
      </c>
      <c r="E17" s="19" t="s">
        <v>171</v>
      </c>
      <c r="F17" s="19" t="s">
        <v>53</v>
      </c>
      <c r="G17" s="276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5" customHeight="1" x14ac:dyDescent="0.3">
      <c r="A18" s="37" t="s">
        <v>49</v>
      </c>
      <c r="B18" s="37" t="s">
        <v>54</v>
      </c>
      <c r="C18" s="38" t="s">
        <v>172</v>
      </c>
      <c r="D18" s="37" t="s">
        <v>51</v>
      </c>
      <c r="E18" s="37" t="s">
        <v>173</v>
      </c>
      <c r="F18" s="37" t="s">
        <v>53</v>
      </c>
      <c r="G18" s="277"/>
      <c r="H18" s="134"/>
      <c r="I18" s="134"/>
      <c r="J18" s="134"/>
      <c r="K18" s="134"/>
      <c r="L18" s="134"/>
      <c r="M18" s="134"/>
      <c r="N18" s="134"/>
      <c r="O18" s="135"/>
      <c r="P18" s="134"/>
      <c r="Q18" s="136"/>
      <c r="R18" s="136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4.4" customHeight="1" x14ac:dyDescent="0.3">
      <c r="A19" s="272"/>
      <c r="B19" s="273"/>
      <c r="C19" s="273"/>
      <c r="D19" s="273"/>
      <c r="E19" s="273"/>
      <c r="F19" s="273"/>
      <c r="G19" s="273"/>
      <c r="H19" s="273"/>
      <c r="I19" s="273"/>
      <c r="J19" s="273"/>
      <c r="K19" s="273"/>
      <c r="L19" s="273"/>
      <c r="M19" s="273"/>
      <c r="N19" s="273"/>
      <c r="O19" s="273"/>
      <c r="P19" s="273"/>
      <c r="Q19" s="273"/>
      <c r="R19" s="27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22.05" customHeight="1" x14ac:dyDescent="0.3">
      <c r="A20" s="280" t="s">
        <v>5</v>
      </c>
      <c r="B20" s="281"/>
      <c r="C20" s="281"/>
      <c r="D20" s="281"/>
      <c r="E20" s="281"/>
      <c r="F20" s="281"/>
      <c r="G20" s="5">
        <v>45989</v>
      </c>
      <c r="H20" s="290" t="s">
        <v>6</v>
      </c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24" customHeight="1" x14ac:dyDescent="0.3">
      <c r="A21" s="31" t="s">
        <v>7</v>
      </c>
      <c r="B21" s="31" t="s">
        <v>8</v>
      </c>
      <c r="C21" s="32" t="s">
        <v>9</v>
      </c>
      <c r="D21" s="31" t="s">
        <v>10</v>
      </c>
      <c r="E21" s="31" t="s">
        <v>11</v>
      </c>
      <c r="F21" s="31" t="s">
        <v>12</v>
      </c>
      <c r="G21" s="33" t="s">
        <v>13</v>
      </c>
      <c r="H21" s="31" t="s">
        <v>14</v>
      </c>
      <c r="I21" s="34" t="s">
        <v>15</v>
      </c>
      <c r="J21" s="35" t="s">
        <v>16</v>
      </c>
      <c r="K21" s="36" t="s">
        <v>17</v>
      </c>
      <c r="L21" s="35" t="s">
        <v>18</v>
      </c>
      <c r="M21" s="35" t="s">
        <v>19</v>
      </c>
      <c r="N21" s="35" t="s">
        <v>20</v>
      </c>
      <c r="O21" s="31" t="s">
        <v>21</v>
      </c>
      <c r="P21" s="32" t="s">
        <v>22</v>
      </c>
      <c r="Q21" s="35" t="s">
        <v>23</v>
      </c>
      <c r="R21" s="31" t="s">
        <v>24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5" customHeight="1" x14ac:dyDescent="0.3">
      <c r="A22" s="8" t="s">
        <v>70</v>
      </c>
      <c r="B22" s="8" t="s">
        <v>158</v>
      </c>
      <c r="C22" s="9">
        <v>0.3576388888888889</v>
      </c>
      <c r="D22" s="8" t="s">
        <v>72</v>
      </c>
      <c r="E22" s="8" t="s">
        <v>84</v>
      </c>
      <c r="F22" s="8" t="s">
        <v>174</v>
      </c>
      <c r="G22" s="275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8" x14ac:dyDescent="0.3">
      <c r="A23" s="300" t="s">
        <v>163</v>
      </c>
      <c r="B23" s="301"/>
      <c r="C23" s="301"/>
      <c r="D23" s="301"/>
      <c r="E23" s="301"/>
      <c r="F23" s="301"/>
      <c r="G23" s="276"/>
      <c r="H23" s="131"/>
      <c r="I23" s="131"/>
      <c r="J23" s="131"/>
      <c r="K23" s="131"/>
      <c r="L23" s="131"/>
      <c r="M23" s="131"/>
      <c r="N23" s="131"/>
      <c r="O23" s="132"/>
      <c r="P23" s="131"/>
      <c r="Q23" s="133"/>
      <c r="R23" s="13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5" customHeight="1" x14ac:dyDescent="0.3">
      <c r="A24" s="19" t="s">
        <v>25</v>
      </c>
      <c r="B24" s="19" t="s">
        <v>26</v>
      </c>
      <c r="C24" s="20" t="s">
        <v>164</v>
      </c>
      <c r="D24" s="19" t="s">
        <v>27</v>
      </c>
      <c r="E24" s="19" t="s">
        <v>175</v>
      </c>
      <c r="F24" s="19" t="s">
        <v>66</v>
      </c>
      <c r="G24" s="276"/>
      <c r="H24" s="131"/>
      <c r="I24" s="131"/>
      <c r="J24" s="131"/>
      <c r="K24" s="131"/>
      <c r="L24" s="131"/>
      <c r="M24" s="131"/>
      <c r="N24" s="131"/>
      <c r="O24" s="132"/>
      <c r="P24" s="131"/>
      <c r="Q24" s="133"/>
      <c r="R24" s="13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5" customHeight="1" x14ac:dyDescent="0.3">
      <c r="A25" s="19" t="s">
        <v>70</v>
      </c>
      <c r="B25" s="19" t="s">
        <v>71</v>
      </c>
      <c r="C25" s="20" t="s">
        <v>176</v>
      </c>
      <c r="D25" s="19" t="s">
        <v>72</v>
      </c>
      <c r="E25" s="19" t="s">
        <v>177</v>
      </c>
      <c r="F25" s="19" t="s">
        <v>74</v>
      </c>
      <c r="G25" s="276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19" t="s">
        <v>70</v>
      </c>
      <c r="B26" s="19" t="s">
        <v>75</v>
      </c>
      <c r="C26" s="20" t="s">
        <v>178</v>
      </c>
      <c r="D26" s="19" t="s">
        <v>72</v>
      </c>
      <c r="E26" s="19" t="s">
        <v>177</v>
      </c>
      <c r="F26" s="19" t="s">
        <v>74</v>
      </c>
      <c r="G26" s="276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5" customHeight="1" x14ac:dyDescent="0.3">
      <c r="A27" s="19" t="s">
        <v>35</v>
      </c>
      <c r="B27" s="19" t="s">
        <v>36</v>
      </c>
      <c r="C27" s="20" t="s">
        <v>166</v>
      </c>
      <c r="D27" s="19" t="s">
        <v>37</v>
      </c>
      <c r="E27" s="19" t="s">
        <v>171</v>
      </c>
      <c r="F27" s="19" t="s">
        <v>77</v>
      </c>
      <c r="G27" s="276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19" t="s">
        <v>25</v>
      </c>
      <c r="B28" s="19" t="s">
        <v>26</v>
      </c>
      <c r="C28" s="20" t="s">
        <v>164</v>
      </c>
      <c r="D28" s="19" t="s">
        <v>30</v>
      </c>
      <c r="E28" s="19" t="s">
        <v>175</v>
      </c>
      <c r="F28" s="19" t="s">
        <v>68</v>
      </c>
      <c r="G28" s="276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5" customHeight="1" x14ac:dyDescent="0.3">
      <c r="A29" s="19" t="s">
        <v>35</v>
      </c>
      <c r="B29" s="19" t="s">
        <v>36</v>
      </c>
      <c r="C29" s="20" t="s">
        <v>166</v>
      </c>
      <c r="D29" s="19" t="s">
        <v>40</v>
      </c>
      <c r="E29" s="19" t="s">
        <v>171</v>
      </c>
      <c r="F29" s="19" t="s">
        <v>79</v>
      </c>
      <c r="G29" s="276"/>
      <c r="H29" s="131"/>
      <c r="I29" s="131"/>
      <c r="J29" s="131"/>
      <c r="K29" s="131"/>
      <c r="L29" s="131"/>
      <c r="M29" s="131"/>
      <c r="N29" s="131"/>
      <c r="O29" s="132"/>
      <c r="P29" s="131"/>
      <c r="Q29" s="133"/>
      <c r="R29" s="13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19" t="s">
        <v>35</v>
      </c>
      <c r="B30" s="19" t="s">
        <v>36</v>
      </c>
      <c r="C30" s="20" t="s">
        <v>166</v>
      </c>
      <c r="D30" s="19" t="s">
        <v>43</v>
      </c>
      <c r="E30" s="19" t="s">
        <v>171</v>
      </c>
      <c r="F30" s="19" t="s">
        <v>80</v>
      </c>
      <c r="G30" s="276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5" customHeight="1" x14ac:dyDescent="0.3">
      <c r="A31" s="19" t="s">
        <v>25</v>
      </c>
      <c r="B31" s="19" t="s">
        <v>26</v>
      </c>
      <c r="C31" s="20" t="s">
        <v>164</v>
      </c>
      <c r="D31" s="19" t="s">
        <v>33</v>
      </c>
      <c r="E31" s="19" t="s">
        <v>175</v>
      </c>
      <c r="F31" s="19" t="s">
        <v>69</v>
      </c>
      <c r="G31" s="276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19" t="s">
        <v>49</v>
      </c>
      <c r="B32" s="19" t="s">
        <v>50</v>
      </c>
      <c r="C32" s="20" t="s">
        <v>179</v>
      </c>
      <c r="D32" s="19" t="s">
        <v>51</v>
      </c>
      <c r="E32" s="19" t="s">
        <v>177</v>
      </c>
      <c r="F32" s="19" t="s">
        <v>81</v>
      </c>
      <c r="G32" s="276"/>
      <c r="H32" s="131"/>
      <c r="I32" s="131"/>
      <c r="J32" s="131"/>
      <c r="K32" s="131"/>
      <c r="L32" s="131"/>
      <c r="M32" s="131"/>
      <c r="N32" s="131"/>
      <c r="O32" s="132"/>
      <c r="P32" s="131"/>
      <c r="Q32" s="133"/>
      <c r="R32" s="13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5" customHeight="1" x14ac:dyDescent="0.3">
      <c r="A33" s="37" t="s">
        <v>49</v>
      </c>
      <c r="B33" s="37" t="s">
        <v>54</v>
      </c>
      <c r="C33" s="38" t="s">
        <v>172</v>
      </c>
      <c r="D33" s="37" t="s">
        <v>51</v>
      </c>
      <c r="E33" s="37" t="s">
        <v>177</v>
      </c>
      <c r="F33" s="37" t="s">
        <v>81</v>
      </c>
      <c r="G33" s="277"/>
      <c r="H33" s="134"/>
      <c r="I33" s="134"/>
      <c r="J33" s="134"/>
      <c r="K33" s="134"/>
      <c r="L33" s="134"/>
      <c r="M33" s="134"/>
      <c r="N33" s="134"/>
      <c r="O33" s="135"/>
      <c r="P33" s="134"/>
      <c r="Q33" s="136"/>
      <c r="R33" s="136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4.4" customHeight="1" x14ac:dyDescent="0.3">
      <c r="A34" s="272"/>
      <c r="B34" s="273"/>
      <c r="C34" s="273"/>
      <c r="D34" s="273"/>
      <c r="E34" s="273"/>
      <c r="F34" s="273"/>
      <c r="G34" s="273"/>
      <c r="H34" s="273"/>
      <c r="I34" s="273"/>
      <c r="J34" s="273"/>
      <c r="K34" s="273"/>
      <c r="L34" s="273"/>
      <c r="M34" s="273"/>
      <c r="N34" s="273"/>
      <c r="O34" s="273"/>
      <c r="P34" s="273"/>
      <c r="Q34" s="273"/>
      <c r="R34" s="274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22.05" customHeight="1" x14ac:dyDescent="0.3">
      <c r="A35" s="280" t="s">
        <v>5</v>
      </c>
      <c r="B35" s="281"/>
      <c r="C35" s="281"/>
      <c r="D35" s="281"/>
      <c r="E35" s="281"/>
      <c r="F35" s="281"/>
      <c r="G35" s="5">
        <v>45991</v>
      </c>
      <c r="H35" s="290" t="s">
        <v>6</v>
      </c>
      <c r="I35" s="291"/>
      <c r="J35" s="291"/>
      <c r="K35" s="291"/>
      <c r="L35" s="291"/>
      <c r="M35" s="291"/>
      <c r="N35" s="291"/>
      <c r="O35" s="291"/>
      <c r="P35" s="291"/>
      <c r="Q35" s="291"/>
      <c r="R35" s="291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24" customHeight="1" x14ac:dyDescent="0.3">
      <c r="A36" s="31" t="s">
        <v>7</v>
      </c>
      <c r="B36" s="31" t="s">
        <v>8</v>
      </c>
      <c r="C36" s="32" t="s">
        <v>9</v>
      </c>
      <c r="D36" s="31" t="s">
        <v>10</v>
      </c>
      <c r="E36" s="31" t="s">
        <v>11</v>
      </c>
      <c r="F36" s="31" t="s">
        <v>12</v>
      </c>
      <c r="G36" s="33" t="s">
        <v>13</v>
      </c>
      <c r="H36" s="31" t="s">
        <v>14</v>
      </c>
      <c r="I36" s="34" t="s">
        <v>15</v>
      </c>
      <c r="J36" s="35" t="s">
        <v>16</v>
      </c>
      <c r="K36" s="36" t="s">
        <v>17</v>
      </c>
      <c r="L36" s="35" t="s">
        <v>18</v>
      </c>
      <c r="M36" s="35" t="s">
        <v>19</v>
      </c>
      <c r="N36" s="35" t="s">
        <v>20</v>
      </c>
      <c r="O36" s="31" t="s">
        <v>21</v>
      </c>
      <c r="P36" s="32" t="s">
        <v>22</v>
      </c>
      <c r="Q36" s="35" t="s">
        <v>23</v>
      </c>
      <c r="R36" s="31" t="s">
        <v>24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15" customHeight="1" x14ac:dyDescent="0.3">
      <c r="A37" s="137" t="s">
        <v>59</v>
      </c>
      <c r="B37" s="137" t="s">
        <v>161</v>
      </c>
      <c r="C37" s="138">
        <v>0.2361111111111111</v>
      </c>
      <c r="D37" s="137" t="s">
        <v>61</v>
      </c>
      <c r="E37" s="139"/>
      <c r="F37" s="137" t="s">
        <v>62</v>
      </c>
      <c r="G37" s="275"/>
      <c r="H37" s="140" t="s">
        <v>161</v>
      </c>
      <c r="I37" s="141">
        <v>1</v>
      </c>
      <c r="J37" s="142">
        <v>180</v>
      </c>
      <c r="K37" s="143">
        <v>45977</v>
      </c>
      <c r="L37" s="142">
        <v>0</v>
      </c>
      <c r="M37" s="142">
        <v>0</v>
      </c>
      <c r="N37" s="142">
        <v>0</v>
      </c>
      <c r="O37" s="144" t="s">
        <v>63</v>
      </c>
      <c r="P37" s="145">
        <v>0.2361111111111111</v>
      </c>
      <c r="Q37" s="142">
        <v>180</v>
      </c>
      <c r="R37" s="146" t="s">
        <v>180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18" x14ac:dyDescent="0.3">
      <c r="A38" s="300" t="s">
        <v>163</v>
      </c>
      <c r="B38" s="301"/>
      <c r="C38" s="301"/>
      <c r="D38" s="301"/>
      <c r="E38" s="301"/>
      <c r="F38" s="301"/>
      <c r="G38" s="276"/>
      <c r="H38" s="131"/>
      <c r="I38" s="131"/>
      <c r="J38" s="131"/>
      <c r="K38" s="131"/>
      <c r="L38" s="131"/>
      <c r="M38" s="131"/>
      <c r="N38" s="131"/>
      <c r="O38" s="132"/>
      <c r="P38" s="131"/>
      <c r="Q38" s="133"/>
      <c r="R38" s="13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15" customHeight="1" x14ac:dyDescent="0.3">
      <c r="A39" s="19" t="s">
        <v>25</v>
      </c>
      <c r="B39" s="19" t="s">
        <v>26</v>
      </c>
      <c r="C39" s="20" t="s">
        <v>164</v>
      </c>
      <c r="D39" s="19" t="s">
        <v>27</v>
      </c>
      <c r="E39" s="19" t="s">
        <v>173</v>
      </c>
      <c r="F39" s="19" t="s">
        <v>97</v>
      </c>
      <c r="G39" s="276"/>
      <c r="H39" s="131"/>
      <c r="I39" s="131"/>
      <c r="J39" s="131"/>
      <c r="K39" s="131"/>
      <c r="L39" s="131"/>
      <c r="M39" s="131"/>
      <c r="N39" s="131"/>
      <c r="O39" s="132"/>
      <c r="P39" s="131"/>
      <c r="Q39" s="133"/>
      <c r="R39" s="13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15" customHeight="1" x14ac:dyDescent="0.3">
      <c r="A40" s="19" t="s">
        <v>70</v>
      </c>
      <c r="B40" s="19" t="s">
        <v>90</v>
      </c>
      <c r="C40" s="20" t="s">
        <v>181</v>
      </c>
      <c r="D40" s="19" t="s">
        <v>72</v>
      </c>
      <c r="E40" s="19" t="s">
        <v>177</v>
      </c>
      <c r="F40" s="19" t="s">
        <v>100</v>
      </c>
      <c r="G40" s="276"/>
      <c r="H40" s="131"/>
      <c r="I40" s="131"/>
      <c r="J40" s="131"/>
      <c r="K40" s="131"/>
      <c r="L40" s="131"/>
      <c r="M40" s="131"/>
      <c r="N40" s="131"/>
      <c r="O40" s="132"/>
      <c r="P40" s="131"/>
      <c r="Q40" s="133"/>
      <c r="R40" s="13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15" customHeight="1" x14ac:dyDescent="0.3">
      <c r="A41" s="19" t="s">
        <v>35</v>
      </c>
      <c r="B41" s="19" t="s">
        <v>36</v>
      </c>
      <c r="C41" s="20" t="s">
        <v>166</v>
      </c>
      <c r="D41" s="19" t="s">
        <v>37</v>
      </c>
      <c r="E41" s="19" t="s">
        <v>169</v>
      </c>
      <c r="F41" s="19" t="s">
        <v>87</v>
      </c>
      <c r="G41" s="276"/>
      <c r="H41" s="131"/>
      <c r="I41" s="131"/>
      <c r="J41" s="131"/>
      <c r="K41" s="131"/>
      <c r="L41" s="131"/>
      <c r="M41" s="131"/>
      <c r="N41" s="131"/>
      <c r="O41" s="132"/>
      <c r="P41" s="131"/>
      <c r="Q41" s="133"/>
      <c r="R41" s="13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5" customHeight="1" x14ac:dyDescent="0.3">
      <c r="A42" s="19" t="s">
        <v>25</v>
      </c>
      <c r="B42" s="19" t="s">
        <v>26</v>
      </c>
      <c r="C42" s="20" t="s">
        <v>164</v>
      </c>
      <c r="D42" s="19" t="s">
        <v>30</v>
      </c>
      <c r="E42" s="19" t="s">
        <v>173</v>
      </c>
      <c r="F42" s="19" t="s">
        <v>99</v>
      </c>
      <c r="G42" s="276"/>
      <c r="H42" s="131"/>
      <c r="I42" s="131"/>
      <c r="J42" s="131"/>
      <c r="K42" s="131"/>
      <c r="L42" s="131"/>
      <c r="M42" s="131"/>
      <c r="N42" s="131"/>
      <c r="O42" s="132"/>
      <c r="P42" s="131"/>
      <c r="Q42" s="133"/>
      <c r="R42" s="13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15" customHeight="1" x14ac:dyDescent="0.3">
      <c r="A43" s="19" t="s">
        <v>35</v>
      </c>
      <c r="B43" s="19" t="s">
        <v>36</v>
      </c>
      <c r="C43" s="20" t="s">
        <v>166</v>
      </c>
      <c r="D43" s="19" t="s">
        <v>40</v>
      </c>
      <c r="E43" s="19" t="s">
        <v>169</v>
      </c>
      <c r="F43" s="19" t="s">
        <v>77</v>
      </c>
      <c r="G43" s="276"/>
      <c r="H43" s="131"/>
      <c r="I43" s="131"/>
      <c r="J43" s="131"/>
      <c r="K43" s="131"/>
      <c r="L43" s="131"/>
      <c r="M43" s="131"/>
      <c r="N43" s="131"/>
      <c r="O43" s="132"/>
      <c r="P43" s="131"/>
      <c r="Q43" s="133"/>
      <c r="R43" s="13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5" customHeight="1" x14ac:dyDescent="0.3">
      <c r="A44" s="19" t="s">
        <v>35</v>
      </c>
      <c r="B44" s="19" t="s">
        <v>36</v>
      </c>
      <c r="C44" s="20" t="s">
        <v>166</v>
      </c>
      <c r="D44" s="19" t="s">
        <v>43</v>
      </c>
      <c r="E44" s="19" t="s">
        <v>169</v>
      </c>
      <c r="F44" s="19" t="s">
        <v>88</v>
      </c>
      <c r="G44" s="276"/>
      <c r="H44" s="131"/>
      <c r="I44" s="131"/>
      <c r="J44" s="131"/>
      <c r="K44" s="131"/>
      <c r="L44" s="131"/>
      <c r="M44" s="131"/>
      <c r="N44" s="131"/>
      <c r="O44" s="132"/>
      <c r="P44" s="131"/>
      <c r="Q44" s="133"/>
      <c r="R44" s="13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15" customHeight="1" x14ac:dyDescent="0.3">
      <c r="A45" s="19" t="s">
        <v>49</v>
      </c>
      <c r="B45" s="19" t="s">
        <v>82</v>
      </c>
      <c r="C45" s="20" t="s">
        <v>182</v>
      </c>
      <c r="D45" s="19" t="s">
        <v>51</v>
      </c>
      <c r="E45" s="19" t="s">
        <v>177</v>
      </c>
      <c r="F45" s="19" t="s">
        <v>102</v>
      </c>
      <c r="G45" s="276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15" customHeight="1" x14ac:dyDescent="0.3">
      <c r="A46" s="19" t="s">
        <v>25</v>
      </c>
      <c r="B46" s="19" t="s">
        <v>26</v>
      </c>
      <c r="C46" s="20" t="s">
        <v>164</v>
      </c>
      <c r="D46" s="19" t="s">
        <v>33</v>
      </c>
      <c r="E46" s="19" t="s">
        <v>173</v>
      </c>
      <c r="F46" s="19" t="s">
        <v>69</v>
      </c>
      <c r="G46" s="276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19" t="s">
        <v>70</v>
      </c>
      <c r="B47" s="19" t="s">
        <v>71</v>
      </c>
      <c r="C47" s="20" t="s">
        <v>176</v>
      </c>
      <c r="D47" s="19" t="s">
        <v>72</v>
      </c>
      <c r="E47" s="19" t="s">
        <v>177</v>
      </c>
      <c r="F47" s="19" t="s">
        <v>101</v>
      </c>
      <c r="G47" s="276"/>
      <c r="H47" s="131"/>
      <c r="I47" s="131"/>
      <c r="J47" s="131"/>
      <c r="K47" s="131"/>
      <c r="L47" s="131"/>
      <c r="M47" s="131"/>
      <c r="N47" s="131"/>
      <c r="O47" s="132"/>
      <c r="P47" s="131"/>
      <c r="Q47" s="133"/>
      <c r="R47" s="13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5" customHeight="1" x14ac:dyDescent="0.3">
      <c r="A48" s="37" t="s">
        <v>49</v>
      </c>
      <c r="B48" s="37" t="s">
        <v>54</v>
      </c>
      <c r="C48" s="38" t="s">
        <v>172</v>
      </c>
      <c r="D48" s="37" t="s">
        <v>51</v>
      </c>
      <c r="E48" s="37" t="s">
        <v>173</v>
      </c>
      <c r="F48" s="37" t="s">
        <v>53</v>
      </c>
      <c r="G48" s="277"/>
      <c r="H48" s="134"/>
      <c r="I48" s="134"/>
      <c r="J48" s="134"/>
      <c r="K48" s="134"/>
      <c r="L48" s="134"/>
      <c r="M48" s="134"/>
      <c r="N48" s="134"/>
      <c r="O48" s="135"/>
      <c r="P48" s="134"/>
      <c r="Q48" s="136"/>
      <c r="R48" s="136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14.4" customHeight="1" x14ac:dyDescent="0.3">
      <c r="A49" s="272"/>
      <c r="B49" s="273"/>
      <c r="C49" s="273"/>
      <c r="D49" s="273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4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</sheetData>
  <mergeCells count="24">
    <mergeCell ref="A8:F8"/>
    <mergeCell ref="G6:G18"/>
    <mergeCell ref="G2:J2"/>
    <mergeCell ref="O1:Q1"/>
    <mergeCell ref="H35:R35"/>
    <mergeCell ref="H20:R20"/>
    <mergeCell ref="H4:R4"/>
    <mergeCell ref="G22:G33"/>
    <mergeCell ref="A49:R49"/>
    <mergeCell ref="A35:F35"/>
    <mergeCell ref="A4:F4"/>
    <mergeCell ref="A20:F20"/>
    <mergeCell ref="J1:M1"/>
    <mergeCell ref="A38:F38"/>
    <mergeCell ref="A19:R19"/>
    <mergeCell ref="K2:R2"/>
    <mergeCell ref="D1:F1"/>
    <mergeCell ref="A34:R34"/>
    <mergeCell ref="G37:G48"/>
    <mergeCell ref="A1:C1"/>
    <mergeCell ref="G1:H1"/>
    <mergeCell ref="A2:F2"/>
    <mergeCell ref="A3:R3"/>
    <mergeCell ref="A23:F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2.109375" bestFit="1" customWidth="1"/>
    <col min="6" max="6" width="8.6640625" bestFit="1" customWidth="1"/>
    <col min="7" max="7" width="9.7773437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7.21875" bestFit="1" customWidth="1"/>
    <col min="35" max="35" width="6.7773437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  <row r="2" spans="1:35" ht="18" x14ac:dyDescent="0.3">
      <c r="A2" s="65" t="s">
        <v>133</v>
      </c>
      <c r="B2" s="66">
        <v>45988</v>
      </c>
      <c r="C2" s="67" t="s">
        <v>161</v>
      </c>
      <c r="D2" s="68">
        <v>0.47916666666666669</v>
      </c>
      <c r="E2" s="67" t="s">
        <v>157</v>
      </c>
      <c r="F2" s="67" t="s">
        <v>134</v>
      </c>
      <c r="G2" s="69">
        <v>1</v>
      </c>
      <c r="H2" s="70">
        <v>180</v>
      </c>
      <c r="I2" s="70">
        <v>180</v>
      </c>
      <c r="J2" s="70">
        <v>166</v>
      </c>
      <c r="K2" s="66">
        <v>45980</v>
      </c>
      <c r="L2" s="70">
        <v>0</v>
      </c>
      <c r="M2" s="70">
        <v>0</v>
      </c>
      <c r="N2" s="70">
        <v>2</v>
      </c>
      <c r="O2" s="67" t="s">
        <v>63</v>
      </c>
      <c r="P2" s="71"/>
      <c r="Q2" s="71"/>
      <c r="R2" s="71"/>
      <c r="S2" s="71"/>
      <c r="T2" s="71"/>
      <c r="U2" s="71"/>
      <c r="V2" s="71"/>
      <c r="W2" s="71"/>
      <c r="X2" s="70" t="s">
        <v>183</v>
      </c>
      <c r="Y2" s="71"/>
      <c r="Z2" s="71"/>
      <c r="AA2" s="71"/>
      <c r="AB2" s="70" t="s">
        <v>184</v>
      </c>
      <c r="AC2" s="71"/>
      <c r="AD2" s="71"/>
      <c r="AE2" s="70" t="s">
        <v>137</v>
      </c>
      <c r="AF2" s="71"/>
      <c r="AG2" s="71"/>
      <c r="AH2" s="70" t="s">
        <v>185</v>
      </c>
      <c r="AI2" s="71"/>
    </row>
    <row r="3" spans="1:35" ht="18" x14ac:dyDescent="0.3">
      <c r="A3" s="72" t="s">
        <v>148</v>
      </c>
      <c r="B3" s="73">
        <v>45991</v>
      </c>
      <c r="C3" s="74" t="s">
        <v>161</v>
      </c>
      <c r="D3" s="75">
        <v>0.2361111111111111</v>
      </c>
      <c r="E3" s="74" t="s">
        <v>157</v>
      </c>
      <c r="F3" s="74" t="s">
        <v>134</v>
      </c>
      <c r="G3" s="76">
        <v>1</v>
      </c>
      <c r="H3" s="77">
        <v>180</v>
      </c>
      <c r="I3" s="77">
        <v>180</v>
      </c>
      <c r="J3" s="77">
        <v>135</v>
      </c>
      <c r="K3" s="73">
        <v>45977</v>
      </c>
      <c r="L3" s="77">
        <v>0</v>
      </c>
      <c r="M3" s="77">
        <v>0</v>
      </c>
      <c r="N3" s="77">
        <v>0</v>
      </c>
      <c r="O3" s="74" t="s">
        <v>63</v>
      </c>
      <c r="P3" s="78"/>
      <c r="Q3" s="78"/>
      <c r="R3" s="78"/>
      <c r="S3" s="78"/>
      <c r="T3" s="78"/>
      <c r="U3" s="78"/>
      <c r="V3" s="78"/>
      <c r="W3" s="77" t="s">
        <v>186</v>
      </c>
      <c r="X3" s="78"/>
      <c r="Y3" s="78"/>
      <c r="Z3" s="78"/>
      <c r="AA3" s="78"/>
      <c r="AB3" s="77" t="s">
        <v>187</v>
      </c>
      <c r="AC3" s="77" t="s">
        <v>143</v>
      </c>
      <c r="AD3" s="77" t="s">
        <v>144</v>
      </c>
      <c r="AE3" s="77" t="s">
        <v>145</v>
      </c>
      <c r="AF3" s="78"/>
      <c r="AG3" s="78"/>
      <c r="AH3" s="77" t="s">
        <v>146</v>
      </c>
      <c r="AI3" s="78"/>
    </row>
    <row r="4" spans="1:35" ht="18" x14ac:dyDescent="0.3">
      <c r="A4" s="79" t="s">
        <v>151</v>
      </c>
      <c r="B4" s="80"/>
      <c r="C4" s="81">
        <f>COUNTA(C2:C3)</f>
        <v>2</v>
      </c>
      <c r="D4" s="80"/>
      <c r="E4" s="80"/>
      <c r="F4" s="80"/>
      <c r="G4" s="82">
        <f>AVERAGE(G2:G3)</f>
        <v>1</v>
      </c>
      <c r="H4" s="83">
        <f>SUM(H2:H3)</f>
        <v>360</v>
      </c>
      <c r="I4" s="83">
        <f>SUM(I2:I3)</f>
        <v>360</v>
      </c>
      <c r="J4" s="83">
        <f>SUM(J2:J3)</f>
        <v>301</v>
      </c>
      <c r="K4" s="80"/>
      <c r="L4" s="83">
        <f>SUM(L2:L3)</f>
        <v>0</v>
      </c>
      <c r="M4" s="83">
        <f>SUM(M2:M3)</f>
        <v>0</v>
      </c>
      <c r="N4" s="83">
        <f>SUM(N2:N3)</f>
        <v>2</v>
      </c>
      <c r="O4" s="80"/>
      <c r="P4" s="83">
        <f t="shared" ref="P4:AI4" si="0">SUMPRODUCT(--IFERROR(VALUE(SUBSTITUTE(SUBSTITUTE(SUBSTITUTE(SUBSTITUTE(SUBSTITUTE(SUBSTITUTE(SUBSTITUTE(SUBSTITUTE(SUBSTITUTE(SUBSTITUTE(SUBSTITUTE(SUBSTITUTE(SUBSTITUTE(SUBSTITUTE(SUBSTITUTE(SUBSTITUTE(SUBSTITUTE(SUBSTITUTE(SUBSTITUTE(SUBSTITUTE(P2:P3,"Y",""),"B",""),"M",""),"H",""),"Q",""),"K",""),"V",""),"L",""),"G",""),"S",""),"W",""),"T",""),"X",""),"U",""),"O",""),"I",""),"E",""),"A",""),"P",""),"N","")),0))</f>
        <v>0</v>
      </c>
      <c r="Q4" s="83">
        <f t="shared" si="0"/>
        <v>0</v>
      </c>
      <c r="R4" s="83">
        <f t="shared" si="0"/>
        <v>0</v>
      </c>
      <c r="S4" s="83">
        <f t="shared" si="0"/>
        <v>0</v>
      </c>
      <c r="T4" s="83">
        <f t="shared" si="0"/>
        <v>0</v>
      </c>
      <c r="U4" s="83">
        <f t="shared" si="0"/>
        <v>0</v>
      </c>
      <c r="V4" s="83">
        <f t="shared" si="0"/>
        <v>0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</row>
  </sheetData>
  <autoFilter ref="A1:AI3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9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2.109375" bestFit="1" customWidth="1"/>
    <col min="5" max="5" width="33.218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  <row r="2" spans="1:8" ht="18" x14ac:dyDescent="0.3">
      <c r="A2" s="85">
        <v>45988</v>
      </c>
      <c r="B2" s="86" t="s">
        <v>70</v>
      </c>
      <c r="C2" s="87" t="s">
        <v>158</v>
      </c>
      <c r="D2" s="86" t="s">
        <v>157</v>
      </c>
      <c r="E2" s="88">
        <v>1.3576388888888891</v>
      </c>
      <c r="F2" s="86" t="s">
        <v>72</v>
      </c>
      <c r="G2" s="89">
        <v>5</v>
      </c>
      <c r="H2" s="90" t="s">
        <v>160</v>
      </c>
    </row>
    <row r="3" spans="1:8" ht="18" x14ac:dyDescent="0.3">
      <c r="A3" s="147">
        <v>45988</v>
      </c>
      <c r="B3" s="148" t="s">
        <v>59</v>
      </c>
      <c r="C3" s="149" t="s">
        <v>161</v>
      </c>
      <c r="D3" s="148" t="s">
        <v>157</v>
      </c>
      <c r="E3" s="150">
        <v>1.479166666666667</v>
      </c>
      <c r="F3" s="148" t="s">
        <v>61</v>
      </c>
      <c r="G3" s="148"/>
      <c r="H3" s="148" t="s">
        <v>62</v>
      </c>
    </row>
    <row r="4" spans="1:8" ht="15.6" x14ac:dyDescent="0.3">
      <c r="A4" s="151"/>
      <c r="B4" s="151"/>
      <c r="C4" s="151"/>
      <c r="D4" s="151"/>
      <c r="E4" s="152" t="s">
        <v>188</v>
      </c>
      <c r="F4" s="151"/>
      <c r="G4" s="151"/>
      <c r="H4" s="3"/>
    </row>
    <row r="5" spans="1:8" ht="18" x14ac:dyDescent="0.3">
      <c r="A5" s="96">
        <v>45988</v>
      </c>
      <c r="B5" s="86" t="s">
        <v>25</v>
      </c>
      <c r="C5" s="87" t="s">
        <v>26</v>
      </c>
      <c r="D5" s="86" t="s">
        <v>1</v>
      </c>
      <c r="E5" s="88">
        <v>1.229166666666667</v>
      </c>
      <c r="F5" s="86" t="s">
        <v>27</v>
      </c>
      <c r="G5" s="89">
        <v>2</v>
      </c>
      <c r="H5" s="86" t="s">
        <v>29</v>
      </c>
    </row>
    <row r="6" spans="1:8" ht="18" x14ac:dyDescent="0.3">
      <c r="A6" s="91">
        <v>45988</v>
      </c>
      <c r="B6" s="92" t="s">
        <v>25</v>
      </c>
      <c r="C6" s="93" t="s">
        <v>26</v>
      </c>
      <c r="D6" s="92" t="s">
        <v>1</v>
      </c>
      <c r="E6" s="94">
        <v>1.229166666666667</v>
      </c>
      <c r="F6" s="92" t="s">
        <v>30</v>
      </c>
      <c r="G6" s="95">
        <v>2</v>
      </c>
      <c r="H6" s="92" t="s">
        <v>32</v>
      </c>
    </row>
    <row r="7" spans="1:8" ht="18" x14ac:dyDescent="0.3">
      <c r="A7" s="96">
        <v>45988</v>
      </c>
      <c r="B7" s="86" t="s">
        <v>35</v>
      </c>
      <c r="C7" s="87" t="s">
        <v>36</v>
      </c>
      <c r="D7" s="86" t="s">
        <v>1</v>
      </c>
      <c r="E7" s="88">
        <v>1.6076388888888891</v>
      </c>
      <c r="F7" s="86" t="s">
        <v>37</v>
      </c>
      <c r="G7" s="89">
        <v>9</v>
      </c>
      <c r="H7" s="86" t="s">
        <v>39</v>
      </c>
    </row>
    <row r="8" spans="1:8" ht="18" x14ac:dyDescent="0.3">
      <c r="A8" s="91">
        <v>45988</v>
      </c>
      <c r="B8" s="92" t="s">
        <v>35</v>
      </c>
      <c r="C8" s="93" t="s">
        <v>36</v>
      </c>
      <c r="D8" s="92" t="s">
        <v>1</v>
      </c>
      <c r="E8" s="94">
        <v>1.6076388888888891</v>
      </c>
      <c r="F8" s="92" t="s">
        <v>40</v>
      </c>
      <c r="G8" s="95">
        <v>9</v>
      </c>
      <c r="H8" s="92" t="s">
        <v>42</v>
      </c>
    </row>
    <row r="9" spans="1:8" ht="18" x14ac:dyDescent="0.3">
      <c r="A9" s="91">
        <v>45988</v>
      </c>
      <c r="B9" s="92" t="s">
        <v>35</v>
      </c>
      <c r="C9" s="93" t="s">
        <v>36</v>
      </c>
      <c r="D9" s="92" t="s">
        <v>1</v>
      </c>
      <c r="E9" s="94">
        <v>1.6076388888888891</v>
      </c>
      <c r="F9" s="92" t="s">
        <v>43</v>
      </c>
      <c r="G9" s="95">
        <v>9</v>
      </c>
      <c r="H9" s="92" t="s">
        <v>44</v>
      </c>
    </row>
    <row r="10" spans="1:8" ht="18" x14ac:dyDescent="0.3">
      <c r="A10" s="97">
        <v>45988</v>
      </c>
      <c r="B10" s="98" t="s">
        <v>35</v>
      </c>
      <c r="C10" s="99" t="s">
        <v>45</v>
      </c>
      <c r="D10" s="98" t="s">
        <v>1</v>
      </c>
      <c r="E10" s="100">
        <v>1.4340277777777779</v>
      </c>
      <c r="F10" s="98" t="s">
        <v>37</v>
      </c>
      <c r="G10" s="101">
        <v>7</v>
      </c>
      <c r="H10" s="98" t="s">
        <v>39</v>
      </c>
    </row>
    <row r="11" spans="1:8" ht="18" x14ac:dyDescent="0.3">
      <c r="A11" s="91">
        <v>45988</v>
      </c>
      <c r="B11" s="92" t="s">
        <v>35</v>
      </c>
      <c r="C11" s="93" t="s">
        <v>45</v>
      </c>
      <c r="D11" s="92" t="s">
        <v>1</v>
      </c>
      <c r="E11" s="94">
        <v>1.4340277777777779</v>
      </c>
      <c r="F11" s="92" t="s">
        <v>40</v>
      </c>
      <c r="G11" s="95">
        <v>7</v>
      </c>
      <c r="H11" s="92" t="s">
        <v>42</v>
      </c>
    </row>
    <row r="12" spans="1:8" ht="18" x14ac:dyDescent="0.3">
      <c r="A12" s="91">
        <v>45988</v>
      </c>
      <c r="B12" s="92" t="s">
        <v>35</v>
      </c>
      <c r="C12" s="93" t="s">
        <v>45</v>
      </c>
      <c r="D12" s="92" t="s">
        <v>1</v>
      </c>
      <c r="E12" s="94">
        <v>1.4340277777777779</v>
      </c>
      <c r="F12" s="92" t="s">
        <v>43</v>
      </c>
      <c r="G12" s="95">
        <v>7</v>
      </c>
      <c r="H12" s="92" t="s">
        <v>48</v>
      </c>
    </row>
    <row r="13" spans="1:8" ht="18" x14ac:dyDescent="0.3">
      <c r="A13" s="96">
        <v>45988</v>
      </c>
      <c r="B13" s="86" t="s">
        <v>49</v>
      </c>
      <c r="C13" s="87" t="s">
        <v>50</v>
      </c>
      <c r="D13" s="86" t="s">
        <v>1</v>
      </c>
      <c r="E13" s="88">
        <v>1.354166666666667</v>
      </c>
      <c r="F13" s="86" t="s">
        <v>51</v>
      </c>
      <c r="G13" s="89">
        <v>1</v>
      </c>
      <c r="H13" s="86" t="s">
        <v>53</v>
      </c>
    </row>
    <row r="14" spans="1:8" ht="18" x14ac:dyDescent="0.3">
      <c r="A14" s="106">
        <v>45988</v>
      </c>
      <c r="B14" s="107" t="s">
        <v>49</v>
      </c>
      <c r="C14" s="108" t="s">
        <v>54</v>
      </c>
      <c r="D14" s="107" t="s">
        <v>1</v>
      </c>
      <c r="E14" s="109">
        <v>1.895833333333333</v>
      </c>
      <c r="F14" s="107" t="s">
        <v>51</v>
      </c>
      <c r="G14" s="110">
        <v>3</v>
      </c>
      <c r="H14" s="107" t="s">
        <v>53</v>
      </c>
    </row>
    <row r="15" spans="1:8" ht="18" x14ac:dyDescent="0.3">
      <c r="A15" s="85">
        <v>45989</v>
      </c>
      <c r="B15" s="86" t="s">
        <v>70</v>
      </c>
      <c r="C15" s="87" t="s">
        <v>158</v>
      </c>
      <c r="D15" s="86" t="s">
        <v>157</v>
      </c>
      <c r="E15" s="88">
        <v>1.3576388888888891</v>
      </c>
      <c r="F15" s="86" t="s">
        <v>72</v>
      </c>
      <c r="G15" s="89">
        <v>4</v>
      </c>
      <c r="H15" s="90" t="s">
        <v>174</v>
      </c>
    </row>
    <row r="16" spans="1:8" ht="15.6" x14ac:dyDescent="0.3">
      <c r="A16" s="151"/>
      <c r="B16" s="151"/>
      <c r="C16" s="151"/>
      <c r="D16" s="151"/>
      <c r="E16" s="152" t="s">
        <v>188</v>
      </c>
      <c r="F16" s="151"/>
      <c r="G16" s="151"/>
      <c r="H16" s="3"/>
    </row>
    <row r="17" spans="1:8" ht="18" x14ac:dyDescent="0.3">
      <c r="A17" s="96">
        <v>45989</v>
      </c>
      <c r="B17" s="86" t="s">
        <v>25</v>
      </c>
      <c r="C17" s="87" t="s">
        <v>26</v>
      </c>
      <c r="D17" s="86" t="s">
        <v>1</v>
      </c>
      <c r="E17" s="88">
        <v>1.229166666666667</v>
      </c>
      <c r="F17" s="86" t="s">
        <v>27</v>
      </c>
      <c r="G17" s="89">
        <v>8</v>
      </c>
      <c r="H17" s="86" t="s">
        <v>66</v>
      </c>
    </row>
    <row r="18" spans="1:8" ht="18" x14ac:dyDescent="0.3">
      <c r="A18" s="91">
        <v>45989</v>
      </c>
      <c r="B18" s="92" t="s">
        <v>25</v>
      </c>
      <c r="C18" s="93" t="s">
        <v>26</v>
      </c>
      <c r="D18" s="92" t="s">
        <v>1</v>
      </c>
      <c r="E18" s="94">
        <v>1.229166666666667</v>
      </c>
      <c r="F18" s="92" t="s">
        <v>30</v>
      </c>
      <c r="G18" s="95">
        <v>8</v>
      </c>
      <c r="H18" s="92" t="s">
        <v>68</v>
      </c>
    </row>
    <row r="19" spans="1:8" ht="18" x14ac:dyDescent="0.3">
      <c r="A19" s="91">
        <v>45989</v>
      </c>
      <c r="B19" s="92" t="s">
        <v>25</v>
      </c>
      <c r="C19" s="93" t="s">
        <v>26</v>
      </c>
      <c r="D19" s="92" t="s">
        <v>1</v>
      </c>
      <c r="E19" s="94">
        <v>1.229166666666667</v>
      </c>
      <c r="F19" s="92" t="s">
        <v>33</v>
      </c>
      <c r="G19" s="95">
        <v>8</v>
      </c>
      <c r="H19" s="92" t="s">
        <v>69</v>
      </c>
    </row>
    <row r="20" spans="1:8" ht="18" x14ac:dyDescent="0.3">
      <c r="A20" s="96">
        <v>45989</v>
      </c>
      <c r="B20" s="86" t="s">
        <v>70</v>
      </c>
      <c r="C20" s="87" t="s">
        <v>71</v>
      </c>
      <c r="D20" s="86" t="s">
        <v>1</v>
      </c>
      <c r="E20" s="88">
        <v>1.9409722222222221</v>
      </c>
      <c r="F20" s="86" t="s">
        <v>72</v>
      </c>
      <c r="G20" s="89">
        <v>9</v>
      </c>
      <c r="H20" s="86" t="s">
        <v>74</v>
      </c>
    </row>
    <row r="21" spans="1:8" ht="18" x14ac:dyDescent="0.3">
      <c r="A21" s="97">
        <v>45989</v>
      </c>
      <c r="B21" s="98" t="s">
        <v>70</v>
      </c>
      <c r="C21" s="99" t="s">
        <v>75</v>
      </c>
      <c r="D21" s="98" t="s">
        <v>1</v>
      </c>
      <c r="E21" s="100">
        <v>1.697916666666667</v>
      </c>
      <c r="F21" s="98" t="s">
        <v>72</v>
      </c>
      <c r="G21" s="101">
        <v>9</v>
      </c>
      <c r="H21" s="98" t="s">
        <v>74</v>
      </c>
    </row>
    <row r="22" spans="1:8" ht="18" x14ac:dyDescent="0.3">
      <c r="A22" s="96">
        <v>45989</v>
      </c>
      <c r="B22" s="86" t="s">
        <v>35</v>
      </c>
      <c r="C22" s="87" t="s">
        <v>36</v>
      </c>
      <c r="D22" s="86" t="s">
        <v>1</v>
      </c>
      <c r="E22" s="88">
        <v>1.6076388888888891</v>
      </c>
      <c r="F22" s="86" t="s">
        <v>37</v>
      </c>
      <c r="G22" s="89">
        <v>1</v>
      </c>
      <c r="H22" s="86" t="s">
        <v>77</v>
      </c>
    </row>
    <row r="23" spans="1:8" ht="18" x14ac:dyDescent="0.3">
      <c r="A23" s="91">
        <v>45989</v>
      </c>
      <c r="B23" s="92" t="s">
        <v>35</v>
      </c>
      <c r="C23" s="93" t="s">
        <v>36</v>
      </c>
      <c r="D23" s="92" t="s">
        <v>1</v>
      </c>
      <c r="E23" s="94">
        <v>1.6076388888888891</v>
      </c>
      <c r="F23" s="92" t="s">
        <v>40</v>
      </c>
      <c r="G23" s="95">
        <v>1</v>
      </c>
      <c r="H23" s="92" t="s">
        <v>79</v>
      </c>
    </row>
    <row r="24" spans="1:8" ht="18" x14ac:dyDescent="0.3">
      <c r="A24" s="91">
        <v>45989</v>
      </c>
      <c r="B24" s="92" t="s">
        <v>35</v>
      </c>
      <c r="C24" s="93" t="s">
        <v>36</v>
      </c>
      <c r="D24" s="92" t="s">
        <v>1</v>
      </c>
      <c r="E24" s="94">
        <v>1.6076388888888891</v>
      </c>
      <c r="F24" s="92" t="s">
        <v>43</v>
      </c>
      <c r="G24" s="95">
        <v>1</v>
      </c>
      <c r="H24" s="92" t="s">
        <v>80</v>
      </c>
    </row>
    <row r="25" spans="1:8" ht="18" x14ac:dyDescent="0.3">
      <c r="A25" s="96">
        <v>45989</v>
      </c>
      <c r="B25" s="86" t="s">
        <v>49</v>
      </c>
      <c r="C25" s="87" t="s">
        <v>50</v>
      </c>
      <c r="D25" s="86" t="s">
        <v>1</v>
      </c>
      <c r="E25" s="88">
        <v>1.350694444444444</v>
      </c>
      <c r="F25" s="86" t="s">
        <v>51</v>
      </c>
      <c r="G25" s="89">
        <v>9</v>
      </c>
      <c r="H25" s="86" t="s">
        <v>81</v>
      </c>
    </row>
    <row r="26" spans="1:8" ht="18" x14ac:dyDescent="0.3">
      <c r="A26" s="106">
        <v>45989</v>
      </c>
      <c r="B26" s="107" t="s">
        <v>49</v>
      </c>
      <c r="C26" s="108" t="s">
        <v>54</v>
      </c>
      <c r="D26" s="107" t="s">
        <v>1</v>
      </c>
      <c r="E26" s="109">
        <v>1.895833333333333</v>
      </c>
      <c r="F26" s="107" t="s">
        <v>51</v>
      </c>
      <c r="G26" s="110">
        <v>9</v>
      </c>
      <c r="H26" s="107" t="s">
        <v>81</v>
      </c>
    </row>
    <row r="27" spans="1:8" ht="15.6" x14ac:dyDescent="0.3">
      <c r="A27" s="151"/>
      <c r="B27" s="151"/>
      <c r="C27" s="151"/>
      <c r="D27" s="151"/>
      <c r="E27" s="152" t="s">
        <v>188</v>
      </c>
      <c r="F27" s="151"/>
      <c r="G27" s="151"/>
      <c r="H27" s="3"/>
    </row>
    <row r="28" spans="1:8" ht="18" x14ac:dyDescent="0.3">
      <c r="A28" s="85">
        <v>45990</v>
      </c>
      <c r="B28" s="86" t="s">
        <v>25</v>
      </c>
      <c r="C28" s="87" t="s">
        <v>26</v>
      </c>
      <c r="D28" s="86" t="s">
        <v>1</v>
      </c>
      <c r="E28" s="88">
        <v>1.229166666666667</v>
      </c>
      <c r="F28" s="86" t="s">
        <v>27</v>
      </c>
      <c r="G28" s="89">
        <v>4</v>
      </c>
      <c r="H28" s="90" t="s">
        <v>66</v>
      </c>
    </row>
    <row r="29" spans="1:8" ht="18" x14ac:dyDescent="0.3">
      <c r="A29" s="91">
        <v>45990</v>
      </c>
      <c r="B29" s="92" t="s">
        <v>25</v>
      </c>
      <c r="C29" s="93" t="s">
        <v>26</v>
      </c>
      <c r="D29" s="92" t="s">
        <v>1</v>
      </c>
      <c r="E29" s="94">
        <v>1.229166666666667</v>
      </c>
      <c r="F29" s="92" t="s">
        <v>30</v>
      </c>
      <c r="G29" s="95">
        <v>4</v>
      </c>
      <c r="H29" s="92" t="s">
        <v>68</v>
      </c>
    </row>
    <row r="30" spans="1:8" ht="18" x14ac:dyDescent="0.3">
      <c r="A30" s="96">
        <v>45990</v>
      </c>
      <c r="B30" s="86" t="s">
        <v>35</v>
      </c>
      <c r="C30" s="87" t="s">
        <v>36</v>
      </c>
      <c r="D30" s="86" t="s">
        <v>1</v>
      </c>
      <c r="E30" s="88">
        <v>1.6076388888888891</v>
      </c>
      <c r="F30" s="86" t="s">
        <v>37</v>
      </c>
      <c r="G30" s="89">
        <v>7</v>
      </c>
      <c r="H30" s="86" t="s">
        <v>87</v>
      </c>
    </row>
    <row r="31" spans="1:8" ht="18" x14ac:dyDescent="0.3">
      <c r="A31" s="91">
        <v>45990</v>
      </c>
      <c r="B31" s="92" t="s">
        <v>35</v>
      </c>
      <c r="C31" s="93" t="s">
        <v>36</v>
      </c>
      <c r="D31" s="92" t="s">
        <v>1</v>
      </c>
      <c r="E31" s="94">
        <v>1.6076388888888891</v>
      </c>
      <c r="F31" s="92" t="s">
        <v>40</v>
      </c>
      <c r="G31" s="95">
        <v>7</v>
      </c>
      <c r="H31" s="92" t="s">
        <v>77</v>
      </c>
    </row>
    <row r="32" spans="1:8" ht="18" x14ac:dyDescent="0.3">
      <c r="A32" s="97">
        <v>45990</v>
      </c>
      <c r="B32" s="98" t="s">
        <v>35</v>
      </c>
      <c r="C32" s="99" t="s">
        <v>45</v>
      </c>
      <c r="D32" s="98" t="s">
        <v>1</v>
      </c>
      <c r="E32" s="100">
        <v>1.4340277777777779</v>
      </c>
      <c r="F32" s="98" t="s">
        <v>37</v>
      </c>
      <c r="G32" s="101">
        <v>8</v>
      </c>
      <c r="H32" s="98" t="s">
        <v>87</v>
      </c>
    </row>
    <row r="33" spans="1:8" ht="18" x14ac:dyDescent="0.3">
      <c r="A33" s="91">
        <v>45990</v>
      </c>
      <c r="B33" s="92" t="s">
        <v>35</v>
      </c>
      <c r="C33" s="93" t="s">
        <v>45</v>
      </c>
      <c r="D33" s="92" t="s">
        <v>1</v>
      </c>
      <c r="E33" s="94">
        <v>1.4340277777777779</v>
      </c>
      <c r="F33" s="92" t="s">
        <v>40</v>
      </c>
      <c r="G33" s="95">
        <v>8</v>
      </c>
      <c r="H33" s="92" t="s">
        <v>77</v>
      </c>
    </row>
    <row r="34" spans="1:8" ht="18" x14ac:dyDescent="0.3">
      <c r="A34" s="96">
        <v>45990</v>
      </c>
      <c r="B34" s="86" t="s">
        <v>70</v>
      </c>
      <c r="C34" s="87" t="s">
        <v>71</v>
      </c>
      <c r="D34" s="86" t="s">
        <v>1</v>
      </c>
      <c r="E34" s="88">
        <v>1.9409722222222221</v>
      </c>
      <c r="F34" s="86" t="s">
        <v>72</v>
      </c>
      <c r="G34" s="89">
        <v>9</v>
      </c>
      <c r="H34" s="86" t="s">
        <v>74</v>
      </c>
    </row>
    <row r="35" spans="1:8" ht="18" x14ac:dyDescent="0.3">
      <c r="A35" s="97">
        <v>45990</v>
      </c>
      <c r="B35" s="98" t="s">
        <v>70</v>
      </c>
      <c r="C35" s="99" t="s">
        <v>90</v>
      </c>
      <c r="D35" s="98" t="s">
        <v>1</v>
      </c>
      <c r="E35" s="100">
        <v>1.0659722222222221</v>
      </c>
      <c r="F35" s="98" t="s">
        <v>72</v>
      </c>
      <c r="G35" s="101">
        <v>9</v>
      </c>
      <c r="H35" s="98" t="s">
        <v>74</v>
      </c>
    </row>
    <row r="36" spans="1:8" ht="18" x14ac:dyDescent="0.3">
      <c r="A36" s="97">
        <v>45990</v>
      </c>
      <c r="B36" s="98" t="s">
        <v>70</v>
      </c>
      <c r="C36" s="99" t="s">
        <v>91</v>
      </c>
      <c r="D36" s="98" t="s">
        <v>1</v>
      </c>
      <c r="E36" s="100">
        <v>1.336805555555556</v>
      </c>
      <c r="F36" s="98" t="s">
        <v>72</v>
      </c>
      <c r="G36" s="101">
        <v>9</v>
      </c>
      <c r="H36" s="98" t="s">
        <v>92</v>
      </c>
    </row>
    <row r="37" spans="1:8" ht="18" x14ac:dyDescent="0.3">
      <c r="A37" s="106">
        <v>45990</v>
      </c>
      <c r="B37" s="107" t="s">
        <v>70</v>
      </c>
      <c r="C37" s="108" t="s">
        <v>75</v>
      </c>
      <c r="D37" s="107" t="s">
        <v>1</v>
      </c>
      <c r="E37" s="109">
        <v>1.697916666666667</v>
      </c>
      <c r="F37" s="107" t="s">
        <v>72</v>
      </c>
      <c r="G37" s="110">
        <v>9</v>
      </c>
      <c r="H37" s="107" t="s">
        <v>92</v>
      </c>
    </row>
    <row r="38" spans="1:8" ht="18" x14ac:dyDescent="0.3">
      <c r="A38" s="153">
        <v>45991</v>
      </c>
      <c r="B38" s="148" t="s">
        <v>59</v>
      </c>
      <c r="C38" s="149" t="s">
        <v>161</v>
      </c>
      <c r="D38" s="148" t="s">
        <v>157</v>
      </c>
      <c r="E38" s="150">
        <v>1.2361111111111109</v>
      </c>
      <c r="F38" s="148" t="s">
        <v>61</v>
      </c>
      <c r="G38" s="148"/>
      <c r="H38" s="154" t="s">
        <v>62</v>
      </c>
    </row>
    <row r="39" spans="1:8" ht="15.6" x14ac:dyDescent="0.3">
      <c r="A39" s="151"/>
      <c r="B39" s="151"/>
      <c r="C39" s="151"/>
      <c r="D39" s="151"/>
      <c r="E39" s="152" t="s">
        <v>188</v>
      </c>
      <c r="F39" s="151"/>
      <c r="G39" s="151"/>
      <c r="H39" s="3"/>
    </row>
    <row r="40" spans="1:8" ht="18" x14ac:dyDescent="0.3">
      <c r="A40" s="96">
        <v>45991</v>
      </c>
      <c r="B40" s="86" t="s">
        <v>25</v>
      </c>
      <c r="C40" s="87" t="s">
        <v>26</v>
      </c>
      <c r="D40" s="86" t="s">
        <v>1</v>
      </c>
      <c r="E40" s="88">
        <v>1.229166666666667</v>
      </c>
      <c r="F40" s="86" t="s">
        <v>27</v>
      </c>
      <c r="G40" s="89">
        <v>3</v>
      </c>
      <c r="H40" s="86" t="s">
        <v>97</v>
      </c>
    </row>
    <row r="41" spans="1:8" ht="18" x14ac:dyDescent="0.3">
      <c r="A41" s="91">
        <v>45991</v>
      </c>
      <c r="B41" s="92" t="s">
        <v>25</v>
      </c>
      <c r="C41" s="93" t="s">
        <v>26</v>
      </c>
      <c r="D41" s="92" t="s">
        <v>1</v>
      </c>
      <c r="E41" s="94">
        <v>1.229166666666667</v>
      </c>
      <c r="F41" s="92" t="s">
        <v>30</v>
      </c>
      <c r="G41" s="95">
        <v>3</v>
      </c>
      <c r="H41" s="92" t="s">
        <v>99</v>
      </c>
    </row>
    <row r="42" spans="1:8" ht="18" x14ac:dyDescent="0.3">
      <c r="A42" s="91">
        <v>45991</v>
      </c>
      <c r="B42" s="92" t="s">
        <v>25</v>
      </c>
      <c r="C42" s="93" t="s">
        <v>26</v>
      </c>
      <c r="D42" s="92" t="s">
        <v>1</v>
      </c>
      <c r="E42" s="94">
        <v>1.229166666666667</v>
      </c>
      <c r="F42" s="92" t="s">
        <v>33</v>
      </c>
      <c r="G42" s="95">
        <v>3</v>
      </c>
      <c r="H42" s="92" t="s">
        <v>69</v>
      </c>
    </row>
    <row r="43" spans="1:8" ht="18" x14ac:dyDescent="0.3">
      <c r="A43" s="96">
        <v>45991</v>
      </c>
      <c r="B43" s="86" t="s">
        <v>70</v>
      </c>
      <c r="C43" s="87" t="s">
        <v>90</v>
      </c>
      <c r="D43" s="86" t="s">
        <v>1</v>
      </c>
      <c r="E43" s="88">
        <v>1.0659722222222221</v>
      </c>
      <c r="F43" s="86" t="s">
        <v>72</v>
      </c>
      <c r="G43" s="89">
        <v>9</v>
      </c>
      <c r="H43" s="86" t="s">
        <v>100</v>
      </c>
    </row>
    <row r="44" spans="1:8" ht="18" x14ac:dyDescent="0.3">
      <c r="A44" s="97">
        <v>45991</v>
      </c>
      <c r="B44" s="98" t="s">
        <v>70</v>
      </c>
      <c r="C44" s="99" t="s">
        <v>71</v>
      </c>
      <c r="D44" s="98" t="s">
        <v>1</v>
      </c>
      <c r="E44" s="100">
        <v>1.9409722222222221</v>
      </c>
      <c r="F44" s="98" t="s">
        <v>72</v>
      </c>
      <c r="G44" s="101">
        <v>9</v>
      </c>
      <c r="H44" s="98" t="s">
        <v>101</v>
      </c>
    </row>
    <row r="45" spans="1:8" ht="18" x14ac:dyDescent="0.3">
      <c r="A45" s="96">
        <v>45991</v>
      </c>
      <c r="B45" s="86" t="s">
        <v>35</v>
      </c>
      <c r="C45" s="87" t="s">
        <v>36</v>
      </c>
      <c r="D45" s="86" t="s">
        <v>1</v>
      </c>
      <c r="E45" s="88">
        <v>1.6076388888888891</v>
      </c>
      <c r="F45" s="86" t="s">
        <v>37</v>
      </c>
      <c r="G45" s="89">
        <v>7</v>
      </c>
      <c r="H45" s="86" t="s">
        <v>87</v>
      </c>
    </row>
    <row r="46" spans="1:8" ht="18" x14ac:dyDescent="0.3">
      <c r="A46" s="91">
        <v>45991</v>
      </c>
      <c r="B46" s="92" t="s">
        <v>35</v>
      </c>
      <c r="C46" s="93" t="s">
        <v>36</v>
      </c>
      <c r="D46" s="92" t="s">
        <v>1</v>
      </c>
      <c r="E46" s="94">
        <v>1.6076388888888891</v>
      </c>
      <c r="F46" s="92" t="s">
        <v>40</v>
      </c>
      <c r="G46" s="95">
        <v>7</v>
      </c>
      <c r="H46" s="92" t="s">
        <v>77</v>
      </c>
    </row>
    <row r="47" spans="1:8" ht="18" x14ac:dyDescent="0.3">
      <c r="A47" s="91">
        <v>45991</v>
      </c>
      <c r="B47" s="92" t="s">
        <v>35</v>
      </c>
      <c r="C47" s="93" t="s">
        <v>36</v>
      </c>
      <c r="D47" s="92" t="s">
        <v>1</v>
      </c>
      <c r="E47" s="94">
        <v>1.6076388888888891</v>
      </c>
      <c r="F47" s="92" t="s">
        <v>43</v>
      </c>
      <c r="G47" s="95">
        <v>7</v>
      </c>
      <c r="H47" s="92" t="s">
        <v>88</v>
      </c>
    </row>
    <row r="48" spans="1:8" ht="18" x14ac:dyDescent="0.3">
      <c r="A48" s="96">
        <v>45991</v>
      </c>
      <c r="B48" s="86" t="s">
        <v>49</v>
      </c>
      <c r="C48" s="87" t="s">
        <v>82</v>
      </c>
      <c r="D48" s="86" t="s">
        <v>1</v>
      </c>
      <c r="E48" s="88">
        <v>1.1840277777777779</v>
      </c>
      <c r="F48" s="86" t="s">
        <v>51</v>
      </c>
      <c r="G48" s="89">
        <v>9</v>
      </c>
      <c r="H48" s="86" t="s">
        <v>102</v>
      </c>
    </row>
    <row r="49" spans="1:8" ht="18" x14ac:dyDescent="0.3">
      <c r="A49" s="106">
        <v>45991</v>
      </c>
      <c r="B49" s="107" t="s">
        <v>49</v>
      </c>
      <c r="C49" s="108" t="s">
        <v>54</v>
      </c>
      <c r="D49" s="107" t="s">
        <v>1</v>
      </c>
      <c r="E49" s="109">
        <v>1.895833333333333</v>
      </c>
      <c r="F49" s="107" t="s">
        <v>51</v>
      </c>
      <c r="G49" s="110">
        <v>3</v>
      </c>
      <c r="H49" s="107" t="s">
        <v>53</v>
      </c>
    </row>
  </sheetData>
  <dataValidations count="2">
    <dataValidation type="custom" allowBlank="1" showInputMessage="1" promptTitle="LOAD FACTOR ANALYSIS" prompt="SM485_x000d__x000a_LF 1.0%_x000d__x000a_SOLD 180_x000d__x000a_LST-SOLD 19NOV_x000d__x000a_WEEKLY 2_x000d__x000a_TO-DAY NIL_x000d__x000a_Y-DAY NIL_x000d__x000a_LOWEST AVAIL CLOSED_x000d__x000a_CAPACITY 180_x000d__x000a_CLASSES G3 &amp; X3 &amp; I8 &amp; +1 more" sqref="A3 B3 C3 D3 E3 F3 G3 H3" xr:uid="{00000000-0002-0000-0600-000000000000}">
      <formula1>TRUE</formula1>
    </dataValidation>
    <dataValidation type="custom" allowBlank="1" showInputMessage="1" promptTitle="LOAD FACTOR ANALYSIS" prompt="SM485_x000d__x000a_LF 1.0%_x000d__x000a_SOLD 180_x000d__x000a_LST-SOLD 16NOV_x000d__x000a_WEEKLY NIL_x000d__x000a_TO-DAY NIL_x000d__x000a_Y-DAY NIL_x000d__x000a_LOWEST AVAIL CLOSED_x000d__x000a_CAPACITY 180_x000d__x000a_CLASSES L3 &amp; X10 &amp; U11 &amp; +3 more" sqref="A38 B38 C38 D38 E38 F38 G38 H38" xr:uid="{00000000-0002-0000-06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N1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6640625" bestFit="1" customWidth="1"/>
    <col min="6" max="6" width="20.5546875" bestFit="1" customWidth="1"/>
    <col min="7" max="7" width="45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3.10937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189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45987.359167475312</v>
      </c>
      <c r="H2" s="279"/>
      <c r="I2" s="279"/>
      <c r="J2" s="279"/>
      <c r="K2" s="288">
        <v>45987.359167475763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2" t="s">
        <v>5</v>
      </c>
      <c r="B4" s="283"/>
      <c r="C4" s="283"/>
      <c r="D4" s="283"/>
      <c r="E4" s="283"/>
      <c r="F4" s="283"/>
      <c r="G4" s="5">
        <v>45990</v>
      </c>
      <c r="H4" s="294" t="s">
        <v>6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137" t="s">
        <v>59</v>
      </c>
      <c r="B6" s="137" t="s">
        <v>190</v>
      </c>
      <c r="C6" s="138">
        <v>0.80208333333333337</v>
      </c>
      <c r="D6" s="137" t="s">
        <v>191</v>
      </c>
      <c r="E6" s="137" t="s">
        <v>52</v>
      </c>
      <c r="F6" s="137" t="s">
        <v>192</v>
      </c>
      <c r="G6" s="275"/>
      <c r="H6" s="140" t="s">
        <v>193</v>
      </c>
      <c r="I6" s="141">
        <v>0.97219999999999995</v>
      </c>
      <c r="J6" s="142">
        <v>175</v>
      </c>
      <c r="K6" s="143">
        <v>45986</v>
      </c>
      <c r="L6" s="142">
        <v>31</v>
      </c>
      <c r="M6" s="142">
        <v>0</v>
      </c>
      <c r="N6" s="142">
        <v>6</v>
      </c>
      <c r="O6" s="144" t="s">
        <v>194</v>
      </c>
      <c r="P6" s="145">
        <v>0.80208333333333337</v>
      </c>
      <c r="Q6" s="142">
        <v>180</v>
      </c>
      <c r="R6" s="146" t="s">
        <v>195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8" x14ac:dyDescent="0.3">
      <c r="A7" s="300" t="s">
        <v>163</v>
      </c>
      <c r="B7" s="301"/>
      <c r="C7" s="301"/>
      <c r="D7" s="301"/>
      <c r="E7" s="301"/>
      <c r="F7" s="301"/>
      <c r="G7" s="276"/>
      <c r="H7" s="131"/>
      <c r="I7" s="131"/>
      <c r="J7" s="131"/>
      <c r="K7" s="131"/>
      <c r="L7" s="131"/>
      <c r="M7" s="131"/>
      <c r="N7" s="131"/>
      <c r="O7" s="132"/>
      <c r="P7" s="131"/>
      <c r="Q7" s="133"/>
      <c r="R7" s="13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19" t="s">
        <v>25</v>
      </c>
      <c r="B8" s="19" t="s">
        <v>26</v>
      </c>
      <c r="C8" s="20" t="s">
        <v>164</v>
      </c>
      <c r="D8" s="19" t="s">
        <v>27</v>
      </c>
      <c r="E8" s="19" t="s">
        <v>196</v>
      </c>
      <c r="F8" s="19" t="s">
        <v>66</v>
      </c>
      <c r="G8" s="276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9" t="s">
        <v>35</v>
      </c>
      <c r="B9" s="19" t="s">
        <v>36</v>
      </c>
      <c r="C9" s="20" t="s">
        <v>166</v>
      </c>
      <c r="D9" s="19" t="s">
        <v>37</v>
      </c>
      <c r="E9" s="19" t="s">
        <v>169</v>
      </c>
      <c r="F9" s="19" t="s">
        <v>87</v>
      </c>
      <c r="G9" s="276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9" t="s">
        <v>35</v>
      </c>
      <c r="B10" s="19" t="s">
        <v>45</v>
      </c>
      <c r="C10" s="20" t="s">
        <v>168</v>
      </c>
      <c r="D10" s="19" t="s">
        <v>37</v>
      </c>
      <c r="E10" s="19" t="s">
        <v>175</v>
      </c>
      <c r="F10" s="19" t="s">
        <v>87</v>
      </c>
      <c r="G10" s="276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9" t="s">
        <v>70</v>
      </c>
      <c r="B11" s="19" t="s">
        <v>71</v>
      </c>
      <c r="C11" s="20" t="s">
        <v>176</v>
      </c>
      <c r="D11" s="19" t="s">
        <v>72</v>
      </c>
      <c r="E11" s="19" t="s">
        <v>177</v>
      </c>
      <c r="F11" s="19" t="s">
        <v>74</v>
      </c>
      <c r="G11" s="276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70</v>
      </c>
      <c r="B12" s="19" t="s">
        <v>90</v>
      </c>
      <c r="C12" s="20" t="s">
        <v>181</v>
      </c>
      <c r="D12" s="19" t="s">
        <v>72</v>
      </c>
      <c r="E12" s="19" t="s">
        <v>177</v>
      </c>
      <c r="F12" s="19" t="s">
        <v>74</v>
      </c>
      <c r="G12" s="276"/>
      <c r="H12" s="131"/>
      <c r="I12" s="131"/>
      <c r="J12" s="131"/>
      <c r="K12" s="131"/>
      <c r="L12" s="131"/>
      <c r="M12" s="131"/>
      <c r="N12" s="131"/>
      <c r="O12" s="132"/>
      <c r="P12" s="131"/>
      <c r="Q12" s="133"/>
      <c r="R12" s="13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9" t="s">
        <v>35</v>
      </c>
      <c r="B13" s="19" t="s">
        <v>36</v>
      </c>
      <c r="C13" s="20" t="s">
        <v>166</v>
      </c>
      <c r="D13" s="19" t="s">
        <v>40</v>
      </c>
      <c r="E13" s="19" t="s">
        <v>169</v>
      </c>
      <c r="F13" s="19" t="s">
        <v>77</v>
      </c>
      <c r="G13" s="276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9" t="s">
        <v>35</v>
      </c>
      <c r="B14" s="19" t="s">
        <v>45</v>
      </c>
      <c r="C14" s="20" t="s">
        <v>168</v>
      </c>
      <c r="D14" s="19" t="s">
        <v>40</v>
      </c>
      <c r="E14" s="19" t="s">
        <v>175</v>
      </c>
      <c r="F14" s="19" t="s">
        <v>77</v>
      </c>
      <c r="G14" s="276"/>
      <c r="H14" s="131"/>
      <c r="I14" s="131"/>
      <c r="J14" s="131"/>
      <c r="K14" s="131"/>
      <c r="L14" s="131"/>
      <c r="M14" s="131"/>
      <c r="N14" s="131"/>
      <c r="O14" s="132"/>
      <c r="P14" s="131"/>
      <c r="Q14" s="133"/>
      <c r="R14" s="13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25</v>
      </c>
      <c r="B15" s="19" t="s">
        <v>26</v>
      </c>
      <c r="C15" s="20" t="s">
        <v>164</v>
      </c>
      <c r="D15" s="19" t="s">
        <v>30</v>
      </c>
      <c r="E15" s="19" t="s">
        <v>196</v>
      </c>
      <c r="F15" s="19" t="s">
        <v>68</v>
      </c>
      <c r="G15" s="276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9" t="s">
        <v>70</v>
      </c>
      <c r="B16" s="19" t="s">
        <v>91</v>
      </c>
      <c r="C16" s="20" t="s">
        <v>197</v>
      </c>
      <c r="D16" s="19" t="s">
        <v>72</v>
      </c>
      <c r="E16" s="19" t="s">
        <v>177</v>
      </c>
      <c r="F16" s="19" t="s">
        <v>92</v>
      </c>
      <c r="G16" s="276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37" t="s">
        <v>70</v>
      </c>
      <c r="B17" s="37" t="s">
        <v>75</v>
      </c>
      <c r="C17" s="38" t="s">
        <v>178</v>
      </c>
      <c r="D17" s="37" t="s">
        <v>72</v>
      </c>
      <c r="E17" s="37" t="s">
        <v>177</v>
      </c>
      <c r="F17" s="37" t="s">
        <v>92</v>
      </c>
      <c r="G17" s="277"/>
      <c r="H17" s="134"/>
      <c r="I17" s="134"/>
      <c r="J17" s="134"/>
      <c r="K17" s="134"/>
      <c r="L17" s="134"/>
      <c r="M17" s="134"/>
      <c r="N17" s="134"/>
      <c r="O17" s="135"/>
      <c r="P17" s="134"/>
      <c r="Q17" s="136"/>
      <c r="R17" s="136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4.4" customHeight="1" x14ac:dyDescent="0.3">
      <c r="A18" s="272"/>
      <c r="B18" s="273"/>
      <c r="C18" s="273"/>
      <c r="D18" s="273"/>
      <c r="E18" s="273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273"/>
      <c r="Q18" s="273"/>
      <c r="R18" s="27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</sheetData>
  <mergeCells count="14">
    <mergeCell ref="A18:R18"/>
    <mergeCell ref="A2:F2"/>
    <mergeCell ref="A3:R3"/>
    <mergeCell ref="O1:Q1"/>
    <mergeCell ref="H4:R4"/>
    <mergeCell ref="G6:G17"/>
    <mergeCell ref="A1:C1"/>
    <mergeCell ref="G1:H1"/>
    <mergeCell ref="K2:R2"/>
    <mergeCell ref="G2:J2"/>
    <mergeCell ref="A4:F4"/>
    <mergeCell ref="D1:F1"/>
    <mergeCell ref="J1:M1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7773437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  <row r="2" spans="1:35" ht="18" x14ac:dyDescent="0.3">
      <c r="A2" s="65" t="s">
        <v>140</v>
      </c>
      <c r="B2" s="66">
        <v>45990</v>
      </c>
      <c r="C2" s="67" t="s">
        <v>193</v>
      </c>
      <c r="D2" s="68">
        <v>0.80208333333333337</v>
      </c>
      <c r="E2" s="67" t="s">
        <v>189</v>
      </c>
      <c r="F2" s="67" t="s">
        <v>134</v>
      </c>
      <c r="G2" s="69">
        <v>0.97219999999999995</v>
      </c>
      <c r="H2" s="70">
        <v>180</v>
      </c>
      <c r="I2" s="70">
        <v>175</v>
      </c>
      <c r="J2" s="70">
        <v>97</v>
      </c>
      <c r="K2" s="66">
        <v>45986</v>
      </c>
      <c r="L2" s="70">
        <v>0</v>
      </c>
      <c r="M2" s="70">
        <v>6</v>
      </c>
      <c r="N2" s="70">
        <v>31</v>
      </c>
      <c r="O2" s="67" t="s">
        <v>194</v>
      </c>
      <c r="P2" s="70" t="s">
        <v>198</v>
      </c>
      <c r="Q2" s="71"/>
      <c r="R2" s="71"/>
      <c r="S2" s="71"/>
      <c r="T2" s="71"/>
      <c r="U2" s="71"/>
      <c r="V2" s="71"/>
      <c r="W2" s="71"/>
      <c r="X2" s="71"/>
      <c r="Y2" s="70" t="s">
        <v>199</v>
      </c>
      <c r="Z2" s="70" t="s">
        <v>200</v>
      </c>
      <c r="AA2" s="70" t="s">
        <v>201</v>
      </c>
      <c r="AB2" s="70" t="s">
        <v>202</v>
      </c>
      <c r="AC2" s="70" t="s">
        <v>203</v>
      </c>
      <c r="AD2" s="70" t="s">
        <v>204</v>
      </c>
      <c r="AE2" s="70" t="s">
        <v>205</v>
      </c>
      <c r="AF2" s="71"/>
      <c r="AG2" s="71"/>
      <c r="AH2" s="70" t="s">
        <v>206</v>
      </c>
      <c r="AI2" s="71"/>
    </row>
    <row r="3" spans="1:35" ht="18" x14ac:dyDescent="0.3">
      <c r="A3" s="79" t="s">
        <v>151</v>
      </c>
      <c r="B3" s="80"/>
      <c r="C3" s="81">
        <f>COUNTA(C2:C2)</f>
        <v>1</v>
      </c>
      <c r="D3" s="80"/>
      <c r="E3" s="80"/>
      <c r="F3" s="80"/>
      <c r="G3" s="82">
        <f>AVERAGE(G2:G2)</f>
        <v>0.97219999999999995</v>
      </c>
      <c r="H3" s="83">
        <f>SUM(H2:H2)</f>
        <v>180</v>
      </c>
      <c r="I3" s="83">
        <f>SUM(I2:I2)</f>
        <v>175</v>
      </c>
      <c r="J3" s="83">
        <f>SUM(J2:J2)</f>
        <v>97</v>
      </c>
      <c r="K3" s="80"/>
      <c r="L3" s="83">
        <f>SUM(L2:L2)</f>
        <v>0</v>
      </c>
      <c r="M3" s="83">
        <f>SUM(M2:M2)</f>
        <v>6</v>
      </c>
      <c r="N3" s="83">
        <f>SUM(N2:N2)</f>
        <v>31</v>
      </c>
      <c r="O3" s="80"/>
      <c r="P3" s="83">
        <f t="shared" ref="P3:AI3" si="0">SUMPRODUCT(--IFERROR(VALUE(SUBSTITUTE(SUBSTITUTE(SUBSTITUTE(SUBSTITUTE(SUBSTITUTE(SUBSTITUTE(SUBSTITUTE(SUBSTITUTE(SUBSTITUTE(SUBSTITUTE(SUBSTITUTE(SUBSTITUTE(SUBSTITUTE(SUBSTITUTE(SUBSTITUTE(SUBSTITUTE(SUBSTITUTE(SUBSTITUTE(SUBSTITUTE(SUBSTITUTE(P2:P2,"Y",""),"B",""),"M",""),"H",""),"Q",""),"K",""),"V",""),"L",""),"G",""),"S",""),"W",""),"T",""),"X",""),"U",""),"O",""),"I",""),"E",""),"A",""),"P",""),"N","")),0))</f>
        <v>1</v>
      </c>
      <c r="Q3" s="83">
        <f t="shared" si="0"/>
        <v>0</v>
      </c>
      <c r="R3" s="83">
        <f t="shared" si="0"/>
        <v>0</v>
      </c>
      <c r="S3" s="83">
        <f t="shared" si="0"/>
        <v>0</v>
      </c>
      <c r="T3" s="83">
        <f t="shared" si="0"/>
        <v>0</v>
      </c>
      <c r="U3" s="83">
        <f t="shared" si="0"/>
        <v>0</v>
      </c>
      <c r="V3" s="83">
        <f t="shared" si="0"/>
        <v>0</v>
      </c>
      <c r="W3" s="83">
        <f t="shared" si="0"/>
        <v>0</v>
      </c>
      <c r="X3" s="83">
        <f t="shared" si="0"/>
        <v>0</v>
      </c>
      <c r="Y3" s="83">
        <f t="shared" si="0"/>
        <v>8</v>
      </c>
      <c r="Z3" s="83">
        <f t="shared" si="0"/>
        <v>9</v>
      </c>
      <c r="AA3" s="83">
        <f t="shared" si="0"/>
        <v>23</v>
      </c>
      <c r="AB3" s="83">
        <f t="shared" si="0"/>
        <v>19</v>
      </c>
      <c r="AC3" s="83">
        <f t="shared" si="0"/>
        <v>5</v>
      </c>
      <c r="AD3" s="83">
        <f t="shared" si="0"/>
        <v>4</v>
      </c>
      <c r="AE3" s="83">
        <f t="shared" si="0"/>
        <v>9</v>
      </c>
      <c r="AF3" s="83">
        <f t="shared" si="0"/>
        <v>0</v>
      </c>
      <c r="AG3" s="83">
        <f t="shared" si="0"/>
        <v>0</v>
      </c>
      <c r="AH3" s="83">
        <f t="shared" si="0"/>
        <v>97</v>
      </c>
      <c r="AI3" s="83">
        <f t="shared" si="0"/>
        <v>0</v>
      </c>
    </row>
  </sheetData>
  <autoFilter ref="A1:AI2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6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77734375" bestFit="1" customWidth="1"/>
    <col min="5" max="5" width="33.218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  <row r="2" spans="1:8" ht="15.6" x14ac:dyDescent="0.3">
      <c r="A2" s="151"/>
      <c r="B2" s="151"/>
      <c r="C2" s="151"/>
      <c r="D2" s="151"/>
      <c r="E2" s="152" t="s">
        <v>188</v>
      </c>
      <c r="F2" s="151"/>
      <c r="G2" s="151"/>
      <c r="H2" s="3"/>
    </row>
    <row r="3" spans="1:8" ht="18" x14ac:dyDescent="0.3">
      <c r="A3" s="85">
        <v>45988</v>
      </c>
      <c r="B3" s="86" t="s">
        <v>25</v>
      </c>
      <c r="C3" s="87" t="s">
        <v>26</v>
      </c>
      <c r="D3" s="86" t="s">
        <v>1</v>
      </c>
      <c r="E3" s="88">
        <v>1.229166666666667</v>
      </c>
      <c r="F3" s="86" t="s">
        <v>27</v>
      </c>
      <c r="G3" s="89">
        <v>2</v>
      </c>
      <c r="H3" s="90" t="s">
        <v>29</v>
      </c>
    </row>
    <row r="4" spans="1:8" ht="18" x14ac:dyDescent="0.3">
      <c r="A4" s="91">
        <v>45988</v>
      </c>
      <c r="B4" s="92" t="s">
        <v>25</v>
      </c>
      <c r="C4" s="93" t="s">
        <v>26</v>
      </c>
      <c r="D4" s="92" t="s">
        <v>1</v>
      </c>
      <c r="E4" s="94">
        <v>1.229166666666667</v>
      </c>
      <c r="F4" s="92" t="s">
        <v>30</v>
      </c>
      <c r="G4" s="95">
        <v>2</v>
      </c>
      <c r="H4" s="92" t="s">
        <v>32</v>
      </c>
    </row>
    <row r="5" spans="1:8" ht="18" x14ac:dyDescent="0.3">
      <c r="A5" s="96">
        <v>45988</v>
      </c>
      <c r="B5" s="86" t="s">
        <v>35</v>
      </c>
      <c r="C5" s="87" t="s">
        <v>36</v>
      </c>
      <c r="D5" s="86" t="s">
        <v>1</v>
      </c>
      <c r="E5" s="88">
        <v>1.6076388888888891</v>
      </c>
      <c r="F5" s="86" t="s">
        <v>37</v>
      </c>
      <c r="G5" s="89">
        <v>9</v>
      </c>
      <c r="H5" s="86" t="s">
        <v>39</v>
      </c>
    </row>
    <row r="6" spans="1:8" ht="18" x14ac:dyDescent="0.3">
      <c r="A6" s="91">
        <v>45988</v>
      </c>
      <c r="B6" s="92" t="s">
        <v>35</v>
      </c>
      <c r="C6" s="93" t="s">
        <v>36</v>
      </c>
      <c r="D6" s="92" t="s">
        <v>1</v>
      </c>
      <c r="E6" s="94">
        <v>1.6076388888888891</v>
      </c>
      <c r="F6" s="92" t="s">
        <v>40</v>
      </c>
      <c r="G6" s="95">
        <v>9</v>
      </c>
      <c r="H6" s="92" t="s">
        <v>42</v>
      </c>
    </row>
    <row r="7" spans="1:8" ht="18" x14ac:dyDescent="0.3">
      <c r="A7" s="91">
        <v>45988</v>
      </c>
      <c r="B7" s="92" t="s">
        <v>35</v>
      </c>
      <c r="C7" s="93" t="s">
        <v>36</v>
      </c>
      <c r="D7" s="92" t="s">
        <v>1</v>
      </c>
      <c r="E7" s="94">
        <v>1.6076388888888891</v>
      </c>
      <c r="F7" s="92" t="s">
        <v>43</v>
      </c>
      <c r="G7" s="95">
        <v>9</v>
      </c>
      <c r="H7" s="92" t="s">
        <v>44</v>
      </c>
    </row>
    <row r="8" spans="1:8" ht="18" x14ac:dyDescent="0.3">
      <c r="A8" s="97">
        <v>45988</v>
      </c>
      <c r="B8" s="98" t="s">
        <v>35</v>
      </c>
      <c r="C8" s="99" t="s">
        <v>45</v>
      </c>
      <c r="D8" s="98" t="s">
        <v>1</v>
      </c>
      <c r="E8" s="100">
        <v>1.4340277777777779</v>
      </c>
      <c r="F8" s="98" t="s">
        <v>37</v>
      </c>
      <c r="G8" s="101">
        <v>7</v>
      </c>
      <c r="H8" s="98" t="s">
        <v>39</v>
      </c>
    </row>
    <row r="9" spans="1:8" ht="18" x14ac:dyDescent="0.3">
      <c r="A9" s="91">
        <v>45988</v>
      </c>
      <c r="B9" s="92" t="s">
        <v>35</v>
      </c>
      <c r="C9" s="93" t="s">
        <v>45</v>
      </c>
      <c r="D9" s="92" t="s">
        <v>1</v>
      </c>
      <c r="E9" s="94">
        <v>1.4340277777777779</v>
      </c>
      <c r="F9" s="92" t="s">
        <v>40</v>
      </c>
      <c r="G9" s="95">
        <v>7</v>
      </c>
      <c r="H9" s="92" t="s">
        <v>42</v>
      </c>
    </row>
    <row r="10" spans="1:8" ht="18" x14ac:dyDescent="0.3">
      <c r="A10" s="91">
        <v>45988</v>
      </c>
      <c r="B10" s="92" t="s">
        <v>35</v>
      </c>
      <c r="C10" s="93" t="s">
        <v>45</v>
      </c>
      <c r="D10" s="92" t="s">
        <v>1</v>
      </c>
      <c r="E10" s="94">
        <v>1.4340277777777779</v>
      </c>
      <c r="F10" s="92" t="s">
        <v>43</v>
      </c>
      <c r="G10" s="95">
        <v>7</v>
      </c>
      <c r="H10" s="92" t="s">
        <v>48</v>
      </c>
    </row>
    <row r="11" spans="1:8" ht="18" x14ac:dyDescent="0.3">
      <c r="A11" s="96">
        <v>45988</v>
      </c>
      <c r="B11" s="86" t="s">
        <v>49</v>
      </c>
      <c r="C11" s="87" t="s">
        <v>50</v>
      </c>
      <c r="D11" s="86" t="s">
        <v>1</v>
      </c>
      <c r="E11" s="88">
        <v>1.354166666666667</v>
      </c>
      <c r="F11" s="86" t="s">
        <v>51</v>
      </c>
      <c r="G11" s="89">
        <v>1</v>
      </c>
      <c r="H11" s="86" t="s">
        <v>53</v>
      </c>
    </row>
    <row r="12" spans="1:8" ht="18" x14ac:dyDescent="0.3">
      <c r="A12" s="106">
        <v>45988</v>
      </c>
      <c r="B12" s="107" t="s">
        <v>49</v>
      </c>
      <c r="C12" s="108" t="s">
        <v>54</v>
      </c>
      <c r="D12" s="107" t="s">
        <v>1</v>
      </c>
      <c r="E12" s="109">
        <v>1.895833333333333</v>
      </c>
      <c r="F12" s="107" t="s">
        <v>51</v>
      </c>
      <c r="G12" s="110">
        <v>3</v>
      </c>
      <c r="H12" s="107" t="s">
        <v>53</v>
      </c>
    </row>
    <row r="13" spans="1:8" ht="15.6" x14ac:dyDescent="0.3">
      <c r="A13" s="151"/>
      <c r="B13" s="151"/>
      <c r="C13" s="151"/>
      <c r="D13" s="151"/>
      <c r="E13" s="152" t="s">
        <v>188</v>
      </c>
      <c r="F13" s="151"/>
      <c r="G13" s="151"/>
      <c r="H13" s="3"/>
    </row>
    <row r="14" spans="1:8" ht="18" x14ac:dyDescent="0.3">
      <c r="A14" s="85">
        <v>45989</v>
      </c>
      <c r="B14" s="86" t="s">
        <v>25</v>
      </c>
      <c r="C14" s="87" t="s">
        <v>26</v>
      </c>
      <c r="D14" s="86" t="s">
        <v>1</v>
      </c>
      <c r="E14" s="88">
        <v>1.229166666666667</v>
      </c>
      <c r="F14" s="86" t="s">
        <v>27</v>
      </c>
      <c r="G14" s="89">
        <v>8</v>
      </c>
      <c r="H14" s="90" t="s">
        <v>66</v>
      </c>
    </row>
    <row r="15" spans="1:8" ht="18" x14ac:dyDescent="0.3">
      <c r="A15" s="91">
        <v>45989</v>
      </c>
      <c r="B15" s="92" t="s">
        <v>25</v>
      </c>
      <c r="C15" s="93" t="s">
        <v>26</v>
      </c>
      <c r="D15" s="92" t="s">
        <v>1</v>
      </c>
      <c r="E15" s="94">
        <v>1.229166666666667</v>
      </c>
      <c r="F15" s="92" t="s">
        <v>30</v>
      </c>
      <c r="G15" s="95">
        <v>8</v>
      </c>
      <c r="H15" s="92" t="s">
        <v>68</v>
      </c>
    </row>
    <row r="16" spans="1:8" ht="18" x14ac:dyDescent="0.3">
      <c r="A16" s="91">
        <v>45989</v>
      </c>
      <c r="B16" s="92" t="s">
        <v>25</v>
      </c>
      <c r="C16" s="93" t="s">
        <v>26</v>
      </c>
      <c r="D16" s="92" t="s">
        <v>1</v>
      </c>
      <c r="E16" s="94">
        <v>1.229166666666667</v>
      </c>
      <c r="F16" s="92" t="s">
        <v>33</v>
      </c>
      <c r="G16" s="95">
        <v>8</v>
      </c>
      <c r="H16" s="92" t="s">
        <v>69</v>
      </c>
    </row>
    <row r="17" spans="1:8" ht="18" x14ac:dyDescent="0.3">
      <c r="A17" s="96">
        <v>45989</v>
      </c>
      <c r="B17" s="86" t="s">
        <v>70</v>
      </c>
      <c r="C17" s="87" t="s">
        <v>71</v>
      </c>
      <c r="D17" s="86" t="s">
        <v>1</v>
      </c>
      <c r="E17" s="88">
        <v>1.9409722222222221</v>
      </c>
      <c r="F17" s="86" t="s">
        <v>72</v>
      </c>
      <c r="G17" s="89">
        <v>9</v>
      </c>
      <c r="H17" s="86" t="s">
        <v>74</v>
      </c>
    </row>
    <row r="18" spans="1:8" ht="18" x14ac:dyDescent="0.3">
      <c r="A18" s="97">
        <v>45989</v>
      </c>
      <c r="B18" s="98" t="s">
        <v>70</v>
      </c>
      <c r="C18" s="99" t="s">
        <v>75</v>
      </c>
      <c r="D18" s="98" t="s">
        <v>1</v>
      </c>
      <c r="E18" s="100">
        <v>1.697916666666667</v>
      </c>
      <c r="F18" s="98" t="s">
        <v>72</v>
      </c>
      <c r="G18" s="101">
        <v>9</v>
      </c>
      <c r="H18" s="98" t="s">
        <v>74</v>
      </c>
    </row>
    <row r="19" spans="1:8" ht="18" x14ac:dyDescent="0.3">
      <c r="A19" s="96">
        <v>45989</v>
      </c>
      <c r="B19" s="86" t="s">
        <v>35</v>
      </c>
      <c r="C19" s="87" t="s">
        <v>36</v>
      </c>
      <c r="D19" s="86" t="s">
        <v>1</v>
      </c>
      <c r="E19" s="88">
        <v>1.6076388888888891</v>
      </c>
      <c r="F19" s="86" t="s">
        <v>37</v>
      </c>
      <c r="G19" s="89">
        <v>1</v>
      </c>
      <c r="H19" s="86" t="s">
        <v>77</v>
      </c>
    </row>
    <row r="20" spans="1:8" ht="18" x14ac:dyDescent="0.3">
      <c r="A20" s="91">
        <v>45989</v>
      </c>
      <c r="B20" s="92" t="s">
        <v>35</v>
      </c>
      <c r="C20" s="93" t="s">
        <v>36</v>
      </c>
      <c r="D20" s="92" t="s">
        <v>1</v>
      </c>
      <c r="E20" s="94">
        <v>1.6076388888888891</v>
      </c>
      <c r="F20" s="92" t="s">
        <v>40</v>
      </c>
      <c r="G20" s="95">
        <v>1</v>
      </c>
      <c r="H20" s="92" t="s">
        <v>79</v>
      </c>
    </row>
    <row r="21" spans="1:8" ht="18" x14ac:dyDescent="0.3">
      <c r="A21" s="91">
        <v>45989</v>
      </c>
      <c r="B21" s="92" t="s">
        <v>35</v>
      </c>
      <c r="C21" s="93" t="s">
        <v>36</v>
      </c>
      <c r="D21" s="92" t="s">
        <v>1</v>
      </c>
      <c r="E21" s="94">
        <v>1.6076388888888891</v>
      </c>
      <c r="F21" s="92" t="s">
        <v>43</v>
      </c>
      <c r="G21" s="95">
        <v>1</v>
      </c>
      <c r="H21" s="92" t="s">
        <v>80</v>
      </c>
    </row>
    <row r="22" spans="1:8" ht="18" x14ac:dyDescent="0.3">
      <c r="A22" s="96">
        <v>45989</v>
      </c>
      <c r="B22" s="86" t="s">
        <v>49</v>
      </c>
      <c r="C22" s="87" t="s">
        <v>50</v>
      </c>
      <c r="D22" s="86" t="s">
        <v>1</v>
      </c>
      <c r="E22" s="88">
        <v>1.350694444444444</v>
      </c>
      <c r="F22" s="86" t="s">
        <v>51</v>
      </c>
      <c r="G22" s="89">
        <v>9</v>
      </c>
      <c r="H22" s="86" t="s">
        <v>81</v>
      </c>
    </row>
    <row r="23" spans="1:8" ht="18" x14ac:dyDescent="0.3">
      <c r="A23" s="106">
        <v>45989</v>
      </c>
      <c r="B23" s="107" t="s">
        <v>49</v>
      </c>
      <c r="C23" s="108" t="s">
        <v>54</v>
      </c>
      <c r="D23" s="107" t="s">
        <v>1</v>
      </c>
      <c r="E23" s="109">
        <v>1.895833333333333</v>
      </c>
      <c r="F23" s="107" t="s">
        <v>51</v>
      </c>
      <c r="G23" s="110">
        <v>9</v>
      </c>
      <c r="H23" s="107" t="s">
        <v>81</v>
      </c>
    </row>
    <row r="24" spans="1:8" ht="18" x14ac:dyDescent="0.3">
      <c r="A24" s="153">
        <v>45990</v>
      </c>
      <c r="B24" s="148" t="s">
        <v>59</v>
      </c>
      <c r="C24" s="149" t="s">
        <v>190</v>
      </c>
      <c r="D24" s="148" t="s">
        <v>189</v>
      </c>
      <c r="E24" s="150">
        <v>1.802083333333333</v>
      </c>
      <c r="F24" s="148" t="s">
        <v>191</v>
      </c>
      <c r="G24" s="155">
        <v>1</v>
      </c>
      <c r="H24" s="154" t="s">
        <v>192</v>
      </c>
    </row>
    <row r="25" spans="1:8" ht="15.6" x14ac:dyDescent="0.3">
      <c r="A25" s="151"/>
      <c r="B25" s="151"/>
      <c r="C25" s="151"/>
      <c r="D25" s="151"/>
      <c r="E25" s="152" t="s">
        <v>188</v>
      </c>
      <c r="F25" s="151"/>
      <c r="G25" s="151"/>
      <c r="H25" s="3"/>
    </row>
    <row r="26" spans="1:8" ht="18" x14ac:dyDescent="0.3">
      <c r="A26" s="96">
        <v>45990</v>
      </c>
      <c r="B26" s="86" t="s">
        <v>25</v>
      </c>
      <c r="C26" s="87" t="s">
        <v>26</v>
      </c>
      <c r="D26" s="86" t="s">
        <v>1</v>
      </c>
      <c r="E26" s="88">
        <v>1.229166666666667</v>
      </c>
      <c r="F26" s="86" t="s">
        <v>27</v>
      </c>
      <c r="G26" s="89">
        <v>4</v>
      </c>
      <c r="H26" s="86" t="s">
        <v>66</v>
      </c>
    </row>
    <row r="27" spans="1:8" ht="18" x14ac:dyDescent="0.3">
      <c r="A27" s="91">
        <v>45990</v>
      </c>
      <c r="B27" s="92" t="s">
        <v>25</v>
      </c>
      <c r="C27" s="93" t="s">
        <v>26</v>
      </c>
      <c r="D27" s="92" t="s">
        <v>1</v>
      </c>
      <c r="E27" s="94">
        <v>1.229166666666667</v>
      </c>
      <c r="F27" s="92" t="s">
        <v>30</v>
      </c>
      <c r="G27" s="95">
        <v>4</v>
      </c>
      <c r="H27" s="92" t="s">
        <v>68</v>
      </c>
    </row>
    <row r="28" spans="1:8" ht="18" x14ac:dyDescent="0.3">
      <c r="A28" s="96">
        <v>45990</v>
      </c>
      <c r="B28" s="86" t="s">
        <v>35</v>
      </c>
      <c r="C28" s="87" t="s">
        <v>36</v>
      </c>
      <c r="D28" s="86" t="s">
        <v>1</v>
      </c>
      <c r="E28" s="88">
        <v>1.6076388888888891</v>
      </c>
      <c r="F28" s="86" t="s">
        <v>37</v>
      </c>
      <c r="G28" s="89">
        <v>7</v>
      </c>
      <c r="H28" s="86" t="s">
        <v>87</v>
      </c>
    </row>
    <row r="29" spans="1:8" ht="18" x14ac:dyDescent="0.3">
      <c r="A29" s="91">
        <v>45990</v>
      </c>
      <c r="B29" s="92" t="s">
        <v>35</v>
      </c>
      <c r="C29" s="93" t="s">
        <v>36</v>
      </c>
      <c r="D29" s="92" t="s">
        <v>1</v>
      </c>
      <c r="E29" s="94">
        <v>1.6076388888888891</v>
      </c>
      <c r="F29" s="92" t="s">
        <v>40</v>
      </c>
      <c r="G29" s="95">
        <v>7</v>
      </c>
      <c r="H29" s="92" t="s">
        <v>77</v>
      </c>
    </row>
    <row r="30" spans="1:8" ht="18" x14ac:dyDescent="0.3">
      <c r="A30" s="97">
        <v>45990</v>
      </c>
      <c r="B30" s="98" t="s">
        <v>35</v>
      </c>
      <c r="C30" s="99" t="s">
        <v>45</v>
      </c>
      <c r="D30" s="98" t="s">
        <v>1</v>
      </c>
      <c r="E30" s="100">
        <v>1.4340277777777779</v>
      </c>
      <c r="F30" s="98" t="s">
        <v>37</v>
      </c>
      <c r="G30" s="101">
        <v>8</v>
      </c>
      <c r="H30" s="98" t="s">
        <v>87</v>
      </c>
    </row>
    <row r="31" spans="1:8" ht="18" x14ac:dyDescent="0.3">
      <c r="A31" s="91">
        <v>45990</v>
      </c>
      <c r="B31" s="92" t="s">
        <v>35</v>
      </c>
      <c r="C31" s="93" t="s">
        <v>45</v>
      </c>
      <c r="D31" s="92" t="s">
        <v>1</v>
      </c>
      <c r="E31" s="94">
        <v>1.4340277777777779</v>
      </c>
      <c r="F31" s="92" t="s">
        <v>40</v>
      </c>
      <c r="G31" s="95">
        <v>8</v>
      </c>
      <c r="H31" s="92" t="s">
        <v>77</v>
      </c>
    </row>
    <row r="32" spans="1:8" ht="18" x14ac:dyDescent="0.3">
      <c r="A32" s="96">
        <v>45990</v>
      </c>
      <c r="B32" s="86" t="s">
        <v>70</v>
      </c>
      <c r="C32" s="87" t="s">
        <v>71</v>
      </c>
      <c r="D32" s="86" t="s">
        <v>1</v>
      </c>
      <c r="E32" s="88">
        <v>1.9409722222222221</v>
      </c>
      <c r="F32" s="86" t="s">
        <v>72</v>
      </c>
      <c r="G32" s="89">
        <v>9</v>
      </c>
      <c r="H32" s="86" t="s">
        <v>74</v>
      </c>
    </row>
    <row r="33" spans="1:8" ht="18" x14ac:dyDescent="0.3">
      <c r="A33" s="97">
        <v>45990</v>
      </c>
      <c r="B33" s="98" t="s">
        <v>70</v>
      </c>
      <c r="C33" s="99" t="s">
        <v>90</v>
      </c>
      <c r="D33" s="98" t="s">
        <v>1</v>
      </c>
      <c r="E33" s="100">
        <v>1.0659722222222221</v>
      </c>
      <c r="F33" s="98" t="s">
        <v>72</v>
      </c>
      <c r="G33" s="101">
        <v>9</v>
      </c>
      <c r="H33" s="98" t="s">
        <v>74</v>
      </c>
    </row>
    <row r="34" spans="1:8" ht="18" x14ac:dyDescent="0.3">
      <c r="A34" s="97">
        <v>45990</v>
      </c>
      <c r="B34" s="98" t="s">
        <v>70</v>
      </c>
      <c r="C34" s="99" t="s">
        <v>91</v>
      </c>
      <c r="D34" s="98" t="s">
        <v>1</v>
      </c>
      <c r="E34" s="100">
        <v>1.336805555555556</v>
      </c>
      <c r="F34" s="98" t="s">
        <v>72</v>
      </c>
      <c r="G34" s="101">
        <v>9</v>
      </c>
      <c r="H34" s="98" t="s">
        <v>92</v>
      </c>
    </row>
    <row r="35" spans="1:8" ht="18" x14ac:dyDescent="0.3">
      <c r="A35" s="106">
        <v>45990</v>
      </c>
      <c r="B35" s="107" t="s">
        <v>70</v>
      </c>
      <c r="C35" s="108" t="s">
        <v>75</v>
      </c>
      <c r="D35" s="107" t="s">
        <v>1</v>
      </c>
      <c r="E35" s="109">
        <v>1.697916666666667</v>
      </c>
      <c r="F35" s="107" t="s">
        <v>72</v>
      </c>
      <c r="G35" s="110">
        <v>9</v>
      </c>
      <c r="H35" s="107" t="s">
        <v>92</v>
      </c>
    </row>
    <row r="36" spans="1:8" ht="15.6" x14ac:dyDescent="0.3">
      <c r="A36" s="151"/>
      <c r="B36" s="151"/>
      <c r="C36" s="151"/>
      <c r="D36" s="151"/>
      <c r="E36" s="152" t="s">
        <v>188</v>
      </c>
      <c r="F36" s="151"/>
      <c r="G36" s="151"/>
      <c r="H36" s="3"/>
    </row>
    <row r="37" spans="1:8" ht="18" x14ac:dyDescent="0.3">
      <c r="A37" s="85">
        <v>45991</v>
      </c>
      <c r="B37" s="86" t="s">
        <v>25</v>
      </c>
      <c r="C37" s="87" t="s">
        <v>26</v>
      </c>
      <c r="D37" s="86" t="s">
        <v>1</v>
      </c>
      <c r="E37" s="88">
        <v>1.229166666666667</v>
      </c>
      <c r="F37" s="86" t="s">
        <v>27</v>
      </c>
      <c r="G37" s="89">
        <v>3</v>
      </c>
      <c r="H37" s="90" t="s">
        <v>97</v>
      </c>
    </row>
    <row r="38" spans="1:8" ht="18" x14ac:dyDescent="0.3">
      <c r="A38" s="91">
        <v>45991</v>
      </c>
      <c r="B38" s="92" t="s">
        <v>25</v>
      </c>
      <c r="C38" s="93" t="s">
        <v>26</v>
      </c>
      <c r="D38" s="92" t="s">
        <v>1</v>
      </c>
      <c r="E38" s="94">
        <v>1.229166666666667</v>
      </c>
      <c r="F38" s="92" t="s">
        <v>30</v>
      </c>
      <c r="G38" s="95">
        <v>3</v>
      </c>
      <c r="H38" s="92" t="s">
        <v>99</v>
      </c>
    </row>
    <row r="39" spans="1:8" ht="18" x14ac:dyDescent="0.3">
      <c r="A39" s="91">
        <v>45991</v>
      </c>
      <c r="B39" s="92" t="s">
        <v>25</v>
      </c>
      <c r="C39" s="93" t="s">
        <v>26</v>
      </c>
      <c r="D39" s="92" t="s">
        <v>1</v>
      </c>
      <c r="E39" s="94">
        <v>1.229166666666667</v>
      </c>
      <c r="F39" s="92" t="s">
        <v>33</v>
      </c>
      <c r="G39" s="95">
        <v>3</v>
      </c>
      <c r="H39" s="92" t="s">
        <v>69</v>
      </c>
    </row>
    <row r="40" spans="1:8" ht="18" x14ac:dyDescent="0.3">
      <c r="A40" s="96">
        <v>45991</v>
      </c>
      <c r="B40" s="86" t="s">
        <v>70</v>
      </c>
      <c r="C40" s="87" t="s">
        <v>90</v>
      </c>
      <c r="D40" s="86" t="s">
        <v>1</v>
      </c>
      <c r="E40" s="88">
        <v>1.0659722222222221</v>
      </c>
      <c r="F40" s="86" t="s">
        <v>72</v>
      </c>
      <c r="G40" s="89">
        <v>9</v>
      </c>
      <c r="H40" s="86" t="s">
        <v>100</v>
      </c>
    </row>
    <row r="41" spans="1:8" ht="18" x14ac:dyDescent="0.3">
      <c r="A41" s="97">
        <v>45991</v>
      </c>
      <c r="B41" s="98" t="s">
        <v>70</v>
      </c>
      <c r="C41" s="99" t="s">
        <v>71</v>
      </c>
      <c r="D41" s="98" t="s">
        <v>1</v>
      </c>
      <c r="E41" s="100">
        <v>1.9409722222222221</v>
      </c>
      <c r="F41" s="98" t="s">
        <v>72</v>
      </c>
      <c r="G41" s="101">
        <v>9</v>
      </c>
      <c r="H41" s="98" t="s">
        <v>101</v>
      </c>
    </row>
    <row r="42" spans="1:8" ht="18" x14ac:dyDescent="0.3">
      <c r="A42" s="96">
        <v>45991</v>
      </c>
      <c r="B42" s="86" t="s">
        <v>35</v>
      </c>
      <c r="C42" s="87" t="s">
        <v>36</v>
      </c>
      <c r="D42" s="86" t="s">
        <v>1</v>
      </c>
      <c r="E42" s="88">
        <v>1.6076388888888891</v>
      </c>
      <c r="F42" s="86" t="s">
        <v>37</v>
      </c>
      <c r="G42" s="89">
        <v>7</v>
      </c>
      <c r="H42" s="86" t="s">
        <v>87</v>
      </c>
    </row>
    <row r="43" spans="1:8" ht="18" x14ac:dyDescent="0.3">
      <c r="A43" s="91">
        <v>45991</v>
      </c>
      <c r="B43" s="92" t="s">
        <v>35</v>
      </c>
      <c r="C43" s="93" t="s">
        <v>36</v>
      </c>
      <c r="D43" s="92" t="s">
        <v>1</v>
      </c>
      <c r="E43" s="94">
        <v>1.6076388888888891</v>
      </c>
      <c r="F43" s="92" t="s">
        <v>40</v>
      </c>
      <c r="G43" s="95">
        <v>7</v>
      </c>
      <c r="H43" s="92" t="s">
        <v>77</v>
      </c>
    </row>
    <row r="44" spans="1:8" ht="18" x14ac:dyDescent="0.3">
      <c r="A44" s="91">
        <v>45991</v>
      </c>
      <c r="B44" s="92" t="s">
        <v>35</v>
      </c>
      <c r="C44" s="93" t="s">
        <v>36</v>
      </c>
      <c r="D44" s="92" t="s">
        <v>1</v>
      </c>
      <c r="E44" s="94">
        <v>1.6076388888888891</v>
      </c>
      <c r="F44" s="92" t="s">
        <v>43</v>
      </c>
      <c r="G44" s="95">
        <v>7</v>
      </c>
      <c r="H44" s="92" t="s">
        <v>88</v>
      </c>
    </row>
    <row r="45" spans="1:8" ht="18" x14ac:dyDescent="0.3">
      <c r="A45" s="96">
        <v>45991</v>
      </c>
      <c r="B45" s="86" t="s">
        <v>49</v>
      </c>
      <c r="C45" s="87" t="s">
        <v>82</v>
      </c>
      <c r="D45" s="86" t="s">
        <v>1</v>
      </c>
      <c r="E45" s="88">
        <v>1.1840277777777779</v>
      </c>
      <c r="F45" s="86" t="s">
        <v>51</v>
      </c>
      <c r="G45" s="89">
        <v>9</v>
      </c>
      <c r="H45" s="86" t="s">
        <v>102</v>
      </c>
    </row>
    <row r="46" spans="1:8" ht="18" x14ac:dyDescent="0.3">
      <c r="A46" s="106">
        <v>45991</v>
      </c>
      <c r="B46" s="107" t="s">
        <v>49</v>
      </c>
      <c r="C46" s="108" t="s">
        <v>54</v>
      </c>
      <c r="D46" s="107" t="s">
        <v>1</v>
      </c>
      <c r="E46" s="109">
        <v>1.895833333333333</v>
      </c>
      <c r="F46" s="107" t="s">
        <v>51</v>
      </c>
      <c r="G46" s="110">
        <v>3</v>
      </c>
      <c r="H46" s="107" t="s">
        <v>53</v>
      </c>
    </row>
  </sheetData>
  <dataValidations count="1">
    <dataValidation type="custom" allowBlank="1" showInputMessage="1" promptTitle="LOAD FACTOR ANALYSIS" prompt="SM-487_x000d__x000a_LF 97.2%_x000d__x000a_SOLD 175_x000d__x000a_LST-SOLD 25NOV_x000d__x000a_WEEKLY 31_x000d__x000a_TO-DAY NIL_x000d__x000a_Y-DAY 6_x000d__x000a_LOWEST AVAIL W1_x000d__x000a_CAPACITY 180_x000d__x000a_CLASSES Y1 &amp; S8 &amp; W9 &amp; +6 more" sqref="A24 B24 C24 D24 E24 F24 G24 H24" xr:uid="{00000000-0002-0000-0900-000000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N13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5.3320312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207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45987.359168818461</v>
      </c>
      <c r="H2" s="279"/>
      <c r="I2" s="279"/>
      <c r="J2" s="279"/>
      <c r="K2" s="288">
        <v>45987.359168819094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2" t="s">
        <v>5</v>
      </c>
      <c r="B4" s="283"/>
      <c r="C4" s="283"/>
      <c r="D4" s="283"/>
      <c r="E4" s="283"/>
      <c r="F4" s="283"/>
      <c r="G4" s="5">
        <v>45988</v>
      </c>
      <c r="H4" s="294" t="s">
        <v>6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156" t="s">
        <v>59</v>
      </c>
      <c r="B6" s="156" t="s">
        <v>208</v>
      </c>
      <c r="C6" s="157">
        <v>0.9375</v>
      </c>
      <c r="D6" s="156" t="s">
        <v>191</v>
      </c>
      <c r="E6" s="156" t="s">
        <v>52</v>
      </c>
      <c r="F6" s="156" t="s">
        <v>209</v>
      </c>
      <c r="G6" s="275"/>
      <c r="H6" s="158" t="s">
        <v>210</v>
      </c>
      <c r="I6" s="159">
        <v>0.9889</v>
      </c>
      <c r="J6" s="160">
        <v>178</v>
      </c>
      <c r="K6" s="161">
        <v>45986</v>
      </c>
      <c r="L6" s="160">
        <v>32</v>
      </c>
      <c r="M6" s="160">
        <v>0</v>
      </c>
      <c r="N6" s="160">
        <v>1</v>
      </c>
      <c r="O6" s="162" t="s">
        <v>211</v>
      </c>
      <c r="P6" s="163">
        <v>0.9375</v>
      </c>
      <c r="Q6" s="160">
        <v>180</v>
      </c>
      <c r="R6" s="164" t="s">
        <v>212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165" t="s">
        <v>59</v>
      </c>
      <c r="B7" s="165" t="s">
        <v>213</v>
      </c>
      <c r="C7" s="166">
        <v>6.5972222222222224E-2</v>
      </c>
      <c r="D7" s="165" t="s">
        <v>61</v>
      </c>
      <c r="E7" s="167"/>
      <c r="F7" s="165" t="s">
        <v>62</v>
      </c>
      <c r="G7" s="276"/>
      <c r="H7" s="140" t="s">
        <v>213</v>
      </c>
      <c r="I7" s="141">
        <v>0.99439999999999995</v>
      </c>
      <c r="J7" s="142">
        <v>179</v>
      </c>
      <c r="K7" s="143">
        <v>45987</v>
      </c>
      <c r="L7" s="142">
        <v>57</v>
      </c>
      <c r="M7" s="142">
        <v>1</v>
      </c>
      <c r="N7" s="142">
        <v>1</v>
      </c>
      <c r="O7" s="144" t="s">
        <v>63</v>
      </c>
      <c r="P7" s="145">
        <v>6.5972222222222224E-2</v>
      </c>
      <c r="Q7" s="142">
        <v>180</v>
      </c>
      <c r="R7" s="146" t="s">
        <v>214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168" t="s">
        <v>59</v>
      </c>
      <c r="B8" s="168" t="s">
        <v>215</v>
      </c>
      <c r="C8" s="169">
        <v>0.15625</v>
      </c>
      <c r="D8" s="168" t="s">
        <v>61</v>
      </c>
      <c r="E8" s="170"/>
      <c r="F8" s="168" t="s">
        <v>62</v>
      </c>
      <c r="G8" s="276"/>
      <c r="H8" s="158" t="s">
        <v>215</v>
      </c>
      <c r="I8" s="159">
        <v>0.99439999999999995</v>
      </c>
      <c r="J8" s="160">
        <v>179</v>
      </c>
      <c r="K8" s="161">
        <v>45987</v>
      </c>
      <c r="L8" s="160">
        <v>74</v>
      </c>
      <c r="M8" s="160">
        <v>1</v>
      </c>
      <c r="N8" s="160">
        <v>0</v>
      </c>
      <c r="O8" s="162" t="s">
        <v>63</v>
      </c>
      <c r="P8" s="163">
        <v>0.15625</v>
      </c>
      <c r="Q8" s="160">
        <v>180</v>
      </c>
      <c r="R8" s="164" t="s">
        <v>216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71" t="s">
        <v>59</v>
      </c>
      <c r="B9" s="171" t="s">
        <v>217</v>
      </c>
      <c r="C9" s="172">
        <v>0.1875</v>
      </c>
      <c r="D9" s="171" t="s">
        <v>61</v>
      </c>
      <c r="E9" s="173"/>
      <c r="F9" s="171" t="s">
        <v>62</v>
      </c>
      <c r="G9" s="276"/>
      <c r="H9" s="124" t="s">
        <v>217</v>
      </c>
      <c r="I9" s="125">
        <v>0.99439999999999995</v>
      </c>
      <c r="J9" s="126">
        <v>179</v>
      </c>
      <c r="K9" s="127">
        <v>45985</v>
      </c>
      <c r="L9" s="126">
        <v>49</v>
      </c>
      <c r="M9" s="126">
        <v>0</v>
      </c>
      <c r="N9" s="126">
        <v>0</v>
      </c>
      <c r="O9" s="128" t="s">
        <v>63</v>
      </c>
      <c r="P9" s="129">
        <v>0.1875</v>
      </c>
      <c r="Q9" s="126">
        <v>180</v>
      </c>
      <c r="R9" s="130" t="s">
        <v>218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74" t="s">
        <v>59</v>
      </c>
      <c r="B10" s="174" t="s">
        <v>219</v>
      </c>
      <c r="C10" s="175">
        <v>0.40625</v>
      </c>
      <c r="D10" s="174" t="s">
        <v>61</v>
      </c>
      <c r="E10" s="176"/>
      <c r="F10" s="174" t="s">
        <v>62</v>
      </c>
      <c r="G10" s="276"/>
      <c r="H10" s="177" t="s">
        <v>219</v>
      </c>
      <c r="I10" s="178">
        <v>1</v>
      </c>
      <c r="J10" s="179">
        <v>180</v>
      </c>
      <c r="K10" s="180">
        <v>45960</v>
      </c>
      <c r="L10" s="179">
        <v>0</v>
      </c>
      <c r="M10" s="179">
        <v>0</v>
      </c>
      <c r="N10" s="179">
        <v>0</v>
      </c>
      <c r="O10" s="181" t="s">
        <v>63</v>
      </c>
      <c r="P10" s="182">
        <v>0.40625</v>
      </c>
      <c r="Q10" s="179">
        <v>180</v>
      </c>
      <c r="R10" s="183" t="s">
        <v>220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65" t="s">
        <v>59</v>
      </c>
      <c r="B11" s="165" t="s">
        <v>221</v>
      </c>
      <c r="C11" s="166">
        <v>0.5625</v>
      </c>
      <c r="D11" s="165" t="s">
        <v>61</v>
      </c>
      <c r="E11" s="167"/>
      <c r="F11" s="165" t="s">
        <v>62</v>
      </c>
      <c r="G11" s="276"/>
      <c r="H11" s="140" t="s">
        <v>221</v>
      </c>
      <c r="I11" s="141">
        <v>0.99439999999999995</v>
      </c>
      <c r="J11" s="142">
        <v>179</v>
      </c>
      <c r="K11" s="143">
        <v>45985</v>
      </c>
      <c r="L11" s="142">
        <v>3</v>
      </c>
      <c r="M11" s="142">
        <v>0</v>
      </c>
      <c r="N11" s="142">
        <v>0</v>
      </c>
      <c r="O11" s="144" t="s">
        <v>63</v>
      </c>
      <c r="P11" s="145">
        <v>0.5625</v>
      </c>
      <c r="Q11" s="142">
        <v>180</v>
      </c>
      <c r="R11" s="146" t="s">
        <v>222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7" t="s">
        <v>25</v>
      </c>
      <c r="B12" s="17" t="s">
        <v>223</v>
      </c>
      <c r="C12" s="18">
        <v>0.39930555555555558</v>
      </c>
      <c r="D12" s="17" t="s">
        <v>27</v>
      </c>
      <c r="E12" s="17" t="s">
        <v>96</v>
      </c>
      <c r="F12" s="17" t="s">
        <v>224</v>
      </c>
      <c r="G12" s="276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5" t="s">
        <v>25</v>
      </c>
      <c r="B13" s="15" t="s">
        <v>223</v>
      </c>
      <c r="C13" s="16">
        <v>0.39930555555555558</v>
      </c>
      <c r="D13" s="15" t="s">
        <v>30</v>
      </c>
      <c r="E13" s="15" t="s">
        <v>98</v>
      </c>
      <c r="F13" s="15" t="s">
        <v>88</v>
      </c>
      <c r="G13" s="276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5" t="s">
        <v>25</v>
      </c>
      <c r="B14" s="15" t="s">
        <v>223</v>
      </c>
      <c r="C14" s="16">
        <v>0.39930555555555558</v>
      </c>
      <c r="D14" s="15" t="s">
        <v>33</v>
      </c>
      <c r="E14" s="15" t="s">
        <v>98</v>
      </c>
      <c r="F14" s="15" t="s">
        <v>34</v>
      </c>
      <c r="G14" s="276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25</v>
      </c>
      <c r="B15" s="19" t="s">
        <v>225</v>
      </c>
      <c r="C15" s="20">
        <v>0.48958333333333331</v>
      </c>
      <c r="D15" s="19" t="s">
        <v>27</v>
      </c>
      <c r="E15" s="19" t="s">
        <v>226</v>
      </c>
      <c r="F15" s="19" t="s">
        <v>224</v>
      </c>
      <c r="G15" s="276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5" t="s">
        <v>25</v>
      </c>
      <c r="B16" s="15" t="s">
        <v>225</v>
      </c>
      <c r="C16" s="16">
        <v>0.48958333333333331</v>
      </c>
      <c r="D16" s="15" t="s">
        <v>30</v>
      </c>
      <c r="E16" s="15" t="s">
        <v>227</v>
      </c>
      <c r="F16" s="15" t="s">
        <v>88</v>
      </c>
      <c r="G16" s="276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5" t="s">
        <v>25</v>
      </c>
      <c r="B17" s="15" t="s">
        <v>225</v>
      </c>
      <c r="C17" s="16">
        <v>0.48958333333333331</v>
      </c>
      <c r="D17" s="15" t="s">
        <v>33</v>
      </c>
      <c r="E17" s="15" t="s">
        <v>227</v>
      </c>
      <c r="F17" s="15" t="s">
        <v>69</v>
      </c>
      <c r="G17" s="276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5" customHeight="1" x14ac:dyDescent="0.3">
      <c r="A18" s="19" t="s">
        <v>25</v>
      </c>
      <c r="B18" s="19" t="s">
        <v>228</v>
      </c>
      <c r="C18" s="20">
        <v>0.98958333333333337</v>
      </c>
      <c r="D18" s="19" t="s">
        <v>27</v>
      </c>
      <c r="E18" s="19" t="s">
        <v>46</v>
      </c>
      <c r="F18" s="19" t="s">
        <v>224</v>
      </c>
      <c r="G18" s="276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5" customHeight="1" x14ac:dyDescent="0.3">
      <c r="A19" s="15" t="s">
        <v>25</v>
      </c>
      <c r="B19" s="15" t="s">
        <v>228</v>
      </c>
      <c r="C19" s="16">
        <v>0.98958333333333337</v>
      </c>
      <c r="D19" s="15" t="s">
        <v>30</v>
      </c>
      <c r="E19" s="15" t="s">
        <v>47</v>
      </c>
      <c r="F19" s="15" t="s">
        <v>88</v>
      </c>
      <c r="G19" s="276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15" customHeight="1" x14ac:dyDescent="0.3">
      <c r="A20" s="15" t="s">
        <v>25</v>
      </c>
      <c r="B20" s="15" t="s">
        <v>228</v>
      </c>
      <c r="C20" s="16">
        <v>0.98958333333333337</v>
      </c>
      <c r="D20" s="15" t="s">
        <v>33</v>
      </c>
      <c r="E20" s="15" t="s">
        <v>47</v>
      </c>
      <c r="F20" s="15" t="s">
        <v>34</v>
      </c>
      <c r="G20" s="276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15" customHeight="1" x14ac:dyDescent="0.3">
      <c r="A21" s="19" t="s">
        <v>25</v>
      </c>
      <c r="B21" s="19" t="s">
        <v>229</v>
      </c>
      <c r="C21" s="20">
        <v>0.88888888888888884</v>
      </c>
      <c r="D21" s="19" t="s">
        <v>27</v>
      </c>
      <c r="E21" s="19" t="s">
        <v>230</v>
      </c>
      <c r="F21" s="19" t="s">
        <v>231</v>
      </c>
      <c r="G21" s="276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5" customHeight="1" x14ac:dyDescent="0.3">
      <c r="A22" s="15" t="s">
        <v>25</v>
      </c>
      <c r="B22" s="15" t="s">
        <v>229</v>
      </c>
      <c r="C22" s="16">
        <v>0.88888888888888884</v>
      </c>
      <c r="D22" s="15" t="s">
        <v>30</v>
      </c>
      <c r="E22" s="15" t="s">
        <v>232</v>
      </c>
      <c r="F22" s="15" t="s">
        <v>233</v>
      </c>
      <c r="G22" s="276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5" customHeight="1" x14ac:dyDescent="0.3">
      <c r="A23" s="15" t="s">
        <v>25</v>
      </c>
      <c r="B23" s="15" t="s">
        <v>229</v>
      </c>
      <c r="C23" s="16">
        <v>0.88888888888888884</v>
      </c>
      <c r="D23" s="15" t="s">
        <v>33</v>
      </c>
      <c r="E23" s="15" t="s">
        <v>232</v>
      </c>
      <c r="F23" s="15" t="s">
        <v>34</v>
      </c>
      <c r="G23" s="276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5" customHeight="1" x14ac:dyDescent="0.3">
      <c r="A24" s="17" t="s">
        <v>35</v>
      </c>
      <c r="B24" s="17" t="s">
        <v>234</v>
      </c>
      <c r="C24" s="18">
        <v>0.34722222222222232</v>
      </c>
      <c r="D24" s="17" t="s">
        <v>37</v>
      </c>
      <c r="E24" s="17" t="s">
        <v>38</v>
      </c>
      <c r="F24" s="17" t="s">
        <v>224</v>
      </c>
      <c r="G24" s="276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5" customHeight="1" x14ac:dyDescent="0.3">
      <c r="A25" s="15" t="s">
        <v>35</v>
      </c>
      <c r="B25" s="15" t="s">
        <v>234</v>
      </c>
      <c r="C25" s="16">
        <v>0.34722222222222232</v>
      </c>
      <c r="D25" s="15" t="s">
        <v>40</v>
      </c>
      <c r="E25" s="15" t="s">
        <v>41</v>
      </c>
      <c r="F25" s="15" t="s">
        <v>235</v>
      </c>
      <c r="G25" s="276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15" t="s">
        <v>35</v>
      </c>
      <c r="B26" s="15" t="s">
        <v>234</v>
      </c>
      <c r="C26" s="16">
        <v>0.34722222222222232</v>
      </c>
      <c r="D26" s="15" t="s">
        <v>43</v>
      </c>
      <c r="E26" s="15" t="s">
        <v>41</v>
      </c>
      <c r="F26" s="15" t="s">
        <v>236</v>
      </c>
      <c r="G26" s="276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5" customHeight="1" x14ac:dyDescent="0.3">
      <c r="A27" s="19" t="s">
        <v>35</v>
      </c>
      <c r="B27" s="19" t="s">
        <v>237</v>
      </c>
      <c r="C27" s="20">
        <v>0.99305555555555547</v>
      </c>
      <c r="D27" s="19" t="s">
        <v>37</v>
      </c>
      <c r="E27" s="19" t="s">
        <v>89</v>
      </c>
      <c r="F27" s="19" t="s">
        <v>224</v>
      </c>
      <c r="G27" s="276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15" t="s">
        <v>35</v>
      </c>
      <c r="B28" s="15" t="s">
        <v>237</v>
      </c>
      <c r="C28" s="16">
        <v>0.99305555555555547</v>
      </c>
      <c r="D28" s="15" t="s">
        <v>40</v>
      </c>
      <c r="E28" s="15" t="s">
        <v>67</v>
      </c>
      <c r="F28" s="15" t="s">
        <v>235</v>
      </c>
      <c r="G28" s="276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5" customHeight="1" x14ac:dyDescent="0.3">
      <c r="A29" s="15" t="s">
        <v>35</v>
      </c>
      <c r="B29" s="15" t="s">
        <v>237</v>
      </c>
      <c r="C29" s="16">
        <v>0.99305555555555547</v>
      </c>
      <c r="D29" s="15" t="s">
        <v>43</v>
      </c>
      <c r="E29" s="15" t="s">
        <v>67</v>
      </c>
      <c r="F29" s="15" t="s">
        <v>236</v>
      </c>
      <c r="G29" s="276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19" t="s">
        <v>35</v>
      </c>
      <c r="B30" s="19" t="s">
        <v>238</v>
      </c>
      <c r="C30" s="20">
        <v>0.83680555555555547</v>
      </c>
      <c r="D30" s="19" t="s">
        <v>37</v>
      </c>
      <c r="E30" s="19" t="s">
        <v>89</v>
      </c>
      <c r="F30" s="19" t="s">
        <v>224</v>
      </c>
      <c r="G30" s="276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5" customHeight="1" x14ac:dyDescent="0.3">
      <c r="A31" s="15" t="s">
        <v>35</v>
      </c>
      <c r="B31" s="15" t="s">
        <v>238</v>
      </c>
      <c r="C31" s="16">
        <v>0.83680555555555547</v>
      </c>
      <c r="D31" s="15" t="s">
        <v>40</v>
      </c>
      <c r="E31" s="15" t="s">
        <v>67</v>
      </c>
      <c r="F31" s="15" t="s">
        <v>235</v>
      </c>
      <c r="G31" s="276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15" t="s">
        <v>35</v>
      </c>
      <c r="B32" s="15" t="s">
        <v>238</v>
      </c>
      <c r="C32" s="16">
        <v>0.83680555555555547</v>
      </c>
      <c r="D32" s="15" t="s">
        <v>43</v>
      </c>
      <c r="E32" s="15" t="s">
        <v>67</v>
      </c>
      <c r="F32" s="15" t="s">
        <v>236</v>
      </c>
      <c r="G32" s="276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5" customHeight="1" x14ac:dyDescent="0.3">
      <c r="A33" s="19" t="s">
        <v>35</v>
      </c>
      <c r="B33" s="19" t="s">
        <v>239</v>
      </c>
      <c r="C33" s="20">
        <v>0.94444444444444453</v>
      </c>
      <c r="D33" s="19" t="s">
        <v>37</v>
      </c>
      <c r="E33" s="19" t="s">
        <v>240</v>
      </c>
      <c r="F33" s="19" t="s">
        <v>224</v>
      </c>
      <c r="G33" s="276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5" customHeight="1" x14ac:dyDescent="0.3">
      <c r="A34" s="15" t="s">
        <v>35</v>
      </c>
      <c r="B34" s="15" t="s">
        <v>239</v>
      </c>
      <c r="C34" s="16">
        <v>0.94444444444444453</v>
      </c>
      <c r="D34" s="15" t="s">
        <v>40</v>
      </c>
      <c r="E34" s="15" t="s">
        <v>41</v>
      </c>
      <c r="F34" s="15" t="s">
        <v>235</v>
      </c>
      <c r="G34" s="276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15" customHeight="1" x14ac:dyDescent="0.3">
      <c r="A35" s="15" t="s">
        <v>35</v>
      </c>
      <c r="B35" s="15" t="s">
        <v>239</v>
      </c>
      <c r="C35" s="16">
        <v>0.94444444444444453</v>
      </c>
      <c r="D35" s="15" t="s">
        <v>43</v>
      </c>
      <c r="E35" s="15" t="s">
        <v>41</v>
      </c>
      <c r="F35" s="15" t="s">
        <v>236</v>
      </c>
      <c r="G35" s="276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15" customHeight="1" x14ac:dyDescent="0.3">
      <c r="A36" s="19" t="s">
        <v>35</v>
      </c>
      <c r="B36" s="19" t="s">
        <v>241</v>
      </c>
      <c r="C36" s="20">
        <v>0.4861111111111111</v>
      </c>
      <c r="D36" s="19" t="s">
        <v>37</v>
      </c>
      <c r="E36" s="19" t="s">
        <v>89</v>
      </c>
      <c r="F36" s="19" t="s">
        <v>224</v>
      </c>
      <c r="G36" s="276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15" customHeight="1" x14ac:dyDescent="0.3">
      <c r="A37" s="15" t="s">
        <v>35</v>
      </c>
      <c r="B37" s="15" t="s">
        <v>241</v>
      </c>
      <c r="C37" s="16">
        <v>0.4861111111111111</v>
      </c>
      <c r="D37" s="15" t="s">
        <v>40</v>
      </c>
      <c r="E37" s="15" t="s">
        <v>67</v>
      </c>
      <c r="F37" s="15" t="s">
        <v>235</v>
      </c>
      <c r="G37" s="276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15" customHeight="1" x14ac:dyDescent="0.3">
      <c r="A38" s="15" t="s">
        <v>35</v>
      </c>
      <c r="B38" s="15" t="s">
        <v>241</v>
      </c>
      <c r="C38" s="16">
        <v>0.4861111111111111</v>
      </c>
      <c r="D38" s="15" t="s">
        <v>43</v>
      </c>
      <c r="E38" s="15" t="s">
        <v>67</v>
      </c>
      <c r="F38" s="15" t="s">
        <v>236</v>
      </c>
      <c r="G38" s="276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15" customHeight="1" x14ac:dyDescent="0.3">
      <c r="A39" s="19" t="s">
        <v>35</v>
      </c>
      <c r="B39" s="19" t="s">
        <v>242</v>
      </c>
      <c r="C39" s="20">
        <v>0.3923611111111111</v>
      </c>
      <c r="D39" s="19" t="s">
        <v>37</v>
      </c>
      <c r="E39" s="19" t="s">
        <v>240</v>
      </c>
      <c r="F39" s="19" t="s">
        <v>224</v>
      </c>
      <c r="G39" s="276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15" customHeight="1" x14ac:dyDescent="0.3">
      <c r="A40" s="15" t="s">
        <v>35</v>
      </c>
      <c r="B40" s="15" t="s">
        <v>242</v>
      </c>
      <c r="C40" s="16">
        <v>0.3923611111111111</v>
      </c>
      <c r="D40" s="15" t="s">
        <v>40</v>
      </c>
      <c r="E40" s="15" t="s">
        <v>41</v>
      </c>
      <c r="F40" s="15" t="s">
        <v>235</v>
      </c>
      <c r="G40" s="276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15" customHeight="1" x14ac:dyDescent="0.3">
      <c r="A41" s="15" t="s">
        <v>35</v>
      </c>
      <c r="B41" s="15" t="s">
        <v>242</v>
      </c>
      <c r="C41" s="16">
        <v>0.3923611111111111</v>
      </c>
      <c r="D41" s="15" t="s">
        <v>43</v>
      </c>
      <c r="E41" s="15" t="s">
        <v>41</v>
      </c>
      <c r="F41" s="15" t="s">
        <v>236</v>
      </c>
      <c r="G41" s="276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5" customHeight="1" x14ac:dyDescent="0.3">
      <c r="A42" s="19" t="s">
        <v>35</v>
      </c>
      <c r="B42" s="19" t="s">
        <v>243</v>
      </c>
      <c r="C42" s="20">
        <v>0.88888888888888884</v>
      </c>
      <c r="D42" s="19" t="s">
        <v>37</v>
      </c>
      <c r="E42" s="19" t="s">
        <v>240</v>
      </c>
      <c r="F42" s="19" t="s">
        <v>224</v>
      </c>
      <c r="G42" s="276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15" customHeight="1" x14ac:dyDescent="0.3">
      <c r="A43" s="15" t="s">
        <v>35</v>
      </c>
      <c r="B43" s="15" t="s">
        <v>243</v>
      </c>
      <c r="C43" s="16">
        <v>0.88888888888888884</v>
      </c>
      <c r="D43" s="15" t="s">
        <v>40</v>
      </c>
      <c r="E43" s="15" t="s">
        <v>41</v>
      </c>
      <c r="F43" s="15" t="s">
        <v>235</v>
      </c>
      <c r="G43" s="276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5" customHeight="1" x14ac:dyDescent="0.3">
      <c r="A44" s="15" t="s">
        <v>35</v>
      </c>
      <c r="B44" s="15" t="s">
        <v>243</v>
      </c>
      <c r="C44" s="16">
        <v>0.88888888888888884</v>
      </c>
      <c r="D44" s="15" t="s">
        <v>43</v>
      </c>
      <c r="E44" s="15" t="s">
        <v>41</v>
      </c>
      <c r="F44" s="15" t="s">
        <v>236</v>
      </c>
      <c r="G44" s="276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15" customHeight="1" x14ac:dyDescent="0.3">
      <c r="A45" s="19" t="s">
        <v>35</v>
      </c>
      <c r="B45" s="19" t="s">
        <v>244</v>
      </c>
      <c r="C45" s="20">
        <v>0.75</v>
      </c>
      <c r="D45" s="19" t="s">
        <v>37</v>
      </c>
      <c r="E45" s="19" t="s">
        <v>89</v>
      </c>
      <c r="F45" s="19" t="s">
        <v>233</v>
      </c>
      <c r="G45" s="276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15" customHeight="1" x14ac:dyDescent="0.3">
      <c r="A46" s="15" t="s">
        <v>35</v>
      </c>
      <c r="B46" s="15" t="s">
        <v>244</v>
      </c>
      <c r="C46" s="16">
        <v>0.75</v>
      </c>
      <c r="D46" s="15" t="s">
        <v>40</v>
      </c>
      <c r="E46" s="15" t="s">
        <v>67</v>
      </c>
      <c r="F46" s="15" t="s">
        <v>69</v>
      </c>
      <c r="G46" s="276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15" t="s">
        <v>35</v>
      </c>
      <c r="B47" s="15" t="s">
        <v>244</v>
      </c>
      <c r="C47" s="16">
        <v>0.75</v>
      </c>
      <c r="D47" s="15" t="s">
        <v>43</v>
      </c>
      <c r="E47" s="15" t="s">
        <v>67</v>
      </c>
      <c r="F47" s="15" t="s">
        <v>245</v>
      </c>
      <c r="G47" s="276"/>
      <c r="H47" s="10"/>
      <c r="I47" s="11"/>
      <c r="J47" s="11"/>
      <c r="K47" s="11"/>
      <c r="L47" s="11"/>
      <c r="M47" s="11"/>
      <c r="N47" s="11"/>
      <c r="O47" s="12"/>
      <c r="P47" s="11"/>
      <c r="Q47" s="13"/>
      <c r="R47" s="14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5" customHeight="1" x14ac:dyDescent="0.3">
      <c r="A48" s="17" t="s">
        <v>246</v>
      </c>
      <c r="B48" s="17" t="s">
        <v>247</v>
      </c>
      <c r="C48" s="18">
        <v>0.49305555555555558</v>
      </c>
      <c r="D48" s="17" t="s">
        <v>191</v>
      </c>
      <c r="E48" s="17" t="s">
        <v>73</v>
      </c>
      <c r="F48" s="17" t="s">
        <v>248</v>
      </c>
      <c r="G48" s="276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15" customHeight="1" x14ac:dyDescent="0.3">
      <c r="A49" s="17" t="s">
        <v>249</v>
      </c>
      <c r="B49" s="17" t="s">
        <v>250</v>
      </c>
      <c r="C49" s="18">
        <v>0.11805555555555559</v>
      </c>
      <c r="D49" s="17" t="s">
        <v>191</v>
      </c>
      <c r="E49" s="17" t="s">
        <v>159</v>
      </c>
      <c r="F49" s="17" t="s">
        <v>251</v>
      </c>
      <c r="G49" s="276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:92" ht="15" customHeight="1" x14ac:dyDescent="0.3">
      <c r="A50" s="19" t="s">
        <v>249</v>
      </c>
      <c r="B50" s="19" t="s">
        <v>252</v>
      </c>
      <c r="C50" s="20">
        <v>0.4201388888888889</v>
      </c>
      <c r="D50" s="19" t="s">
        <v>191</v>
      </c>
      <c r="E50" s="19" t="s">
        <v>76</v>
      </c>
      <c r="F50" s="19" t="s">
        <v>251</v>
      </c>
      <c r="G50" s="276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  <row r="51" spans="1:92" ht="15" customHeight="1" x14ac:dyDescent="0.3">
      <c r="A51" s="17" t="s">
        <v>49</v>
      </c>
      <c r="B51" s="17" t="s">
        <v>253</v>
      </c>
      <c r="C51" s="18">
        <v>0.11805555555555559</v>
      </c>
      <c r="D51" s="17" t="s">
        <v>51</v>
      </c>
      <c r="E51" s="17" t="s">
        <v>73</v>
      </c>
      <c r="F51" s="17" t="s">
        <v>254</v>
      </c>
      <c r="G51" s="276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</row>
    <row r="52" spans="1:92" ht="15" customHeight="1" x14ac:dyDescent="0.3">
      <c r="A52" s="19" t="s">
        <v>49</v>
      </c>
      <c r="B52" s="19" t="s">
        <v>255</v>
      </c>
      <c r="C52" s="20">
        <v>0.48958333333333331</v>
      </c>
      <c r="D52" s="19" t="s">
        <v>51</v>
      </c>
      <c r="E52" s="19" t="s">
        <v>76</v>
      </c>
      <c r="F52" s="19" t="s">
        <v>256</v>
      </c>
      <c r="G52" s="276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</row>
    <row r="53" spans="1:92" ht="15" customHeight="1" x14ac:dyDescent="0.3">
      <c r="A53" s="19" t="s">
        <v>49</v>
      </c>
      <c r="B53" s="19" t="s">
        <v>257</v>
      </c>
      <c r="C53" s="20">
        <v>0.82986111111111116</v>
      </c>
      <c r="D53" s="19" t="s">
        <v>51</v>
      </c>
      <c r="E53" s="19" t="s">
        <v>76</v>
      </c>
      <c r="F53" s="19" t="s">
        <v>256</v>
      </c>
      <c r="G53" s="276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</row>
    <row r="54" spans="1:92" ht="15" customHeight="1" x14ac:dyDescent="0.3">
      <c r="A54" s="19" t="s">
        <v>49</v>
      </c>
      <c r="B54" s="19" t="s">
        <v>258</v>
      </c>
      <c r="C54" s="20">
        <v>0.72222222222222221</v>
      </c>
      <c r="D54" s="19" t="s">
        <v>51</v>
      </c>
      <c r="E54" s="19" t="s">
        <v>76</v>
      </c>
      <c r="F54" s="19" t="s">
        <v>256</v>
      </c>
      <c r="G54" s="276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</row>
    <row r="55" spans="1:92" ht="15" customHeight="1" x14ac:dyDescent="0.3">
      <c r="A55" s="19" t="s">
        <v>49</v>
      </c>
      <c r="B55" s="19" t="s">
        <v>259</v>
      </c>
      <c r="C55" s="20">
        <v>0.25347222222222221</v>
      </c>
      <c r="D55" s="19" t="s">
        <v>51</v>
      </c>
      <c r="E55" s="19" t="s">
        <v>76</v>
      </c>
      <c r="F55" s="19" t="s">
        <v>256</v>
      </c>
      <c r="G55" s="276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</row>
    <row r="56" spans="1:92" ht="15" customHeight="1" x14ac:dyDescent="0.3">
      <c r="A56" s="19" t="s">
        <v>49</v>
      </c>
      <c r="B56" s="19" t="s">
        <v>260</v>
      </c>
      <c r="C56" s="20">
        <v>4.1666666666666657E-2</v>
      </c>
      <c r="D56" s="19" t="s">
        <v>51</v>
      </c>
      <c r="E56" s="19" t="s">
        <v>76</v>
      </c>
      <c r="F56" s="19" t="s">
        <v>256</v>
      </c>
      <c r="G56" s="276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</row>
    <row r="57" spans="1:92" ht="15" customHeight="1" x14ac:dyDescent="0.3">
      <c r="A57" s="19" t="s">
        <v>49</v>
      </c>
      <c r="B57" s="19" t="s">
        <v>261</v>
      </c>
      <c r="C57" s="20">
        <v>0.94097222222222221</v>
      </c>
      <c r="D57" s="19" t="s">
        <v>51</v>
      </c>
      <c r="E57" s="19" t="s">
        <v>76</v>
      </c>
      <c r="F57" s="19" t="s">
        <v>256</v>
      </c>
      <c r="G57" s="276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</row>
    <row r="58" spans="1:92" ht="15" customHeight="1" x14ac:dyDescent="0.3">
      <c r="A58" s="19" t="s">
        <v>49</v>
      </c>
      <c r="B58" s="19" t="s">
        <v>262</v>
      </c>
      <c r="C58" s="20">
        <v>0.98958333333333337</v>
      </c>
      <c r="D58" s="19" t="s">
        <v>51</v>
      </c>
      <c r="E58" s="19" t="s">
        <v>57</v>
      </c>
      <c r="F58" s="19" t="s">
        <v>263</v>
      </c>
      <c r="G58" s="276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</row>
    <row r="59" spans="1:92" ht="15" customHeight="1" x14ac:dyDescent="0.3">
      <c r="A59" s="19" t="s">
        <v>49</v>
      </c>
      <c r="B59" s="19" t="s">
        <v>264</v>
      </c>
      <c r="C59" s="20">
        <v>0.39930555555555558</v>
      </c>
      <c r="D59" s="19" t="s">
        <v>51</v>
      </c>
      <c r="E59" s="19" t="s">
        <v>57</v>
      </c>
      <c r="F59" s="19" t="s">
        <v>263</v>
      </c>
      <c r="G59" s="276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</row>
    <row r="60" spans="1:92" ht="15" customHeight="1" x14ac:dyDescent="0.3">
      <c r="A60" s="19" t="s">
        <v>49</v>
      </c>
      <c r="B60" s="19" t="s">
        <v>265</v>
      </c>
      <c r="C60" s="20">
        <v>0.48958333333333331</v>
      </c>
      <c r="D60" s="19" t="s">
        <v>51</v>
      </c>
      <c r="E60" s="19" t="s">
        <v>57</v>
      </c>
      <c r="F60" s="19" t="s">
        <v>263</v>
      </c>
      <c r="G60" s="276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</row>
    <row r="61" spans="1:92" ht="15" customHeight="1" x14ac:dyDescent="0.3">
      <c r="A61" s="19" t="s">
        <v>49</v>
      </c>
      <c r="B61" s="19" t="s">
        <v>266</v>
      </c>
      <c r="C61" s="20">
        <v>0.88888888888888884</v>
      </c>
      <c r="D61" s="19" t="s">
        <v>51</v>
      </c>
      <c r="E61" s="19" t="s">
        <v>57</v>
      </c>
      <c r="F61" s="19" t="s">
        <v>263</v>
      </c>
      <c r="G61" s="276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</row>
    <row r="62" spans="1:92" ht="15" customHeight="1" x14ac:dyDescent="0.3">
      <c r="A62" s="37" t="s">
        <v>49</v>
      </c>
      <c r="B62" s="37" t="s">
        <v>267</v>
      </c>
      <c r="C62" s="38">
        <v>0.70486111111111116</v>
      </c>
      <c r="D62" s="37" t="s">
        <v>51</v>
      </c>
      <c r="E62" s="37" t="s">
        <v>268</v>
      </c>
      <c r="F62" s="37" t="s">
        <v>269</v>
      </c>
      <c r="G62" s="277"/>
      <c r="H62" s="39"/>
      <c r="I62" s="40"/>
      <c r="J62" s="40"/>
      <c r="K62" s="40"/>
      <c r="L62" s="40"/>
      <c r="M62" s="40"/>
      <c r="N62" s="40"/>
      <c r="O62" s="41"/>
      <c r="P62" s="40"/>
      <c r="Q62" s="42"/>
      <c r="R62" s="4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</row>
    <row r="63" spans="1:92" ht="14.4" customHeight="1" x14ac:dyDescent="0.3">
      <c r="A63" s="284"/>
      <c r="B63" s="285"/>
      <c r="C63" s="285"/>
      <c r="D63" s="285"/>
      <c r="E63" s="285"/>
      <c r="F63" s="285"/>
      <c r="G63" s="273"/>
      <c r="H63" s="286"/>
      <c r="I63" s="286"/>
      <c r="J63" s="286"/>
      <c r="K63" s="286"/>
      <c r="L63" s="286"/>
      <c r="M63" s="286"/>
      <c r="N63" s="286"/>
      <c r="O63" s="287"/>
      <c r="P63" s="286"/>
      <c r="Q63" s="273"/>
      <c r="R63" s="274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</row>
    <row r="64" spans="1:92" ht="22.05" customHeight="1" x14ac:dyDescent="0.3">
      <c r="A64" s="280" t="s">
        <v>5</v>
      </c>
      <c r="B64" s="281"/>
      <c r="C64" s="281"/>
      <c r="D64" s="281"/>
      <c r="E64" s="281"/>
      <c r="F64" s="281"/>
      <c r="G64" s="5">
        <v>45989</v>
      </c>
      <c r="H64" s="290" t="s">
        <v>6</v>
      </c>
      <c r="I64" s="291"/>
      <c r="J64" s="291"/>
      <c r="K64" s="291"/>
      <c r="L64" s="291"/>
      <c r="M64" s="291"/>
      <c r="N64" s="291"/>
      <c r="O64" s="291"/>
      <c r="P64" s="291"/>
      <c r="Q64" s="291"/>
      <c r="R64" s="291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</row>
    <row r="65" spans="1:92" ht="24" customHeight="1" x14ac:dyDescent="0.3">
      <c r="A65" s="31" t="s">
        <v>7</v>
      </c>
      <c r="B65" s="31" t="s">
        <v>8</v>
      </c>
      <c r="C65" s="32" t="s">
        <v>9</v>
      </c>
      <c r="D65" s="31" t="s">
        <v>10</v>
      </c>
      <c r="E65" s="31" t="s">
        <v>11</v>
      </c>
      <c r="F65" s="31" t="s">
        <v>12</v>
      </c>
      <c r="G65" s="33" t="s">
        <v>13</v>
      </c>
      <c r="H65" s="31" t="s">
        <v>14</v>
      </c>
      <c r="I65" s="34" t="s">
        <v>15</v>
      </c>
      <c r="J65" s="35" t="s">
        <v>16</v>
      </c>
      <c r="K65" s="36" t="s">
        <v>17</v>
      </c>
      <c r="L65" s="35" t="s">
        <v>18</v>
      </c>
      <c r="M65" s="35" t="s">
        <v>19</v>
      </c>
      <c r="N65" s="35" t="s">
        <v>20</v>
      </c>
      <c r="O65" s="31" t="s">
        <v>21</v>
      </c>
      <c r="P65" s="32" t="s">
        <v>22</v>
      </c>
      <c r="Q65" s="35" t="s">
        <v>23</v>
      </c>
      <c r="R65" s="31" t="s">
        <v>24</v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</row>
    <row r="66" spans="1:92" ht="15" customHeight="1" x14ac:dyDescent="0.3">
      <c r="A66" s="8" t="s">
        <v>246</v>
      </c>
      <c r="B66" s="8" t="s">
        <v>247</v>
      </c>
      <c r="C66" s="9">
        <v>0.49305555555555558</v>
      </c>
      <c r="D66" s="8" t="s">
        <v>191</v>
      </c>
      <c r="E66" s="8" t="s">
        <v>86</v>
      </c>
      <c r="F66" s="8" t="s">
        <v>270</v>
      </c>
      <c r="G66" s="275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</row>
    <row r="67" spans="1:92" ht="15" customHeight="1" x14ac:dyDescent="0.3">
      <c r="A67" s="121" t="s">
        <v>59</v>
      </c>
      <c r="B67" s="121" t="s">
        <v>271</v>
      </c>
      <c r="C67" s="122">
        <v>0.55902777777777779</v>
      </c>
      <c r="D67" s="121" t="s">
        <v>191</v>
      </c>
      <c r="E67" s="121" t="s">
        <v>52</v>
      </c>
      <c r="F67" s="121" t="s">
        <v>272</v>
      </c>
      <c r="G67" s="276"/>
      <c r="H67" s="124" t="s">
        <v>273</v>
      </c>
      <c r="I67" s="125">
        <v>0.9778</v>
      </c>
      <c r="J67" s="126">
        <v>176</v>
      </c>
      <c r="K67" s="127">
        <v>45986</v>
      </c>
      <c r="L67" s="126">
        <v>50</v>
      </c>
      <c r="M67" s="126">
        <v>0</v>
      </c>
      <c r="N67" s="126">
        <v>5</v>
      </c>
      <c r="O67" s="128" t="s">
        <v>135</v>
      </c>
      <c r="P67" s="129">
        <v>0.55902777777777779</v>
      </c>
      <c r="Q67" s="126">
        <v>180</v>
      </c>
      <c r="R67" s="130" t="s">
        <v>274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</row>
    <row r="68" spans="1:92" ht="15" customHeight="1" x14ac:dyDescent="0.3">
      <c r="A68" s="174" t="s">
        <v>59</v>
      </c>
      <c r="B68" s="174" t="s">
        <v>275</v>
      </c>
      <c r="C68" s="175">
        <v>0.76041666666666663</v>
      </c>
      <c r="D68" s="174" t="s">
        <v>191</v>
      </c>
      <c r="E68" s="174" t="s">
        <v>268</v>
      </c>
      <c r="F68" s="174" t="s">
        <v>209</v>
      </c>
      <c r="G68" s="276"/>
      <c r="H68" s="177" t="s">
        <v>276</v>
      </c>
      <c r="I68" s="178">
        <v>0.9889</v>
      </c>
      <c r="J68" s="179">
        <v>178</v>
      </c>
      <c r="K68" s="180">
        <v>45986</v>
      </c>
      <c r="L68" s="179">
        <v>9</v>
      </c>
      <c r="M68" s="179">
        <v>0</v>
      </c>
      <c r="N68" s="179">
        <v>1</v>
      </c>
      <c r="O68" s="181" t="s">
        <v>211</v>
      </c>
      <c r="P68" s="182">
        <v>0.76041666666666663</v>
      </c>
      <c r="Q68" s="179">
        <v>180</v>
      </c>
      <c r="R68" s="183" t="s">
        <v>277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</row>
    <row r="69" spans="1:92" ht="15" customHeight="1" x14ac:dyDescent="0.3">
      <c r="A69" s="184" t="s">
        <v>59</v>
      </c>
      <c r="B69" s="184" t="s">
        <v>215</v>
      </c>
      <c r="C69" s="185">
        <v>0.1423611111111111</v>
      </c>
      <c r="D69" s="184" t="s">
        <v>61</v>
      </c>
      <c r="E69" s="186"/>
      <c r="F69" s="184" t="s">
        <v>62</v>
      </c>
      <c r="G69" s="276"/>
      <c r="H69" s="187" t="s">
        <v>215</v>
      </c>
      <c r="I69" s="188">
        <v>1</v>
      </c>
      <c r="J69" s="189">
        <v>180</v>
      </c>
      <c r="K69" s="190">
        <v>45986</v>
      </c>
      <c r="L69" s="189">
        <v>12</v>
      </c>
      <c r="M69" s="189">
        <v>0</v>
      </c>
      <c r="N69" s="189">
        <v>1</v>
      </c>
      <c r="O69" s="191" t="s">
        <v>63</v>
      </c>
      <c r="P69" s="192">
        <v>0.1423611111111111</v>
      </c>
      <c r="Q69" s="189">
        <v>180</v>
      </c>
      <c r="R69" s="193" t="s">
        <v>278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</row>
    <row r="70" spans="1:92" ht="15" customHeight="1" x14ac:dyDescent="0.3">
      <c r="A70" s="165" t="s">
        <v>59</v>
      </c>
      <c r="B70" s="165" t="s">
        <v>219</v>
      </c>
      <c r="C70" s="166">
        <v>0.28125</v>
      </c>
      <c r="D70" s="165" t="s">
        <v>61</v>
      </c>
      <c r="E70" s="167"/>
      <c r="F70" s="165" t="s">
        <v>62</v>
      </c>
      <c r="G70" s="276"/>
      <c r="H70" s="140" t="s">
        <v>219</v>
      </c>
      <c r="I70" s="141">
        <v>0.99439999999999995</v>
      </c>
      <c r="J70" s="142">
        <v>179</v>
      </c>
      <c r="K70" s="143">
        <v>45986</v>
      </c>
      <c r="L70" s="142">
        <v>48</v>
      </c>
      <c r="M70" s="142">
        <v>0</v>
      </c>
      <c r="N70" s="142">
        <v>2</v>
      </c>
      <c r="O70" s="144" t="s">
        <v>63</v>
      </c>
      <c r="P70" s="145">
        <v>0.28125</v>
      </c>
      <c r="Q70" s="142">
        <v>180</v>
      </c>
      <c r="R70" s="146" t="s">
        <v>279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</row>
    <row r="71" spans="1:92" ht="15" customHeight="1" x14ac:dyDescent="0.3">
      <c r="A71" s="168" t="s">
        <v>59</v>
      </c>
      <c r="B71" s="168" t="s">
        <v>221</v>
      </c>
      <c r="C71" s="169">
        <v>0.4375</v>
      </c>
      <c r="D71" s="168" t="s">
        <v>61</v>
      </c>
      <c r="E71" s="170"/>
      <c r="F71" s="168" t="s">
        <v>62</v>
      </c>
      <c r="G71" s="276"/>
      <c r="H71" s="158" t="s">
        <v>221</v>
      </c>
      <c r="I71" s="159">
        <v>1.0056</v>
      </c>
      <c r="J71" s="160">
        <v>181</v>
      </c>
      <c r="K71" s="161">
        <v>45986</v>
      </c>
      <c r="L71" s="160">
        <v>32</v>
      </c>
      <c r="M71" s="160">
        <v>0</v>
      </c>
      <c r="N71" s="160">
        <v>6</v>
      </c>
      <c r="O71" s="162" t="s">
        <v>63</v>
      </c>
      <c r="P71" s="163">
        <v>0.4375</v>
      </c>
      <c r="Q71" s="160">
        <v>180</v>
      </c>
      <c r="R71" s="164" t="s">
        <v>280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</row>
    <row r="72" spans="1:92" ht="15" customHeight="1" x14ac:dyDescent="0.3">
      <c r="A72" s="17" t="s">
        <v>25</v>
      </c>
      <c r="B72" s="17" t="s">
        <v>223</v>
      </c>
      <c r="C72" s="18">
        <v>0.39930555555555558</v>
      </c>
      <c r="D72" s="17" t="s">
        <v>27</v>
      </c>
      <c r="E72" s="17" t="s">
        <v>159</v>
      </c>
      <c r="F72" s="17" t="s">
        <v>224</v>
      </c>
      <c r="G72" s="276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</row>
    <row r="73" spans="1:92" ht="15" customHeight="1" x14ac:dyDescent="0.3">
      <c r="A73" s="15" t="s">
        <v>25</v>
      </c>
      <c r="B73" s="15" t="s">
        <v>223</v>
      </c>
      <c r="C73" s="16">
        <v>0.39930555555555558</v>
      </c>
      <c r="D73" s="15" t="s">
        <v>30</v>
      </c>
      <c r="E73" s="15" t="s">
        <v>227</v>
      </c>
      <c r="F73" s="15" t="s">
        <v>88</v>
      </c>
      <c r="G73" s="276"/>
      <c r="H73" s="10"/>
      <c r="I73" s="11"/>
      <c r="J73" s="11"/>
      <c r="K73" s="11"/>
      <c r="L73" s="11"/>
      <c r="M73" s="11"/>
      <c r="N73" s="11"/>
      <c r="O73" s="12"/>
      <c r="P73" s="11"/>
      <c r="Q73" s="13"/>
      <c r="R73" s="14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</row>
    <row r="74" spans="1:92" ht="15" customHeight="1" x14ac:dyDescent="0.3">
      <c r="A74" s="15" t="s">
        <v>25</v>
      </c>
      <c r="B74" s="15" t="s">
        <v>223</v>
      </c>
      <c r="C74" s="16">
        <v>0.39930555555555558</v>
      </c>
      <c r="D74" s="15" t="s">
        <v>33</v>
      </c>
      <c r="E74" s="15" t="s">
        <v>227</v>
      </c>
      <c r="F74" s="15" t="s">
        <v>34</v>
      </c>
      <c r="G74" s="276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</row>
    <row r="75" spans="1:92" ht="15" customHeight="1" x14ac:dyDescent="0.3">
      <c r="A75" s="19" t="s">
        <v>25</v>
      </c>
      <c r="B75" s="19" t="s">
        <v>228</v>
      </c>
      <c r="C75" s="20">
        <v>0.98958333333333337</v>
      </c>
      <c r="D75" s="19" t="s">
        <v>27</v>
      </c>
      <c r="E75" s="19" t="s">
        <v>281</v>
      </c>
      <c r="F75" s="19" t="s">
        <v>231</v>
      </c>
      <c r="G75" s="276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</row>
    <row r="76" spans="1:92" ht="15" customHeight="1" x14ac:dyDescent="0.3">
      <c r="A76" s="15" t="s">
        <v>25</v>
      </c>
      <c r="B76" s="15" t="s">
        <v>228</v>
      </c>
      <c r="C76" s="16">
        <v>0.98958333333333337</v>
      </c>
      <c r="D76" s="15" t="s">
        <v>30</v>
      </c>
      <c r="E76" s="15" t="s">
        <v>282</v>
      </c>
      <c r="F76" s="15" t="s">
        <v>233</v>
      </c>
      <c r="G76" s="276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</row>
    <row r="77" spans="1:92" ht="15" customHeight="1" x14ac:dyDescent="0.3">
      <c r="A77" s="15" t="s">
        <v>25</v>
      </c>
      <c r="B77" s="15" t="s">
        <v>228</v>
      </c>
      <c r="C77" s="16">
        <v>0.98958333333333337</v>
      </c>
      <c r="D77" s="15" t="s">
        <v>33</v>
      </c>
      <c r="E77" s="15" t="s">
        <v>282</v>
      </c>
      <c r="F77" s="15" t="s">
        <v>34</v>
      </c>
      <c r="G77" s="276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</row>
    <row r="78" spans="1:92" ht="15" customHeight="1" x14ac:dyDescent="0.3">
      <c r="A78" s="19" t="s">
        <v>25</v>
      </c>
      <c r="B78" s="19" t="s">
        <v>225</v>
      </c>
      <c r="C78" s="20">
        <v>0.48958333333333331</v>
      </c>
      <c r="D78" s="19" t="s">
        <v>27</v>
      </c>
      <c r="E78" s="19" t="s">
        <v>281</v>
      </c>
      <c r="F78" s="19" t="s">
        <v>88</v>
      </c>
      <c r="G78" s="276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</row>
    <row r="79" spans="1:92" ht="15" customHeight="1" x14ac:dyDescent="0.3">
      <c r="A79" s="15" t="s">
        <v>25</v>
      </c>
      <c r="B79" s="15" t="s">
        <v>225</v>
      </c>
      <c r="C79" s="16">
        <v>0.48958333333333331</v>
      </c>
      <c r="D79" s="15" t="s">
        <v>30</v>
      </c>
      <c r="E79" s="15" t="s">
        <v>282</v>
      </c>
      <c r="F79" s="15" t="s">
        <v>69</v>
      </c>
      <c r="G79" s="276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</row>
    <row r="80" spans="1:92" ht="15" customHeight="1" x14ac:dyDescent="0.3">
      <c r="A80" s="15" t="s">
        <v>25</v>
      </c>
      <c r="B80" s="15" t="s">
        <v>225</v>
      </c>
      <c r="C80" s="16">
        <v>0.48958333333333331</v>
      </c>
      <c r="D80" s="15" t="s">
        <v>33</v>
      </c>
      <c r="E80" s="15" t="s">
        <v>282</v>
      </c>
      <c r="F80" s="15" t="s">
        <v>34</v>
      </c>
      <c r="G80" s="276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</row>
    <row r="81" spans="1:92" ht="15" customHeight="1" x14ac:dyDescent="0.3">
      <c r="A81" s="19" t="s">
        <v>25</v>
      </c>
      <c r="B81" s="19" t="s">
        <v>229</v>
      </c>
      <c r="C81" s="20">
        <v>0.88888888888888884</v>
      </c>
      <c r="D81" s="19" t="s">
        <v>27</v>
      </c>
      <c r="E81" s="19" t="s">
        <v>89</v>
      </c>
      <c r="F81" s="19" t="s">
        <v>88</v>
      </c>
      <c r="G81" s="276"/>
      <c r="H81" s="10"/>
      <c r="I81" s="11"/>
      <c r="J81" s="11"/>
      <c r="K81" s="11"/>
      <c r="L81" s="11"/>
      <c r="M81" s="11"/>
      <c r="N81" s="11"/>
      <c r="O81" s="12"/>
      <c r="P81" s="11"/>
      <c r="Q81" s="13"/>
      <c r="R81" s="14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</row>
    <row r="82" spans="1:92" ht="15" customHeight="1" x14ac:dyDescent="0.3">
      <c r="A82" s="15" t="s">
        <v>25</v>
      </c>
      <c r="B82" s="15" t="s">
        <v>229</v>
      </c>
      <c r="C82" s="16">
        <v>0.88888888888888884</v>
      </c>
      <c r="D82" s="15" t="s">
        <v>30</v>
      </c>
      <c r="E82" s="15" t="s">
        <v>67</v>
      </c>
      <c r="F82" s="15" t="s">
        <v>69</v>
      </c>
      <c r="G82" s="276"/>
      <c r="H82" s="10"/>
      <c r="I82" s="11"/>
      <c r="J82" s="11"/>
      <c r="K82" s="11"/>
      <c r="L82" s="11"/>
      <c r="M82" s="11"/>
      <c r="N82" s="11"/>
      <c r="O82" s="12"/>
      <c r="P82" s="11"/>
      <c r="Q82" s="13"/>
      <c r="R82" s="14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</row>
    <row r="83" spans="1:92" ht="15" customHeight="1" x14ac:dyDescent="0.3">
      <c r="A83" s="15" t="s">
        <v>25</v>
      </c>
      <c r="B83" s="15" t="s">
        <v>229</v>
      </c>
      <c r="C83" s="16">
        <v>0.88888888888888884</v>
      </c>
      <c r="D83" s="15" t="s">
        <v>33</v>
      </c>
      <c r="E83" s="15" t="s">
        <v>67</v>
      </c>
      <c r="F83" s="15" t="s">
        <v>34</v>
      </c>
      <c r="G83" s="276"/>
      <c r="H83" s="10"/>
      <c r="I83" s="11"/>
      <c r="J83" s="11"/>
      <c r="K83" s="11"/>
      <c r="L83" s="11"/>
      <c r="M83" s="11"/>
      <c r="N83" s="11"/>
      <c r="O83" s="12"/>
      <c r="P83" s="11"/>
      <c r="Q83" s="13"/>
      <c r="R83" s="14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</row>
    <row r="84" spans="1:92" ht="15" customHeight="1" x14ac:dyDescent="0.3">
      <c r="A84" s="17" t="s">
        <v>283</v>
      </c>
      <c r="B84" s="17" t="s">
        <v>284</v>
      </c>
      <c r="C84" s="18">
        <v>0.22569444444444439</v>
      </c>
      <c r="D84" s="17" t="s">
        <v>285</v>
      </c>
      <c r="E84" s="17" t="s">
        <v>28</v>
      </c>
      <c r="F84" s="17" t="s">
        <v>286</v>
      </c>
      <c r="G84" s="276"/>
      <c r="H84" s="10"/>
      <c r="I84" s="11"/>
      <c r="J84" s="11"/>
      <c r="K84" s="11"/>
      <c r="L84" s="11"/>
      <c r="M84" s="11"/>
      <c r="N84" s="11"/>
      <c r="O84" s="12"/>
      <c r="P84" s="11"/>
      <c r="Q84" s="13"/>
      <c r="R84" s="14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</row>
    <row r="85" spans="1:92" ht="15" customHeight="1" x14ac:dyDescent="0.3">
      <c r="A85" s="15" t="s">
        <v>283</v>
      </c>
      <c r="B85" s="15" t="s">
        <v>284</v>
      </c>
      <c r="C85" s="16">
        <v>0.22569444444444439</v>
      </c>
      <c r="D85" s="15" t="s">
        <v>33</v>
      </c>
      <c r="E85" s="15" t="s">
        <v>31</v>
      </c>
      <c r="F85" s="15" t="s">
        <v>287</v>
      </c>
      <c r="G85" s="276"/>
      <c r="H85" s="10"/>
      <c r="I85" s="11"/>
      <c r="J85" s="11"/>
      <c r="K85" s="11"/>
      <c r="L85" s="11"/>
      <c r="M85" s="11"/>
      <c r="N85" s="11"/>
      <c r="O85" s="12"/>
      <c r="P85" s="11"/>
      <c r="Q85" s="13"/>
      <c r="R85" s="14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</row>
    <row r="86" spans="1:92" ht="15" customHeight="1" x14ac:dyDescent="0.3">
      <c r="A86" s="19" t="s">
        <v>283</v>
      </c>
      <c r="B86" s="19" t="s">
        <v>288</v>
      </c>
      <c r="C86" s="20">
        <v>0.80902777777777779</v>
      </c>
      <c r="D86" s="19" t="s">
        <v>285</v>
      </c>
      <c r="E86" s="19" t="s">
        <v>289</v>
      </c>
      <c r="F86" s="19" t="s">
        <v>290</v>
      </c>
      <c r="G86" s="276"/>
      <c r="H86" s="10"/>
      <c r="I86" s="11"/>
      <c r="J86" s="11"/>
      <c r="K86" s="11"/>
      <c r="L86" s="11"/>
      <c r="M86" s="11"/>
      <c r="N86" s="11"/>
      <c r="O86" s="12"/>
      <c r="P86" s="11"/>
      <c r="Q86" s="13"/>
      <c r="R86" s="14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</row>
    <row r="87" spans="1:92" ht="15" customHeight="1" x14ac:dyDescent="0.3">
      <c r="A87" s="15" t="s">
        <v>283</v>
      </c>
      <c r="B87" s="15" t="s">
        <v>288</v>
      </c>
      <c r="C87" s="16">
        <v>0.80902777777777779</v>
      </c>
      <c r="D87" s="15" t="s">
        <v>33</v>
      </c>
      <c r="E87" s="15" t="s">
        <v>291</v>
      </c>
      <c r="F87" s="15" t="s">
        <v>292</v>
      </c>
      <c r="G87" s="276"/>
      <c r="H87" s="10"/>
      <c r="I87" s="11"/>
      <c r="J87" s="11"/>
      <c r="K87" s="11"/>
      <c r="L87" s="11"/>
      <c r="M87" s="11"/>
      <c r="N87" s="11"/>
      <c r="O87" s="12"/>
      <c r="P87" s="11"/>
      <c r="Q87" s="13"/>
      <c r="R87" s="14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</row>
    <row r="88" spans="1:92" ht="15" customHeight="1" x14ac:dyDescent="0.3">
      <c r="A88" s="17" t="s">
        <v>35</v>
      </c>
      <c r="B88" s="17" t="s">
        <v>234</v>
      </c>
      <c r="C88" s="18">
        <v>0.34722222222222232</v>
      </c>
      <c r="D88" s="17" t="s">
        <v>37</v>
      </c>
      <c r="E88" s="17" t="s">
        <v>38</v>
      </c>
      <c r="F88" s="17" t="s">
        <v>231</v>
      </c>
      <c r="G88" s="276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</row>
    <row r="89" spans="1:92" ht="15" customHeight="1" x14ac:dyDescent="0.3">
      <c r="A89" s="15" t="s">
        <v>35</v>
      </c>
      <c r="B89" s="15" t="s">
        <v>234</v>
      </c>
      <c r="C89" s="16">
        <v>0.34722222222222232</v>
      </c>
      <c r="D89" s="15" t="s">
        <v>40</v>
      </c>
      <c r="E89" s="15" t="s">
        <v>41</v>
      </c>
      <c r="F89" s="15" t="s">
        <v>88</v>
      </c>
      <c r="G89" s="276"/>
      <c r="H89" s="10"/>
      <c r="I89" s="11"/>
      <c r="J89" s="11"/>
      <c r="K89" s="11"/>
      <c r="L89" s="11"/>
      <c r="M89" s="11"/>
      <c r="N89" s="11"/>
      <c r="O89" s="12"/>
      <c r="P89" s="11"/>
      <c r="Q89" s="13"/>
      <c r="R89" s="14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</row>
    <row r="90" spans="1:92" ht="15" customHeight="1" x14ac:dyDescent="0.3">
      <c r="A90" s="15" t="s">
        <v>35</v>
      </c>
      <c r="B90" s="15" t="s">
        <v>234</v>
      </c>
      <c r="C90" s="16">
        <v>0.34722222222222232</v>
      </c>
      <c r="D90" s="15" t="s">
        <v>43</v>
      </c>
      <c r="E90" s="15" t="s">
        <v>41</v>
      </c>
      <c r="F90" s="15" t="s">
        <v>293</v>
      </c>
      <c r="G90" s="276"/>
      <c r="H90" s="10"/>
      <c r="I90" s="11"/>
      <c r="J90" s="11"/>
      <c r="K90" s="11"/>
      <c r="L90" s="11"/>
      <c r="M90" s="11"/>
      <c r="N90" s="11"/>
      <c r="O90" s="12"/>
      <c r="P90" s="11"/>
      <c r="Q90" s="13"/>
      <c r="R90" s="14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</row>
    <row r="91" spans="1:92" ht="15" customHeight="1" x14ac:dyDescent="0.3">
      <c r="A91" s="19" t="s">
        <v>35</v>
      </c>
      <c r="B91" s="19" t="s">
        <v>237</v>
      </c>
      <c r="C91" s="20">
        <v>0.99305555555555547</v>
      </c>
      <c r="D91" s="19" t="s">
        <v>37</v>
      </c>
      <c r="E91" s="19" t="s">
        <v>294</v>
      </c>
      <c r="F91" s="19" t="s">
        <v>231</v>
      </c>
      <c r="G91" s="276"/>
      <c r="H91" s="10"/>
      <c r="I91" s="11"/>
      <c r="J91" s="11"/>
      <c r="K91" s="11"/>
      <c r="L91" s="11"/>
      <c r="M91" s="11"/>
      <c r="N91" s="11"/>
      <c r="O91" s="12"/>
      <c r="P91" s="11"/>
      <c r="Q91" s="13"/>
      <c r="R91" s="14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</row>
    <row r="92" spans="1:92" ht="15" customHeight="1" x14ac:dyDescent="0.3">
      <c r="A92" s="15" t="s">
        <v>35</v>
      </c>
      <c r="B92" s="15" t="s">
        <v>237</v>
      </c>
      <c r="C92" s="16">
        <v>0.99305555555555547</v>
      </c>
      <c r="D92" s="15" t="s">
        <v>40</v>
      </c>
      <c r="E92" s="15" t="s">
        <v>31</v>
      </c>
      <c r="F92" s="15" t="s">
        <v>88</v>
      </c>
      <c r="G92" s="276"/>
      <c r="H92" s="10"/>
      <c r="I92" s="11"/>
      <c r="J92" s="11"/>
      <c r="K92" s="11"/>
      <c r="L92" s="11"/>
      <c r="M92" s="11"/>
      <c r="N92" s="11"/>
      <c r="O92" s="12"/>
      <c r="P92" s="11"/>
      <c r="Q92" s="13"/>
      <c r="R92" s="14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</row>
    <row r="93" spans="1:92" ht="15" customHeight="1" x14ac:dyDescent="0.3">
      <c r="A93" s="15" t="s">
        <v>35</v>
      </c>
      <c r="B93" s="15" t="s">
        <v>237</v>
      </c>
      <c r="C93" s="16">
        <v>0.99305555555555547</v>
      </c>
      <c r="D93" s="15" t="s">
        <v>43</v>
      </c>
      <c r="E93" s="15" t="s">
        <v>31</v>
      </c>
      <c r="F93" s="15" t="s">
        <v>293</v>
      </c>
      <c r="G93" s="276"/>
      <c r="H93" s="10"/>
      <c r="I93" s="11"/>
      <c r="J93" s="11"/>
      <c r="K93" s="11"/>
      <c r="L93" s="11"/>
      <c r="M93" s="11"/>
      <c r="N93" s="11"/>
      <c r="O93" s="12"/>
      <c r="P93" s="11"/>
      <c r="Q93" s="13"/>
      <c r="R93" s="14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</row>
    <row r="94" spans="1:92" ht="15" customHeight="1" x14ac:dyDescent="0.3">
      <c r="A94" s="19" t="s">
        <v>35</v>
      </c>
      <c r="B94" s="19" t="s">
        <v>238</v>
      </c>
      <c r="C94" s="20">
        <v>0.83680555555555547</v>
      </c>
      <c r="D94" s="19" t="s">
        <v>37</v>
      </c>
      <c r="E94" s="19" t="s">
        <v>57</v>
      </c>
      <c r="F94" s="19" t="s">
        <v>231</v>
      </c>
      <c r="G94" s="276"/>
      <c r="H94" s="10"/>
      <c r="I94" s="11"/>
      <c r="J94" s="11"/>
      <c r="K94" s="11"/>
      <c r="L94" s="11"/>
      <c r="M94" s="11"/>
      <c r="N94" s="11"/>
      <c r="O94" s="12"/>
      <c r="P94" s="11"/>
      <c r="Q94" s="13"/>
      <c r="R94" s="14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</row>
    <row r="95" spans="1:92" ht="15" customHeight="1" x14ac:dyDescent="0.3">
      <c r="A95" s="15" t="s">
        <v>35</v>
      </c>
      <c r="B95" s="15" t="s">
        <v>238</v>
      </c>
      <c r="C95" s="16">
        <v>0.83680555555555547</v>
      </c>
      <c r="D95" s="15" t="s">
        <v>40</v>
      </c>
      <c r="E95" s="15" t="s">
        <v>85</v>
      </c>
      <c r="F95" s="15" t="s">
        <v>88</v>
      </c>
      <c r="G95" s="276"/>
      <c r="H95" s="10"/>
      <c r="I95" s="11"/>
      <c r="J95" s="11"/>
      <c r="K95" s="11"/>
      <c r="L95" s="11"/>
      <c r="M95" s="11"/>
      <c r="N95" s="11"/>
      <c r="O95" s="12"/>
      <c r="P95" s="11"/>
      <c r="Q95" s="13"/>
      <c r="R95" s="14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</row>
    <row r="96" spans="1:92" ht="15" customHeight="1" x14ac:dyDescent="0.3">
      <c r="A96" s="15" t="s">
        <v>35</v>
      </c>
      <c r="B96" s="15" t="s">
        <v>238</v>
      </c>
      <c r="C96" s="16">
        <v>0.83680555555555547</v>
      </c>
      <c r="D96" s="15" t="s">
        <v>43</v>
      </c>
      <c r="E96" s="15" t="s">
        <v>85</v>
      </c>
      <c r="F96" s="15" t="s">
        <v>293</v>
      </c>
      <c r="G96" s="276"/>
      <c r="H96" s="10"/>
      <c r="I96" s="11"/>
      <c r="J96" s="11"/>
      <c r="K96" s="11"/>
      <c r="L96" s="11"/>
      <c r="M96" s="11"/>
      <c r="N96" s="11"/>
      <c r="O96" s="12"/>
      <c r="P96" s="11"/>
      <c r="Q96" s="13"/>
      <c r="R96" s="14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</row>
    <row r="97" spans="1:92" ht="15" customHeight="1" x14ac:dyDescent="0.3">
      <c r="A97" s="19" t="s">
        <v>35</v>
      </c>
      <c r="B97" s="19" t="s">
        <v>239</v>
      </c>
      <c r="C97" s="20">
        <v>0.94444444444444453</v>
      </c>
      <c r="D97" s="19" t="s">
        <v>37</v>
      </c>
      <c r="E97" s="19" t="s">
        <v>240</v>
      </c>
      <c r="F97" s="19" t="s">
        <v>231</v>
      </c>
      <c r="G97" s="276"/>
      <c r="H97" s="10"/>
      <c r="I97" s="11"/>
      <c r="J97" s="11"/>
      <c r="K97" s="11"/>
      <c r="L97" s="11"/>
      <c r="M97" s="11"/>
      <c r="N97" s="11"/>
      <c r="O97" s="12"/>
      <c r="P97" s="11"/>
      <c r="Q97" s="13"/>
      <c r="R97" s="14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</row>
    <row r="98" spans="1:92" ht="15" customHeight="1" x14ac:dyDescent="0.3">
      <c r="A98" s="15" t="s">
        <v>35</v>
      </c>
      <c r="B98" s="15" t="s">
        <v>239</v>
      </c>
      <c r="C98" s="16">
        <v>0.94444444444444453</v>
      </c>
      <c r="D98" s="15" t="s">
        <v>40</v>
      </c>
      <c r="E98" s="15" t="s">
        <v>41</v>
      </c>
      <c r="F98" s="15" t="s">
        <v>88</v>
      </c>
      <c r="G98" s="276"/>
      <c r="H98" s="10"/>
      <c r="I98" s="11"/>
      <c r="J98" s="11"/>
      <c r="K98" s="11"/>
      <c r="L98" s="11"/>
      <c r="M98" s="11"/>
      <c r="N98" s="11"/>
      <c r="O98" s="12"/>
      <c r="P98" s="11"/>
      <c r="Q98" s="13"/>
      <c r="R98" s="14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</row>
    <row r="99" spans="1:92" ht="15" customHeight="1" x14ac:dyDescent="0.3">
      <c r="A99" s="15" t="s">
        <v>35</v>
      </c>
      <c r="B99" s="15" t="s">
        <v>239</v>
      </c>
      <c r="C99" s="16">
        <v>0.94444444444444453</v>
      </c>
      <c r="D99" s="15" t="s">
        <v>43</v>
      </c>
      <c r="E99" s="15" t="s">
        <v>41</v>
      </c>
      <c r="F99" s="15" t="s">
        <v>293</v>
      </c>
      <c r="G99" s="276"/>
      <c r="H99" s="10"/>
      <c r="I99" s="11"/>
      <c r="J99" s="11"/>
      <c r="K99" s="11"/>
      <c r="L99" s="11"/>
      <c r="M99" s="11"/>
      <c r="N99" s="11"/>
      <c r="O99" s="12"/>
      <c r="P99" s="11"/>
      <c r="Q99" s="13"/>
      <c r="R99" s="14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</row>
    <row r="100" spans="1:92" ht="15" customHeight="1" x14ac:dyDescent="0.3">
      <c r="A100" s="19" t="s">
        <v>35</v>
      </c>
      <c r="B100" s="19" t="s">
        <v>241</v>
      </c>
      <c r="C100" s="20">
        <v>0.4861111111111111</v>
      </c>
      <c r="D100" s="19" t="s">
        <v>37</v>
      </c>
      <c r="E100" s="19" t="s">
        <v>294</v>
      </c>
      <c r="F100" s="19" t="s">
        <v>231</v>
      </c>
      <c r="G100" s="276"/>
      <c r="H100" s="10"/>
      <c r="I100" s="11"/>
      <c r="J100" s="11"/>
      <c r="K100" s="11"/>
      <c r="L100" s="11"/>
      <c r="M100" s="11"/>
      <c r="N100" s="11"/>
      <c r="O100" s="12"/>
      <c r="P100" s="11"/>
      <c r="Q100" s="13"/>
      <c r="R100" s="14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</row>
    <row r="101" spans="1:92" ht="15" customHeight="1" x14ac:dyDescent="0.3">
      <c r="A101" s="15" t="s">
        <v>35</v>
      </c>
      <c r="B101" s="15" t="s">
        <v>241</v>
      </c>
      <c r="C101" s="16">
        <v>0.4861111111111111</v>
      </c>
      <c r="D101" s="15" t="s">
        <v>40</v>
      </c>
      <c r="E101" s="15" t="s">
        <v>31</v>
      </c>
      <c r="F101" s="15" t="s">
        <v>88</v>
      </c>
      <c r="G101" s="276"/>
      <c r="H101" s="10"/>
      <c r="I101" s="11"/>
      <c r="J101" s="11"/>
      <c r="K101" s="11"/>
      <c r="L101" s="11"/>
      <c r="M101" s="11"/>
      <c r="N101" s="11"/>
      <c r="O101" s="12"/>
      <c r="P101" s="11"/>
      <c r="Q101" s="13"/>
      <c r="R101" s="14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</row>
    <row r="102" spans="1:92" ht="15" customHeight="1" x14ac:dyDescent="0.3">
      <c r="A102" s="15" t="s">
        <v>35</v>
      </c>
      <c r="B102" s="15" t="s">
        <v>241</v>
      </c>
      <c r="C102" s="16">
        <v>0.4861111111111111</v>
      </c>
      <c r="D102" s="15" t="s">
        <v>43</v>
      </c>
      <c r="E102" s="15" t="s">
        <v>31</v>
      </c>
      <c r="F102" s="15" t="s">
        <v>293</v>
      </c>
      <c r="G102" s="276"/>
      <c r="H102" s="10"/>
      <c r="I102" s="11"/>
      <c r="J102" s="11"/>
      <c r="K102" s="11"/>
      <c r="L102" s="11"/>
      <c r="M102" s="11"/>
      <c r="N102" s="11"/>
      <c r="O102" s="12"/>
      <c r="P102" s="11"/>
      <c r="Q102" s="13"/>
      <c r="R102" s="14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</row>
    <row r="103" spans="1:92" ht="15" customHeight="1" x14ac:dyDescent="0.3">
      <c r="A103" s="19" t="s">
        <v>35</v>
      </c>
      <c r="B103" s="19" t="s">
        <v>243</v>
      </c>
      <c r="C103" s="20">
        <v>0.88888888888888884</v>
      </c>
      <c r="D103" s="19" t="s">
        <v>37</v>
      </c>
      <c r="E103" s="19" t="s">
        <v>46</v>
      </c>
      <c r="F103" s="19" t="s">
        <v>231</v>
      </c>
      <c r="G103" s="276"/>
      <c r="H103" s="10"/>
      <c r="I103" s="11"/>
      <c r="J103" s="11"/>
      <c r="K103" s="11"/>
      <c r="L103" s="11"/>
      <c r="M103" s="11"/>
      <c r="N103" s="11"/>
      <c r="O103" s="12"/>
      <c r="P103" s="11"/>
      <c r="Q103" s="13"/>
      <c r="R103" s="14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</row>
    <row r="104" spans="1:92" ht="15" customHeight="1" x14ac:dyDescent="0.3">
      <c r="A104" s="15" t="s">
        <v>35</v>
      </c>
      <c r="B104" s="15" t="s">
        <v>243</v>
      </c>
      <c r="C104" s="16">
        <v>0.88888888888888884</v>
      </c>
      <c r="D104" s="15" t="s">
        <v>40</v>
      </c>
      <c r="E104" s="15" t="s">
        <v>47</v>
      </c>
      <c r="F104" s="15" t="s">
        <v>88</v>
      </c>
      <c r="G104" s="276"/>
      <c r="H104" s="10"/>
      <c r="I104" s="11"/>
      <c r="J104" s="11"/>
      <c r="K104" s="11"/>
      <c r="L104" s="11"/>
      <c r="M104" s="11"/>
      <c r="N104" s="11"/>
      <c r="O104" s="12"/>
      <c r="P104" s="11"/>
      <c r="Q104" s="13"/>
      <c r="R104" s="14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</row>
    <row r="105" spans="1:92" ht="15" customHeight="1" x14ac:dyDescent="0.3">
      <c r="A105" s="15" t="s">
        <v>35</v>
      </c>
      <c r="B105" s="15" t="s">
        <v>243</v>
      </c>
      <c r="C105" s="16">
        <v>0.88888888888888884</v>
      </c>
      <c r="D105" s="15" t="s">
        <v>43</v>
      </c>
      <c r="E105" s="15" t="s">
        <v>47</v>
      </c>
      <c r="F105" s="15" t="s">
        <v>293</v>
      </c>
      <c r="G105" s="276"/>
      <c r="H105" s="10"/>
      <c r="I105" s="11"/>
      <c r="J105" s="11"/>
      <c r="K105" s="11"/>
      <c r="L105" s="11"/>
      <c r="M105" s="11"/>
      <c r="N105" s="11"/>
      <c r="O105" s="12"/>
      <c r="P105" s="11"/>
      <c r="Q105" s="13"/>
      <c r="R105" s="14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</row>
    <row r="106" spans="1:92" ht="15" customHeight="1" x14ac:dyDescent="0.3">
      <c r="A106" s="19" t="s">
        <v>35</v>
      </c>
      <c r="B106" s="19" t="s">
        <v>244</v>
      </c>
      <c r="C106" s="20">
        <v>0.73611111111111116</v>
      </c>
      <c r="D106" s="19" t="s">
        <v>37</v>
      </c>
      <c r="E106" s="19" t="s">
        <v>240</v>
      </c>
      <c r="F106" s="19" t="s">
        <v>80</v>
      </c>
      <c r="G106" s="276"/>
      <c r="H106" s="10"/>
      <c r="I106" s="11"/>
      <c r="J106" s="11"/>
      <c r="K106" s="11"/>
      <c r="L106" s="11"/>
      <c r="M106" s="11"/>
      <c r="N106" s="11"/>
      <c r="O106" s="12"/>
      <c r="P106" s="11"/>
      <c r="Q106" s="13"/>
      <c r="R106" s="14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</row>
    <row r="107" spans="1:92" ht="15" customHeight="1" x14ac:dyDescent="0.3">
      <c r="A107" s="15" t="s">
        <v>35</v>
      </c>
      <c r="B107" s="15" t="s">
        <v>244</v>
      </c>
      <c r="C107" s="16">
        <v>0.73611111111111116</v>
      </c>
      <c r="D107" s="15" t="s">
        <v>40</v>
      </c>
      <c r="E107" s="15" t="s">
        <v>41</v>
      </c>
      <c r="F107" s="15" t="s">
        <v>295</v>
      </c>
      <c r="G107" s="276"/>
      <c r="H107" s="10"/>
      <c r="I107" s="11"/>
      <c r="J107" s="11"/>
      <c r="K107" s="11"/>
      <c r="L107" s="11"/>
      <c r="M107" s="11"/>
      <c r="N107" s="11"/>
      <c r="O107" s="12"/>
      <c r="P107" s="11"/>
      <c r="Q107" s="13"/>
      <c r="R107" s="14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</row>
    <row r="108" spans="1:92" ht="15" customHeight="1" x14ac:dyDescent="0.3">
      <c r="A108" s="15" t="s">
        <v>35</v>
      </c>
      <c r="B108" s="15" t="s">
        <v>244</v>
      </c>
      <c r="C108" s="16">
        <v>0.73611111111111116</v>
      </c>
      <c r="D108" s="15" t="s">
        <v>43</v>
      </c>
      <c r="E108" s="15" t="s">
        <v>41</v>
      </c>
      <c r="F108" s="15" t="s">
        <v>296</v>
      </c>
      <c r="G108" s="276"/>
      <c r="H108" s="10"/>
      <c r="I108" s="11"/>
      <c r="J108" s="11"/>
      <c r="K108" s="11"/>
      <c r="L108" s="11"/>
      <c r="M108" s="11"/>
      <c r="N108" s="11"/>
      <c r="O108" s="12"/>
      <c r="P108" s="11"/>
      <c r="Q108" s="13"/>
      <c r="R108" s="14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</row>
    <row r="109" spans="1:92" ht="15" customHeight="1" x14ac:dyDescent="0.3">
      <c r="A109" s="17" t="s">
        <v>70</v>
      </c>
      <c r="B109" s="17" t="s">
        <v>297</v>
      </c>
      <c r="C109" s="18">
        <v>0.83680555555555547</v>
      </c>
      <c r="D109" s="17" t="s">
        <v>72</v>
      </c>
      <c r="E109" s="17" t="s">
        <v>52</v>
      </c>
      <c r="F109" s="17" t="s">
        <v>298</v>
      </c>
      <c r="G109" s="276"/>
      <c r="H109" s="10"/>
      <c r="I109" s="11"/>
      <c r="J109" s="11"/>
      <c r="K109" s="11"/>
      <c r="L109" s="11"/>
      <c r="M109" s="11"/>
      <c r="N109" s="11"/>
      <c r="O109" s="12"/>
      <c r="P109" s="11"/>
      <c r="Q109" s="13"/>
      <c r="R109" s="14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</row>
    <row r="110" spans="1:92" ht="15" customHeight="1" x14ac:dyDescent="0.3">
      <c r="A110" s="17" t="s">
        <v>49</v>
      </c>
      <c r="B110" s="17" t="s">
        <v>260</v>
      </c>
      <c r="C110" s="18">
        <v>4.1666666666666657E-2</v>
      </c>
      <c r="D110" s="17" t="s">
        <v>51</v>
      </c>
      <c r="E110" s="17" t="s">
        <v>73</v>
      </c>
      <c r="F110" s="17" t="s">
        <v>254</v>
      </c>
      <c r="G110" s="276"/>
      <c r="H110" s="10"/>
      <c r="I110" s="11"/>
      <c r="J110" s="11"/>
      <c r="K110" s="11"/>
      <c r="L110" s="11"/>
      <c r="M110" s="11"/>
      <c r="N110" s="11"/>
      <c r="O110" s="12"/>
      <c r="P110" s="11"/>
      <c r="Q110" s="13"/>
      <c r="R110" s="14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</row>
    <row r="111" spans="1:92" ht="15" customHeight="1" x14ac:dyDescent="0.3">
      <c r="A111" s="19" t="s">
        <v>49</v>
      </c>
      <c r="B111" s="19" t="s">
        <v>255</v>
      </c>
      <c r="C111" s="20">
        <v>0.48958333333333331</v>
      </c>
      <c r="D111" s="19" t="s">
        <v>51</v>
      </c>
      <c r="E111" s="19" t="s">
        <v>76</v>
      </c>
      <c r="F111" s="19" t="s">
        <v>256</v>
      </c>
      <c r="G111" s="276"/>
      <c r="H111" s="10"/>
      <c r="I111" s="11"/>
      <c r="J111" s="11"/>
      <c r="K111" s="11"/>
      <c r="L111" s="11"/>
      <c r="M111" s="11"/>
      <c r="N111" s="11"/>
      <c r="O111" s="12"/>
      <c r="P111" s="11"/>
      <c r="Q111" s="13"/>
      <c r="R111" s="14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</row>
    <row r="112" spans="1:92" ht="15" customHeight="1" x14ac:dyDescent="0.3">
      <c r="A112" s="19" t="s">
        <v>49</v>
      </c>
      <c r="B112" s="19" t="s">
        <v>257</v>
      </c>
      <c r="C112" s="20">
        <v>0.82986111111111116</v>
      </c>
      <c r="D112" s="19" t="s">
        <v>51</v>
      </c>
      <c r="E112" s="19" t="s">
        <v>76</v>
      </c>
      <c r="F112" s="19" t="s">
        <v>256</v>
      </c>
      <c r="G112" s="276"/>
      <c r="H112" s="10"/>
      <c r="I112" s="11"/>
      <c r="J112" s="11"/>
      <c r="K112" s="11"/>
      <c r="L112" s="11"/>
      <c r="M112" s="11"/>
      <c r="N112" s="11"/>
      <c r="O112" s="12"/>
      <c r="P112" s="11"/>
      <c r="Q112" s="13"/>
      <c r="R112" s="14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</row>
    <row r="113" spans="1:92" ht="15" customHeight="1" x14ac:dyDescent="0.3">
      <c r="A113" s="19" t="s">
        <v>49</v>
      </c>
      <c r="B113" s="19" t="s">
        <v>258</v>
      </c>
      <c r="C113" s="20">
        <v>0.72222222222222221</v>
      </c>
      <c r="D113" s="19" t="s">
        <v>51</v>
      </c>
      <c r="E113" s="19" t="s">
        <v>76</v>
      </c>
      <c r="F113" s="19" t="s">
        <v>256</v>
      </c>
      <c r="G113" s="276"/>
      <c r="H113" s="10"/>
      <c r="I113" s="11"/>
      <c r="J113" s="11"/>
      <c r="K113" s="11"/>
      <c r="L113" s="11"/>
      <c r="M113" s="11"/>
      <c r="N113" s="11"/>
      <c r="O113" s="12"/>
      <c r="P113" s="11"/>
      <c r="Q113" s="13"/>
      <c r="R113" s="14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</row>
    <row r="114" spans="1:92" ht="15" customHeight="1" x14ac:dyDescent="0.3">
      <c r="A114" s="19" t="s">
        <v>49</v>
      </c>
      <c r="B114" s="19" t="s">
        <v>253</v>
      </c>
      <c r="C114" s="20">
        <v>0.11805555555555559</v>
      </c>
      <c r="D114" s="19" t="s">
        <v>51</v>
      </c>
      <c r="E114" s="19" t="s">
        <v>76</v>
      </c>
      <c r="F114" s="19" t="s">
        <v>256</v>
      </c>
      <c r="G114" s="276"/>
      <c r="H114" s="10"/>
      <c r="I114" s="11"/>
      <c r="J114" s="11"/>
      <c r="K114" s="11"/>
      <c r="L114" s="11"/>
      <c r="M114" s="11"/>
      <c r="N114" s="11"/>
      <c r="O114" s="12"/>
      <c r="P114" s="11"/>
      <c r="Q114" s="13"/>
      <c r="R114" s="14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</row>
    <row r="115" spans="1:92" ht="15" customHeight="1" x14ac:dyDescent="0.3">
      <c r="A115" s="19" t="s">
        <v>49</v>
      </c>
      <c r="B115" s="19" t="s">
        <v>259</v>
      </c>
      <c r="C115" s="20">
        <v>0.25347222222222221</v>
      </c>
      <c r="D115" s="19" t="s">
        <v>51</v>
      </c>
      <c r="E115" s="19" t="s">
        <v>76</v>
      </c>
      <c r="F115" s="19" t="s">
        <v>256</v>
      </c>
      <c r="G115" s="276"/>
      <c r="H115" s="10"/>
      <c r="I115" s="11"/>
      <c r="J115" s="11"/>
      <c r="K115" s="11"/>
      <c r="L115" s="11"/>
      <c r="M115" s="11"/>
      <c r="N115" s="11"/>
      <c r="O115" s="12"/>
      <c r="P115" s="11"/>
      <c r="Q115" s="13"/>
      <c r="R115" s="14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</row>
    <row r="116" spans="1:92" ht="15" customHeight="1" x14ac:dyDescent="0.3">
      <c r="A116" s="19" t="s">
        <v>49</v>
      </c>
      <c r="B116" s="19" t="s">
        <v>262</v>
      </c>
      <c r="C116" s="20">
        <v>0.98958333333333337</v>
      </c>
      <c r="D116" s="19" t="s">
        <v>51</v>
      </c>
      <c r="E116" s="19" t="s">
        <v>57</v>
      </c>
      <c r="F116" s="19" t="s">
        <v>263</v>
      </c>
      <c r="G116" s="276"/>
      <c r="H116" s="10"/>
      <c r="I116" s="11"/>
      <c r="J116" s="11"/>
      <c r="K116" s="11"/>
      <c r="L116" s="11"/>
      <c r="M116" s="11"/>
      <c r="N116" s="11"/>
      <c r="O116" s="12"/>
      <c r="P116" s="11"/>
      <c r="Q116" s="13"/>
      <c r="R116" s="14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</row>
    <row r="117" spans="1:92" ht="15" customHeight="1" x14ac:dyDescent="0.3">
      <c r="A117" s="19" t="s">
        <v>49</v>
      </c>
      <c r="B117" s="19" t="s">
        <v>264</v>
      </c>
      <c r="C117" s="20">
        <v>0.39930555555555558</v>
      </c>
      <c r="D117" s="19" t="s">
        <v>51</v>
      </c>
      <c r="E117" s="19" t="s">
        <v>57</v>
      </c>
      <c r="F117" s="19" t="s">
        <v>263</v>
      </c>
      <c r="G117" s="276"/>
      <c r="H117" s="10"/>
      <c r="I117" s="11"/>
      <c r="J117" s="11"/>
      <c r="K117" s="11"/>
      <c r="L117" s="11"/>
      <c r="M117" s="11"/>
      <c r="N117" s="11"/>
      <c r="O117" s="12"/>
      <c r="P117" s="11"/>
      <c r="Q117" s="13"/>
      <c r="R117" s="14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</row>
    <row r="118" spans="1:92" ht="15" customHeight="1" x14ac:dyDescent="0.3">
      <c r="A118" s="19" t="s">
        <v>49</v>
      </c>
      <c r="B118" s="19" t="s">
        <v>267</v>
      </c>
      <c r="C118" s="20">
        <v>0.70138888888888884</v>
      </c>
      <c r="D118" s="19" t="s">
        <v>51</v>
      </c>
      <c r="E118" s="19" t="s">
        <v>289</v>
      </c>
      <c r="F118" s="19" t="s">
        <v>269</v>
      </c>
      <c r="G118" s="276"/>
      <c r="H118" s="10"/>
      <c r="I118" s="11"/>
      <c r="J118" s="11"/>
      <c r="K118" s="11"/>
      <c r="L118" s="11"/>
      <c r="M118" s="11"/>
      <c r="N118" s="11"/>
      <c r="O118" s="12"/>
      <c r="P118" s="11"/>
      <c r="Q118" s="13"/>
      <c r="R118" s="14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</row>
    <row r="119" spans="1:92" ht="15" customHeight="1" x14ac:dyDescent="0.3">
      <c r="A119" s="19" t="s">
        <v>49</v>
      </c>
      <c r="B119" s="19" t="s">
        <v>261</v>
      </c>
      <c r="C119" s="20">
        <v>0.94097222222222221</v>
      </c>
      <c r="D119" s="19" t="s">
        <v>51</v>
      </c>
      <c r="E119" s="19" t="s">
        <v>76</v>
      </c>
      <c r="F119" s="19" t="s">
        <v>269</v>
      </c>
      <c r="G119" s="276"/>
      <c r="H119" s="10"/>
      <c r="I119" s="11"/>
      <c r="J119" s="11"/>
      <c r="K119" s="11"/>
      <c r="L119" s="11"/>
      <c r="M119" s="11"/>
      <c r="N119" s="11"/>
      <c r="O119" s="12"/>
      <c r="P119" s="11"/>
      <c r="Q119" s="13"/>
      <c r="R119" s="14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</row>
    <row r="120" spans="1:92" ht="15" customHeight="1" x14ac:dyDescent="0.3">
      <c r="A120" s="19" t="s">
        <v>49</v>
      </c>
      <c r="B120" s="19" t="s">
        <v>265</v>
      </c>
      <c r="C120" s="20">
        <v>0.48958333333333331</v>
      </c>
      <c r="D120" s="19" t="s">
        <v>51</v>
      </c>
      <c r="E120" s="19" t="s">
        <v>57</v>
      </c>
      <c r="F120" s="19" t="s">
        <v>299</v>
      </c>
      <c r="G120" s="276"/>
      <c r="H120" s="10"/>
      <c r="I120" s="11"/>
      <c r="J120" s="11"/>
      <c r="K120" s="11"/>
      <c r="L120" s="11"/>
      <c r="M120" s="11"/>
      <c r="N120" s="11"/>
      <c r="O120" s="12"/>
      <c r="P120" s="11"/>
      <c r="Q120" s="13"/>
      <c r="R120" s="14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</row>
    <row r="121" spans="1:92" ht="15" customHeight="1" x14ac:dyDescent="0.3">
      <c r="A121" s="37" t="s">
        <v>49</v>
      </c>
      <c r="B121" s="37" t="s">
        <v>266</v>
      </c>
      <c r="C121" s="38">
        <v>0.88888888888888884</v>
      </c>
      <c r="D121" s="37" t="s">
        <v>51</v>
      </c>
      <c r="E121" s="37" t="s">
        <v>57</v>
      </c>
      <c r="F121" s="37" t="s">
        <v>299</v>
      </c>
      <c r="G121" s="277"/>
      <c r="H121" s="39"/>
      <c r="I121" s="40"/>
      <c r="J121" s="40"/>
      <c r="K121" s="40"/>
      <c r="L121" s="40"/>
      <c r="M121" s="40"/>
      <c r="N121" s="40"/>
      <c r="O121" s="41"/>
      <c r="P121" s="40"/>
      <c r="Q121" s="42"/>
      <c r="R121" s="4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</row>
    <row r="122" spans="1:92" ht="14.4" customHeight="1" x14ac:dyDescent="0.3">
      <c r="A122" s="284"/>
      <c r="B122" s="285"/>
      <c r="C122" s="285"/>
      <c r="D122" s="285"/>
      <c r="E122" s="285"/>
      <c r="F122" s="285"/>
      <c r="G122" s="273"/>
      <c r="H122" s="286"/>
      <c r="I122" s="286"/>
      <c r="J122" s="286"/>
      <c r="K122" s="286"/>
      <c r="L122" s="286"/>
      <c r="M122" s="286"/>
      <c r="N122" s="286"/>
      <c r="O122" s="287"/>
      <c r="P122" s="286"/>
      <c r="Q122" s="273"/>
      <c r="R122" s="274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</row>
    <row r="123" spans="1:92" ht="22.05" customHeight="1" x14ac:dyDescent="0.3">
      <c r="A123" s="280" t="s">
        <v>5</v>
      </c>
      <c r="B123" s="281"/>
      <c r="C123" s="281"/>
      <c r="D123" s="281"/>
      <c r="E123" s="281"/>
      <c r="F123" s="281"/>
      <c r="G123" s="5">
        <v>45990</v>
      </c>
      <c r="H123" s="290" t="s">
        <v>6</v>
      </c>
      <c r="I123" s="291"/>
      <c r="J123" s="291"/>
      <c r="K123" s="291"/>
      <c r="L123" s="291"/>
      <c r="M123" s="291"/>
      <c r="N123" s="291"/>
      <c r="O123" s="291"/>
      <c r="P123" s="291"/>
      <c r="Q123" s="291"/>
      <c r="R123" s="29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</row>
    <row r="124" spans="1:92" ht="24" customHeight="1" x14ac:dyDescent="0.3">
      <c r="A124" s="31" t="s">
        <v>7</v>
      </c>
      <c r="B124" s="31" t="s">
        <v>8</v>
      </c>
      <c r="C124" s="32" t="s">
        <v>9</v>
      </c>
      <c r="D124" s="31" t="s">
        <v>10</v>
      </c>
      <c r="E124" s="31" t="s">
        <v>11</v>
      </c>
      <c r="F124" s="31" t="s">
        <v>12</v>
      </c>
      <c r="G124" s="33" t="s">
        <v>13</v>
      </c>
      <c r="H124" s="31" t="s">
        <v>14</v>
      </c>
      <c r="I124" s="34" t="s">
        <v>15</v>
      </c>
      <c r="J124" s="35" t="s">
        <v>16</v>
      </c>
      <c r="K124" s="36" t="s">
        <v>17</v>
      </c>
      <c r="L124" s="35" t="s">
        <v>18</v>
      </c>
      <c r="M124" s="35" t="s">
        <v>19</v>
      </c>
      <c r="N124" s="35" t="s">
        <v>20</v>
      </c>
      <c r="O124" s="31" t="s">
        <v>21</v>
      </c>
      <c r="P124" s="32" t="s">
        <v>22</v>
      </c>
      <c r="Q124" s="35" t="s">
        <v>23</v>
      </c>
      <c r="R124" s="31" t="s">
        <v>24</v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</row>
    <row r="125" spans="1:92" ht="49.95" customHeight="1" x14ac:dyDescent="0.3">
      <c r="A125" s="156" t="s">
        <v>59</v>
      </c>
      <c r="B125" s="156" t="s">
        <v>213</v>
      </c>
      <c r="C125" s="157">
        <v>4.8611111111111112E-2</v>
      </c>
      <c r="D125" s="156" t="s">
        <v>61</v>
      </c>
      <c r="E125" s="194"/>
      <c r="F125" s="156" t="s">
        <v>62</v>
      </c>
      <c r="G125" s="275"/>
      <c r="H125" s="158" t="s">
        <v>213</v>
      </c>
      <c r="I125" s="159">
        <v>1.0333000000000001</v>
      </c>
      <c r="J125" s="160">
        <v>186</v>
      </c>
      <c r="K125" s="161">
        <v>45974</v>
      </c>
      <c r="L125" s="160">
        <v>0</v>
      </c>
      <c r="M125" s="160">
        <v>0</v>
      </c>
      <c r="N125" s="160">
        <v>0</v>
      </c>
      <c r="O125" s="162" t="s">
        <v>63</v>
      </c>
      <c r="P125" s="163">
        <v>4.8611111111111112E-2</v>
      </c>
      <c r="Q125" s="160">
        <v>180</v>
      </c>
      <c r="R125" s="164" t="s">
        <v>300</v>
      </c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</row>
    <row r="126" spans="1:92" ht="49.95" customHeight="1" x14ac:dyDescent="0.3">
      <c r="A126" s="174" t="s">
        <v>59</v>
      </c>
      <c r="B126" s="174" t="s">
        <v>215</v>
      </c>
      <c r="C126" s="175">
        <v>0.15625</v>
      </c>
      <c r="D126" s="174" t="s">
        <v>61</v>
      </c>
      <c r="E126" s="176"/>
      <c r="F126" s="174" t="s">
        <v>62</v>
      </c>
      <c r="G126" s="276"/>
      <c r="H126" s="177" t="s">
        <v>215</v>
      </c>
      <c r="I126" s="178">
        <v>1</v>
      </c>
      <c r="J126" s="179">
        <v>180</v>
      </c>
      <c r="K126" s="180">
        <v>45986</v>
      </c>
      <c r="L126" s="179">
        <v>6</v>
      </c>
      <c r="M126" s="179">
        <v>0</v>
      </c>
      <c r="N126" s="179">
        <v>1</v>
      </c>
      <c r="O126" s="181" t="s">
        <v>63</v>
      </c>
      <c r="P126" s="182">
        <v>0.15625</v>
      </c>
      <c r="Q126" s="179">
        <v>180</v>
      </c>
      <c r="R126" s="183" t="s">
        <v>301</v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</row>
    <row r="127" spans="1:92" ht="49.95" customHeight="1" x14ac:dyDescent="0.3">
      <c r="A127" s="168" t="s">
        <v>59</v>
      </c>
      <c r="B127" s="168" t="s">
        <v>219</v>
      </c>
      <c r="C127" s="169">
        <v>0.50347222222222221</v>
      </c>
      <c r="D127" s="168" t="s">
        <v>61</v>
      </c>
      <c r="E127" s="170"/>
      <c r="F127" s="168" t="s">
        <v>62</v>
      </c>
      <c r="G127" s="276"/>
      <c r="H127" s="158" t="s">
        <v>219</v>
      </c>
      <c r="I127" s="159">
        <v>0.99439999999999995</v>
      </c>
      <c r="J127" s="160">
        <v>179</v>
      </c>
      <c r="K127" s="161">
        <v>45973</v>
      </c>
      <c r="L127" s="160">
        <v>0</v>
      </c>
      <c r="M127" s="160">
        <v>0</v>
      </c>
      <c r="N127" s="160">
        <v>0</v>
      </c>
      <c r="O127" s="162" t="s">
        <v>63</v>
      </c>
      <c r="P127" s="163">
        <v>0.50347222222222221</v>
      </c>
      <c r="Q127" s="160">
        <v>180</v>
      </c>
      <c r="R127" s="164" t="s">
        <v>302</v>
      </c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</row>
    <row r="128" spans="1:92" ht="49.95" customHeight="1" x14ac:dyDescent="0.3">
      <c r="A128" s="195" t="s">
        <v>59</v>
      </c>
      <c r="B128" s="195" t="s">
        <v>210</v>
      </c>
      <c r="C128" s="196">
        <v>0.90625</v>
      </c>
      <c r="D128" s="195" t="s">
        <v>61</v>
      </c>
      <c r="E128" s="197"/>
      <c r="F128" s="195" t="s">
        <v>303</v>
      </c>
      <c r="G128" s="277"/>
      <c r="H128" s="198" t="s">
        <v>210</v>
      </c>
      <c r="I128" s="199">
        <v>0.9667</v>
      </c>
      <c r="J128" s="200">
        <v>174</v>
      </c>
      <c r="K128" s="201">
        <v>45985</v>
      </c>
      <c r="L128" s="200">
        <v>16</v>
      </c>
      <c r="M128" s="200">
        <v>0</v>
      </c>
      <c r="N128" s="200">
        <v>0</v>
      </c>
      <c r="O128" s="202" t="s">
        <v>304</v>
      </c>
      <c r="P128" s="203">
        <v>0.90625</v>
      </c>
      <c r="Q128" s="200">
        <v>180</v>
      </c>
      <c r="R128" s="204" t="s">
        <v>305</v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</row>
    <row r="129" spans="1:92" ht="14.4" customHeight="1" x14ac:dyDescent="0.3">
      <c r="A129" s="284"/>
      <c r="B129" s="285"/>
      <c r="C129" s="285"/>
      <c r="D129" s="285"/>
      <c r="E129" s="285"/>
      <c r="F129" s="285"/>
      <c r="G129" s="273"/>
      <c r="H129" s="286"/>
      <c r="I129" s="286"/>
      <c r="J129" s="286"/>
      <c r="K129" s="286"/>
      <c r="L129" s="286"/>
      <c r="M129" s="286"/>
      <c r="N129" s="286"/>
      <c r="O129" s="287"/>
      <c r="P129" s="286"/>
      <c r="Q129" s="273"/>
      <c r="R129" s="274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</row>
    <row r="130" spans="1:92" ht="22.05" customHeight="1" x14ac:dyDescent="0.3">
      <c r="A130" s="280" t="s">
        <v>5</v>
      </c>
      <c r="B130" s="281"/>
      <c r="C130" s="281"/>
      <c r="D130" s="281"/>
      <c r="E130" s="281"/>
      <c r="F130" s="281"/>
      <c r="G130" s="5">
        <v>45991</v>
      </c>
      <c r="H130" s="290" t="s">
        <v>6</v>
      </c>
      <c r="I130" s="291"/>
      <c r="J130" s="291"/>
      <c r="K130" s="291"/>
      <c r="L130" s="291"/>
      <c r="M130" s="291"/>
      <c r="N130" s="291"/>
      <c r="O130" s="291"/>
      <c r="P130" s="291"/>
      <c r="Q130" s="291"/>
      <c r="R130" s="29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</row>
    <row r="131" spans="1:92" ht="24" customHeight="1" x14ac:dyDescent="0.3">
      <c r="A131" s="31" t="s">
        <v>7</v>
      </c>
      <c r="B131" s="31" t="s">
        <v>8</v>
      </c>
      <c r="C131" s="32" t="s">
        <v>9</v>
      </c>
      <c r="D131" s="31" t="s">
        <v>10</v>
      </c>
      <c r="E131" s="31" t="s">
        <v>11</v>
      </c>
      <c r="F131" s="31" t="s">
        <v>12</v>
      </c>
      <c r="G131" s="33" t="s">
        <v>13</v>
      </c>
      <c r="H131" s="31" t="s">
        <v>14</v>
      </c>
      <c r="I131" s="34" t="s">
        <v>15</v>
      </c>
      <c r="J131" s="35" t="s">
        <v>16</v>
      </c>
      <c r="K131" s="36" t="s">
        <v>17</v>
      </c>
      <c r="L131" s="35" t="s">
        <v>18</v>
      </c>
      <c r="M131" s="35" t="s">
        <v>19</v>
      </c>
      <c r="N131" s="35" t="s">
        <v>20</v>
      </c>
      <c r="O131" s="31" t="s">
        <v>21</v>
      </c>
      <c r="P131" s="32" t="s">
        <v>22</v>
      </c>
      <c r="Q131" s="35" t="s">
        <v>23</v>
      </c>
      <c r="R131" s="31" t="s">
        <v>24</v>
      </c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</row>
    <row r="132" spans="1:92" ht="49.95" customHeight="1" x14ac:dyDescent="0.3">
      <c r="A132" s="205" t="s">
        <v>59</v>
      </c>
      <c r="B132" s="205" t="s">
        <v>215</v>
      </c>
      <c r="C132" s="206">
        <v>0.1423611111111111</v>
      </c>
      <c r="D132" s="205" t="s">
        <v>61</v>
      </c>
      <c r="E132" s="207"/>
      <c r="F132" s="205" t="s">
        <v>62</v>
      </c>
      <c r="G132" s="275"/>
      <c r="H132" s="187" t="s">
        <v>215</v>
      </c>
      <c r="I132" s="188">
        <v>1</v>
      </c>
      <c r="J132" s="189">
        <v>180</v>
      </c>
      <c r="K132" s="190">
        <v>45987</v>
      </c>
      <c r="L132" s="189">
        <v>3</v>
      </c>
      <c r="M132" s="189">
        <v>2</v>
      </c>
      <c r="N132" s="189">
        <v>1</v>
      </c>
      <c r="O132" s="191" t="s">
        <v>63</v>
      </c>
      <c r="P132" s="192">
        <v>0.1423611111111111</v>
      </c>
      <c r="Q132" s="189">
        <v>180</v>
      </c>
      <c r="R132" s="193" t="s">
        <v>306</v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</row>
    <row r="133" spans="1:92" ht="49.95" customHeight="1" x14ac:dyDescent="0.3">
      <c r="A133" s="174" t="s">
        <v>59</v>
      </c>
      <c r="B133" s="174" t="s">
        <v>217</v>
      </c>
      <c r="C133" s="175">
        <v>0.15625</v>
      </c>
      <c r="D133" s="174" t="s">
        <v>61</v>
      </c>
      <c r="E133" s="176"/>
      <c r="F133" s="174" t="s">
        <v>62</v>
      </c>
      <c r="G133" s="276"/>
      <c r="H133" s="177" t="s">
        <v>217</v>
      </c>
      <c r="I133" s="178">
        <v>1</v>
      </c>
      <c r="J133" s="179">
        <v>180</v>
      </c>
      <c r="K133" s="180">
        <v>45986</v>
      </c>
      <c r="L133" s="179">
        <v>18</v>
      </c>
      <c r="M133" s="179">
        <v>0</v>
      </c>
      <c r="N133" s="179">
        <v>1</v>
      </c>
      <c r="O133" s="181" t="s">
        <v>63</v>
      </c>
      <c r="P133" s="182">
        <v>0.15625</v>
      </c>
      <c r="Q133" s="179">
        <v>180</v>
      </c>
      <c r="R133" s="183" t="s">
        <v>307</v>
      </c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</row>
    <row r="134" spans="1:92" ht="49.95" customHeight="1" x14ac:dyDescent="0.3">
      <c r="A134" s="184" t="s">
        <v>59</v>
      </c>
      <c r="B134" s="184" t="s">
        <v>276</v>
      </c>
      <c r="C134" s="185">
        <v>0.33333333333333331</v>
      </c>
      <c r="D134" s="184" t="s">
        <v>61</v>
      </c>
      <c r="E134" s="186"/>
      <c r="F134" s="184" t="s">
        <v>62</v>
      </c>
      <c r="G134" s="276"/>
      <c r="H134" s="187" t="s">
        <v>276</v>
      </c>
      <c r="I134" s="188">
        <v>1</v>
      </c>
      <c r="J134" s="189">
        <v>180</v>
      </c>
      <c r="K134" s="190">
        <v>45986</v>
      </c>
      <c r="L134" s="189">
        <v>4</v>
      </c>
      <c r="M134" s="189">
        <v>0</v>
      </c>
      <c r="N134" s="189">
        <v>2</v>
      </c>
      <c r="O134" s="191" t="s">
        <v>63</v>
      </c>
      <c r="P134" s="192">
        <v>0.33333333333333331</v>
      </c>
      <c r="Q134" s="189">
        <v>180</v>
      </c>
      <c r="R134" s="193" t="s">
        <v>308</v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</row>
    <row r="135" spans="1:92" ht="49.95" customHeight="1" x14ac:dyDescent="0.3">
      <c r="A135" s="171" t="s">
        <v>59</v>
      </c>
      <c r="B135" s="171" t="s">
        <v>219</v>
      </c>
      <c r="C135" s="172">
        <v>0.4548611111111111</v>
      </c>
      <c r="D135" s="171" t="s">
        <v>61</v>
      </c>
      <c r="E135" s="173"/>
      <c r="F135" s="171" t="s">
        <v>62</v>
      </c>
      <c r="G135" s="276"/>
      <c r="H135" s="124" t="s">
        <v>219</v>
      </c>
      <c r="I135" s="125">
        <v>0.99439999999999995</v>
      </c>
      <c r="J135" s="126">
        <v>179</v>
      </c>
      <c r="K135" s="127">
        <v>45984</v>
      </c>
      <c r="L135" s="126">
        <v>16</v>
      </c>
      <c r="M135" s="126">
        <v>0</v>
      </c>
      <c r="N135" s="126">
        <v>0</v>
      </c>
      <c r="O135" s="128" t="s">
        <v>63</v>
      </c>
      <c r="P135" s="129">
        <v>0.4548611111111111</v>
      </c>
      <c r="Q135" s="126">
        <v>180</v>
      </c>
      <c r="R135" s="130" t="s">
        <v>309</v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</row>
    <row r="136" spans="1:92" ht="49.95" customHeight="1" x14ac:dyDescent="0.3">
      <c r="A136" s="208" t="s">
        <v>59</v>
      </c>
      <c r="B136" s="208" t="s">
        <v>221</v>
      </c>
      <c r="C136" s="209">
        <v>0.82986111111111116</v>
      </c>
      <c r="D136" s="208" t="s">
        <v>61</v>
      </c>
      <c r="E136" s="210"/>
      <c r="F136" s="208" t="s">
        <v>62</v>
      </c>
      <c r="G136" s="277"/>
      <c r="H136" s="24" t="s">
        <v>221</v>
      </c>
      <c r="I136" s="25">
        <v>0.99439999999999995</v>
      </c>
      <c r="J136" s="26">
        <v>179</v>
      </c>
      <c r="K136" s="27">
        <v>45985</v>
      </c>
      <c r="L136" s="26">
        <v>15</v>
      </c>
      <c r="M136" s="26">
        <v>0</v>
      </c>
      <c r="N136" s="26">
        <v>0</v>
      </c>
      <c r="O136" s="28" t="s">
        <v>63</v>
      </c>
      <c r="P136" s="29">
        <v>0.82986111111111116</v>
      </c>
      <c r="Q136" s="26">
        <v>180</v>
      </c>
      <c r="R136" s="30" t="s">
        <v>310</v>
      </c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</row>
    <row r="137" spans="1:92" ht="14.4" customHeight="1" x14ac:dyDescent="0.3">
      <c r="A137" s="272"/>
      <c r="B137" s="273"/>
      <c r="C137" s="273"/>
      <c r="D137" s="273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4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</row>
  </sheetData>
  <mergeCells count="25">
    <mergeCell ref="A137:R137"/>
    <mergeCell ref="H4:R4"/>
    <mergeCell ref="G125:G128"/>
    <mergeCell ref="A2:F2"/>
    <mergeCell ref="A3:R3"/>
    <mergeCell ref="A129:R129"/>
    <mergeCell ref="H130:R130"/>
    <mergeCell ref="H64:R64"/>
    <mergeCell ref="G6:G62"/>
    <mergeCell ref="G2:J2"/>
    <mergeCell ref="A4:F4"/>
    <mergeCell ref="H123:R123"/>
    <mergeCell ref="A122:R122"/>
    <mergeCell ref="A63:R63"/>
    <mergeCell ref="G66:G121"/>
    <mergeCell ref="G132:G136"/>
    <mergeCell ref="K2:R2"/>
    <mergeCell ref="A130:F130"/>
    <mergeCell ref="D1:F1"/>
    <mergeCell ref="A64:F64"/>
    <mergeCell ref="A1:C1"/>
    <mergeCell ref="A123:F123"/>
    <mergeCell ref="G1:H1"/>
    <mergeCell ref="O1:Q1"/>
    <mergeCell ref="J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9.7773437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7.21875" bestFit="1" customWidth="1"/>
    <col min="35" max="35" width="6.7773437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  <row r="2" spans="1:35" ht="18" x14ac:dyDescent="0.3">
      <c r="A2" s="65" t="s">
        <v>133</v>
      </c>
      <c r="B2" s="66">
        <v>45988</v>
      </c>
      <c r="C2" s="67" t="s">
        <v>213</v>
      </c>
      <c r="D2" s="68">
        <v>6.5972222222222224E-2</v>
      </c>
      <c r="E2" s="67" t="s">
        <v>207</v>
      </c>
      <c r="F2" s="67" t="s">
        <v>134</v>
      </c>
      <c r="G2" s="69">
        <v>0.99439999999999995</v>
      </c>
      <c r="H2" s="70">
        <v>180</v>
      </c>
      <c r="I2" s="70">
        <v>179</v>
      </c>
      <c r="J2" s="70">
        <v>0</v>
      </c>
      <c r="K2" s="66">
        <v>45987</v>
      </c>
      <c r="L2" s="70">
        <v>1</v>
      </c>
      <c r="M2" s="70">
        <v>1</v>
      </c>
      <c r="N2" s="70">
        <v>57</v>
      </c>
      <c r="O2" s="67" t="s">
        <v>63</v>
      </c>
      <c r="P2" s="71"/>
      <c r="Q2" s="71"/>
      <c r="R2" s="71"/>
      <c r="S2" s="71"/>
      <c r="T2" s="71"/>
      <c r="U2" s="71"/>
      <c r="V2" s="70" t="s">
        <v>311</v>
      </c>
      <c r="W2" s="70" t="s">
        <v>312</v>
      </c>
      <c r="X2" s="70" t="s">
        <v>313</v>
      </c>
      <c r="Y2" s="70" t="s">
        <v>314</v>
      </c>
      <c r="Z2" s="70" t="s">
        <v>315</v>
      </c>
      <c r="AA2" s="70" t="s">
        <v>316</v>
      </c>
      <c r="AB2" s="70" t="s">
        <v>202</v>
      </c>
      <c r="AC2" s="70" t="s">
        <v>143</v>
      </c>
      <c r="AD2" s="70" t="s">
        <v>144</v>
      </c>
      <c r="AE2" s="70" t="s">
        <v>317</v>
      </c>
      <c r="AF2" s="71"/>
      <c r="AG2" s="71"/>
      <c r="AH2" s="71"/>
      <c r="AI2" s="71"/>
    </row>
    <row r="3" spans="1:35" ht="18" x14ac:dyDescent="0.3">
      <c r="A3" s="72" t="s">
        <v>133</v>
      </c>
      <c r="B3" s="73">
        <v>45988</v>
      </c>
      <c r="C3" s="74" t="s">
        <v>215</v>
      </c>
      <c r="D3" s="75">
        <v>0.15625</v>
      </c>
      <c r="E3" s="74" t="s">
        <v>207</v>
      </c>
      <c r="F3" s="74" t="s">
        <v>134</v>
      </c>
      <c r="G3" s="76">
        <v>0.99439999999999995</v>
      </c>
      <c r="H3" s="77">
        <v>180</v>
      </c>
      <c r="I3" s="77">
        <v>179</v>
      </c>
      <c r="J3" s="77">
        <v>65</v>
      </c>
      <c r="K3" s="73">
        <v>45987</v>
      </c>
      <c r="L3" s="77">
        <v>1</v>
      </c>
      <c r="M3" s="77">
        <v>0</v>
      </c>
      <c r="N3" s="77">
        <v>74</v>
      </c>
      <c r="O3" s="74" t="s">
        <v>63</v>
      </c>
      <c r="P3" s="78"/>
      <c r="Q3" s="78"/>
      <c r="R3" s="78"/>
      <c r="S3" s="78"/>
      <c r="T3" s="78"/>
      <c r="U3" s="78"/>
      <c r="V3" s="78"/>
      <c r="W3" s="77" t="s">
        <v>186</v>
      </c>
      <c r="X3" s="77" t="s">
        <v>318</v>
      </c>
      <c r="Y3" s="77" t="s">
        <v>319</v>
      </c>
      <c r="Z3" s="77" t="s">
        <v>200</v>
      </c>
      <c r="AA3" s="77" t="s">
        <v>320</v>
      </c>
      <c r="AB3" s="77" t="s">
        <v>321</v>
      </c>
      <c r="AC3" s="77" t="s">
        <v>322</v>
      </c>
      <c r="AD3" s="77" t="s">
        <v>323</v>
      </c>
      <c r="AE3" s="77" t="s">
        <v>317</v>
      </c>
      <c r="AF3" s="78"/>
      <c r="AG3" s="78"/>
      <c r="AH3" s="77" t="s">
        <v>324</v>
      </c>
      <c r="AI3" s="78"/>
    </row>
    <row r="4" spans="1:35" ht="18" x14ac:dyDescent="0.3">
      <c r="A4" s="65" t="s">
        <v>133</v>
      </c>
      <c r="B4" s="66">
        <v>45988</v>
      </c>
      <c r="C4" s="67" t="s">
        <v>217</v>
      </c>
      <c r="D4" s="68">
        <v>0.1875</v>
      </c>
      <c r="E4" s="67" t="s">
        <v>207</v>
      </c>
      <c r="F4" s="67" t="s">
        <v>134</v>
      </c>
      <c r="G4" s="69">
        <v>0.99439999999999995</v>
      </c>
      <c r="H4" s="70">
        <v>180</v>
      </c>
      <c r="I4" s="70">
        <v>179</v>
      </c>
      <c r="J4" s="70">
        <v>45</v>
      </c>
      <c r="K4" s="66">
        <v>45985</v>
      </c>
      <c r="L4" s="70">
        <v>0</v>
      </c>
      <c r="M4" s="70">
        <v>0</v>
      </c>
      <c r="N4" s="70">
        <v>49</v>
      </c>
      <c r="O4" s="67" t="s">
        <v>63</v>
      </c>
      <c r="P4" s="71"/>
      <c r="Q4" s="71"/>
      <c r="R4" s="71"/>
      <c r="S4" s="71"/>
      <c r="T4" s="71"/>
      <c r="U4" s="71"/>
      <c r="V4" s="70" t="s">
        <v>325</v>
      </c>
      <c r="W4" s="70" t="s">
        <v>326</v>
      </c>
      <c r="X4" s="70" t="s">
        <v>313</v>
      </c>
      <c r="Y4" s="70" t="s">
        <v>327</v>
      </c>
      <c r="Z4" s="70" t="s">
        <v>200</v>
      </c>
      <c r="AA4" s="70" t="s">
        <v>316</v>
      </c>
      <c r="AB4" s="70" t="s">
        <v>328</v>
      </c>
      <c r="AC4" s="70" t="s">
        <v>203</v>
      </c>
      <c r="AD4" s="70" t="s">
        <v>323</v>
      </c>
      <c r="AE4" s="70" t="s">
        <v>329</v>
      </c>
      <c r="AF4" s="71"/>
      <c r="AG4" s="71"/>
      <c r="AH4" s="70" t="s">
        <v>330</v>
      </c>
      <c r="AI4" s="71"/>
    </row>
    <row r="5" spans="1:35" ht="18" x14ac:dyDescent="0.3">
      <c r="A5" s="72" t="s">
        <v>133</v>
      </c>
      <c r="B5" s="73">
        <v>45988</v>
      </c>
      <c r="C5" s="74" t="s">
        <v>219</v>
      </c>
      <c r="D5" s="75">
        <v>0.40625</v>
      </c>
      <c r="E5" s="74" t="s">
        <v>207</v>
      </c>
      <c r="F5" s="74" t="s">
        <v>134</v>
      </c>
      <c r="G5" s="76">
        <v>1</v>
      </c>
      <c r="H5" s="77">
        <v>180</v>
      </c>
      <c r="I5" s="77">
        <v>180</v>
      </c>
      <c r="J5" s="77">
        <v>135</v>
      </c>
      <c r="K5" s="73">
        <v>45960</v>
      </c>
      <c r="L5" s="77">
        <v>0</v>
      </c>
      <c r="M5" s="77">
        <v>0</v>
      </c>
      <c r="N5" s="77">
        <v>0</v>
      </c>
      <c r="O5" s="74" t="s">
        <v>63</v>
      </c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7" t="s">
        <v>331</v>
      </c>
      <c r="AC5" s="77" t="s">
        <v>322</v>
      </c>
      <c r="AD5" s="77" t="s">
        <v>144</v>
      </c>
      <c r="AE5" s="77" t="s">
        <v>317</v>
      </c>
      <c r="AF5" s="78"/>
      <c r="AG5" s="78"/>
      <c r="AH5" s="77" t="s">
        <v>146</v>
      </c>
      <c r="AI5" s="78"/>
    </row>
    <row r="6" spans="1:35" ht="18" x14ac:dyDescent="0.3">
      <c r="A6" s="65" t="s">
        <v>133</v>
      </c>
      <c r="B6" s="66">
        <v>45988</v>
      </c>
      <c r="C6" s="67" t="s">
        <v>221</v>
      </c>
      <c r="D6" s="68">
        <v>0.5625</v>
      </c>
      <c r="E6" s="67" t="s">
        <v>207</v>
      </c>
      <c r="F6" s="67" t="s">
        <v>134</v>
      </c>
      <c r="G6" s="69">
        <v>0.99439999999999995</v>
      </c>
      <c r="H6" s="70">
        <v>180</v>
      </c>
      <c r="I6" s="70">
        <v>179</v>
      </c>
      <c r="J6" s="70">
        <v>132</v>
      </c>
      <c r="K6" s="66">
        <v>45985</v>
      </c>
      <c r="L6" s="70">
        <v>0</v>
      </c>
      <c r="M6" s="70">
        <v>0</v>
      </c>
      <c r="N6" s="70">
        <v>3</v>
      </c>
      <c r="O6" s="67" t="s">
        <v>63</v>
      </c>
      <c r="P6" s="71"/>
      <c r="Q6" s="71"/>
      <c r="R6" s="71"/>
      <c r="S6" s="71"/>
      <c r="T6" s="71"/>
      <c r="U6" s="70" t="s">
        <v>332</v>
      </c>
      <c r="V6" s="71"/>
      <c r="W6" s="70" t="s">
        <v>149</v>
      </c>
      <c r="X6" s="71"/>
      <c r="Y6" s="70" t="s">
        <v>333</v>
      </c>
      <c r="Z6" s="70" t="s">
        <v>334</v>
      </c>
      <c r="AA6" s="70" t="s">
        <v>335</v>
      </c>
      <c r="AB6" s="70" t="s">
        <v>336</v>
      </c>
      <c r="AC6" s="70" t="s">
        <v>337</v>
      </c>
      <c r="AD6" s="70" t="s">
        <v>204</v>
      </c>
      <c r="AE6" s="70" t="s">
        <v>329</v>
      </c>
      <c r="AF6" s="71"/>
      <c r="AG6" s="71"/>
      <c r="AH6" s="70" t="s">
        <v>338</v>
      </c>
      <c r="AI6" s="71"/>
    </row>
    <row r="7" spans="1:35" ht="18" x14ac:dyDescent="0.3">
      <c r="A7" s="72" t="s">
        <v>133</v>
      </c>
      <c r="B7" s="73">
        <v>45988</v>
      </c>
      <c r="C7" s="74" t="s">
        <v>210</v>
      </c>
      <c r="D7" s="75">
        <v>0.9375</v>
      </c>
      <c r="E7" s="74" t="s">
        <v>207</v>
      </c>
      <c r="F7" s="74" t="s">
        <v>134</v>
      </c>
      <c r="G7" s="76">
        <v>0.9889</v>
      </c>
      <c r="H7" s="77">
        <v>180</v>
      </c>
      <c r="I7" s="77">
        <v>178</v>
      </c>
      <c r="J7" s="77">
        <v>0</v>
      </c>
      <c r="K7" s="73">
        <v>45986</v>
      </c>
      <c r="L7" s="77">
        <v>0</v>
      </c>
      <c r="M7" s="77">
        <v>1</v>
      </c>
      <c r="N7" s="77">
        <v>32</v>
      </c>
      <c r="O7" s="74" t="s">
        <v>211</v>
      </c>
      <c r="P7" s="78"/>
      <c r="Q7" s="78"/>
      <c r="R7" s="78"/>
      <c r="S7" s="78"/>
      <c r="T7" s="78"/>
      <c r="U7" s="77" t="s">
        <v>332</v>
      </c>
      <c r="V7" s="77" t="s">
        <v>339</v>
      </c>
      <c r="W7" s="77" t="s">
        <v>340</v>
      </c>
      <c r="X7" s="77" t="s">
        <v>318</v>
      </c>
      <c r="Y7" s="77" t="s">
        <v>341</v>
      </c>
      <c r="Z7" s="77" t="s">
        <v>342</v>
      </c>
      <c r="AA7" s="77" t="s">
        <v>320</v>
      </c>
      <c r="AB7" s="77" t="s">
        <v>343</v>
      </c>
      <c r="AC7" s="77" t="s">
        <v>344</v>
      </c>
      <c r="AD7" s="77" t="s">
        <v>144</v>
      </c>
      <c r="AE7" s="77" t="s">
        <v>145</v>
      </c>
      <c r="AF7" s="78"/>
      <c r="AG7" s="78"/>
      <c r="AH7" s="78"/>
      <c r="AI7" s="77" t="s">
        <v>345</v>
      </c>
    </row>
    <row r="8" spans="1:35" ht="18" x14ac:dyDescent="0.3">
      <c r="A8" s="65" t="s">
        <v>346</v>
      </c>
      <c r="B8" s="66">
        <v>45989</v>
      </c>
      <c r="C8" s="67" t="s">
        <v>215</v>
      </c>
      <c r="D8" s="68">
        <v>0.1423611111111111</v>
      </c>
      <c r="E8" s="67" t="s">
        <v>207</v>
      </c>
      <c r="F8" s="67" t="s">
        <v>134</v>
      </c>
      <c r="G8" s="69">
        <v>1</v>
      </c>
      <c r="H8" s="70">
        <v>180</v>
      </c>
      <c r="I8" s="70">
        <v>180</v>
      </c>
      <c r="J8" s="70">
        <v>35</v>
      </c>
      <c r="K8" s="66">
        <v>45986</v>
      </c>
      <c r="L8" s="70">
        <v>0</v>
      </c>
      <c r="M8" s="70">
        <v>1</v>
      </c>
      <c r="N8" s="70">
        <v>12</v>
      </c>
      <c r="O8" s="67" t="s">
        <v>63</v>
      </c>
      <c r="P8" s="71"/>
      <c r="Q8" s="71"/>
      <c r="R8" s="71"/>
      <c r="S8" s="71"/>
      <c r="T8" s="71"/>
      <c r="U8" s="70" t="s">
        <v>347</v>
      </c>
      <c r="V8" s="70" t="s">
        <v>348</v>
      </c>
      <c r="W8" s="70" t="s">
        <v>349</v>
      </c>
      <c r="X8" s="70" t="s">
        <v>318</v>
      </c>
      <c r="Y8" s="70" t="s">
        <v>350</v>
      </c>
      <c r="Z8" s="70" t="s">
        <v>351</v>
      </c>
      <c r="AA8" s="70" t="s">
        <v>320</v>
      </c>
      <c r="AB8" s="70" t="s">
        <v>352</v>
      </c>
      <c r="AC8" s="70" t="s">
        <v>353</v>
      </c>
      <c r="AD8" s="70" t="s">
        <v>144</v>
      </c>
      <c r="AE8" s="70" t="s">
        <v>145</v>
      </c>
      <c r="AF8" s="71"/>
      <c r="AG8" s="71"/>
      <c r="AH8" s="70" t="s">
        <v>354</v>
      </c>
      <c r="AI8" s="70" t="s">
        <v>355</v>
      </c>
    </row>
    <row r="9" spans="1:35" ht="18" x14ac:dyDescent="0.3">
      <c r="A9" s="72" t="s">
        <v>346</v>
      </c>
      <c r="B9" s="73">
        <v>45989</v>
      </c>
      <c r="C9" s="74" t="s">
        <v>219</v>
      </c>
      <c r="D9" s="75">
        <v>0.28125</v>
      </c>
      <c r="E9" s="74" t="s">
        <v>207</v>
      </c>
      <c r="F9" s="74" t="s">
        <v>134</v>
      </c>
      <c r="G9" s="76">
        <v>0.99439999999999995</v>
      </c>
      <c r="H9" s="77">
        <v>180</v>
      </c>
      <c r="I9" s="77">
        <v>179</v>
      </c>
      <c r="J9" s="77">
        <v>0</v>
      </c>
      <c r="K9" s="73">
        <v>45986</v>
      </c>
      <c r="L9" s="77">
        <v>0</v>
      </c>
      <c r="M9" s="77">
        <v>2</v>
      </c>
      <c r="N9" s="77">
        <v>48</v>
      </c>
      <c r="O9" s="74" t="s">
        <v>63</v>
      </c>
      <c r="P9" s="78"/>
      <c r="Q9" s="78"/>
      <c r="R9" s="78"/>
      <c r="S9" s="78"/>
      <c r="T9" s="78"/>
      <c r="U9" s="77" t="s">
        <v>347</v>
      </c>
      <c r="V9" s="77" t="s">
        <v>311</v>
      </c>
      <c r="W9" s="77" t="s">
        <v>356</v>
      </c>
      <c r="X9" s="77" t="s">
        <v>357</v>
      </c>
      <c r="Y9" s="77" t="s">
        <v>358</v>
      </c>
      <c r="Z9" s="77" t="s">
        <v>351</v>
      </c>
      <c r="AA9" s="77" t="s">
        <v>359</v>
      </c>
      <c r="AB9" s="77" t="s">
        <v>352</v>
      </c>
      <c r="AC9" s="77" t="s">
        <v>322</v>
      </c>
      <c r="AD9" s="77" t="s">
        <v>360</v>
      </c>
      <c r="AE9" s="77" t="s">
        <v>145</v>
      </c>
      <c r="AF9" s="78"/>
      <c r="AG9" s="78"/>
      <c r="AH9" s="78"/>
      <c r="AI9" s="78"/>
    </row>
    <row r="10" spans="1:35" ht="18" x14ac:dyDescent="0.3">
      <c r="A10" s="65" t="s">
        <v>346</v>
      </c>
      <c r="B10" s="66">
        <v>45989</v>
      </c>
      <c r="C10" s="67" t="s">
        <v>221</v>
      </c>
      <c r="D10" s="68">
        <v>0.4375</v>
      </c>
      <c r="E10" s="67" t="s">
        <v>207</v>
      </c>
      <c r="F10" s="67" t="s">
        <v>134</v>
      </c>
      <c r="G10" s="69">
        <v>1.0056</v>
      </c>
      <c r="H10" s="70">
        <v>180</v>
      </c>
      <c r="I10" s="70">
        <v>181</v>
      </c>
      <c r="J10" s="70">
        <v>45</v>
      </c>
      <c r="K10" s="66">
        <v>45986</v>
      </c>
      <c r="L10" s="70">
        <v>0</v>
      </c>
      <c r="M10" s="70">
        <v>6</v>
      </c>
      <c r="N10" s="70">
        <v>32</v>
      </c>
      <c r="O10" s="67" t="s">
        <v>63</v>
      </c>
      <c r="P10" s="71"/>
      <c r="Q10" s="71"/>
      <c r="R10" s="71"/>
      <c r="S10" s="71"/>
      <c r="T10" s="71"/>
      <c r="U10" s="70" t="s">
        <v>361</v>
      </c>
      <c r="V10" s="70" t="s">
        <v>362</v>
      </c>
      <c r="W10" s="70" t="s">
        <v>363</v>
      </c>
      <c r="X10" s="70" t="s">
        <v>364</v>
      </c>
      <c r="Y10" s="70" t="s">
        <v>365</v>
      </c>
      <c r="Z10" s="70" t="s">
        <v>200</v>
      </c>
      <c r="AA10" s="70" t="s">
        <v>320</v>
      </c>
      <c r="AB10" s="70" t="s">
        <v>366</v>
      </c>
      <c r="AC10" s="70" t="s">
        <v>367</v>
      </c>
      <c r="AD10" s="70" t="s">
        <v>368</v>
      </c>
      <c r="AE10" s="70" t="s">
        <v>369</v>
      </c>
      <c r="AF10" s="71"/>
      <c r="AG10" s="71"/>
      <c r="AH10" s="70" t="s">
        <v>330</v>
      </c>
      <c r="AI10" s="70" t="s">
        <v>139</v>
      </c>
    </row>
    <row r="11" spans="1:35" ht="18" x14ac:dyDescent="0.3">
      <c r="A11" s="72" t="s">
        <v>346</v>
      </c>
      <c r="B11" s="73">
        <v>45989</v>
      </c>
      <c r="C11" s="74" t="s">
        <v>273</v>
      </c>
      <c r="D11" s="75">
        <v>0.55902777777777779</v>
      </c>
      <c r="E11" s="74" t="s">
        <v>207</v>
      </c>
      <c r="F11" s="74" t="s">
        <v>134</v>
      </c>
      <c r="G11" s="76">
        <v>0.9778</v>
      </c>
      <c r="H11" s="77">
        <v>180</v>
      </c>
      <c r="I11" s="77">
        <v>176</v>
      </c>
      <c r="J11" s="77">
        <v>0</v>
      </c>
      <c r="K11" s="73">
        <v>45986</v>
      </c>
      <c r="L11" s="77">
        <v>0</v>
      </c>
      <c r="M11" s="77">
        <v>5</v>
      </c>
      <c r="N11" s="77">
        <v>50</v>
      </c>
      <c r="O11" s="74" t="s">
        <v>135</v>
      </c>
      <c r="P11" s="78"/>
      <c r="Q11" s="78"/>
      <c r="R11" s="78"/>
      <c r="S11" s="78"/>
      <c r="T11" s="78"/>
      <c r="U11" s="77" t="s">
        <v>370</v>
      </c>
      <c r="V11" s="77" t="s">
        <v>371</v>
      </c>
      <c r="W11" s="77" t="s">
        <v>372</v>
      </c>
      <c r="X11" s="77" t="s">
        <v>318</v>
      </c>
      <c r="Y11" s="77" t="s">
        <v>373</v>
      </c>
      <c r="Z11" s="77" t="s">
        <v>351</v>
      </c>
      <c r="AA11" s="77" t="s">
        <v>374</v>
      </c>
      <c r="AB11" s="77" t="s">
        <v>375</v>
      </c>
      <c r="AC11" s="77" t="s">
        <v>143</v>
      </c>
      <c r="AD11" s="77" t="s">
        <v>144</v>
      </c>
      <c r="AE11" s="77" t="s">
        <v>145</v>
      </c>
      <c r="AF11" s="78"/>
      <c r="AG11" s="78"/>
      <c r="AH11" s="78"/>
      <c r="AI11" s="78"/>
    </row>
    <row r="12" spans="1:35" ht="18" x14ac:dyDescent="0.3">
      <c r="A12" s="65" t="s">
        <v>346</v>
      </c>
      <c r="B12" s="66">
        <v>45989</v>
      </c>
      <c r="C12" s="67" t="s">
        <v>276</v>
      </c>
      <c r="D12" s="68">
        <v>0.76041666666666663</v>
      </c>
      <c r="E12" s="67" t="s">
        <v>207</v>
      </c>
      <c r="F12" s="67" t="s">
        <v>134</v>
      </c>
      <c r="G12" s="69">
        <v>0.9889</v>
      </c>
      <c r="H12" s="70">
        <v>180</v>
      </c>
      <c r="I12" s="70">
        <v>178</v>
      </c>
      <c r="J12" s="70">
        <v>0</v>
      </c>
      <c r="K12" s="66">
        <v>45986</v>
      </c>
      <c r="L12" s="70">
        <v>0</v>
      </c>
      <c r="M12" s="70">
        <v>1</v>
      </c>
      <c r="N12" s="70">
        <v>9</v>
      </c>
      <c r="O12" s="67" t="s">
        <v>211</v>
      </c>
      <c r="P12" s="71"/>
      <c r="Q12" s="71"/>
      <c r="R12" s="71"/>
      <c r="S12" s="71"/>
      <c r="T12" s="70" t="s">
        <v>376</v>
      </c>
      <c r="U12" s="70" t="s">
        <v>377</v>
      </c>
      <c r="V12" s="70" t="s">
        <v>378</v>
      </c>
      <c r="W12" s="70" t="s">
        <v>379</v>
      </c>
      <c r="X12" s="70" t="s">
        <v>380</v>
      </c>
      <c r="Y12" s="70" t="s">
        <v>381</v>
      </c>
      <c r="Z12" s="70" t="s">
        <v>382</v>
      </c>
      <c r="AA12" s="70" t="s">
        <v>383</v>
      </c>
      <c r="AB12" s="70" t="s">
        <v>366</v>
      </c>
      <c r="AC12" s="70" t="s">
        <v>322</v>
      </c>
      <c r="AD12" s="70" t="s">
        <v>144</v>
      </c>
      <c r="AE12" s="70" t="s">
        <v>145</v>
      </c>
      <c r="AF12" s="71"/>
      <c r="AG12" s="71"/>
      <c r="AH12" s="71"/>
      <c r="AI12" s="71"/>
    </row>
    <row r="13" spans="1:35" ht="18" x14ac:dyDescent="0.3">
      <c r="A13" s="72" t="s">
        <v>140</v>
      </c>
      <c r="B13" s="73">
        <v>45990</v>
      </c>
      <c r="C13" s="74" t="s">
        <v>213</v>
      </c>
      <c r="D13" s="75">
        <v>4.8611111111111112E-2</v>
      </c>
      <c r="E13" s="74" t="s">
        <v>207</v>
      </c>
      <c r="F13" s="74" t="s">
        <v>134</v>
      </c>
      <c r="G13" s="76">
        <v>1.0333000000000001</v>
      </c>
      <c r="H13" s="77">
        <v>180</v>
      </c>
      <c r="I13" s="77">
        <v>186</v>
      </c>
      <c r="J13" s="77">
        <v>45</v>
      </c>
      <c r="K13" s="73">
        <v>45974</v>
      </c>
      <c r="L13" s="77">
        <v>0</v>
      </c>
      <c r="M13" s="77">
        <v>0</v>
      </c>
      <c r="N13" s="77">
        <v>0</v>
      </c>
      <c r="O13" s="74" t="s">
        <v>63</v>
      </c>
      <c r="P13" s="78"/>
      <c r="Q13" s="78"/>
      <c r="R13" s="78"/>
      <c r="S13" s="78"/>
      <c r="T13" s="78"/>
      <c r="U13" s="78"/>
      <c r="V13" s="77" t="s">
        <v>211</v>
      </c>
      <c r="W13" s="78"/>
      <c r="X13" s="77" t="s">
        <v>384</v>
      </c>
      <c r="Y13" s="77" t="s">
        <v>319</v>
      </c>
      <c r="Z13" s="77" t="s">
        <v>385</v>
      </c>
      <c r="AA13" s="77" t="s">
        <v>386</v>
      </c>
      <c r="AB13" s="77" t="s">
        <v>366</v>
      </c>
      <c r="AC13" s="77" t="s">
        <v>322</v>
      </c>
      <c r="AD13" s="77" t="s">
        <v>144</v>
      </c>
      <c r="AE13" s="77" t="s">
        <v>145</v>
      </c>
      <c r="AF13" s="78"/>
      <c r="AG13" s="78"/>
      <c r="AH13" s="77" t="s">
        <v>330</v>
      </c>
      <c r="AI13" s="78"/>
    </row>
    <row r="14" spans="1:35" ht="18" x14ac:dyDescent="0.3">
      <c r="A14" s="65" t="s">
        <v>140</v>
      </c>
      <c r="B14" s="66">
        <v>45990</v>
      </c>
      <c r="C14" s="67" t="s">
        <v>215</v>
      </c>
      <c r="D14" s="68">
        <v>0.15625</v>
      </c>
      <c r="E14" s="67" t="s">
        <v>207</v>
      </c>
      <c r="F14" s="67" t="s">
        <v>134</v>
      </c>
      <c r="G14" s="69">
        <v>1</v>
      </c>
      <c r="H14" s="70">
        <v>180</v>
      </c>
      <c r="I14" s="70">
        <v>180</v>
      </c>
      <c r="J14" s="70">
        <v>134</v>
      </c>
      <c r="K14" s="66">
        <v>45986</v>
      </c>
      <c r="L14" s="70">
        <v>0</v>
      </c>
      <c r="M14" s="70">
        <v>1</v>
      </c>
      <c r="N14" s="70">
        <v>6</v>
      </c>
      <c r="O14" s="67" t="s">
        <v>63</v>
      </c>
      <c r="P14" s="71"/>
      <c r="Q14" s="71"/>
      <c r="R14" s="71"/>
      <c r="S14" s="71"/>
      <c r="T14" s="71"/>
      <c r="U14" s="71"/>
      <c r="V14" s="71"/>
      <c r="W14" s="71"/>
      <c r="X14" s="70" t="s">
        <v>387</v>
      </c>
      <c r="Y14" s="71"/>
      <c r="Z14" s="71"/>
      <c r="AA14" s="71"/>
      <c r="AB14" s="70" t="s">
        <v>142</v>
      </c>
      <c r="AC14" s="70" t="s">
        <v>143</v>
      </c>
      <c r="AD14" s="70" t="s">
        <v>144</v>
      </c>
      <c r="AE14" s="70" t="s">
        <v>145</v>
      </c>
      <c r="AF14" s="71"/>
      <c r="AG14" s="71"/>
      <c r="AH14" s="70" t="s">
        <v>388</v>
      </c>
      <c r="AI14" s="70" t="s">
        <v>355</v>
      </c>
    </row>
    <row r="15" spans="1:35" ht="18" x14ac:dyDescent="0.3">
      <c r="A15" s="72" t="s">
        <v>140</v>
      </c>
      <c r="B15" s="73">
        <v>45990</v>
      </c>
      <c r="C15" s="74" t="s">
        <v>219</v>
      </c>
      <c r="D15" s="75">
        <v>0.50347222222222221</v>
      </c>
      <c r="E15" s="74" t="s">
        <v>207</v>
      </c>
      <c r="F15" s="74" t="s">
        <v>134</v>
      </c>
      <c r="G15" s="76">
        <v>0.99439999999999995</v>
      </c>
      <c r="H15" s="77">
        <v>180</v>
      </c>
      <c r="I15" s="77">
        <v>179</v>
      </c>
      <c r="J15" s="77">
        <v>90</v>
      </c>
      <c r="K15" s="73">
        <v>45973</v>
      </c>
      <c r="L15" s="77">
        <v>0</v>
      </c>
      <c r="M15" s="77">
        <v>0</v>
      </c>
      <c r="N15" s="77">
        <v>0</v>
      </c>
      <c r="O15" s="74" t="s">
        <v>63</v>
      </c>
      <c r="P15" s="77" t="s">
        <v>389</v>
      </c>
      <c r="Q15" s="78"/>
      <c r="R15" s="78"/>
      <c r="S15" s="78"/>
      <c r="T15" s="78"/>
      <c r="U15" s="77" t="s">
        <v>390</v>
      </c>
      <c r="V15" s="77" t="s">
        <v>348</v>
      </c>
      <c r="W15" s="77" t="s">
        <v>391</v>
      </c>
      <c r="X15" s="77" t="s">
        <v>392</v>
      </c>
      <c r="Y15" s="77" t="s">
        <v>358</v>
      </c>
      <c r="Z15" s="77" t="s">
        <v>393</v>
      </c>
      <c r="AA15" s="77" t="s">
        <v>320</v>
      </c>
      <c r="AB15" s="77" t="s">
        <v>150</v>
      </c>
      <c r="AC15" s="78"/>
      <c r="AD15" s="78"/>
      <c r="AE15" s="78"/>
      <c r="AF15" s="78"/>
      <c r="AG15" s="78"/>
      <c r="AH15" s="77" t="s">
        <v>394</v>
      </c>
      <c r="AI15" s="78"/>
    </row>
    <row r="16" spans="1:35" ht="18" x14ac:dyDescent="0.3">
      <c r="A16" s="65" t="s">
        <v>140</v>
      </c>
      <c r="B16" s="66">
        <v>45990</v>
      </c>
      <c r="C16" s="67" t="s">
        <v>210</v>
      </c>
      <c r="D16" s="68">
        <v>0.90625</v>
      </c>
      <c r="E16" s="67" t="s">
        <v>207</v>
      </c>
      <c r="F16" s="67" t="s">
        <v>134</v>
      </c>
      <c r="G16" s="69">
        <v>0.9667</v>
      </c>
      <c r="H16" s="70">
        <v>180</v>
      </c>
      <c r="I16" s="70">
        <v>174</v>
      </c>
      <c r="J16" s="70">
        <v>1</v>
      </c>
      <c r="K16" s="66">
        <v>45985</v>
      </c>
      <c r="L16" s="70">
        <v>0</v>
      </c>
      <c r="M16" s="70">
        <v>0</v>
      </c>
      <c r="N16" s="70">
        <v>16</v>
      </c>
      <c r="O16" s="67" t="s">
        <v>304</v>
      </c>
      <c r="P16" s="71"/>
      <c r="Q16" s="71"/>
      <c r="R16" s="70" t="s">
        <v>395</v>
      </c>
      <c r="S16" s="70" t="s">
        <v>396</v>
      </c>
      <c r="T16" s="70" t="s">
        <v>397</v>
      </c>
      <c r="U16" s="70" t="s">
        <v>398</v>
      </c>
      <c r="V16" s="70" t="s">
        <v>399</v>
      </c>
      <c r="W16" s="70" t="s">
        <v>400</v>
      </c>
      <c r="X16" s="70" t="s">
        <v>401</v>
      </c>
      <c r="Y16" s="70" t="s">
        <v>319</v>
      </c>
      <c r="Z16" s="70" t="s">
        <v>342</v>
      </c>
      <c r="AA16" s="70" t="s">
        <v>359</v>
      </c>
      <c r="AB16" s="70" t="s">
        <v>352</v>
      </c>
      <c r="AC16" s="70" t="s">
        <v>322</v>
      </c>
      <c r="AD16" s="70" t="s">
        <v>144</v>
      </c>
      <c r="AE16" s="70" t="s">
        <v>145</v>
      </c>
      <c r="AF16" s="71"/>
      <c r="AG16" s="71"/>
      <c r="AH16" s="70" t="s">
        <v>402</v>
      </c>
      <c r="AI16" s="70" t="s">
        <v>147</v>
      </c>
    </row>
    <row r="17" spans="1:35" ht="18" x14ac:dyDescent="0.3">
      <c r="A17" s="72" t="s">
        <v>148</v>
      </c>
      <c r="B17" s="73">
        <v>45991</v>
      </c>
      <c r="C17" s="74" t="s">
        <v>215</v>
      </c>
      <c r="D17" s="75">
        <v>0.1423611111111111</v>
      </c>
      <c r="E17" s="74" t="s">
        <v>207</v>
      </c>
      <c r="F17" s="74" t="s">
        <v>134</v>
      </c>
      <c r="G17" s="76">
        <v>1</v>
      </c>
      <c r="H17" s="77">
        <v>180</v>
      </c>
      <c r="I17" s="77">
        <v>180</v>
      </c>
      <c r="J17" s="77">
        <v>89</v>
      </c>
      <c r="K17" s="73">
        <v>45987</v>
      </c>
      <c r="L17" s="77">
        <v>2</v>
      </c>
      <c r="M17" s="77">
        <v>1</v>
      </c>
      <c r="N17" s="77">
        <v>3</v>
      </c>
      <c r="O17" s="74" t="s">
        <v>63</v>
      </c>
      <c r="P17" s="78"/>
      <c r="Q17" s="78"/>
      <c r="R17" s="78"/>
      <c r="S17" s="78"/>
      <c r="T17" s="78"/>
      <c r="U17" s="78"/>
      <c r="V17" s="78"/>
      <c r="W17" s="77" t="s">
        <v>186</v>
      </c>
      <c r="X17" s="77" t="s">
        <v>141</v>
      </c>
      <c r="Y17" s="77" t="s">
        <v>358</v>
      </c>
      <c r="Z17" s="77" t="s">
        <v>342</v>
      </c>
      <c r="AA17" s="77" t="s">
        <v>359</v>
      </c>
      <c r="AB17" s="77" t="s">
        <v>366</v>
      </c>
      <c r="AC17" s="77" t="s">
        <v>403</v>
      </c>
      <c r="AD17" s="77" t="s">
        <v>144</v>
      </c>
      <c r="AE17" s="77" t="s">
        <v>145</v>
      </c>
      <c r="AF17" s="78"/>
      <c r="AG17" s="78"/>
      <c r="AH17" s="77" t="s">
        <v>404</v>
      </c>
      <c r="AI17" s="78"/>
    </row>
    <row r="18" spans="1:35" ht="18" x14ac:dyDescent="0.3">
      <c r="A18" s="65" t="s">
        <v>148</v>
      </c>
      <c r="B18" s="66">
        <v>45991</v>
      </c>
      <c r="C18" s="67" t="s">
        <v>217</v>
      </c>
      <c r="D18" s="68">
        <v>0.15625</v>
      </c>
      <c r="E18" s="67" t="s">
        <v>207</v>
      </c>
      <c r="F18" s="67" t="s">
        <v>134</v>
      </c>
      <c r="G18" s="69">
        <v>1</v>
      </c>
      <c r="H18" s="70">
        <v>180</v>
      </c>
      <c r="I18" s="70">
        <v>180</v>
      </c>
      <c r="J18" s="70">
        <v>85</v>
      </c>
      <c r="K18" s="66">
        <v>45986</v>
      </c>
      <c r="L18" s="70">
        <v>0</v>
      </c>
      <c r="M18" s="70">
        <v>1</v>
      </c>
      <c r="N18" s="70">
        <v>18</v>
      </c>
      <c r="O18" s="67" t="s">
        <v>63</v>
      </c>
      <c r="P18" s="71"/>
      <c r="Q18" s="71"/>
      <c r="R18" s="71"/>
      <c r="S18" s="71"/>
      <c r="T18" s="71"/>
      <c r="U18" s="71"/>
      <c r="V18" s="70" t="s">
        <v>325</v>
      </c>
      <c r="W18" s="70" t="s">
        <v>405</v>
      </c>
      <c r="X18" s="70" t="s">
        <v>406</v>
      </c>
      <c r="Y18" s="70" t="s">
        <v>381</v>
      </c>
      <c r="Z18" s="70" t="s">
        <v>200</v>
      </c>
      <c r="AA18" s="70" t="s">
        <v>320</v>
      </c>
      <c r="AB18" s="70" t="s">
        <v>407</v>
      </c>
      <c r="AC18" s="70" t="s">
        <v>203</v>
      </c>
      <c r="AD18" s="70" t="s">
        <v>323</v>
      </c>
      <c r="AE18" s="70" t="s">
        <v>329</v>
      </c>
      <c r="AF18" s="70" t="s">
        <v>408</v>
      </c>
      <c r="AG18" s="71"/>
      <c r="AH18" s="70" t="s">
        <v>330</v>
      </c>
      <c r="AI18" s="71"/>
    </row>
    <row r="19" spans="1:35" ht="18" x14ac:dyDescent="0.3">
      <c r="A19" s="72" t="s">
        <v>148</v>
      </c>
      <c r="B19" s="73">
        <v>45991</v>
      </c>
      <c r="C19" s="74" t="s">
        <v>276</v>
      </c>
      <c r="D19" s="75">
        <v>0.33333333333333331</v>
      </c>
      <c r="E19" s="74" t="s">
        <v>207</v>
      </c>
      <c r="F19" s="74" t="s">
        <v>134</v>
      </c>
      <c r="G19" s="76">
        <v>1</v>
      </c>
      <c r="H19" s="77">
        <v>180</v>
      </c>
      <c r="I19" s="77">
        <v>180</v>
      </c>
      <c r="J19" s="77">
        <v>89</v>
      </c>
      <c r="K19" s="73">
        <v>45986</v>
      </c>
      <c r="L19" s="77">
        <v>0</v>
      </c>
      <c r="M19" s="77">
        <v>2</v>
      </c>
      <c r="N19" s="77">
        <v>4</v>
      </c>
      <c r="O19" s="74" t="s">
        <v>63</v>
      </c>
      <c r="P19" s="78"/>
      <c r="Q19" s="78"/>
      <c r="R19" s="78"/>
      <c r="S19" s="78"/>
      <c r="T19" s="78"/>
      <c r="U19" s="78"/>
      <c r="V19" s="78"/>
      <c r="W19" s="78"/>
      <c r="X19" s="77" t="s">
        <v>392</v>
      </c>
      <c r="Y19" s="77" t="s">
        <v>365</v>
      </c>
      <c r="Z19" s="77" t="s">
        <v>351</v>
      </c>
      <c r="AA19" s="77" t="s">
        <v>374</v>
      </c>
      <c r="AB19" s="77" t="s">
        <v>187</v>
      </c>
      <c r="AC19" s="77" t="s">
        <v>322</v>
      </c>
      <c r="AD19" s="77" t="s">
        <v>409</v>
      </c>
      <c r="AE19" s="77" t="s">
        <v>145</v>
      </c>
      <c r="AF19" s="78"/>
      <c r="AG19" s="78"/>
      <c r="AH19" s="77" t="s">
        <v>404</v>
      </c>
      <c r="AI19" s="78"/>
    </row>
    <row r="20" spans="1:35" ht="18" x14ac:dyDescent="0.3">
      <c r="A20" s="65" t="s">
        <v>148</v>
      </c>
      <c r="B20" s="66">
        <v>45991</v>
      </c>
      <c r="C20" s="67" t="s">
        <v>219</v>
      </c>
      <c r="D20" s="68">
        <v>0.4548611111111111</v>
      </c>
      <c r="E20" s="67" t="s">
        <v>207</v>
      </c>
      <c r="F20" s="67" t="s">
        <v>134</v>
      </c>
      <c r="G20" s="69">
        <v>0.99439999999999995</v>
      </c>
      <c r="H20" s="70">
        <v>180</v>
      </c>
      <c r="I20" s="70">
        <v>179</v>
      </c>
      <c r="J20" s="70">
        <v>90</v>
      </c>
      <c r="K20" s="66">
        <v>45984</v>
      </c>
      <c r="L20" s="70">
        <v>0</v>
      </c>
      <c r="M20" s="70">
        <v>0</v>
      </c>
      <c r="N20" s="70">
        <v>16</v>
      </c>
      <c r="O20" s="67" t="s">
        <v>63</v>
      </c>
      <c r="P20" s="71"/>
      <c r="Q20" s="71"/>
      <c r="R20" s="71"/>
      <c r="S20" s="71"/>
      <c r="T20" s="71"/>
      <c r="U20" s="71"/>
      <c r="V20" s="71"/>
      <c r="W20" s="70" t="s">
        <v>410</v>
      </c>
      <c r="X20" s="70" t="s">
        <v>411</v>
      </c>
      <c r="Y20" s="70" t="s">
        <v>341</v>
      </c>
      <c r="Z20" s="70" t="s">
        <v>412</v>
      </c>
      <c r="AA20" s="70" t="s">
        <v>413</v>
      </c>
      <c r="AB20" s="70" t="s">
        <v>414</v>
      </c>
      <c r="AC20" s="71"/>
      <c r="AD20" s="71"/>
      <c r="AE20" s="71"/>
      <c r="AF20" s="71"/>
      <c r="AG20" s="71"/>
      <c r="AH20" s="70" t="s">
        <v>394</v>
      </c>
      <c r="AI20" s="71"/>
    </row>
    <row r="21" spans="1:35" ht="18" x14ac:dyDescent="0.3">
      <c r="A21" s="72" t="s">
        <v>148</v>
      </c>
      <c r="B21" s="73">
        <v>45991</v>
      </c>
      <c r="C21" s="74" t="s">
        <v>221</v>
      </c>
      <c r="D21" s="75">
        <v>0.82986111111111116</v>
      </c>
      <c r="E21" s="74" t="s">
        <v>207</v>
      </c>
      <c r="F21" s="74" t="s">
        <v>134</v>
      </c>
      <c r="G21" s="76">
        <v>0.99439999999999995</v>
      </c>
      <c r="H21" s="77">
        <v>180</v>
      </c>
      <c r="I21" s="77">
        <v>179</v>
      </c>
      <c r="J21" s="77">
        <v>90</v>
      </c>
      <c r="K21" s="73">
        <v>45985</v>
      </c>
      <c r="L21" s="77">
        <v>0</v>
      </c>
      <c r="M21" s="77">
        <v>0</v>
      </c>
      <c r="N21" s="77">
        <v>15</v>
      </c>
      <c r="O21" s="74" t="s">
        <v>63</v>
      </c>
      <c r="P21" s="78"/>
      <c r="Q21" s="78"/>
      <c r="R21" s="78"/>
      <c r="S21" s="78"/>
      <c r="T21" s="78"/>
      <c r="U21" s="78"/>
      <c r="V21" s="77" t="s">
        <v>415</v>
      </c>
      <c r="W21" s="77" t="s">
        <v>326</v>
      </c>
      <c r="X21" s="77" t="s">
        <v>416</v>
      </c>
      <c r="Y21" s="77" t="s">
        <v>373</v>
      </c>
      <c r="Z21" s="77" t="s">
        <v>417</v>
      </c>
      <c r="AA21" s="77" t="s">
        <v>320</v>
      </c>
      <c r="AB21" s="77" t="s">
        <v>366</v>
      </c>
      <c r="AC21" s="77" t="s">
        <v>203</v>
      </c>
      <c r="AD21" s="77" t="s">
        <v>323</v>
      </c>
      <c r="AE21" s="77" t="s">
        <v>329</v>
      </c>
      <c r="AF21" s="78"/>
      <c r="AG21" s="78"/>
      <c r="AH21" s="77" t="s">
        <v>394</v>
      </c>
      <c r="AI21" s="78"/>
    </row>
    <row r="22" spans="1:35" ht="18" x14ac:dyDescent="0.3">
      <c r="A22" s="79" t="s">
        <v>151</v>
      </c>
      <c r="B22" s="80"/>
      <c r="C22" s="81">
        <f>COUNTA(C2:C21)</f>
        <v>20</v>
      </c>
      <c r="D22" s="80"/>
      <c r="E22" s="80"/>
      <c r="F22" s="80"/>
      <c r="G22" s="82">
        <f>AVERAGE(G2:G21)</f>
        <v>0.99581999999999982</v>
      </c>
      <c r="H22" s="83">
        <f>SUM(H2:H21)</f>
        <v>3600</v>
      </c>
      <c r="I22" s="83">
        <f>SUM(I2:I21)</f>
        <v>3585</v>
      </c>
      <c r="J22" s="83">
        <f>SUM(J2:J21)</f>
        <v>1170</v>
      </c>
      <c r="K22" s="80"/>
      <c r="L22" s="83">
        <f>SUM(L2:L21)</f>
        <v>4</v>
      </c>
      <c r="M22" s="83">
        <f>SUM(M2:M21)</f>
        <v>22</v>
      </c>
      <c r="N22" s="83">
        <f>SUM(N2:N21)</f>
        <v>444</v>
      </c>
      <c r="O22" s="80"/>
      <c r="P22" s="83">
        <f t="shared" ref="P22:AI22" si="0">SUMPRODUCT(--IFERROR(VALUE(SUBSTITUTE(SUBSTITUTE(SUBSTITUTE(SUBSTITUTE(SUBSTITUTE(SUBSTITUTE(SUBSTITUTE(SUBSTITUTE(SUBSTITUTE(SUBSTITUTE(SUBSTITUTE(SUBSTITUTE(SUBSTITUTE(SUBSTITUTE(SUBSTITUTE(SUBSTITUTE(SUBSTITUTE(SUBSTITUTE(SUBSTITUTE(SUBSTITUTE(P2:P21,"Y",""),"B",""),"M",""),"H",""),"Q",""),"K",""),"V",""),"L",""),"G",""),"S",""),"W",""),"T",""),"X",""),"U",""),"O",""),"I",""),"E",""),"A",""),"P",""),"N","")),0))</f>
        <v>0</v>
      </c>
      <c r="Q22" s="83">
        <f t="shared" si="0"/>
        <v>0</v>
      </c>
      <c r="R22" s="83">
        <f t="shared" si="0"/>
        <v>0</v>
      </c>
      <c r="S22" s="83">
        <f t="shared" si="0"/>
        <v>0</v>
      </c>
      <c r="T22" s="83">
        <f t="shared" si="0"/>
        <v>0</v>
      </c>
      <c r="U22" s="83">
        <f t="shared" si="0"/>
        <v>0</v>
      </c>
      <c r="V22" s="83">
        <f t="shared" si="0"/>
        <v>0</v>
      </c>
      <c r="W22" s="83">
        <f t="shared" si="0"/>
        <v>0</v>
      </c>
      <c r="X22" s="83">
        <f t="shared" si="0"/>
        <v>0</v>
      </c>
      <c r="Y22" s="83">
        <f t="shared" si="0"/>
        <v>0</v>
      </c>
      <c r="Z22" s="83">
        <f t="shared" si="0"/>
        <v>0</v>
      </c>
      <c r="AA22" s="83">
        <f t="shared" si="0"/>
        <v>0</v>
      </c>
      <c r="AB22" s="83">
        <f t="shared" si="0"/>
        <v>0</v>
      </c>
      <c r="AC22" s="83">
        <f t="shared" si="0"/>
        <v>0</v>
      </c>
      <c r="AD22" s="83">
        <f t="shared" si="0"/>
        <v>0</v>
      </c>
      <c r="AE22" s="83">
        <f t="shared" si="0"/>
        <v>0</v>
      </c>
      <c r="AF22" s="83">
        <f t="shared" si="0"/>
        <v>0</v>
      </c>
      <c r="AG22" s="83">
        <f t="shared" si="0"/>
        <v>0</v>
      </c>
      <c r="AH22" s="83">
        <f t="shared" si="0"/>
        <v>0</v>
      </c>
      <c r="AI22" s="83">
        <f t="shared" si="0"/>
        <v>0</v>
      </c>
    </row>
  </sheetData>
  <autoFilter ref="A1:AI21" xr:uid="{00000000-0009-0000-0000-00000B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23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  <row r="2" spans="1:8" ht="18" x14ac:dyDescent="0.3">
      <c r="A2" s="153">
        <v>45988</v>
      </c>
      <c r="B2" s="148" t="s">
        <v>59</v>
      </c>
      <c r="C2" s="149" t="s">
        <v>208</v>
      </c>
      <c r="D2" s="148" t="s">
        <v>207</v>
      </c>
      <c r="E2" s="150">
        <v>1.9375</v>
      </c>
      <c r="F2" s="148" t="s">
        <v>191</v>
      </c>
      <c r="G2" s="155">
        <v>1</v>
      </c>
      <c r="H2" s="154" t="s">
        <v>209</v>
      </c>
    </row>
    <row r="3" spans="1:8" ht="18" x14ac:dyDescent="0.3">
      <c r="A3" s="211">
        <v>45988</v>
      </c>
      <c r="B3" s="212" t="s">
        <v>59</v>
      </c>
      <c r="C3" s="213" t="s">
        <v>213</v>
      </c>
      <c r="D3" s="212" t="s">
        <v>207</v>
      </c>
      <c r="E3" s="214">
        <v>1.0659722222222221</v>
      </c>
      <c r="F3" s="212" t="s">
        <v>61</v>
      </c>
      <c r="G3" s="212"/>
      <c r="H3" s="212" t="s">
        <v>62</v>
      </c>
    </row>
    <row r="4" spans="1:8" ht="18" x14ac:dyDescent="0.3">
      <c r="A4" s="211">
        <v>45988</v>
      </c>
      <c r="B4" s="212" t="s">
        <v>59</v>
      </c>
      <c r="C4" s="213" t="s">
        <v>215</v>
      </c>
      <c r="D4" s="212" t="s">
        <v>207</v>
      </c>
      <c r="E4" s="214">
        <v>1.15625</v>
      </c>
      <c r="F4" s="212" t="s">
        <v>61</v>
      </c>
      <c r="G4" s="212"/>
      <c r="H4" s="212" t="s">
        <v>62</v>
      </c>
    </row>
    <row r="5" spans="1:8" ht="18" x14ac:dyDescent="0.3">
      <c r="A5" s="211">
        <v>45988</v>
      </c>
      <c r="B5" s="212" t="s">
        <v>59</v>
      </c>
      <c r="C5" s="213" t="s">
        <v>217</v>
      </c>
      <c r="D5" s="212" t="s">
        <v>207</v>
      </c>
      <c r="E5" s="214">
        <v>1.1875</v>
      </c>
      <c r="F5" s="212" t="s">
        <v>61</v>
      </c>
      <c r="G5" s="212"/>
      <c r="H5" s="212" t="s">
        <v>62</v>
      </c>
    </row>
    <row r="6" spans="1:8" ht="18" x14ac:dyDescent="0.3">
      <c r="A6" s="211">
        <v>45988</v>
      </c>
      <c r="B6" s="212" t="s">
        <v>59</v>
      </c>
      <c r="C6" s="213" t="s">
        <v>219</v>
      </c>
      <c r="D6" s="212" t="s">
        <v>207</v>
      </c>
      <c r="E6" s="214">
        <v>1.40625</v>
      </c>
      <c r="F6" s="212" t="s">
        <v>61</v>
      </c>
      <c r="G6" s="212"/>
      <c r="H6" s="212" t="s">
        <v>62</v>
      </c>
    </row>
    <row r="7" spans="1:8" ht="18" x14ac:dyDescent="0.3">
      <c r="A7" s="211">
        <v>45988</v>
      </c>
      <c r="B7" s="212" t="s">
        <v>59</v>
      </c>
      <c r="C7" s="213" t="s">
        <v>221</v>
      </c>
      <c r="D7" s="212" t="s">
        <v>207</v>
      </c>
      <c r="E7" s="214">
        <v>1.5625</v>
      </c>
      <c r="F7" s="212" t="s">
        <v>61</v>
      </c>
      <c r="G7" s="212"/>
      <c r="H7" s="212" t="s">
        <v>62</v>
      </c>
    </row>
    <row r="8" spans="1:8" ht="18" x14ac:dyDescent="0.3">
      <c r="A8" s="96">
        <v>45988</v>
      </c>
      <c r="B8" s="86" t="s">
        <v>25</v>
      </c>
      <c r="C8" s="87" t="s">
        <v>223</v>
      </c>
      <c r="D8" s="86" t="s">
        <v>207</v>
      </c>
      <c r="E8" s="88">
        <v>1.399305555555556</v>
      </c>
      <c r="F8" s="86" t="s">
        <v>27</v>
      </c>
      <c r="G8" s="89">
        <v>3</v>
      </c>
      <c r="H8" s="86" t="s">
        <v>224</v>
      </c>
    </row>
    <row r="9" spans="1:8" ht="18" x14ac:dyDescent="0.3">
      <c r="A9" s="91">
        <v>45988</v>
      </c>
      <c r="B9" s="92" t="s">
        <v>25</v>
      </c>
      <c r="C9" s="93" t="s">
        <v>223</v>
      </c>
      <c r="D9" s="92" t="s">
        <v>207</v>
      </c>
      <c r="E9" s="94">
        <v>1.399305555555556</v>
      </c>
      <c r="F9" s="92" t="s">
        <v>30</v>
      </c>
      <c r="G9" s="95">
        <v>3</v>
      </c>
      <c r="H9" s="92" t="s">
        <v>88</v>
      </c>
    </row>
    <row r="10" spans="1:8" ht="18" x14ac:dyDescent="0.3">
      <c r="A10" s="91">
        <v>45988</v>
      </c>
      <c r="B10" s="92" t="s">
        <v>25</v>
      </c>
      <c r="C10" s="93" t="s">
        <v>223</v>
      </c>
      <c r="D10" s="92" t="s">
        <v>207</v>
      </c>
      <c r="E10" s="94">
        <v>1.399305555555556</v>
      </c>
      <c r="F10" s="92" t="s">
        <v>33</v>
      </c>
      <c r="G10" s="95">
        <v>3</v>
      </c>
      <c r="H10" s="92" t="s">
        <v>34</v>
      </c>
    </row>
    <row r="11" spans="1:8" ht="18" x14ac:dyDescent="0.3">
      <c r="A11" s="97">
        <v>45988</v>
      </c>
      <c r="B11" s="98" t="s">
        <v>25</v>
      </c>
      <c r="C11" s="99" t="s">
        <v>225</v>
      </c>
      <c r="D11" s="98" t="s">
        <v>207</v>
      </c>
      <c r="E11" s="100">
        <v>1.489583333333333</v>
      </c>
      <c r="F11" s="98" t="s">
        <v>27</v>
      </c>
      <c r="G11" s="101">
        <v>5</v>
      </c>
      <c r="H11" s="98" t="s">
        <v>224</v>
      </c>
    </row>
    <row r="12" spans="1:8" ht="18" x14ac:dyDescent="0.3">
      <c r="A12" s="91">
        <v>45988</v>
      </c>
      <c r="B12" s="92" t="s">
        <v>25</v>
      </c>
      <c r="C12" s="93" t="s">
        <v>225</v>
      </c>
      <c r="D12" s="92" t="s">
        <v>207</v>
      </c>
      <c r="E12" s="94">
        <v>1.489583333333333</v>
      </c>
      <c r="F12" s="92" t="s">
        <v>30</v>
      </c>
      <c r="G12" s="95">
        <v>5</v>
      </c>
      <c r="H12" s="92" t="s">
        <v>88</v>
      </c>
    </row>
    <row r="13" spans="1:8" ht="18" x14ac:dyDescent="0.3">
      <c r="A13" s="91">
        <v>45988</v>
      </c>
      <c r="B13" s="92" t="s">
        <v>25</v>
      </c>
      <c r="C13" s="93" t="s">
        <v>225</v>
      </c>
      <c r="D13" s="92" t="s">
        <v>207</v>
      </c>
      <c r="E13" s="94">
        <v>1.489583333333333</v>
      </c>
      <c r="F13" s="92" t="s">
        <v>33</v>
      </c>
      <c r="G13" s="95">
        <v>5</v>
      </c>
      <c r="H13" s="92" t="s">
        <v>69</v>
      </c>
    </row>
    <row r="14" spans="1:8" ht="18" x14ac:dyDescent="0.3">
      <c r="A14" s="97">
        <v>45988</v>
      </c>
      <c r="B14" s="98" t="s">
        <v>25</v>
      </c>
      <c r="C14" s="99" t="s">
        <v>228</v>
      </c>
      <c r="D14" s="98" t="s">
        <v>207</v>
      </c>
      <c r="E14" s="100">
        <v>1.989583333333333</v>
      </c>
      <c r="F14" s="98" t="s">
        <v>27</v>
      </c>
      <c r="G14" s="101">
        <v>7</v>
      </c>
      <c r="H14" s="98" t="s">
        <v>224</v>
      </c>
    </row>
    <row r="15" spans="1:8" ht="18" x14ac:dyDescent="0.3">
      <c r="A15" s="91">
        <v>45988</v>
      </c>
      <c r="B15" s="92" t="s">
        <v>25</v>
      </c>
      <c r="C15" s="93" t="s">
        <v>228</v>
      </c>
      <c r="D15" s="92" t="s">
        <v>207</v>
      </c>
      <c r="E15" s="94">
        <v>1.989583333333333</v>
      </c>
      <c r="F15" s="92" t="s">
        <v>30</v>
      </c>
      <c r="G15" s="95">
        <v>7</v>
      </c>
      <c r="H15" s="92" t="s">
        <v>88</v>
      </c>
    </row>
    <row r="16" spans="1:8" ht="18" x14ac:dyDescent="0.3">
      <c r="A16" s="91">
        <v>45988</v>
      </c>
      <c r="B16" s="92" t="s">
        <v>25</v>
      </c>
      <c r="C16" s="93" t="s">
        <v>228</v>
      </c>
      <c r="D16" s="92" t="s">
        <v>207</v>
      </c>
      <c r="E16" s="94">
        <v>1.989583333333333</v>
      </c>
      <c r="F16" s="92" t="s">
        <v>33</v>
      </c>
      <c r="G16" s="95">
        <v>7</v>
      </c>
      <c r="H16" s="92" t="s">
        <v>34</v>
      </c>
    </row>
    <row r="17" spans="1:8" ht="18" x14ac:dyDescent="0.3">
      <c r="A17" s="97">
        <v>45988</v>
      </c>
      <c r="B17" s="98" t="s">
        <v>25</v>
      </c>
      <c r="C17" s="99" t="s">
        <v>229</v>
      </c>
      <c r="D17" s="98" t="s">
        <v>207</v>
      </c>
      <c r="E17" s="100">
        <v>1.8888888888888891</v>
      </c>
      <c r="F17" s="98" t="s">
        <v>27</v>
      </c>
      <c r="G17" s="101">
        <v>13</v>
      </c>
      <c r="H17" s="98" t="s">
        <v>231</v>
      </c>
    </row>
    <row r="18" spans="1:8" ht="18" x14ac:dyDescent="0.3">
      <c r="A18" s="91">
        <v>45988</v>
      </c>
      <c r="B18" s="92" t="s">
        <v>25</v>
      </c>
      <c r="C18" s="93" t="s">
        <v>229</v>
      </c>
      <c r="D18" s="92" t="s">
        <v>207</v>
      </c>
      <c r="E18" s="94">
        <v>1.8888888888888891</v>
      </c>
      <c r="F18" s="92" t="s">
        <v>30</v>
      </c>
      <c r="G18" s="95">
        <v>13</v>
      </c>
      <c r="H18" s="92" t="s">
        <v>233</v>
      </c>
    </row>
    <row r="19" spans="1:8" ht="18" x14ac:dyDescent="0.3">
      <c r="A19" s="91">
        <v>45988</v>
      </c>
      <c r="B19" s="92" t="s">
        <v>25</v>
      </c>
      <c r="C19" s="93" t="s">
        <v>229</v>
      </c>
      <c r="D19" s="92" t="s">
        <v>207</v>
      </c>
      <c r="E19" s="94">
        <v>1.8888888888888891</v>
      </c>
      <c r="F19" s="92" t="s">
        <v>33</v>
      </c>
      <c r="G19" s="95">
        <v>13</v>
      </c>
      <c r="H19" s="92" t="s">
        <v>34</v>
      </c>
    </row>
    <row r="20" spans="1:8" ht="18" x14ac:dyDescent="0.3">
      <c r="A20" s="96">
        <v>45988</v>
      </c>
      <c r="B20" s="86" t="s">
        <v>35</v>
      </c>
      <c r="C20" s="87" t="s">
        <v>234</v>
      </c>
      <c r="D20" s="86" t="s">
        <v>207</v>
      </c>
      <c r="E20" s="88">
        <v>1.3472222222222221</v>
      </c>
      <c r="F20" s="86" t="s">
        <v>37</v>
      </c>
      <c r="G20" s="89">
        <v>9</v>
      </c>
      <c r="H20" s="86" t="s">
        <v>224</v>
      </c>
    </row>
    <row r="21" spans="1:8" ht="18" x14ac:dyDescent="0.3">
      <c r="A21" s="91">
        <v>45988</v>
      </c>
      <c r="B21" s="92" t="s">
        <v>35</v>
      </c>
      <c r="C21" s="93" t="s">
        <v>234</v>
      </c>
      <c r="D21" s="92" t="s">
        <v>207</v>
      </c>
      <c r="E21" s="94">
        <v>1.3472222222222221</v>
      </c>
      <c r="F21" s="92" t="s">
        <v>40</v>
      </c>
      <c r="G21" s="95">
        <v>9</v>
      </c>
      <c r="H21" s="92" t="s">
        <v>235</v>
      </c>
    </row>
    <row r="22" spans="1:8" ht="18" x14ac:dyDescent="0.3">
      <c r="A22" s="91">
        <v>45988</v>
      </c>
      <c r="B22" s="92" t="s">
        <v>35</v>
      </c>
      <c r="C22" s="93" t="s">
        <v>234</v>
      </c>
      <c r="D22" s="92" t="s">
        <v>207</v>
      </c>
      <c r="E22" s="94">
        <v>1.3472222222222221</v>
      </c>
      <c r="F22" s="92" t="s">
        <v>43</v>
      </c>
      <c r="G22" s="95">
        <v>9</v>
      </c>
      <c r="H22" s="92" t="s">
        <v>236</v>
      </c>
    </row>
    <row r="23" spans="1:8" ht="18" x14ac:dyDescent="0.3">
      <c r="A23" s="97">
        <v>45988</v>
      </c>
      <c r="B23" s="98" t="s">
        <v>35</v>
      </c>
      <c r="C23" s="99" t="s">
        <v>237</v>
      </c>
      <c r="D23" s="98" t="s">
        <v>207</v>
      </c>
      <c r="E23" s="100">
        <v>1.993055555555556</v>
      </c>
      <c r="F23" s="98" t="s">
        <v>37</v>
      </c>
      <c r="G23" s="101">
        <v>8</v>
      </c>
      <c r="H23" s="98" t="s">
        <v>224</v>
      </c>
    </row>
    <row r="24" spans="1:8" ht="18" x14ac:dyDescent="0.3">
      <c r="A24" s="91">
        <v>45988</v>
      </c>
      <c r="B24" s="92" t="s">
        <v>35</v>
      </c>
      <c r="C24" s="93" t="s">
        <v>237</v>
      </c>
      <c r="D24" s="92" t="s">
        <v>207</v>
      </c>
      <c r="E24" s="94">
        <v>1.993055555555556</v>
      </c>
      <c r="F24" s="92" t="s">
        <v>40</v>
      </c>
      <c r="G24" s="95">
        <v>8</v>
      </c>
      <c r="H24" s="92" t="s">
        <v>235</v>
      </c>
    </row>
    <row r="25" spans="1:8" ht="18" x14ac:dyDescent="0.3">
      <c r="A25" s="91">
        <v>45988</v>
      </c>
      <c r="B25" s="92" t="s">
        <v>35</v>
      </c>
      <c r="C25" s="93" t="s">
        <v>237</v>
      </c>
      <c r="D25" s="92" t="s">
        <v>207</v>
      </c>
      <c r="E25" s="94">
        <v>1.993055555555556</v>
      </c>
      <c r="F25" s="92" t="s">
        <v>43</v>
      </c>
      <c r="G25" s="95">
        <v>8</v>
      </c>
      <c r="H25" s="92" t="s">
        <v>236</v>
      </c>
    </row>
    <row r="26" spans="1:8" ht="18" x14ac:dyDescent="0.3">
      <c r="A26" s="97">
        <v>45988</v>
      </c>
      <c r="B26" s="98" t="s">
        <v>35</v>
      </c>
      <c r="C26" s="99" t="s">
        <v>238</v>
      </c>
      <c r="D26" s="98" t="s">
        <v>207</v>
      </c>
      <c r="E26" s="100">
        <v>1.836805555555556</v>
      </c>
      <c r="F26" s="98" t="s">
        <v>37</v>
      </c>
      <c r="G26" s="101">
        <v>8</v>
      </c>
      <c r="H26" s="98" t="s">
        <v>224</v>
      </c>
    </row>
    <row r="27" spans="1:8" ht="18" x14ac:dyDescent="0.3">
      <c r="A27" s="91">
        <v>45988</v>
      </c>
      <c r="B27" s="92" t="s">
        <v>35</v>
      </c>
      <c r="C27" s="93" t="s">
        <v>238</v>
      </c>
      <c r="D27" s="92" t="s">
        <v>207</v>
      </c>
      <c r="E27" s="94">
        <v>1.836805555555556</v>
      </c>
      <c r="F27" s="92" t="s">
        <v>40</v>
      </c>
      <c r="G27" s="95">
        <v>8</v>
      </c>
      <c r="H27" s="92" t="s">
        <v>235</v>
      </c>
    </row>
    <row r="28" spans="1:8" ht="18" x14ac:dyDescent="0.3">
      <c r="A28" s="91">
        <v>45988</v>
      </c>
      <c r="B28" s="92" t="s">
        <v>35</v>
      </c>
      <c r="C28" s="93" t="s">
        <v>238</v>
      </c>
      <c r="D28" s="92" t="s">
        <v>207</v>
      </c>
      <c r="E28" s="94">
        <v>1.836805555555556</v>
      </c>
      <c r="F28" s="92" t="s">
        <v>43</v>
      </c>
      <c r="G28" s="95">
        <v>8</v>
      </c>
      <c r="H28" s="92" t="s">
        <v>236</v>
      </c>
    </row>
    <row r="29" spans="1:8" ht="18" x14ac:dyDescent="0.3">
      <c r="A29" s="97">
        <v>45988</v>
      </c>
      <c r="B29" s="98" t="s">
        <v>35</v>
      </c>
      <c r="C29" s="99" t="s">
        <v>239</v>
      </c>
      <c r="D29" s="98" t="s">
        <v>207</v>
      </c>
      <c r="E29" s="100">
        <v>1.944444444444444</v>
      </c>
      <c r="F29" s="98" t="s">
        <v>37</v>
      </c>
      <c r="G29" s="101">
        <v>9</v>
      </c>
      <c r="H29" s="98" t="s">
        <v>224</v>
      </c>
    </row>
    <row r="30" spans="1:8" ht="18" x14ac:dyDescent="0.3">
      <c r="A30" s="91">
        <v>45988</v>
      </c>
      <c r="B30" s="92" t="s">
        <v>35</v>
      </c>
      <c r="C30" s="93" t="s">
        <v>239</v>
      </c>
      <c r="D30" s="92" t="s">
        <v>207</v>
      </c>
      <c r="E30" s="94">
        <v>1.944444444444444</v>
      </c>
      <c r="F30" s="92" t="s">
        <v>40</v>
      </c>
      <c r="G30" s="95">
        <v>9</v>
      </c>
      <c r="H30" s="92" t="s">
        <v>235</v>
      </c>
    </row>
    <row r="31" spans="1:8" ht="18" x14ac:dyDescent="0.3">
      <c r="A31" s="91">
        <v>45988</v>
      </c>
      <c r="B31" s="92" t="s">
        <v>35</v>
      </c>
      <c r="C31" s="93" t="s">
        <v>239</v>
      </c>
      <c r="D31" s="92" t="s">
        <v>207</v>
      </c>
      <c r="E31" s="94">
        <v>1.944444444444444</v>
      </c>
      <c r="F31" s="92" t="s">
        <v>43</v>
      </c>
      <c r="G31" s="95">
        <v>9</v>
      </c>
      <c r="H31" s="92" t="s">
        <v>236</v>
      </c>
    </row>
    <row r="32" spans="1:8" ht="18" x14ac:dyDescent="0.3">
      <c r="A32" s="97">
        <v>45988</v>
      </c>
      <c r="B32" s="98" t="s">
        <v>35</v>
      </c>
      <c r="C32" s="99" t="s">
        <v>241</v>
      </c>
      <c r="D32" s="98" t="s">
        <v>207</v>
      </c>
      <c r="E32" s="100">
        <v>1.4861111111111109</v>
      </c>
      <c r="F32" s="98" t="s">
        <v>37</v>
      </c>
      <c r="G32" s="101">
        <v>8</v>
      </c>
      <c r="H32" s="98" t="s">
        <v>224</v>
      </c>
    </row>
    <row r="33" spans="1:8" ht="18" x14ac:dyDescent="0.3">
      <c r="A33" s="91">
        <v>45988</v>
      </c>
      <c r="B33" s="92" t="s">
        <v>35</v>
      </c>
      <c r="C33" s="93" t="s">
        <v>241</v>
      </c>
      <c r="D33" s="92" t="s">
        <v>207</v>
      </c>
      <c r="E33" s="94">
        <v>1.4861111111111109</v>
      </c>
      <c r="F33" s="92" t="s">
        <v>40</v>
      </c>
      <c r="G33" s="95">
        <v>8</v>
      </c>
      <c r="H33" s="92" t="s">
        <v>235</v>
      </c>
    </row>
    <row r="34" spans="1:8" ht="18" x14ac:dyDescent="0.3">
      <c r="A34" s="91">
        <v>45988</v>
      </c>
      <c r="B34" s="92" t="s">
        <v>35</v>
      </c>
      <c r="C34" s="93" t="s">
        <v>241</v>
      </c>
      <c r="D34" s="92" t="s">
        <v>207</v>
      </c>
      <c r="E34" s="94">
        <v>1.4861111111111109</v>
      </c>
      <c r="F34" s="92" t="s">
        <v>43</v>
      </c>
      <c r="G34" s="95">
        <v>8</v>
      </c>
      <c r="H34" s="92" t="s">
        <v>236</v>
      </c>
    </row>
    <row r="35" spans="1:8" ht="18" x14ac:dyDescent="0.3">
      <c r="A35" s="97">
        <v>45988</v>
      </c>
      <c r="B35" s="98" t="s">
        <v>35</v>
      </c>
      <c r="C35" s="99" t="s">
        <v>242</v>
      </c>
      <c r="D35" s="98" t="s">
        <v>207</v>
      </c>
      <c r="E35" s="100">
        <v>1.3923611111111109</v>
      </c>
      <c r="F35" s="98" t="s">
        <v>37</v>
      </c>
      <c r="G35" s="101">
        <v>9</v>
      </c>
      <c r="H35" s="98" t="s">
        <v>224</v>
      </c>
    </row>
    <row r="36" spans="1:8" ht="18" x14ac:dyDescent="0.3">
      <c r="A36" s="91">
        <v>45988</v>
      </c>
      <c r="B36" s="92" t="s">
        <v>35</v>
      </c>
      <c r="C36" s="93" t="s">
        <v>242</v>
      </c>
      <c r="D36" s="92" t="s">
        <v>207</v>
      </c>
      <c r="E36" s="94">
        <v>1.3923611111111109</v>
      </c>
      <c r="F36" s="92" t="s">
        <v>40</v>
      </c>
      <c r="G36" s="95">
        <v>9</v>
      </c>
      <c r="H36" s="92" t="s">
        <v>235</v>
      </c>
    </row>
    <row r="37" spans="1:8" ht="18" x14ac:dyDescent="0.3">
      <c r="A37" s="91">
        <v>45988</v>
      </c>
      <c r="B37" s="92" t="s">
        <v>35</v>
      </c>
      <c r="C37" s="93" t="s">
        <v>242</v>
      </c>
      <c r="D37" s="92" t="s">
        <v>207</v>
      </c>
      <c r="E37" s="94">
        <v>1.3923611111111109</v>
      </c>
      <c r="F37" s="92" t="s">
        <v>43</v>
      </c>
      <c r="G37" s="95">
        <v>9</v>
      </c>
      <c r="H37" s="92" t="s">
        <v>236</v>
      </c>
    </row>
    <row r="38" spans="1:8" ht="18" x14ac:dyDescent="0.3">
      <c r="A38" s="97">
        <v>45988</v>
      </c>
      <c r="B38" s="98" t="s">
        <v>35</v>
      </c>
      <c r="C38" s="99" t="s">
        <v>243</v>
      </c>
      <c r="D38" s="98" t="s">
        <v>207</v>
      </c>
      <c r="E38" s="100">
        <v>1.8888888888888891</v>
      </c>
      <c r="F38" s="98" t="s">
        <v>37</v>
      </c>
      <c r="G38" s="101">
        <v>9</v>
      </c>
      <c r="H38" s="98" t="s">
        <v>224</v>
      </c>
    </row>
    <row r="39" spans="1:8" ht="18" x14ac:dyDescent="0.3">
      <c r="A39" s="91">
        <v>45988</v>
      </c>
      <c r="B39" s="92" t="s">
        <v>35</v>
      </c>
      <c r="C39" s="93" t="s">
        <v>243</v>
      </c>
      <c r="D39" s="92" t="s">
        <v>207</v>
      </c>
      <c r="E39" s="94">
        <v>1.8888888888888891</v>
      </c>
      <c r="F39" s="92" t="s">
        <v>40</v>
      </c>
      <c r="G39" s="95">
        <v>9</v>
      </c>
      <c r="H39" s="92" t="s">
        <v>235</v>
      </c>
    </row>
    <row r="40" spans="1:8" ht="18" x14ac:dyDescent="0.3">
      <c r="A40" s="91">
        <v>45988</v>
      </c>
      <c r="B40" s="92" t="s">
        <v>35</v>
      </c>
      <c r="C40" s="93" t="s">
        <v>243</v>
      </c>
      <c r="D40" s="92" t="s">
        <v>207</v>
      </c>
      <c r="E40" s="94">
        <v>1.8888888888888891</v>
      </c>
      <c r="F40" s="92" t="s">
        <v>43</v>
      </c>
      <c r="G40" s="95">
        <v>9</v>
      </c>
      <c r="H40" s="92" t="s">
        <v>236</v>
      </c>
    </row>
    <row r="41" spans="1:8" ht="18" x14ac:dyDescent="0.3">
      <c r="A41" s="97">
        <v>45988</v>
      </c>
      <c r="B41" s="98" t="s">
        <v>35</v>
      </c>
      <c r="C41" s="99" t="s">
        <v>244</v>
      </c>
      <c r="D41" s="98" t="s">
        <v>207</v>
      </c>
      <c r="E41" s="100">
        <v>1.75</v>
      </c>
      <c r="F41" s="98" t="s">
        <v>37</v>
      </c>
      <c r="G41" s="101">
        <v>8</v>
      </c>
      <c r="H41" s="98" t="s">
        <v>233</v>
      </c>
    </row>
    <row r="42" spans="1:8" ht="18" x14ac:dyDescent="0.3">
      <c r="A42" s="91">
        <v>45988</v>
      </c>
      <c r="B42" s="92" t="s">
        <v>35</v>
      </c>
      <c r="C42" s="93" t="s">
        <v>244</v>
      </c>
      <c r="D42" s="92" t="s">
        <v>207</v>
      </c>
      <c r="E42" s="94">
        <v>1.75</v>
      </c>
      <c r="F42" s="92" t="s">
        <v>40</v>
      </c>
      <c r="G42" s="95">
        <v>8</v>
      </c>
      <c r="H42" s="92" t="s">
        <v>69</v>
      </c>
    </row>
    <row r="43" spans="1:8" ht="18" x14ac:dyDescent="0.3">
      <c r="A43" s="91">
        <v>45988</v>
      </c>
      <c r="B43" s="92" t="s">
        <v>35</v>
      </c>
      <c r="C43" s="93" t="s">
        <v>244</v>
      </c>
      <c r="D43" s="92" t="s">
        <v>207</v>
      </c>
      <c r="E43" s="94">
        <v>1.75</v>
      </c>
      <c r="F43" s="92" t="s">
        <v>43</v>
      </c>
      <c r="G43" s="95">
        <v>8</v>
      </c>
      <c r="H43" s="92" t="s">
        <v>245</v>
      </c>
    </row>
    <row r="44" spans="1:8" ht="18" x14ac:dyDescent="0.3">
      <c r="A44" s="96">
        <v>45988</v>
      </c>
      <c r="B44" s="86" t="s">
        <v>246</v>
      </c>
      <c r="C44" s="87" t="s">
        <v>247</v>
      </c>
      <c r="D44" s="86" t="s">
        <v>207</v>
      </c>
      <c r="E44" s="88">
        <v>1.493055555555556</v>
      </c>
      <c r="F44" s="86" t="s">
        <v>191</v>
      </c>
      <c r="G44" s="89">
        <v>9</v>
      </c>
      <c r="H44" s="86" t="s">
        <v>248</v>
      </c>
    </row>
    <row r="45" spans="1:8" ht="18" x14ac:dyDescent="0.3">
      <c r="A45" s="96">
        <v>45988</v>
      </c>
      <c r="B45" s="86" t="s">
        <v>249</v>
      </c>
      <c r="C45" s="87" t="s">
        <v>250</v>
      </c>
      <c r="D45" s="86" t="s">
        <v>207</v>
      </c>
      <c r="E45" s="88">
        <v>1.118055555555556</v>
      </c>
      <c r="F45" s="86" t="s">
        <v>191</v>
      </c>
      <c r="G45" s="89">
        <v>5</v>
      </c>
      <c r="H45" s="86" t="s">
        <v>251</v>
      </c>
    </row>
    <row r="46" spans="1:8" ht="18" x14ac:dyDescent="0.3">
      <c r="A46" s="97">
        <v>45988</v>
      </c>
      <c r="B46" s="98" t="s">
        <v>249</v>
      </c>
      <c r="C46" s="99" t="s">
        <v>252</v>
      </c>
      <c r="D46" s="98" t="s">
        <v>207</v>
      </c>
      <c r="E46" s="100">
        <v>1.4201388888888891</v>
      </c>
      <c r="F46" s="98" t="s">
        <v>191</v>
      </c>
      <c r="G46" s="101">
        <v>9</v>
      </c>
      <c r="H46" s="98" t="s">
        <v>251</v>
      </c>
    </row>
    <row r="47" spans="1:8" ht="18" x14ac:dyDescent="0.3">
      <c r="A47" s="96">
        <v>45988</v>
      </c>
      <c r="B47" s="86" t="s">
        <v>49</v>
      </c>
      <c r="C47" s="87" t="s">
        <v>253</v>
      </c>
      <c r="D47" s="86" t="s">
        <v>207</v>
      </c>
      <c r="E47" s="88">
        <v>1.118055555555556</v>
      </c>
      <c r="F47" s="86" t="s">
        <v>51</v>
      </c>
      <c r="G47" s="89">
        <v>9</v>
      </c>
      <c r="H47" s="86" t="s">
        <v>254</v>
      </c>
    </row>
    <row r="48" spans="1:8" ht="18" x14ac:dyDescent="0.3">
      <c r="A48" s="97">
        <v>45988</v>
      </c>
      <c r="B48" s="98" t="s">
        <v>49</v>
      </c>
      <c r="C48" s="99" t="s">
        <v>255</v>
      </c>
      <c r="D48" s="98" t="s">
        <v>207</v>
      </c>
      <c r="E48" s="100">
        <v>1.489583333333333</v>
      </c>
      <c r="F48" s="98" t="s">
        <v>51</v>
      </c>
      <c r="G48" s="101">
        <v>9</v>
      </c>
      <c r="H48" s="98" t="s">
        <v>256</v>
      </c>
    </row>
    <row r="49" spans="1:8" ht="18" x14ac:dyDescent="0.3">
      <c r="A49" s="97">
        <v>45988</v>
      </c>
      <c r="B49" s="98" t="s">
        <v>49</v>
      </c>
      <c r="C49" s="99" t="s">
        <v>257</v>
      </c>
      <c r="D49" s="98" t="s">
        <v>207</v>
      </c>
      <c r="E49" s="100">
        <v>1.8298611111111109</v>
      </c>
      <c r="F49" s="98" t="s">
        <v>51</v>
      </c>
      <c r="G49" s="101">
        <v>9</v>
      </c>
      <c r="H49" s="98" t="s">
        <v>256</v>
      </c>
    </row>
    <row r="50" spans="1:8" ht="18" x14ac:dyDescent="0.3">
      <c r="A50" s="97">
        <v>45988</v>
      </c>
      <c r="B50" s="98" t="s">
        <v>49</v>
      </c>
      <c r="C50" s="99" t="s">
        <v>258</v>
      </c>
      <c r="D50" s="98" t="s">
        <v>207</v>
      </c>
      <c r="E50" s="100">
        <v>1.7222222222222221</v>
      </c>
      <c r="F50" s="98" t="s">
        <v>51</v>
      </c>
      <c r="G50" s="101">
        <v>9</v>
      </c>
      <c r="H50" s="98" t="s">
        <v>256</v>
      </c>
    </row>
    <row r="51" spans="1:8" ht="18" x14ac:dyDescent="0.3">
      <c r="A51" s="97">
        <v>45988</v>
      </c>
      <c r="B51" s="98" t="s">
        <v>49</v>
      </c>
      <c r="C51" s="99" t="s">
        <v>259</v>
      </c>
      <c r="D51" s="98" t="s">
        <v>207</v>
      </c>
      <c r="E51" s="100">
        <v>1.2534722222222221</v>
      </c>
      <c r="F51" s="98" t="s">
        <v>51</v>
      </c>
      <c r="G51" s="101">
        <v>9</v>
      </c>
      <c r="H51" s="98" t="s">
        <v>256</v>
      </c>
    </row>
    <row r="52" spans="1:8" ht="18" x14ac:dyDescent="0.3">
      <c r="A52" s="97">
        <v>45988</v>
      </c>
      <c r="B52" s="98" t="s">
        <v>49</v>
      </c>
      <c r="C52" s="99" t="s">
        <v>260</v>
      </c>
      <c r="D52" s="98" t="s">
        <v>207</v>
      </c>
      <c r="E52" s="100">
        <v>1.041666666666667</v>
      </c>
      <c r="F52" s="98" t="s">
        <v>51</v>
      </c>
      <c r="G52" s="101">
        <v>9</v>
      </c>
      <c r="H52" s="98" t="s">
        <v>256</v>
      </c>
    </row>
    <row r="53" spans="1:8" ht="18" x14ac:dyDescent="0.3">
      <c r="A53" s="97">
        <v>45988</v>
      </c>
      <c r="B53" s="98" t="s">
        <v>49</v>
      </c>
      <c r="C53" s="99" t="s">
        <v>261</v>
      </c>
      <c r="D53" s="98" t="s">
        <v>207</v>
      </c>
      <c r="E53" s="100">
        <v>1.9409722222222221</v>
      </c>
      <c r="F53" s="98" t="s">
        <v>51</v>
      </c>
      <c r="G53" s="101">
        <v>9</v>
      </c>
      <c r="H53" s="98" t="s">
        <v>256</v>
      </c>
    </row>
    <row r="54" spans="1:8" ht="18" x14ac:dyDescent="0.3">
      <c r="A54" s="97">
        <v>45988</v>
      </c>
      <c r="B54" s="98" t="s">
        <v>49</v>
      </c>
      <c r="C54" s="99" t="s">
        <v>262</v>
      </c>
      <c r="D54" s="98" t="s">
        <v>207</v>
      </c>
      <c r="E54" s="100">
        <v>1.989583333333333</v>
      </c>
      <c r="F54" s="98" t="s">
        <v>51</v>
      </c>
      <c r="G54" s="101">
        <v>4</v>
      </c>
      <c r="H54" s="98" t="s">
        <v>263</v>
      </c>
    </row>
    <row r="55" spans="1:8" ht="18" x14ac:dyDescent="0.3">
      <c r="A55" s="97">
        <v>45988</v>
      </c>
      <c r="B55" s="98" t="s">
        <v>49</v>
      </c>
      <c r="C55" s="99" t="s">
        <v>264</v>
      </c>
      <c r="D55" s="98" t="s">
        <v>207</v>
      </c>
      <c r="E55" s="100">
        <v>1.399305555555556</v>
      </c>
      <c r="F55" s="98" t="s">
        <v>51</v>
      </c>
      <c r="G55" s="101">
        <v>4</v>
      </c>
      <c r="H55" s="98" t="s">
        <v>263</v>
      </c>
    </row>
    <row r="56" spans="1:8" ht="18" x14ac:dyDescent="0.3">
      <c r="A56" s="97">
        <v>45988</v>
      </c>
      <c r="B56" s="98" t="s">
        <v>49</v>
      </c>
      <c r="C56" s="99" t="s">
        <v>265</v>
      </c>
      <c r="D56" s="98" t="s">
        <v>207</v>
      </c>
      <c r="E56" s="100">
        <v>1.489583333333333</v>
      </c>
      <c r="F56" s="98" t="s">
        <v>51</v>
      </c>
      <c r="G56" s="101">
        <v>4</v>
      </c>
      <c r="H56" s="98" t="s">
        <v>263</v>
      </c>
    </row>
    <row r="57" spans="1:8" ht="18" x14ac:dyDescent="0.3">
      <c r="A57" s="97">
        <v>45988</v>
      </c>
      <c r="B57" s="98" t="s">
        <v>49</v>
      </c>
      <c r="C57" s="99" t="s">
        <v>266</v>
      </c>
      <c r="D57" s="98" t="s">
        <v>207</v>
      </c>
      <c r="E57" s="100">
        <v>1.8888888888888891</v>
      </c>
      <c r="F57" s="98" t="s">
        <v>51</v>
      </c>
      <c r="G57" s="101">
        <v>4</v>
      </c>
      <c r="H57" s="98" t="s">
        <v>263</v>
      </c>
    </row>
    <row r="58" spans="1:8" ht="18" x14ac:dyDescent="0.3">
      <c r="A58" s="106">
        <v>45988</v>
      </c>
      <c r="B58" s="107" t="s">
        <v>49</v>
      </c>
      <c r="C58" s="108" t="s">
        <v>267</v>
      </c>
      <c r="D58" s="107" t="s">
        <v>207</v>
      </c>
      <c r="E58" s="109">
        <v>1.7048611111111109</v>
      </c>
      <c r="F58" s="107" t="s">
        <v>51</v>
      </c>
      <c r="G58" s="110">
        <v>1</v>
      </c>
      <c r="H58" s="107" t="s">
        <v>269</v>
      </c>
    </row>
    <row r="59" spans="1:8" ht="18" x14ac:dyDescent="0.3">
      <c r="A59" s="85">
        <v>45989</v>
      </c>
      <c r="B59" s="86" t="s">
        <v>246</v>
      </c>
      <c r="C59" s="87" t="s">
        <v>247</v>
      </c>
      <c r="D59" s="86" t="s">
        <v>207</v>
      </c>
      <c r="E59" s="88">
        <v>1.493055555555556</v>
      </c>
      <c r="F59" s="86" t="s">
        <v>191</v>
      </c>
      <c r="G59" s="89">
        <v>7</v>
      </c>
      <c r="H59" s="90" t="s">
        <v>270</v>
      </c>
    </row>
    <row r="60" spans="1:8" ht="18" x14ac:dyDescent="0.3">
      <c r="A60" s="147">
        <v>45989</v>
      </c>
      <c r="B60" s="148" t="s">
        <v>59</v>
      </c>
      <c r="C60" s="149" t="s">
        <v>271</v>
      </c>
      <c r="D60" s="148" t="s">
        <v>207</v>
      </c>
      <c r="E60" s="150">
        <v>1.5590277777777779</v>
      </c>
      <c r="F60" s="148" t="s">
        <v>191</v>
      </c>
      <c r="G60" s="155">
        <v>1</v>
      </c>
      <c r="H60" s="148" t="s">
        <v>272</v>
      </c>
    </row>
    <row r="61" spans="1:8" ht="18" x14ac:dyDescent="0.3">
      <c r="A61" s="211">
        <v>45989</v>
      </c>
      <c r="B61" s="212" t="s">
        <v>59</v>
      </c>
      <c r="C61" s="213" t="s">
        <v>275</v>
      </c>
      <c r="D61" s="212" t="s">
        <v>207</v>
      </c>
      <c r="E61" s="214">
        <v>1.760416666666667</v>
      </c>
      <c r="F61" s="212" t="s">
        <v>191</v>
      </c>
      <c r="G61" s="215">
        <v>1</v>
      </c>
      <c r="H61" s="212" t="s">
        <v>209</v>
      </c>
    </row>
    <row r="62" spans="1:8" ht="18" x14ac:dyDescent="0.3">
      <c r="A62" s="211">
        <v>45989</v>
      </c>
      <c r="B62" s="212" t="s">
        <v>59</v>
      </c>
      <c r="C62" s="213" t="s">
        <v>215</v>
      </c>
      <c r="D62" s="212" t="s">
        <v>207</v>
      </c>
      <c r="E62" s="214">
        <v>1.1423611111111109</v>
      </c>
      <c r="F62" s="212" t="s">
        <v>61</v>
      </c>
      <c r="G62" s="212"/>
      <c r="H62" s="212" t="s">
        <v>62</v>
      </c>
    </row>
    <row r="63" spans="1:8" ht="18" x14ac:dyDescent="0.3">
      <c r="A63" s="211">
        <v>45989</v>
      </c>
      <c r="B63" s="212" t="s">
        <v>59</v>
      </c>
      <c r="C63" s="213" t="s">
        <v>219</v>
      </c>
      <c r="D63" s="212" t="s">
        <v>207</v>
      </c>
      <c r="E63" s="214">
        <v>1.28125</v>
      </c>
      <c r="F63" s="212" t="s">
        <v>61</v>
      </c>
      <c r="G63" s="212"/>
      <c r="H63" s="212" t="s">
        <v>62</v>
      </c>
    </row>
    <row r="64" spans="1:8" ht="18" x14ac:dyDescent="0.3">
      <c r="A64" s="211">
        <v>45989</v>
      </c>
      <c r="B64" s="212" t="s">
        <v>59</v>
      </c>
      <c r="C64" s="213" t="s">
        <v>221</v>
      </c>
      <c r="D64" s="212" t="s">
        <v>207</v>
      </c>
      <c r="E64" s="214">
        <v>1.4375</v>
      </c>
      <c r="F64" s="212" t="s">
        <v>61</v>
      </c>
      <c r="G64" s="212"/>
      <c r="H64" s="212" t="s">
        <v>62</v>
      </c>
    </row>
    <row r="65" spans="1:8" ht="18" x14ac:dyDescent="0.3">
      <c r="A65" s="96">
        <v>45989</v>
      </c>
      <c r="B65" s="86" t="s">
        <v>25</v>
      </c>
      <c r="C65" s="87" t="s">
        <v>223</v>
      </c>
      <c r="D65" s="86" t="s">
        <v>207</v>
      </c>
      <c r="E65" s="88">
        <v>1.399305555555556</v>
      </c>
      <c r="F65" s="86" t="s">
        <v>27</v>
      </c>
      <c r="G65" s="89">
        <v>5</v>
      </c>
      <c r="H65" s="86" t="s">
        <v>224</v>
      </c>
    </row>
    <row r="66" spans="1:8" ht="18" x14ac:dyDescent="0.3">
      <c r="A66" s="91">
        <v>45989</v>
      </c>
      <c r="B66" s="92" t="s">
        <v>25</v>
      </c>
      <c r="C66" s="93" t="s">
        <v>223</v>
      </c>
      <c r="D66" s="92" t="s">
        <v>207</v>
      </c>
      <c r="E66" s="94">
        <v>1.399305555555556</v>
      </c>
      <c r="F66" s="92" t="s">
        <v>30</v>
      </c>
      <c r="G66" s="95">
        <v>5</v>
      </c>
      <c r="H66" s="92" t="s">
        <v>88</v>
      </c>
    </row>
    <row r="67" spans="1:8" ht="18" x14ac:dyDescent="0.3">
      <c r="A67" s="91">
        <v>45989</v>
      </c>
      <c r="B67" s="92" t="s">
        <v>25</v>
      </c>
      <c r="C67" s="93" t="s">
        <v>223</v>
      </c>
      <c r="D67" s="92" t="s">
        <v>207</v>
      </c>
      <c r="E67" s="94">
        <v>1.399305555555556</v>
      </c>
      <c r="F67" s="92" t="s">
        <v>33</v>
      </c>
      <c r="G67" s="95">
        <v>5</v>
      </c>
      <c r="H67" s="92" t="s">
        <v>34</v>
      </c>
    </row>
    <row r="68" spans="1:8" ht="18" x14ac:dyDescent="0.3">
      <c r="A68" s="97">
        <v>45989</v>
      </c>
      <c r="B68" s="98" t="s">
        <v>25</v>
      </c>
      <c r="C68" s="99" t="s">
        <v>228</v>
      </c>
      <c r="D68" s="98" t="s">
        <v>207</v>
      </c>
      <c r="E68" s="100">
        <v>1.989583333333333</v>
      </c>
      <c r="F68" s="98" t="s">
        <v>27</v>
      </c>
      <c r="G68" s="101">
        <v>10</v>
      </c>
      <c r="H68" s="98" t="s">
        <v>231</v>
      </c>
    </row>
    <row r="69" spans="1:8" ht="18" x14ac:dyDescent="0.3">
      <c r="A69" s="91">
        <v>45989</v>
      </c>
      <c r="B69" s="92" t="s">
        <v>25</v>
      </c>
      <c r="C69" s="93" t="s">
        <v>228</v>
      </c>
      <c r="D69" s="92" t="s">
        <v>207</v>
      </c>
      <c r="E69" s="94">
        <v>1.989583333333333</v>
      </c>
      <c r="F69" s="92" t="s">
        <v>30</v>
      </c>
      <c r="G69" s="95">
        <v>10</v>
      </c>
      <c r="H69" s="92" t="s">
        <v>233</v>
      </c>
    </row>
    <row r="70" spans="1:8" ht="18" x14ac:dyDescent="0.3">
      <c r="A70" s="91">
        <v>45989</v>
      </c>
      <c r="B70" s="92" t="s">
        <v>25</v>
      </c>
      <c r="C70" s="93" t="s">
        <v>228</v>
      </c>
      <c r="D70" s="92" t="s">
        <v>207</v>
      </c>
      <c r="E70" s="94">
        <v>1.989583333333333</v>
      </c>
      <c r="F70" s="92" t="s">
        <v>33</v>
      </c>
      <c r="G70" s="95">
        <v>10</v>
      </c>
      <c r="H70" s="92" t="s">
        <v>34</v>
      </c>
    </row>
    <row r="71" spans="1:8" ht="18" x14ac:dyDescent="0.3">
      <c r="A71" s="97">
        <v>45989</v>
      </c>
      <c r="B71" s="98" t="s">
        <v>25</v>
      </c>
      <c r="C71" s="99" t="s">
        <v>225</v>
      </c>
      <c r="D71" s="98" t="s">
        <v>207</v>
      </c>
      <c r="E71" s="100">
        <v>1.489583333333333</v>
      </c>
      <c r="F71" s="98" t="s">
        <v>27</v>
      </c>
      <c r="G71" s="101">
        <v>10</v>
      </c>
      <c r="H71" s="98" t="s">
        <v>88</v>
      </c>
    </row>
    <row r="72" spans="1:8" ht="18" x14ac:dyDescent="0.3">
      <c r="A72" s="91">
        <v>45989</v>
      </c>
      <c r="B72" s="92" t="s">
        <v>25</v>
      </c>
      <c r="C72" s="93" t="s">
        <v>225</v>
      </c>
      <c r="D72" s="92" t="s">
        <v>207</v>
      </c>
      <c r="E72" s="94">
        <v>1.489583333333333</v>
      </c>
      <c r="F72" s="92" t="s">
        <v>30</v>
      </c>
      <c r="G72" s="95">
        <v>10</v>
      </c>
      <c r="H72" s="92" t="s">
        <v>69</v>
      </c>
    </row>
    <row r="73" spans="1:8" ht="18" x14ac:dyDescent="0.3">
      <c r="A73" s="91">
        <v>45989</v>
      </c>
      <c r="B73" s="92" t="s">
        <v>25</v>
      </c>
      <c r="C73" s="93" t="s">
        <v>225</v>
      </c>
      <c r="D73" s="92" t="s">
        <v>207</v>
      </c>
      <c r="E73" s="94">
        <v>1.489583333333333</v>
      </c>
      <c r="F73" s="92" t="s">
        <v>33</v>
      </c>
      <c r="G73" s="95">
        <v>10</v>
      </c>
      <c r="H73" s="92" t="s">
        <v>34</v>
      </c>
    </row>
    <row r="74" spans="1:8" ht="18" x14ac:dyDescent="0.3">
      <c r="A74" s="97">
        <v>45989</v>
      </c>
      <c r="B74" s="98" t="s">
        <v>25</v>
      </c>
      <c r="C74" s="99" t="s">
        <v>229</v>
      </c>
      <c r="D74" s="98" t="s">
        <v>207</v>
      </c>
      <c r="E74" s="100">
        <v>1.8888888888888891</v>
      </c>
      <c r="F74" s="98" t="s">
        <v>27</v>
      </c>
      <c r="G74" s="101">
        <v>8</v>
      </c>
      <c r="H74" s="98" t="s">
        <v>88</v>
      </c>
    </row>
    <row r="75" spans="1:8" ht="18" x14ac:dyDescent="0.3">
      <c r="A75" s="91">
        <v>45989</v>
      </c>
      <c r="B75" s="92" t="s">
        <v>25</v>
      </c>
      <c r="C75" s="93" t="s">
        <v>229</v>
      </c>
      <c r="D75" s="92" t="s">
        <v>207</v>
      </c>
      <c r="E75" s="94">
        <v>1.8888888888888891</v>
      </c>
      <c r="F75" s="92" t="s">
        <v>30</v>
      </c>
      <c r="G75" s="95">
        <v>8</v>
      </c>
      <c r="H75" s="92" t="s">
        <v>69</v>
      </c>
    </row>
    <row r="76" spans="1:8" ht="18" x14ac:dyDescent="0.3">
      <c r="A76" s="91">
        <v>45989</v>
      </c>
      <c r="B76" s="92" t="s">
        <v>25</v>
      </c>
      <c r="C76" s="93" t="s">
        <v>229</v>
      </c>
      <c r="D76" s="92" t="s">
        <v>207</v>
      </c>
      <c r="E76" s="94">
        <v>1.8888888888888891</v>
      </c>
      <c r="F76" s="92" t="s">
        <v>33</v>
      </c>
      <c r="G76" s="95">
        <v>8</v>
      </c>
      <c r="H76" s="92" t="s">
        <v>34</v>
      </c>
    </row>
    <row r="77" spans="1:8" ht="18" x14ac:dyDescent="0.3">
      <c r="A77" s="96">
        <v>45989</v>
      </c>
      <c r="B77" s="86" t="s">
        <v>283</v>
      </c>
      <c r="C77" s="87" t="s">
        <v>284</v>
      </c>
      <c r="D77" s="86" t="s">
        <v>207</v>
      </c>
      <c r="E77" s="88">
        <v>1.225694444444444</v>
      </c>
      <c r="F77" s="86" t="s">
        <v>285</v>
      </c>
      <c r="G77" s="89">
        <v>2</v>
      </c>
      <c r="H77" s="86" t="s">
        <v>286</v>
      </c>
    </row>
    <row r="78" spans="1:8" ht="18" x14ac:dyDescent="0.3">
      <c r="A78" s="91">
        <v>45989</v>
      </c>
      <c r="B78" s="92" t="s">
        <v>283</v>
      </c>
      <c r="C78" s="93" t="s">
        <v>284</v>
      </c>
      <c r="D78" s="92" t="s">
        <v>207</v>
      </c>
      <c r="E78" s="94">
        <v>1.225694444444444</v>
      </c>
      <c r="F78" s="92" t="s">
        <v>33</v>
      </c>
      <c r="G78" s="95">
        <v>2</v>
      </c>
      <c r="H78" s="92" t="s">
        <v>287</v>
      </c>
    </row>
    <row r="79" spans="1:8" ht="18" x14ac:dyDescent="0.3">
      <c r="A79" s="97">
        <v>45989</v>
      </c>
      <c r="B79" s="98" t="s">
        <v>283</v>
      </c>
      <c r="C79" s="99" t="s">
        <v>288</v>
      </c>
      <c r="D79" s="98" t="s">
        <v>207</v>
      </c>
      <c r="E79" s="100">
        <v>1.8090277777777779</v>
      </c>
      <c r="F79" s="98" t="s">
        <v>285</v>
      </c>
      <c r="G79" s="101">
        <v>6</v>
      </c>
      <c r="H79" s="98" t="s">
        <v>290</v>
      </c>
    </row>
    <row r="80" spans="1:8" ht="18" x14ac:dyDescent="0.3">
      <c r="A80" s="91">
        <v>45989</v>
      </c>
      <c r="B80" s="92" t="s">
        <v>283</v>
      </c>
      <c r="C80" s="93" t="s">
        <v>288</v>
      </c>
      <c r="D80" s="92" t="s">
        <v>207</v>
      </c>
      <c r="E80" s="94">
        <v>1.8090277777777779</v>
      </c>
      <c r="F80" s="92" t="s">
        <v>33</v>
      </c>
      <c r="G80" s="95">
        <v>6</v>
      </c>
      <c r="H80" s="92" t="s">
        <v>292</v>
      </c>
    </row>
    <row r="81" spans="1:8" ht="18" x14ac:dyDescent="0.3">
      <c r="A81" s="96">
        <v>45989</v>
      </c>
      <c r="B81" s="86" t="s">
        <v>35</v>
      </c>
      <c r="C81" s="87" t="s">
        <v>234</v>
      </c>
      <c r="D81" s="86" t="s">
        <v>207</v>
      </c>
      <c r="E81" s="88">
        <v>1.3472222222222221</v>
      </c>
      <c r="F81" s="86" t="s">
        <v>37</v>
      </c>
      <c r="G81" s="89">
        <v>9</v>
      </c>
      <c r="H81" s="86" t="s">
        <v>231</v>
      </c>
    </row>
    <row r="82" spans="1:8" ht="18" x14ac:dyDescent="0.3">
      <c r="A82" s="91">
        <v>45989</v>
      </c>
      <c r="B82" s="92" t="s">
        <v>35</v>
      </c>
      <c r="C82" s="93" t="s">
        <v>234</v>
      </c>
      <c r="D82" s="92" t="s">
        <v>207</v>
      </c>
      <c r="E82" s="94">
        <v>1.3472222222222221</v>
      </c>
      <c r="F82" s="92" t="s">
        <v>40</v>
      </c>
      <c r="G82" s="95">
        <v>9</v>
      </c>
      <c r="H82" s="92" t="s">
        <v>88</v>
      </c>
    </row>
    <row r="83" spans="1:8" ht="18" x14ac:dyDescent="0.3">
      <c r="A83" s="91">
        <v>45989</v>
      </c>
      <c r="B83" s="92" t="s">
        <v>35</v>
      </c>
      <c r="C83" s="93" t="s">
        <v>234</v>
      </c>
      <c r="D83" s="92" t="s">
        <v>207</v>
      </c>
      <c r="E83" s="94">
        <v>1.3472222222222221</v>
      </c>
      <c r="F83" s="92" t="s">
        <v>43</v>
      </c>
      <c r="G83" s="95">
        <v>9</v>
      </c>
      <c r="H83" s="92" t="s">
        <v>293</v>
      </c>
    </row>
    <row r="84" spans="1:8" ht="18" x14ac:dyDescent="0.3">
      <c r="A84" s="97">
        <v>45989</v>
      </c>
      <c r="B84" s="98" t="s">
        <v>35</v>
      </c>
      <c r="C84" s="99" t="s">
        <v>237</v>
      </c>
      <c r="D84" s="98" t="s">
        <v>207</v>
      </c>
      <c r="E84" s="100">
        <v>1.993055555555556</v>
      </c>
      <c r="F84" s="98" t="s">
        <v>37</v>
      </c>
      <c r="G84" s="101">
        <v>2</v>
      </c>
      <c r="H84" s="98" t="s">
        <v>231</v>
      </c>
    </row>
    <row r="85" spans="1:8" ht="18" x14ac:dyDescent="0.3">
      <c r="A85" s="91">
        <v>45989</v>
      </c>
      <c r="B85" s="92" t="s">
        <v>35</v>
      </c>
      <c r="C85" s="93" t="s">
        <v>237</v>
      </c>
      <c r="D85" s="92" t="s">
        <v>207</v>
      </c>
      <c r="E85" s="94">
        <v>1.993055555555556</v>
      </c>
      <c r="F85" s="92" t="s">
        <v>40</v>
      </c>
      <c r="G85" s="95">
        <v>2</v>
      </c>
      <c r="H85" s="92" t="s">
        <v>88</v>
      </c>
    </row>
    <row r="86" spans="1:8" ht="18" x14ac:dyDescent="0.3">
      <c r="A86" s="91">
        <v>45989</v>
      </c>
      <c r="B86" s="92" t="s">
        <v>35</v>
      </c>
      <c r="C86" s="93" t="s">
        <v>237</v>
      </c>
      <c r="D86" s="92" t="s">
        <v>207</v>
      </c>
      <c r="E86" s="94">
        <v>1.993055555555556</v>
      </c>
      <c r="F86" s="92" t="s">
        <v>43</v>
      </c>
      <c r="G86" s="95">
        <v>2</v>
      </c>
      <c r="H86" s="92" t="s">
        <v>293</v>
      </c>
    </row>
    <row r="87" spans="1:8" ht="18" x14ac:dyDescent="0.3">
      <c r="A87" s="97">
        <v>45989</v>
      </c>
      <c r="B87" s="98" t="s">
        <v>35</v>
      </c>
      <c r="C87" s="99" t="s">
        <v>238</v>
      </c>
      <c r="D87" s="98" t="s">
        <v>207</v>
      </c>
      <c r="E87" s="100">
        <v>1.836805555555556</v>
      </c>
      <c r="F87" s="98" t="s">
        <v>37</v>
      </c>
      <c r="G87" s="101">
        <v>4</v>
      </c>
      <c r="H87" s="98" t="s">
        <v>231</v>
      </c>
    </row>
    <row r="88" spans="1:8" ht="18" x14ac:dyDescent="0.3">
      <c r="A88" s="91">
        <v>45989</v>
      </c>
      <c r="B88" s="92" t="s">
        <v>35</v>
      </c>
      <c r="C88" s="93" t="s">
        <v>238</v>
      </c>
      <c r="D88" s="92" t="s">
        <v>207</v>
      </c>
      <c r="E88" s="94">
        <v>1.836805555555556</v>
      </c>
      <c r="F88" s="92" t="s">
        <v>40</v>
      </c>
      <c r="G88" s="95">
        <v>4</v>
      </c>
      <c r="H88" s="92" t="s">
        <v>88</v>
      </c>
    </row>
    <row r="89" spans="1:8" ht="18" x14ac:dyDescent="0.3">
      <c r="A89" s="91">
        <v>45989</v>
      </c>
      <c r="B89" s="92" t="s">
        <v>35</v>
      </c>
      <c r="C89" s="93" t="s">
        <v>238</v>
      </c>
      <c r="D89" s="92" t="s">
        <v>207</v>
      </c>
      <c r="E89" s="94">
        <v>1.836805555555556</v>
      </c>
      <c r="F89" s="92" t="s">
        <v>43</v>
      </c>
      <c r="G89" s="95">
        <v>4</v>
      </c>
      <c r="H89" s="92" t="s">
        <v>293</v>
      </c>
    </row>
    <row r="90" spans="1:8" ht="18" x14ac:dyDescent="0.3">
      <c r="A90" s="97">
        <v>45989</v>
      </c>
      <c r="B90" s="98" t="s">
        <v>35</v>
      </c>
      <c r="C90" s="99" t="s">
        <v>239</v>
      </c>
      <c r="D90" s="98" t="s">
        <v>207</v>
      </c>
      <c r="E90" s="100">
        <v>1.944444444444444</v>
      </c>
      <c r="F90" s="98" t="s">
        <v>37</v>
      </c>
      <c r="G90" s="101">
        <v>9</v>
      </c>
      <c r="H90" s="98" t="s">
        <v>231</v>
      </c>
    </row>
    <row r="91" spans="1:8" ht="18" x14ac:dyDescent="0.3">
      <c r="A91" s="91">
        <v>45989</v>
      </c>
      <c r="B91" s="92" t="s">
        <v>35</v>
      </c>
      <c r="C91" s="93" t="s">
        <v>239</v>
      </c>
      <c r="D91" s="92" t="s">
        <v>207</v>
      </c>
      <c r="E91" s="94">
        <v>1.944444444444444</v>
      </c>
      <c r="F91" s="92" t="s">
        <v>40</v>
      </c>
      <c r="G91" s="95">
        <v>9</v>
      </c>
      <c r="H91" s="92" t="s">
        <v>88</v>
      </c>
    </row>
    <row r="92" spans="1:8" ht="18" x14ac:dyDescent="0.3">
      <c r="A92" s="91">
        <v>45989</v>
      </c>
      <c r="B92" s="92" t="s">
        <v>35</v>
      </c>
      <c r="C92" s="93" t="s">
        <v>239</v>
      </c>
      <c r="D92" s="92" t="s">
        <v>207</v>
      </c>
      <c r="E92" s="94">
        <v>1.944444444444444</v>
      </c>
      <c r="F92" s="92" t="s">
        <v>43</v>
      </c>
      <c r="G92" s="95">
        <v>9</v>
      </c>
      <c r="H92" s="92" t="s">
        <v>293</v>
      </c>
    </row>
    <row r="93" spans="1:8" ht="18" x14ac:dyDescent="0.3">
      <c r="A93" s="97">
        <v>45989</v>
      </c>
      <c r="B93" s="98" t="s">
        <v>35</v>
      </c>
      <c r="C93" s="99" t="s">
        <v>241</v>
      </c>
      <c r="D93" s="98" t="s">
        <v>207</v>
      </c>
      <c r="E93" s="100">
        <v>1.4861111111111109</v>
      </c>
      <c r="F93" s="98" t="s">
        <v>37</v>
      </c>
      <c r="G93" s="101">
        <v>2</v>
      </c>
      <c r="H93" s="98" t="s">
        <v>231</v>
      </c>
    </row>
    <row r="94" spans="1:8" ht="18" x14ac:dyDescent="0.3">
      <c r="A94" s="91">
        <v>45989</v>
      </c>
      <c r="B94" s="92" t="s">
        <v>35</v>
      </c>
      <c r="C94" s="93" t="s">
        <v>241</v>
      </c>
      <c r="D94" s="92" t="s">
        <v>207</v>
      </c>
      <c r="E94" s="94">
        <v>1.4861111111111109</v>
      </c>
      <c r="F94" s="92" t="s">
        <v>40</v>
      </c>
      <c r="G94" s="95">
        <v>2</v>
      </c>
      <c r="H94" s="92" t="s">
        <v>88</v>
      </c>
    </row>
    <row r="95" spans="1:8" ht="18" x14ac:dyDescent="0.3">
      <c r="A95" s="91">
        <v>45989</v>
      </c>
      <c r="B95" s="92" t="s">
        <v>35</v>
      </c>
      <c r="C95" s="93" t="s">
        <v>241</v>
      </c>
      <c r="D95" s="92" t="s">
        <v>207</v>
      </c>
      <c r="E95" s="94">
        <v>1.4861111111111109</v>
      </c>
      <c r="F95" s="92" t="s">
        <v>43</v>
      </c>
      <c r="G95" s="95">
        <v>2</v>
      </c>
      <c r="H95" s="92" t="s">
        <v>293</v>
      </c>
    </row>
    <row r="96" spans="1:8" ht="18" x14ac:dyDescent="0.3">
      <c r="A96" s="97">
        <v>45989</v>
      </c>
      <c r="B96" s="98" t="s">
        <v>35</v>
      </c>
      <c r="C96" s="99" t="s">
        <v>243</v>
      </c>
      <c r="D96" s="98" t="s">
        <v>207</v>
      </c>
      <c r="E96" s="100">
        <v>1.8888888888888891</v>
      </c>
      <c r="F96" s="98" t="s">
        <v>37</v>
      </c>
      <c r="G96" s="101">
        <v>7</v>
      </c>
      <c r="H96" s="98" t="s">
        <v>231</v>
      </c>
    </row>
    <row r="97" spans="1:8" ht="18" x14ac:dyDescent="0.3">
      <c r="A97" s="91">
        <v>45989</v>
      </c>
      <c r="B97" s="92" t="s">
        <v>35</v>
      </c>
      <c r="C97" s="93" t="s">
        <v>243</v>
      </c>
      <c r="D97" s="92" t="s">
        <v>207</v>
      </c>
      <c r="E97" s="94">
        <v>1.8888888888888891</v>
      </c>
      <c r="F97" s="92" t="s">
        <v>40</v>
      </c>
      <c r="G97" s="95">
        <v>7</v>
      </c>
      <c r="H97" s="92" t="s">
        <v>88</v>
      </c>
    </row>
    <row r="98" spans="1:8" ht="18" x14ac:dyDescent="0.3">
      <c r="A98" s="91">
        <v>45989</v>
      </c>
      <c r="B98" s="92" t="s">
        <v>35</v>
      </c>
      <c r="C98" s="93" t="s">
        <v>243</v>
      </c>
      <c r="D98" s="92" t="s">
        <v>207</v>
      </c>
      <c r="E98" s="94">
        <v>1.8888888888888891</v>
      </c>
      <c r="F98" s="92" t="s">
        <v>43</v>
      </c>
      <c r="G98" s="95">
        <v>7</v>
      </c>
      <c r="H98" s="92" t="s">
        <v>293</v>
      </c>
    </row>
    <row r="99" spans="1:8" ht="18" x14ac:dyDescent="0.3">
      <c r="A99" s="97">
        <v>45989</v>
      </c>
      <c r="B99" s="98" t="s">
        <v>35</v>
      </c>
      <c r="C99" s="99" t="s">
        <v>244</v>
      </c>
      <c r="D99" s="98" t="s">
        <v>207</v>
      </c>
      <c r="E99" s="100">
        <v>1.7361111111111109</v>
      </c>
      <c r="F99" s="98" t="s">
        <v>37</v>
      </c>
      <c r="G99" s="101">
        <v>9</v>
      </c>
      <c r="H99" s="98" t="s">
        <v>80</v>
      </c>
    </row>
    <row r="100" spans="1:8" ht="18" x14ac:dyDescent="0.3">
      <c r="A100" s="91">
        <v>45989</v>
      </c>
      <c r="B100" s="92" t="s">
        <v>35</v>
      </c>
      <c r="C100" s="93" t="s">
        <v>244</v>
      </c>
      <c r="D100" s="92" t="s">
        <v>207</v>
      </c>
      <c r="E100" s="94">
        <v>1.7361111111111109</v>
      </c>
      <c r="F100" s="92" t="s">
        <v>40</v>
      </c>
      <c r="G100" s="95">
        <v>9</v>
      </c>
      <c r="H100" s="92" t="s">
        <v>295</v>
      </c>
    </row>
    <row r="101" spans="1:8" ht="18" x14ac:dyDescent="0.3">
      <c r="A101" s="91">
        <v>45989</v>
      </c>
      <c r="B101" s="92" t="s">
        <v>35</v>
      </c>
      <c r="C101" s="93" t="s">
        <v>244</v>
      </c>
      <c r="D101" s="92" t="s">
        <v>207</v>
      </c>
      <c r="E101" s="94">
        <v>1.7361111111111109</v>
      </c>
      <c r="F101" s="92" t="s">
        <v>43</v>
      </c>
      <c r="G101" s="95">
        <v>9</v>
      </c>
      <c r="H101" s="92" t="s">
        <v>296</v>
      </c>
    </row>
    <row r="102" spans="1:8" ht="18" x14ac:dyDescent="0.3">
      <c r="A102" s="96">
        <v>45989</v>
      </c>
      <c r="B102" s="86" t="s">
        <v>70</v>
      </c>
      <c r="C102" s="87" t="s">
        <v>297</v>
      </c>
      <c r="D102" s="86" t="s">
        <v>207</v>
      </c>
      <c r="E102" s="88">
        <v>1.836805555555556</v>
      </c>
      <c r="F102" s="86" t="s">
        <v>72</v>
      </c>
      <c r="G102" s="89">
        <v>1</v>
      </c>
      <c r="H102" s="86" t="s">
        <v>298</v>
      </c>
    </row>
    <row r="103" spans="1:8" ht="18" x14ac:dyDescent="0.3">
      <c r="A103" s="96">
        <v>45989</v>
      </c>
      <c r="B103" s="86" t="s">
        <v>49</v>
      </c>
      <c r="C103" s="87" t="s">
        <v>260</v>
      </c>
      <c r="D103" s="86" t="s">
        <v>207</v>
      </c>
      <c r="E103" s="88">
        <v>1.041666666666667</v>
      </c>
      <c r="F103" s="86" t="s">
        <v>51</v>
      </c>
      <c r="G103" s="89">
        <v>9</v>
      </c>
      <c r="H103" s="86" t="s">
        <v>254</v>
      </c>
    </row>
    <row r="104" spans="1:8" ht="18" x14ac:dyDescent="0.3">
      <c r="A104" s="97">
        <v>45989</v>
      </c>
      <c r="B104" s="98" t="s">
        <v>49</v>
      </c>
      <c r="C104" s="99" t="s">
        <v>255</v>
      </c>
      <c r="D104" s="98" t="s">
        <v>207</v>
      </c>
      <c r="E104" s="100">
        <v>1.489583333333333</v>
      </c>
      <c r="F104" s="98" t="s">
        <v>51</v>
      </c>
      <c r="G104" s="101">
        <v>9</v>
      </c>
      <c r="H104" s="98" t="s">
        <v>256</v>
      </c>
    </row>
    <row r="105" spans="1:8" ht="18" x14ac:dyDescent="0.3">
      <c r="A105" s="97">
        <v>45989</v>
      </c>
      <c r="B105" s="98" t="s">
        <v>49</v>
      </c>
      <c r="C105" s="99" t="s">
        <v>257</v>
      </c>
      <c r="D105" s="98" t="s">
        <v>207</v>
      </c>
      <c r="E105" s="100">
        <v>1.8298611111111109</v>
      </c>
      <c r="F105" s="98" t="s">
        <v>51</v>
      </c>
      <c r="G105" s="101">
        <v>9</v>
      </c>
      <c r="H105" s="98" t="s">
        <v>256</v>
      </c>
    </row>
    <row r="106" spans="1:8" ht="18" x14ac:dyDescent="0.3">
      <c r="A106" s="97">
        <v>45989</v>
      </c>
      <c r="B106" s="98" t="s">
        <v>49</v>
      </c>
      <c r="C106" s="99" t="s">
        <v>258</v>
      </c>
      <c r="D106" s="98" t="s">
        <v>207</v>
      </c>
      <c r="E106" s="100">
        <v>1.7222222222222221</v>
      </c>
      <c r="F106" s="98" t="s">
        <v>51</v>
      </c>
      <c r="G106" s="101">
        <v>9</v>
      </c>
      <c r="H106" s="98" t="s">
        <v>256</v>
      </c>
    </row>
    <row r="107" spans="1:8" ht="18" x14ac:dyDescent="0.3">
      <c r="A107" s="97">
        <v>45989</v>
      </c>
      <c r="B107" s="98" t="s">
        <v>49</v>
      </c>
      <c r="C107" s="99" t="s">
        <v>253</v>
      </c>
      <c r="D107" s="98" t="s">
        <v>207</v>
      </c>
      <c r="E107" s="100">
        <v>1.118055555555556</v>
      </c>
      <c r="F107" s="98" t="s">
        <v>51</v>
      </c>
      <c r="G107" s="101">
        <v>9</v>
      </c>
      <c r="H107" s="98" t="s">
        <v>256</v>
      </c>
    </row>
    <row r="108" spans="1:8" ht="18" x14ac:dyDescent="0.3">
      <c r="A108" s="97">
        <v>45989</v>
      </c>
      <c r="B108" s="98" t="s">
        <v>49</v>
      </c>
      <c r="C108" s="99" t="s">
        <v>259</v>
      </c>
      <c r="D108" s="98" t="s">
        <v>207</v>
      </c>
      <c r="E108" s="100">
        <v>1.2534722222222221</v>
      </c>
      <c r="F108" s="98" t="s">
        <v>51</v>
      </c>
      <c r="G108" s="101">
        <v>9</v>
      </c>
      <c r="H108" s="98" t="s">
        <v>256</v>
      </c>
    </row>
    <row r="109" spans="1:8" ht="18" x14ac:dyDescent="0.3">
      <c r="A109" s="97">
        <v>45989</v>
      </c>
      <c r="B109" s="98" t="s">
        <v>49</v>
      </c>
      <c r="C109" s="99" t="s">
        <v>262</v>
      </c>
      <c r="D109" s="98" t="s">
        <v>207</v>
      </c>
      <c r="E109" s="100">
        <v>1.989583333333333</v>
      </c>
      <c r="F109" s="98" t="s">
        <v>51</v>
      </c>
      <c r="G109" s="101">
        <v>4</v>
      </c>
      <c r="H109" s="98" t="s">
        <v>263</v>
      </c>
    </row>
    <row r="110" spans="1:8" ht="18" x14ac:dyDescent="0.3">
      <c r="A110" s="97">
        <v>45989</v>
      </c>
      <c r="B110" s="98" t="s">
        <v>49</v>
      </c>
      <c r="C110" s="99" t="s">
        <v>264</v>
      </c>
      <c r="D110" s="98" t="s">
        <v>207</v>
      </c>
      <c r="E110" s="100">
        <v>1.399305555555556</v>
      </c>
      <c r="F110" s="98" t="s">
        <v>51</v>
      </c>
      <c r="G110" s="101">
        <v>4</v>
      </c>
      <c r="H110" s="98" t="s">
        <v>263</v>
      </c>
    </row>
    <row r="111" spans="1:8" ht="18" x14ac:dyDescent="0.3">
      <c r="A111" s="97">
        <v>45989</v>
      </c>
      <c r="B111" s="98" t="s">
        <v>49</v>
      </c>
      <c r="C111" s="99" t="s">
        <v>267</v>
      </c>
      <c r="D111" s="98" t="s">
        <v>207</v>
      </c>
      <c r="E111" s="100">
        <v>1.7013888888888891</v>
      </c>
      <c r="F111" s="98" t="s">
        <v>51</v>
      </c>
      <c r="G111" s="101">
        <v>6</v>
      </c>
      <c r="H111" s="98" t="s">
        <v>269</v>
      </c>
    </row>
    <row r="112" spans="1:8" ht="18" x14ac:dyDescent="0.3">
      <c r="A112" s="97">
        <v>45989</v>
      </c>
      <c r="B112" s="98" t="s">
        <v>49</v>
      </c>
      <c r="C112" s="99" t="s">
        <v>261</v>
      </c>
      <c r="D112" s="98" t="s">
        <v>207</v>
      </c>
      <c r="E112" s="100">
        <v>1.9409722222222221</v>
      </c>
      <c r="F112" s="98" t="s">
        <v>51</v>
      </c>
      <c r="G112" s="101">
        <v>9</v>
      </c>
      <c r="H112" s="98" t="s">
        <v>269</v>
      </c>
    </row>
    <row r="113" spans="1:8" ht="18" x14ac:dyDescent="0.3">
      <c r="A113" s="97">
        <v>45989</v>
      </c>
      <c r="B113" s="98" t="s">
        <v>49</v>
      </c>
      <c r="C113" s="99" t="s">
        <v>265</v>
      </c>
      <c r="D113" s="98" t="s">
        <v>207</v>
      </c>
      <c r="E113" s="100">
        <v>1.489583333333333</v>
      </c>
      <c r="F113" s="98" t="s">
        <v>51</v>
      </c>
      <c r="G113" s="101">
        <v>4</v>
      </c>
      <c r="H113" s="98" t="s">
        <v>299</v>
      </c>
    </row>
    <row r="114" spans="1:8" ht="18" x14ac:dyDescent="0.3">
      <c r="A114" s="106">
        <v>45989</v>
      </c>
      <c r="B114" s="107" t="s">
        <v>49</v>
      </c>
      <c r="C114" s="108" t="s">
        <v>266</v>
      </c>
      <c r="D114" s="107" t="s">
        <v>207</v>
      </c>
      <c r="E114" s="109">
        <v>1.8888888888888891</v>
      </c>
      <c r="F114" s="107" t="s">
        <v>51</v>
      </c>
      <c r="G114" s="110">
        <v>4</v>
      </c>
      <c r="H114" s="107" t="s">
        <v>299</v>
      </c>
    </row>
    <row r="115" spans="1:8" ht="18" x14ac:dyDescent="0.3">
      <c r="A115" s="153">
        <v>45990</v>
      </c>
      <c r="B115" s="148" t="s">
        <v>59</v>
      </c>
      <c r="C115" s="149" t="s">
        <v>213</v>
      </c>
      <c r="D115" s="148" t="s">
        <v>207</v>
      </c>
      <c r="E115" s="150">
        <v>1.0486111111111109</v>
      </c>
      <c r="F115" s="148" t="s">
        <v>61</v>
      </c>
      <c r="G115" s="148"/>
      <c r="H115" s="154" t="s">
        <v>62</v>
      </c>
    </row>
    <row r="116" spans="1:8" ht="18" x14ac:dyDescent="0.3">
      <c r="A116" s="211">
        <v>45990</v>
      </c>
      <c r="B116" s="212" t="s">
        <v>59</v>
      </c>
      <c r="C116" s="213" t="s">
        <v>215</v>
      </c>
      <c r="D116" s="212" t="s">
        <v>207</v>
      </c>
      <c r="E116" s="214">
        <v>1.15625</v>
      </c>
      <c r="F116" s="212" t="s">
        <v>61</v>
      </c>
      <c r="G116" s="212"/>
      <c r="H116" s="212" t="s">
        <v>62</v>
      </c>
    </row>
    <row r="117" spans="1:8" ht="18" x14ac:dyDescent="0.3">
      <c r="A117" s="211">
        <v>45990</v>
      </c>
      <c r="B117" s="212" t="s">
        <v>59</v>
      </c>
      <c r="C117" s="213" t="s">
        <v>219</v>
      </c>
      <c r="D117" s="212" t="s">
        <v>207</v>
      </c>
      <c r="E117" s="214">
        <v>1.5034722222222221</v>
      </c>
      <c r="F117" s="212" t="s">
        <v>61</v>
      </c>
      <c r="G117" s="212"/>
      <c r="H117" s="212" t="s">
        <v>62</v>
      </c>
    </row>
    <row r="118" spans="1:8" ht="18" x14ac:dyDescent="0.3">
      <c r="A118" s="216">
        <v>45990</v>
      </c>
      <c r="B118" s="217" t="s">
        <v>59</v>
      </c>
      <c r="C118" s="218" t="s">
        <v>210</v>
      </c>
      <c r="D118" s="217" t="s">
        <v>207</v>
      </c>
      <c r="E118" s="219">
        <v>1.90625</v>
      </c>
      <c r="F118" s="217" t="s">
        <v>61</v>
      </c>
      <c r="G118" s="217"/>
      <c r="H118" s="217" t="s">
        <v>303</v>
      </c>
    </row>
    <row r="119" spans="1:8" ht="18" x14ac:dyDescent="0.3">
      <c r="A119" s="153">
        <v>45991</v>
      </c>
      <c r="B119" s="148" t="s">
        <v>59</v>
      </c>
      <c r="C119" s="149" t="s">
        <v>215</v>
      </c>
      <c r="D119" s="148" t="s">
        <v>207</v>
      </c>
      <c r="E119" s="150">
        <v>1.1423611111111109</v>
      </c>
      <c r="F119" s="148" t="s">
        <v>61</v>
      </c>
      <c r="G119" s="148"/>
      <c r="H119" s="154" t="s">
        <v>62</v>
      </c>
    </row>
    <row r="120" spans="1:8" ht="18" x14ac:dyDescent="0.3">
      <c r="A120" s="211">
        <v>45991</v>
      </c>
      <c r="B120" s="212" t="s">
        <v>59</v>
      </c>
      <c r="C120" s="213" t="s">
        <v>217</v>
      </c>
      <c r="D120" s="212" t="s">
        <v>207</v>
      </c>
      <c r="E120" s="214">
        <v>1.15625</v>
      </c>
      <c r="F120" s="212" t="s">
        <v>61</v>
      </c>
      <c r="G120" s="212"/>
      <c r="H120" s="212" t="s">
        <v>62</v>
      </c>
    </row>
    <row r="121" spans="1:8" ht="18" x14ac:dyDescent="0.3">
      <c r="A121" s="211">
        <v>45991</v>
      </c>
      <c r="B121" s="212" t="s">
        <v>59</v>
      </c>
      <c r="C121" s="213" t="s">
        <v>276</v>
      </c>
      <c r="D121" s="212" t="s">
        <v>207</v>
      </c>
      <c r="E121" s="214">
        <v>1.333333333333333</v>
      </c>
      <c r="F121" s="212" t="s">
        <v>61</v>
      </c>
      <c r="G121" s="212"/>
      <c r="H121" s="212" t="s">
        <v>62</v>
      </c>
    </row>
    <row r="122" spans="1:8" ht="18" x14ac:dyDescent="0.3">
      <c r="A122" s="211">
        <v>45991</v>
      </c>
      <c r="B122" s="212" t="s">
        <v>59</v>
      </c>
      <c r="C122" s="213" t="s">
        <v>219</v>
      </c>
      <c r="D122" s="212" t="s">
        <v>207</v>
      </c>
      <c r="E122" s="214">
        <v>1.4548611111111109</v>
      </c>
      <c r="F122" s="212" t="s">
        <v>61</v>
      </c>
      <c r="G122" s="212"/>
      <c r="H122" s="212" t="s">
        <v>62</v>
      </c>
    </row>
    <row r="123" spans="1:8" ht="18" x14ac:dyDescent="0.3">
      <c r="A123" s="216">
        <v>45991</v>
      </c>
      <c r="B123" s="217" t="s">
        <v>59</v>
      </c>
      <c r="C123" s="218" t="s">
        <v>221</v>
      </c>
      <c r="D123" s="217" t="s">
        <v>207</v>
      </c>
      <c r="E123" s="219">
        <v>1.8298611111111109</v>
      </c>
      <c r="F123" s="217" t="s">
        <v>61</v>
      </c>
      <c r="G123" s="217"/>
      <c r="H123" s="217" t="s">
        <v>62</v>
      </c>
    </row>
  </sheetData>
  <dataValidations count="20">
    <dataValidation type="custom" allowBlank="1" showInputMessage="1" promptTitle="LOAD FACTOR ANALYSIS" prompt="SM-423_x000d__x000a_LF 98.9%_x000d__x000a_SOLD 178_x000d__x000a_LST-SOLD 25NOV_x000d__x000a_WEEKLY 32_x000d__x000a_TO-DAY NIL_x000d__x000a_Y-DAY 1_x000d__x000a_LOWEST AVAIL V1_x000d__x000a_CAPACITY 180_x000d__x000a_CLASSES K6 &amp; V35 &amp; L25 &amp; +9 more" sqref="A2 B2 C2 D2 E2 F2 G2 H2" xr:uid="{00000000-0002-0000-0C00-000000000000}">
      <formula1>TRUE</formula1>
    </dataValidation>
    <dataValidation type="custom" allowBlank="1" showInputMessage="1" promptTitle="LOAD FACTOR ANALYSIS" prompt="SM449_x000d__x000a_LF 99.4%_x000d__x000a_SOLD 179_x000d__x000a_LST-SOLD 26NOV_x000d__x000a_WEEKLY 57_x000d__x000a_TO-DAY 1_x000d__x000a_Y-DAY 1_x000d__x000a_LOWEST AVAIL CLOSED_x000d__x000a_CAPACITY 180_x000d__x000a_CLASSES V10 &amp; L9 &amp; G25 &amp; +7 more" sqref="A3 B3 C3 D3 E3 F3 G3 H3" xr:uid="{00000000-0002-0000-0C00-000001000000}">
      <formula1>TRUE</formula1>
    </dataValidation>
    <dataValidation type="custom" allowBlank="1" showInputMessage="1" promptTitle="LOAD FACTOR ANALYSIS" prompt="SM475_x000d__x000a_LF 99.4%_x000d__x000a_SOLD 179_x000d__x000a_LST-SOLD 26NOV_x000d__x000a_WEEKLY 74_x000d__x000a_TO-DAY 1_x000d__x000a_Y-DAY NIL_x000d__x000a_LOWEST AVAIL CLOSED_x000d__x000a_CAPACITY 180_x000d__x000a_CLASSES L3 &amp; G11 &amp; S21 &amp; +7 more" sqref="A4 B4 C4 D4 E4 F4 G4 H4" xr:uid="{00000000-0002-0000-0C00-000002000000}">
      <formula1>TRUE</formula1>
    </dataValidation>
    <dataValidation type="custom" allowBlank="1" showInputMessage="1" promptTitle="LOAD FACTOR ANALYSIS" prompt="SM431_x000d__x000a_LF 99.4%_x000d__x000a_SOLD 179_x000d__x000a_LST-SOLD 24NOV_x000d__x000a_WEEKLY 49_x000d__x000a_TO-DAY NIL_x000d__x000a_Y-DAY NIL_x000d__x000a_LOWEST AVAIL CLOSED_x000d__x000a_CAPACITY 180_x000d__x000a_CLASSES V4 &amp; L10 &amp; G25 &amp; +8 more" sqref="A5 B5 C5 D5 E5 F5 G5 H5" xr:uid="{00000000-0002-0000-0C00-000003000000}">
      <formula1>TRUE</formula1>
    </dataValidation>
    <dataValidation type="custom" allowBlank="1" showInputMessage="1" promptTitle="LOAD FACTOR ANALYSIS" prompt="SM477_x000d__x000a_LF 1.0%_x000d__x000a_SOLD 180_x000d__x000a_LST-SOLD 30OCT_x000d__x000a_WEEKLY NIL_x000d__x000a_TO-DAY NIL_x000d__x000a_Y-DAY NIL_x000d__x000a_LOWEST AVAIL CLOSED_x000d__x000a_CAPACITY 180_x000d__x000a_CLASSES X1 &amp; U12 &amp; O11 &amp; +2 more" sqref="A6 B6 C6 D6 E6 F6 G6 H6" xr:uid="{00000000-0002-0000-0C00-000004000000}">
      <formula1>TRUE</formula1>
    </dataValidation>
    <dataValidation type="custom" allowBlank="1" showInputMessage="1" promptTitle="LOAD FACTOR ANALYSIS" prompt="SM479_x000d__x000a_LF 99.4%_x000d__x000a_SOLD 179_x000d__x000a_LST-SOLD 24NOV_x000d__x000a_WEEKLY 3_x000d__x000a_TO-DAY NIL_x000d__x000a_Y-DAY NIL_x000d__x000a_LOWEST AVAIL CLOSED_x000d__x000a_CAPACITY 180_x000d__x000a_CLASSES K6 &amp; L5 &amp; S3 &amp; +7 more" sqref="A7 B7 C7 D7 E7 F7 G7 H7" xr:uid="{00000000-0002-0000-0C00-000005000000}">
      <formula1>TRUE</formula1>
    </dataValidation>
    <dataValidation type="custom" allowBlank="1" showInputMessage="1" promptTitle="LOAD FACTOR ANALYSIS" prompt="SM-471_x000d__x000a_LF 97.8%_x000d__x000a_SOLD 176_x000d__x000a_LST-SOLD 25NOV_x000d__x000a_WEEKLY 50_x000d__x000a_TO-DAY NIL_x000d__x000a_Y-DAY 5_x000d__x000a_LOWEST AVAIL L1_x000d__x000a_CAPACITY 180_x000d__x000a_CLASSES K15 &amp; V28 &amp; L40 &amp; +8 more" sqref="A60 B60 C60 D60 E60 F60 G60 H60" xr:uid="{00000000-0002-0000-0C00-000006000000}">
      <formula1>TRUE</formula1>
    </dataValidation>
    <dataValidation type="custom" allowBlank="1" showInputMessage="1" promptTitle="LOAD FACTOR ANALYSIS" prompt="SM-459_x000d__x000a_LF 98.9%_x000d__x000a_SOLD 178_x000d__x000a_LST-SOLD 25NOV_x000d__x000a_WEEKLY 9_x000d__x000a_TO-DAY NIL_x000d__x000a_Y-DAY 1_x000d__x000a_LOWEST AVAIL V1_x000d__x000a_CAPACITY 180_x000d__x000a_CLASSES Q1 &amp; K25 &amp; V30 &amp; +9 more" sqref="A61 B61 C61 D61 E61 F61 G61 H61" xr:uid="{00000000-0002-0000-0C00-000007000000}">
      <formula1>TRUE</formula1>
    </dataValidation>
    <dataValidation type="custom" allowBlank="1" showInputMessage="1" promptTitle="LOAD FACTOR ANALYSIS" prompt="SM475_x000d__x000a_LF 1.0%_x000d__x000a_SOLD 180_x000d__x000a_LST-SOLD 25NOV_x000d__x000a_WEEKLY 12_x000d__x000a_TO-DAY NIL_x000d__x000a_Y-DAY 1_x000d__x000a_LOWEST AVAIL CLOSED_x000d__x000a_CAPACITY 180_x000d__x000a_CLASSES K9 &amp; V9 &amp; L24 &amp; +10 more" sqref="A62 B62 C62 D62 E62 F62 G62 H62" xr:uid="{00000000-0002-0000-0C00-000008000000}">
      <formula1>TRUE</formula1>
    </dataValidation>
    <dataValidation type="custom" allowBlank="1" showInputMessage="1" promptTitle="LOAD FACTOR ANALYSIS" prompt="SM477_x000d__x000a_LF 99.4%_x000d__x000a_SOLD 179_x000d__x000a_LST-SOLD 25NOV_x000d__x000a_WEEKLY 48_x000d__x000a_TO-DAY NIL_x000d__x000a_Y-DAY 2_x000d__x000a_LOWEST AVAIL CLOSED_x000d__x000a_CAPACITY 180_x000d__x000a_CLASSES K9 &amp; V10 &amp; L35 &amp; +8 more" sqref="A63 B63 C63 D63 E63 F63 G63 H63" xr:uid="{00000000-0002-0000-0C00-000009000000}">
      <formula1>TRUE</formula1>
    </dataValidation>
    <dataValidation type="custom" allowBlank="1" showInputMessage="1" promptTitle="LOAD FACTOR ANALYSIS" prompt="SM479_x000d__x000a_LF 1.0%_x000d__x000a_SOLD 181_x000d__x000a_LST-SOLD 25NOV_x000d__x000a_WEEKLY 32_x000d__x000a_TO-DAY NIL_x000d__x000a_Y-DAY 6_x000d__x000a_LOWEST AVAIL CLOSED_x000d__x000a_CAPACITY 180_x000d__x000a_CLASSES K3 &amp; V23 &amp; L34 &amp; +10 more" sqref="A64 B64 C64 D64 E64 F64 G64 H64" xr:uid="{00000000-0002-0000-0C00-00000A000000}">
      <formula1>TRUE</formula1>
    </dataValidation>
    <dataValidation type="custom" allowBlank="1" showInputMessage="1" promptTitle="LOAD FACTOR ANALYSIS" prompt="SM449_x000d__x000a_LF 1.0%_x000d__x000a_SOLD 186_x000d__x000a_LST-SOLD 13NOV_x000d__x000a_WEEKLY NIL_x000d__x000a_TO-DAY NIL_x000d__x000a_Y-DAY NIL_x000d__x000a_LOWEST AVAIL CLOSED_x000d__x000a_CAPACITY 180_x000d__x000a_CLASSES V1 &amp; G15 &amp; S21 &amp; +7 more" sqref="A115 B115 C115 D115 E115 F115 G115 H115" xr:uid="{00000000-0002-0000-0C00-00000B000000}">
      <formula1>TRUE</formula1>
    </dataValidation>
    <dataValidation type="custom" allowBlank="1" showInputMessage="1" promptTitle="LOAD FACTOR ANALYSIS" prompt="SM475_x000d__x000a_LF 1.0%_x000d__x000a_SOLD 180_x000d__x000a_LST-SOLD 25NOV_x000d__x000a_WEEKLY 6_x000d__x000a_TO-DAY NIL_x000d__x000a_Y-DAY 1_x000d__x000a_LOWEST AVAIL CLOSED_x000d__x000a_CAPACITY 180_x000d__x000a_CLASSES G6 &amp; X7 &amp; U11 &amp; +4 more" sqref="A116 B116 C116 D116 E116 F116 G116 H116" xr:uid="{00000000-0002-0000-0C00-00000C000000}">
      <formula1>TRUE</formula1>
    </dataValidation>
    <dataValidation type="custom" allowBlank="1" showInputMessage="1" promptTitle="LOAD FACTOR ANALYSIS" prompt="SM477_x000d__x000a_LF 99.4%_x000d__x000a_SOLD 179_x000d__x000a_LST-SOLD 12NOV_x000d__x000a_WEEKLY NIL_x000d__x000a_TO-DAY NIL_x000d__x000a_Y-DAY NIL_x000d__x000a_LOWEST AVAIL CLOSED_x000d__x000a_CAPACITY 180_x000d__x000a_CLASSES Y3 &amp; K8 &amp; V9 &amp; +7 more" sqref="A117 B117 C117 D117 E117 F117 G117 H117" xr:uid="{00000000-0002-0000-0C00-00000D000000}">
      <formula1>TRUE</formula1>
    </dataValidation>
    <dataValidation type="custom" allowBlank="1" showInputMessage="1" promptTitle="LOAD FACTOR ANALYSIS" prompt="SM423_x000d__x000a_LF 96.7%_x000d__x000a_SOLD 174_x000d__x000a_LST-SOLD 24NOV_x000d__x000a_WEEKLY 16_x000d__x000a_TO-DAY NIL_x000d__x000a_Y-DAY NIL_x000d__x000a_LOWEST AVAIL B5_x000d__x000a_CAPACITY 180_x000d__x000a_CLASSES M1 &amp; H4 &amp; Q10 &amp; +13 more" sqref="A118 B118 C118 D118 E118 F118 G118 H118" xr:uid="{00000000-0002-0000-0C00-00000E000000}">
      <formula1>TRUE</formula1>
    </dataValidation>
    <dataValidation type="custom" allowBlank="1" showInputMessage="1" promptTitle="LOAD FACTOR ANALYSIS" prompt="SM475_x000d__x000a_LF 1.0%_x000d__x000a_SOLD 180_x000d__x000a_LST-SOLD 26NOV_x000d__x000a_WEEKLY 3_x000d__x000a_TO-DAY 2_x000d__x000a_Y-DAY 1_x000d__x000a_LOWEST AVAIL CLOSED_x000d__x000a_CAPACITY 180_x000d__x000a_CLASSES L3 &amp; G2 &amp; S10 &amp; +7 more" sqref="A119 B119 C119 D119 E119 F119 G119 H119" xr:uid="{00000000-0002-0000-0C00-00000F000000}">
      <formula1>TRUE</formula1>
    </dataValidation>
    <dataValidation type="custom" allowBlank="1" showInputMessage="1" promptTitle="LOAD FACTOR ANALYSIS" prompt="SM431_x000d__x000a_LF 1.0%_x000d__x000a_SOLD 180_x000d__x000a_LST-SOLD 25NOV_x000d__x000a_WEEKLY 18_x000d__x000a_TO-DAY NIL_x000d__x000a_Y-DAY 1_x000d__x000a_LOWEST AVAIL CLOSED_x000d__x000a_CAPACITY 180_x000d__x000a_CLASSES V4 &amp; L11 &amp; G31 &amp; +9 more" sqref="A120 B120 C120 D120 E120 F120 G120 H120" xr:uid="{00000000-0002-0000-0C00-000010000000}">
      <formula1>TRUE</formula1>
    </dataValidation>
    <dataValidation type="custom" allowBlank="1" showInputMessage="1" promptTitle="LOAD FACTOR ANALYSIS" prompt="SM459_x000d__x000a_LF 1.0%_x000d__x000a_SOLD 180_x000d__x000a_LST-SOLD 25NOV_x000d__x000a_WEEKLY 4_x000d__x000a_TO-DAY NIL_x000d__x000a_Y-DAY 2_x000d__x000a_LOWEST AVAIL CLOSED_x000d__x000a_CAPACITY 180_x000d__x000a_CLASSES G9 &amp; S9 &amp; W11 &amp; +6 more" sqref="A121 B121 C121 D121 E121 F121 G121 H121" xr:uid="{00000000-0002-0000-0C00-000011000000}">
      <formula1>TRUE</formula1>
    </dataValidation>
    <dataValidation type="custom" allowBlank="1" showInputMessage="1" promptTitle="LOAD FACTOR ANALYSIS" prompt="SM477_x000d__x000a_LF 99.4%_x000d__x000a_SOLD 179_x000d__x000a_LST-SOLD 23NOV_x000d__x000a_WEEKLY 16_x000d__x000a_TO-DAY NIL_x000d__x000a_Y-DAY NIL_x000d__x000a_LOWEST AVAIL CLOSED_x000d__x000a_CAPACITY 180_x000d__x000a_CLASSES L8 &amp; G21 &amp; S22 &amp; +4 more" sqref="A122 B122 C122 D122 E122 F122 G122 H122" xr:uid="{00000000-0002-0000-0C00-000012000000}">
      <formula1>TRUE</formula1>
    </dataValidation>
    <dataValidation type="custom" allowBlank="1" showInputMessage="1" promptTitle="LOAD FACTOR ANALYSIS" prompt="SM479_x000d__x000a_LF 99.4%_x000d__x000a_SOLD 179_x000d__x000a_LST-SOLD 24NOV_x000d__x000a_WEEKLY 15_x000d__x000a_TO-DAY NIL_x000d__x000a_Y-DAY NIL_x000d__x000a_LOWEST AVAIL CLOSED_x000d__x000a_CAPACITY 180_x000d__x000a_CLASSES V5 &amp; L10 &amp; G23 &amp; +8 more" sqref="A123 B123 C123 D123 E123 F123 G123 H123" xr:uid="{00000000-0002-0000-0C00-000013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N5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6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9.3320312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418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45987.359176658298</v>
      </c>
      <c r="H2" s="279"/>
      <c r="I2" s="279"/>
      <c r="J2" s="279"/>
      <c r="K2" s="288">
        <v>45987.359176658771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2" t="s">
        <v>5</v>
      </c>
      <c r="B4" s="283"/>
      <c r="C4" s="283"/>
      <c r="D4" s="283"/>
      <c r="E4" s="283"/>
      <c r="F4" s="283"/>
      <c r="G4" s="5">
        <v>45988</v>
      </c>
      <c r="H4" s="294" t="s">
        <v>6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49</v>
      </c>
      <c r="B6" s="8" t="s">
        <v>419</v>
      </c>
      <c r="C6" s="9">
        <v>0.81944444444444453</v>
      </c>
      <c r="D6" s="8" t="s">
        <v>51</v>
      </c>
      <c r="E6" s="8" t="s">
        <v>52</v>
      </c>
      <c r="F6" s="8" t="s">
        <v>420</v>
      </c>
      <c r="G6" s="275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156" t="s">
        <v>59</v>
      </c>
      <c r="B7" s="156" t="s">
        <v>421</v>
      </c>
      <c r="C7" s="157">
        <v>8.6805555555555566E-2</v>
      </c>
      <c r="D7" s="156" t="s">
        <v>61</v>
      </c>
      <c r="E7" s="194"/>
      <c r="F7" s="156" t="s">
        <v>62</v>
      </c>
      <c r="G7" s="276"/>
      <c r="H7" s="158" t="s">
        <v>421</v>
      </c>
      <c r="I7" s="159">
        <v>0.99439999999999995</v>
      </c>
      <c r="J7" s="160">
        <v>179</v>
      </c>
      <c r="K7" s="161">
        <v>45985</v>
      </c>
      <c r="L7" s="160">
        <v>9</v>
      </c>
      <c r="M7" s="160">
        <v>0</v>
      </c>
      <c r="N7" s="160">
        <v>0</v>
      </c>
      <c r="O7" s="162" t="s">
        <v>63</v>
      </c>
      <c r="P7" s="163">
        <v>8.6805555555555566E-2</v>
      </c>
      <c r="Q7" s="160">
        <v>180</v>
      </c>
      <c r="R7" s="164" t="s">
        <v>422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8" x14ac:dyDescent="0.3">
      <c r="A8" s="300" t="s">
        <v>423</v>
      </c>
      <c r="B8" s="301"/>
      <c r="C8" s="301"/>
      <c r="D8" s="301"/>
      <c r="E8" s="301"/>
      <c r="F8" s="301"/>
      <c r="G8" s="276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9" t="s">
        <v>59</v>
      </c>
      <c r="B9" s="19" t="s">
        <v>208</v>
      </c>
      <c r="C9" s="20" t="s">
        <v>424</v>
      </c>
      <c r="D9" s="19" t="s">
        <v>191</v>
      </c>
      <c r="E9" s="19" t="s">
        <v>171</v>
      </c>
      <c r="F9" s="19" t="s">
        <v>209</v>
      </c>
      <c r="G9" s="276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9" t="s">
        <v>25</v>
      </c>
      <c r="B10" s="19" t="s">
        <v>223</v>
      </c>
      <c r="C10" s="20" t="s">
        <v>425</v>
      </c>
      <c r="D10" s="19" t="s">
        <v>27</v>
      </c>
      <c r="E10" s="19" t="s">
        <v>173</v>
      </c>
      <c r="F10" s="19" t="s">
        <v>224</v>
      </c>
      <c r="G10" s="276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9" t="s">
        <v>25</v>
      </c>
      <c r="B11" s="19" t="s">
        <v>225</v>
      </c>
      <c r="C11" s="20" t="s">
        <v>426</v>
      </c>
      <c r="D11" s="19" t="s">
        <v>27</v>
      </c>
      <c r="E11" s="19" t="s">
        <v>427</v>
      </c>
      <c r="F11" s="19" t="s">
        <v>224</v>
      </c>
      <c r="G11" s="276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25</v>
      </c>
      <c r="B12" s="19" t="s">
        <v>228</v>
      </c>
      <c r="C12" s="20" t="s">
        <v>428</v>
      </c>
      <c r="D12" s="19" t="s">
        <v>27</v>
      </c>
      <c r="E12" s="19" t="s">
        <v>169</v>
      </c>
      <c r="F12" s="19" t="s">
        <v>224</v>
      </c>
      <c r="G12" s="276"/>
      <c r="H12" s="131"/>
      <c r="I12" s="131"/>
      <c r="J12" s="131"/>
      <c r="K12" s="131"/>
      <c r="L12" s="131"/>
      <c r="M12" s="131"/>
      <c r="N12" s="131"/>
      <c r="O12" s="132"/>
      <c r="P12" s="131"/>
      <c r="Q12" s="133"/>
      <c r="R12" s="13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9" t="s">
        <v>35</v>
      </c>
      <c r="B13" s="19" t="s">
        <v>234</v>
      </c>
      <c r="C13" s="20" t="s">
        <v>429</v>
      </c>
      <c r="D13" s="19" t="s">
        <v>37</v>
      </c>
      <c r="E13" s="19" t="s">
        <v>167</v>
      </c>
      <c r="F13" s="19" t="s">
        <v>224</v>
      </c>
      <c r="G13" s="276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9" t="s">
        <v>35</v>
      </c>
      <c r="B14" s="19" t="s">
        <v>237</v>
      </c>
      <c r="C14" s="20" t="s">
        <v>430</v>
      </c>
      <c r="D14" s="19" t="s">
        <v>37</v>
      </c>
      <c r="E14" s="19" t="s">
        <v>175</v>
      </c>
      <c r="F14" s="19" t="s">
        <v>224</v>
      </c>
      <c r="G14" s="276"/>
      <c r="H14" s="131"/>
      <c r="I14" s="131"/>
      <c r="J14" s="131"/>
      <c r="K14" s="131"/>
      <c r="L14" s="131"/>
      <c r="M14" s="131"/>
      <c r="N14" s="131"/>
      <c r="O14" s="132"/>
      <c r="P14" s="131"/>
      <c r="Q14" s="133"/>
      <c r="R14" s="13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35</v>
      </c>
      <c r="B15" s="19" t="s">
        <v>238</v>
      </c>
      <c r="C15" s="20" t="s">
        <v>431</v>
      </c>
      <c r="D15" s="19" t="s">
        <v>37</v>
      </c>
      <c r="E15" s="19" t="s">
        <v>175</v>
      </c>
      <c r="F15" s="19" t="s">
        <v>224</v>
      </c>
      <c r="G15" s="276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9" t="s">
        <v>35</v>
      </c>
      <c r="B16" s="19" t="s">
        <v>239</v>
      </c>
      <c r="C16" s="20" t="s">
        <v>432</v>
      </c>
      <c r="D16" s="19" t="s">
        <v>37</v>
      </c>
      <c r="E16" s="19" t="s">
        <v>167</v>
      </c>
      <c r="F16" s="19" t="s">
        <v>224</v>
      </c>
      <c r="G16" s="276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9" t="s">
        <v>35</v>
      </c>
      <c r="B17" s="19" t="s">
        <v>241</v>
      </c>
      <c r="C17" s="20" t="s">
        <v>433</v>
      </c>
      <c r="D17" s="19" t="s">
        <v>37</v>
      </c>
      <c r="E17" s="19" t="s">
        <v>175</v>
      </c>
      <c r="F17" s="19" t="s">
        <v>224</v>
      </c>
      <c r="G17" s="276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5" customHeight="1" x14ac:dyDescent="0.3">
      <c r="A18" s="37" t="s">
        <v>35</v>
      </c>
      <c r="B18" s="37" t="s">
        <v>242</v>
      </c>
      <c r="C18" s="38" t="s">
        <v>434</v>
      </c>
      <c r="D18" s="37" t="s">
        <v>37</v>
      </c>
      <c r="E18" s="37" t="s">
        <v>167</v>
      </c>
      <c r="F18" s="37" t="s">
        <v>224</v>
      </c>
      <c r="G18" s="277"/>
      <c r="H18" s="134"/>
      <c r="I18" s="134"/>
      <c r="J18" s="134"/>
      <c r="K18" s="134"/>
      <c r="L18" s="134"/>
      <c r="M18" s="134"/>
      <c r="N18" s="134"/>
      <c r="O18" s="135"/>
      <c r="P18" s="134"/>
      <c r="Q18" s="136"/>
      <c r="R18" s="136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4.4" customHeight="1" x14ac:dyDescent="0.3">
      <c r="A19" s="284"/>
      <c r="B19" s="285"/>
      <c r="C19" s="285"/>
      <c r="D19" s="285"/>
      <c r="E19" s="285"/>
      <c r="F19" s="285"/>
      <c r="G19" s="273"/>
      <c r="H19" s="286"/>
      <c r="I19" s="286"/>
      <c r="J19" s="286"/>
      <c r="K19" s="286"/>
      <c r="L19" s="286"/>
      <c r="M19" s="286"/>
      <c r="N19" s="286"/>
      <c r="O19" s="287"/>
      <c r="P19" s="286"/>
      <c r="Q19" s="273"/>
      <c r="R19" s="27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22.05" customHeight="1" x14ac:dyDescent="0.3">
      <c r="A20" s="280" t="s">
        <v>5</v>
      </c>
      <c r="B20" s="281"/>
      <c r="C20" s="281"/>
      <c r="D20" s="281"/>
      <c r="E20" s="281"/>
      <c r="F20" s="281"/>
      <c r="G20" s="5">
        <v>45989</v>
      </c>
      <c r="H20" s="290" t="s">
        <v>6</v>
      </c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24" customHeight="1" x14ac:dyDescent="0.3">
      <c r="A21" s="31" t="s">
        <v>7</v>
      </c>
      <c r="B21" s="31" t="s">
        <v>8</v>
      </c>
      <c r="C21" s="32" t="s">
        <v>9</v>
      </c>
      <c r="D21" s="31" t="s">
        <v>10</v>
      </c>
      <c r="E21" s="31" t="s">
        <v>11</v>
      </c>
      <c r="F21" s="31" t="s">
        <v>12</v>
      </c>
      <c r="G21" s="33" t="s">
        <v>13</v>
      </c>
      <c r="H21" s="31" t="s">
        <v>14</v>
      </c>
      <c r="I21" s="34" t="s">
        <v>15</v>
      </c>
      <c r="J21" s="35" t="s">
        <v>16</v>
      </c>
      <c r="K21" s="36" t="s">
        <v>17</v>
      </c>
      <c r="L21" s="35" t="s">
        <v>18</v>
      </c>
      <c r="M21" s="35" t="s">
        <v>19</v>
      </c>
      <c r="N21" s="35" t="s">
        <v>20</v>
      </c>
      <c r="O21" s="31" t="s">
        <v>21</v>
      </c>
      <c r="P21" s="32" t="s">
        <v>22</v>
      </c>
      <c r="Q21" s="35" t="s">
        <v>23</v>
      </c>
      <c r="R21" s="31" t="s">
        <v>24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5" customHeight="1" x14ac:dyDescent="0.3">
      <c r="A22" s="8" t="s">
        <v>283</v>
      </c>
      <c r="B22" s="8" t="s">
        <v>435</v>
      </c>
      <c r="C22" s="9">
        <v>1.041666666666667E-2</v>
      </c>
      <c r="D22" s="8" t="s">
        <v>436</v>
      </c>
      <c r="E22" s="8" t="s">
        <v>52</v>
      </c>
      <c r="F22" s="8" t="s">
        <v>437</v>
      </c>
      <c r="G22" s="275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5" customHeight="1" x14ac:dyDescent="0.3">
      <c r="A23" s="15" t="s">
        <v>283</v>
      </c>
      <c r="B23" s="15" t="s">
        <v>435</v>
      </c>
      <c r="C23" s="16">
        <v>1.041666666666667E-2</v>
      </c>
      <c r="D23" s="15" t="s">
        <v>438</v>
      </c>
      <c r="E23" s="15" t="s">
        <v>78</v>
      </c>
      <c r="F23" s="15" t="s">
        <v>439</v>
      </c>
      <c r="G23" s="276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5" customHeight="1" x14ac:dyDescent="0.3">
      <c r="A24" s="15" t="s">
        <v>283</v>
      </c>
      <c r="B24" s="15" t="s">
        <v>435</v>
      </c>
      <c r="C24" s="16">
        <v>1.041666666666667E-2</v>
      </c>
      <c r="D24" s="15" t="s">
        <v>33</v>
      </c>
      <c r="E24" s="15" t="s">
        <v>78</v>
      </c>
      <c r="F24" s="15" t="s">
        <v>440</v>
      </c>
      <c r="G24" s="276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5" customHeight="1" x14ac:dyDescent="0.3">
      <c r="A25" s="17" t="s">
        <v>49</v>
      </c>
      <c r="B25" s="17" t="s">
        <v>419</v>
      </c>
      <c r="C25" s="18">
        <v>0.81944444444444453</v>
      </c>
      <c r="D25" s="17" t="s">
        <v>51</v>
      </c>
      <c r="E25" s="17" t="s">
        <v>73</v>
      </c>
      <c r="F25" s="17" t="s">
        <v>48</v>
      </c>
      <c r="G25" s="276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137" t="s">
        <v>59</v>
      </c>
      <c r="B26" s="137" t="s">
        <v>421</v>
      </c>
      <c r="C26" s="138">
        <v>0.22916666666666671</v>
      </c>
      <c r="D26" s="137" t="s">
        <v>61</v>
      </c>
      <c r="E26" s="139"/>
      <c r="F26" s="137" t="s">
        <v>62</v>
      </c>
      <c r="G26" s="276"/>
      <c r="H26" s="140" t="s">
        <v>421</v>
      </c>
      <c r="I26" s="141">
        <v>1</v>
      </c>
      <c r="J26" s="142">
        <v>180</v>
      </c>
      <c r="K26" s="143">
        <v>45984</v>
      </c>
      <c r="L26" s="142">
        <v>98</v>
      </c>
      <c r="M26" s="142">
        <v>0</v>
      </c>
      <c r="N26" s="142">
        <v>0</v>
      </c>
      <c r="O26" s="144" t="s">
        <v>63</v>
      </c>
      <c r="P26" s="145">
        <v>0.22916666666666671</v>
      </c>
      <c r="Q26" s="142">
        <v>180</v>
      </c>
      <c r="R26" s="146" t="s">
        <v>441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8" x14ac:dyDescent="0.3">
      <c r="A27" s="300" t="s">
        <v>423</v>
      </c>
      <c r="B27" s="301"/>
      <c r="C27" s="301"/>
      <c r="D27" s="301"/>
      <c r="E27" s="301"/>
      <c r="F27" s="301"/>
      <c r="G27" s="276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19" t="s">
        <v>246</v>
      </c>
      <c r="B28" s="19" t="s">
        <v>247</v>
      </c>
      <c r="C28" s="20" t="s">
        <v>442</v>
      </c>
      <c r="D28" s="19" t="s">
        <v>191</v>
      </c>
      <c r="E28" s="19" t="s">
        <v>169</v>
      </c>
      <c r="F28" s="19" t="s">
        <v>270</v>
      </c>
      <c r="G28" s="276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5" customHeight="1" x14ac:dyDescent="0.3">
      <c r="A29" s="19" t="s">
        <v>59</v>
      </c>
      <c r="B29" s="19" t="s">
        <v>271</v>
      </c>
      <c r="C29" s="20" t="s">
        <v>443</v>
      </c>
      <c r="D29" s="19" t="s">
        <v>191</v>
      </c>
      <c r="E29" s="19" t="s">
        <v>171</v>
      </c>
      <c r="F29" s="19" t="s">
        <v>272</v>
      </c>
      <c r="G29" s="276"/>
      <c r="H29" s="131"/>
      <c r="I29" s="131"/>
      <c r="J29" s="131"/>
      <c r="K29" s="131"/>
      <c r="L29" s="131"/>
      <c r="M29" s="131"/>
      <c r="N29" s="131"/>
      <c r="O29" s="132"/>
      <c r="P29" s="131"/>
      <c r="Q29" s="133"/>
      <c r="R29" s="13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19" t="s">
        <v>59</v>
      </c>
      <c r="B30" s="19" t="s">
        <v>275</v>
      </c>
      <c r="C30" s="20" t="s">
        <v>444</v>
      </c>
      <c r="D30" s="19" t="s">
        <v>191</v>
      </c>
      <c r="E30" s="19" t="s">
        <v>171</v>
      </c>
      <c r="F30" s="19" t="s">
        <v>209</v>
      </c>
      <c r="G30" s="276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5" customHeight="1" x14ac:dyDescent="0.3">
      <c r="A31" s="19" t="s">
        <v>25</v>
      </c>
      <c r="B31" s="19" t="s">
        <v>223</v>
      </c>
      <c r="C31" s="20" t="s">
        <v>425</v>
      </c>
      <c r="D31" s="19" t="s">
        <v>27</v>
      </c>
      <c r="E31" s="19" t="s">
        <v>427</v>
      </c>
      <c r="F31" s="19" t="s">
        <v>224</v>
      </c>
      <c r="G31" s="276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19" t="s">
        <v>283</v>
      </c>
      <c r="B32" s="19" t="s">
        <v>284</v>
      </c>
      <c r="C32" s="20" t="s">
        <v>445</v>
      </c>
      <c r="D32" s="19" t="s">
        <v>285</v>
      </c>
      <c r="E32" s="19" t="s">
        <v>165</v>
      </c>
      <c r="F32" s="19" t="s">
        <v>286</v>
      </c>
      <c r="G32" s="276"/>
      <c r="H32" s="131"/>
      <c r="I32" s="131"/>
      <c r="J32" s="131"/>
      <c r="K32" s="131"/>
      <c r="L32" s="131"/>
      <c r="M32" s="131"/>
      <c r="N32" s="131"/>
      <c r="O32" s="132"/>
      <c r="P32" s="131"/>
      <c r="Q32" s="133"/>
      <c r="R32" s="13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5" customHeight="1" x14ac:dyDescent="0.3">
      <c r="A33" s="19" t="s">
        <v>25</v>
      </c>
      <c r="B33" s="19" t="s">
        <v>228</v>
      </c>
      <c r="C33" s="20" t="s">
        <v>428</v>
      </c>
      <c r="D33" s="19" t="s">
        <v>27</v>
      </c>
      <c r="E33" s="19" t="s">
        <v>446</v>
      </c>
      <c r="F33" s="19" t="s">
        <v>231</v>
      </c>
      <c r="G33" s="276"/>
      <c r="H33" s="131"/>
      <c r="I33" s="131"/>
      <c r="J33" s="131"/>
      <c r="K33" s="131"/>
      <c r="L33" s="131"/>
      <c r="M33" s="131"/>
      <c r="N33" s="131"/>
      <c r="O33" s="132"/>
      <c r="P33" s="131"/>
      <c r="Q33" s="133"/>
      <c r="R33" s="13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5" customHeight="1" x14ac:dyDescent="0.3">
      <c r="A34" s="19" t="s">
        <v>35</v>
      </c>
      <c r="B34" s="19" t="s">
        <v>234</v>
      </c>
      <c r="C34" s="20" t="s">
        <v>429</v>
      </c>
      <c r="D34" s="19" t="s">
        <v>37</v>
      </c>
      <c r="E34" s="19" t="s">
        <v>167</v>
      </c>
      <c r="F34" s="19" t="s">
        <v>231</v>
      </c>
      <c r="G34" s="276"/>
      <c r="H34" s="131"/>
      <c r="I34" s="131"/>
      <c r="J34" s="131"/>
      <c r="K34" s="131"/>
      <c r="L34" s="131"/>
      <c r="M34" s="131"/>
      <c r="N34" s="131"/>
      <c r="O34" s="132"/>
      <c r="P34" s="131"/>
      <c r="Q34" s="133"/>
      <c r="R34" s="13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15" customHeight="1" x14ac:dyDescent="0.3">
      <c r="A35" s="19" t="s">
        <v>35</v>
      </c>
      <c r="B35" s="19" t="s">
        <v>237</v>
      </c>
      <c r="C35" s="20" t="s">
        <v>430</v>
      </c>
      <c r="D35" s="19" t="s">
        <v>37</v>
      </c>
      <c r="E35" s="19" t="s">
        <v>165</v>
      </c>
      <c r="F35" s="19" t="s">
        <v>231</v>
      </c>
      <c r="G35" s="276"/>
      <c r="H35" s="131"/>
      <c r="I35" s="131"/>
      <c r="J35" s="131"/>
      <c r="K35" s="131"/>
      <c r="L35" s="131"/>
      <c r="M35" s="131"/>
      <c r="N35" s="131"/>
      <c r="O35" s="132"/>
      <c r="P35" s="131"/>
      <c r="Q35" s="133"/>
      <c r="R35" s="13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15" customHeight="1" x14ac:dyDescent="0.3">
      <c r="A36" s="19" t="s">
        <v>35</v>
      </c>
      <c r="B36" s="19" t="s">
        <v>238</v>
      </c>
      <c r="C36" s="20" t="s">
        <v>431</v>
      </c>
      <c r="D36" s="19" t="s">
        <v>37</v>
      </c>
      <c r="E36" s="19" t="s">
        <v>196</v>
      </c>
      <c r="F36" s="19" t="s">
        <v>231</v>
      </c>
      <c r="G36" s="276"/>
      <c r="H36" s="131"/>
      <c r="I36" s="131"/>
      <c r="J36" s="131"/>
      <c r="K36" s="131"/>
      <c r="L36" s="131"/>
      <c r="M36" s="131"/>
      <c r="N36" s="131"/>
      <c r="O36" s="132"/>
      <c r="P36" s="131"/>
      <c r="Q36" s="133"/>
      <c r="R36" s="13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15" customHeight="1" x14ac:dyDescent="0.3">
      <c r="A37" s="37" t="s">
        <v>35</v>
      </c>
      <c r="B37" s="37" t="s">
        <v>239</v>
      </c>
      <c r="C37" s="38" t="s">
        <v>432</v>
      </c>
      <c r="D37" s="37" t="s">
        <v>37</v>
      </c>
      <c r="E37" s="37" t="s">
        <v>167</v>
      </c>
      <c r="F37" s="37" t="s">
        <v>231</v>
      </c>
      <c r="G37" s="277"/>
      <c r="H37" s="134"/>
      <c r="I37" s="134"/>
      <c r="J37" s="134"/>
      <c r="K37" s="134"/>
      <c r="L37" s="134"/>
      <c r="M37" s="134"/>
      <c r="N37" s="134"/>
      <c r="O37" s="135"/>
      <c r="P37" s="134"/>
      <c r="Q37" s="136"/>
      <c r="R37" s="136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14.4" customHeight="1" x14ac:dyDescent="0.3">
      <c r="A38" s="272"/>
      <c r="B38" s="273"/>
      <c r="C38" s="273"/>
      <c r="D38" s="273"/>
      <c r="E38" s="273"/>
      <c r="F38" s="273"/>
      <c r="G38" s="273"/>
      <c r="H38" s="273"/>
      <c r="I38" s="273"/>
      <c r="J38" s="273"/>
      <c r="K38" s="273"/>
      <c r="L38" s="273"/>
      <c r="M38" s="273"/>
      <c r="N38" s="273"/>
      <c r="O38" s="273"/>
      <c r="P38" s="273"/>
      <c r="Q38" s="273"/>
      <c r="R38" s="274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22.05" customHeight="1" x14ac:dyDescent="0.3">
      <c r="A39" s="280" t="s">
        <v>5</v>
      </c>
      <c r="B39" s="281"/>
      <c r="C39" s="281"/>
      <c r="D39" s="281"/>
      <c r="E39" s="281"/>
      <c r="F39" s="281"/>
      <c r="G39" s="5">
        <v>45990</v>
      </c>
      <c r="H39" s="290" t="s">
        <v>6</v>
      </c>
      <c r="I39" s="291"/>
      <c r="J39" s="291"/>
      <c r="K39" s="291"/>
      <c r="L39" s="291"/>
      <c r="M39" s="291"/>
      <c r="N39" s="291"/>
      <c r="O39" s="291"/>
      <c r="P39" s="291"/>
      <c r="Q39" s="291"/>
      <c r="R39" s="291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24" customHeight="1" x14ac:dyDescent="0.3">
      <c r="A40" s="31" t="s">
        <v>7</v>
      </c>
      <c r="B40" s="31" t="s">
        <v>8</v>
      </c>
      <c r="C40" s="32" t="s">
        <v>9</v>
      </c>
      <c r="D40" s="31" t="s">
        <v>10</v>
      </c>
      <c r="E40" s="31" t="s">
        <v>11</v>
      </c>
      <c r="F40" s="31" t="s">
        <v>12</v>
      </c>
      <c r="G40" s="33" t="s">
        <v>13</v>
      </c>
      <c r="H40" s="31" t="s">
        <v>14</v>
      </c>
      <c r="I40" s="34" t="s">
        <v>15</v>
      </c>
      <c r="J40" s="35" t="s">
        <v>16</v>
      </c>
      <c r="K40" s="36" t="s">
        <v>17</v>
      </c>
      <c r="L40" s="35" t="s">
        <v>18</v>
      </c>
      <c r="M40" s="35" t="s">
        <v>19</v>
      </c>
      <c r="N40" s="35" t="s">
        <v>20</v>
      </c>
      <c r="O40" s="31" t="s">
        <v>21</v>
      </c>
      <c r="P40" s="32" t="s">
        <v>22</v>
      </c>
      <c r="Q40" s="35" t="s">
        <v>23</v>
      </c>
      <c r="R40" s="31" t="s">
        <v>24</v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15" customHeight="1" x14ac:dyDescent="0.3">
      <c r="A41" s="8" t="s">
        <v>25</v>
      </c>
      <c r="B41" s="8" t="s">
        <v>447</v>
      </c>
      <c r="C41" s="9">
        <v>0.3611111111111111</v>
      </c>
      <c r="D41" s="8" t="s">
        <v>448</v>
      </c>
      <c r="E41" s="8" t="s">
        <v>52</v>
      </c>
      <c r="F41" s="8" t="s">
        <v>449</v>
      </c>
      <c r="G41" s="275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5" customHeight="1" x14ac:dyDescent="0.3">
      <c r="A42" s="15" t="s">
        <v>25</v>
      </c>
      <c r="B42" s="15" t="s">
        <v>447</v>
      </c>
      <c r="C42" s="16">
        <v>0.3611111111111111</v>
      </c>
      <c r="D42" s="15" t="s">
        <v>436</v>
      </c>
      <c r="E42" s="15" t="s">
        <v>78</v>
      </c>
      <c r="F42" s="15" t="s">
        <v>450</v>
      </c>
      <c r="G42" s="276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15" customHeight="1" x14ac:dyDescent="0.3">
      <c r="A43" s="15" t="s">
        <v>25</v>
      </c>
      <c r="B43" s="15" t="s">
        <v>447</v>
      </c>
      <c r="C43" s="16">
        <v>0.3611111111111111</v>
      </c>
      <c r="D43" s="15" t="s">
        <v>438</v>
      </c>
      <c r="E43" s="15" t="s">
        <v>78</v>
      </c>
      <c r="F43" s="15" t="s">
        <v>451</v>
      </c>
      <c r="G43" s="276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5" customHeight="1" x14ac:dyDescent="0.3">
      <c r="A44" s="15" t="s">
        <v>25</v>
      </c>
      <c r="B44" s="15" t="s">
        <v>447</v>
      </c>
      <c r="C44" s="16">
        <v>0.3611111111111111</v>
      </c>
      <c r="D44" s="15" t="s">
        <v>452</v>
      </c>
      <c r="E44" s="15" t="s">
        <v>78</v>
      </c>
      <c r="F44" s="15" t="s">
        <v>453</v>
      </c>
      <c r="G44" s="276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15" customHeight="1" x14ac:dyDescent="0.3">
      <c r="A45" s="17" t="s">
        <v>49</v>
      </c>
      <c r="B45" s="17" t="s">
        <v>454</v>
      </c>
      <c r="C45" s="18">
        <v>0.4513888888888889</v>
      </c>
      <c r="D45" s="17" t="s">
        <v>51</v>
      </c>
      <c r="E45" s="17" t="s">
        <v>455</v>
      </c>
      <c r="F45" s="17" t="s">
        <v>450</v>
      </c>
      <c r="G45" s="276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15" customHeight="1" x14ac:dyDescent="0.3">
      <c r="A46" s="19" t="s">
        <v>49</v>
      </c>
      <c r="B46" s="19" t="s">
        <v>419</v>
      </c>
      <c r="C46" s="20">
        <v>0.81944444444444453</v>
      </c>
      <c r="D46" s="19" t="s">
        <v>51</v>
      </c>
      <c r="E46" s="19" t="s">
        <v>57</v>
      </c>
      <c r="F46" s="19" t="s">
        <v>450</v>
      </c>
      <c r="G46" s="276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121" t="s">
        <v>59</v>
      </c>
      <c r="B47" s="121" t="s">
        <v>456</v>
      </c>
      <c r="C47" s="122">
        <v>0.27083333333333331</v>
      </c>
      <c r="D47" s="121" t="s">
        <v>61</v>
      </c>
      <c r="E47" s="123"/>
      <c r="F47" s="121" t="s">
        <v>62</v>
      </c>
      <c r="G47" s="276"/>
      <c r="H47" s="124" t="s">
        <v>456</v>
      </c>
      <c r="I47" s="125">
        <v>1</v>
      </c>
      <c r="J47" s="126">
        <v>180</v>
      </c>
      <c r="K47" s="127">
        <v>45986</v>
      </c>
      <c r="L47" s="126">
        <v>1</v>
      </c>
      <c r="M47" s="126">
        <v>0</v>
      </c>
      <c r="N47" s="126">
        <v>1</v>
      </c>
      <c r="O47" s="128" t="s">
        <v>63</v>
      </c>
      <c r="P47" s="129">
        <v>0.27083333333333331</v>
      </c>
      <c r="Q47" s="126">
        <v>180</v>
      </c>
      <c r="R47" s="130" t="s">
        <v>457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5" customHeight="1" x14ac:dyDescent="0.3">
      <c r="A48" s="220" t="s">
        <v>59</v>
      </c>
      <c r="B48" s="220" t="s">
        <v>421</v>
      </c>
      <c r="C48" s="221">
        <v>0.60416666666666663</v>
      </c>
      <c r="D48" s="220" t="s">
        <v>61</v>
      </c>
      <c r="E48" s="222"/>
      <c r="F48" s="220" t="s">
        <v>62</v>
      </c>
      <c r="G48" s="277"/>
      <c r="H48" s="57" t="s">
        <v>421</v>
      </c>
      <c r="I48" s="58">
        <v>1</v>
      </c>
      <c r="J48" s="59">
        <v>180</v>
      </c>
      <c r="K48" s="60">
        <v>45984</v>
      </c>
      <c r="L48" s="59">
        <v>10</v>
      </c>
      <c r="M48" s="59">
        <v>0</v>
      </c>
      <c r="N48" s="59">
        <v>0</v>
      </c>
      <c r="O48" s="61" t="s">
        <v>63</v>
      </c>
      <c r="P48" s="62">
        <v>0.60416666666666663</v>
      </c>
      <c r="Q48" s="59">
        <v>180</v>
      </c>
      <c r="R48" s="63" t="s">
        <v>458</v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14.4" customHeight="1" x14ac:dyDescent="0.3">
      <c r="A49" s="284"/>
      <c r="B49" s="285"/>
      <c r="C49" s="285"/>
      <c r="D49" s="285"/>
      <c r="E49" s="285"/>
      <c r="F49" s="285"/>
      <c r="G49" s="273"/>
      <c r="H49" s="286"/>
      <c r="I49" s="286"/>
      <c r="J49" s="286"/>
      <c r="K49" s="286"/>
      <c r="L49" s="286"/>
      <c r="M49" s="286"/>
      <c r="N49" s="286"/>
      <c r="O49" s="287"/>
      <c r="P49" s="286"/>
      <c r="Q49" s="273"/>
      <c r="R49" s="274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:92" ht="22.05" customHeight="1" x14ac:dyDescent="0.3">
      <c r="A50" s="280" t="s">
        <v>5</v>
      </c>
      <c r="B50" s="281"/>
      <c r="C50" s="281"/>
      <c r="D50" s="281"/>
      <c r="E50" s="281"/>
      <c r="F50" s="281"/>
      <c r="G50" s="5">
        <v>45991</v>
      </c>
      <c r="H50" s="290" t="s">
        <v>6</v>
      </c>
      <c r="I50" s="291"/>
      <c r="J50" s="291"/>
      <c r="K50" s="291"/>
      <c r="L50" s="291"/>
      <c r="M50" s="291"/>
      <c r="N50" s="291"/>
      <c r="O50" s="291"/>
      <c r="P50" s="291"/>
      <c r="Q50" s="291"/>
      <c r="R50" s="291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  <row r="51" spans="1:92" ht="24" customHeight="1" x14ac:dyDescent="0.3">
      <c r="A51" s="31" t="s">
        <v>7</v>
      </c>
      <c r="B51" s="31" t="s">
        <v>8</v>
      </c>
      <c r="C51" s="32" t="s">
        <v>9</v>
      </c>
      <c r="D51" s="31" t="s">
        <v>10</v>
      </c>
      <c r="E51" s="31" t="s">
        <v>11</v>
      </c>
      <c r="F51" s="31" t="s">
        <v>12</v>
      </c>
      <c r="G51" s="33" t="s">
        <v>13</v>
      </c>
      <c r="H51" s="31" t="s">
        <v>14</v>
      </c>
      <c r="I51" s="34" t="s">
        <v>15</v>
      </c>
      <c r="J51" s="35" t="s">
        <v>16</v>
      </c>
      <c r="K51" s="36" t="s">
        <v>17</v>
      </c>
      <c r="L51" s="35" t="s">
        <v>18</v>
      </c>
      <c r="M51" s="35" t="s">
        <v>19</v>
      </c>
      <c r="N51" s="35" t="s">
        <v>20</v>
      </c>
      <c r="O51" s="31" t="s">
        <v>21</v>
      </c>
      <c r="P51" s="32" t="s">
        <v>22</v>
      </c>
      <c r="Q51" s="35" t="s">
        <v>23</v>
      </c>
      <c r="R51" s="31" t="s">
        <v>24</v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</row>
    <row r="52" spans="1:92" ht="15" customHeight="1" x14ac:dyDescent="0.3">
      <c r="A52" s="8" t="s">
        <v>283</v>
      </c>
      <c r="B52" s="8" t="s">
        <v>459</v>
      </c>
      <c r="C52" s="9">
        <v>0.3611111111111111</v>
      </c>
      <c r="D52" s="8" t="s">
        <v>436</v>
      </c>
      <c r="E52" s="8" t="s">
        <v>96</v>
      </c>
      <c r="F52" s="8" t="s">
        <v>460</v>
      </c>
      <c r="G52" s="275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</row>
    <row r="53" spans="1:92" ht="15" customHeight="1" x14ac:dyDescent="0.3">
      <c r="A53" s="15" t="s">
        <v>283</v>
      </c>
      <c r="B53" s="15" t="s">
        <v>459</v>
      </c>
      <c r="C53" s="16">
        <v>0.3611111111111111</v>
      </c>
      <c r="D53" s="15" t="s">
        <v>438</v>
      </c>
      <c r="E53" s="15" t="s">
        <v>98</v>
      </c>
      <c r="F53" s="15" t="s">
        <v>461</v>
      </c>
      <c r="G53" s="276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</row>
    <row r="54" spans="1:92" ht="15" customHeight="1" x14ac:dyDescent="0.3">
      <c r="A54" s="15" t="s">
        <v>283</v>
      </c>
      <c r="B54" s="15" t="s">
        <v>459</v>
      </c>
      <c r="C54" s="16">
        <v>0.3611111111111111</v>
      </c>
      <c r="D54" s="15" t="s">
        <v>33</v>
      </c>
      <c r="E54" s="15" t="s">
        <v>98</v>
      </c>
      <c r="F54" s="15" t="s">
        <v>462</v>
      </c>
      <c r="G54" s="276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</row>
    <row r="55" spans="1:92" ht="15" customHeight="1" x14ac:dyDescent="0.3">
      <c r="A55" s="17" t="s">
        <v>49</v>
      </c>
      <c r="B55" s="17" t="s">
        <v>419</v>
      </c>
      <c r="C55" s="18">
        <v>0.81944444444444453</v>
      </c>
      <c r="D55" s="17" t="s">
        <v>51</v>
      </c>
      <c r="E55" s="17" t="s">
        <v>73</v>
      </c>
      <c r="F55" s="17" t="s">
        <v>450</v>
      </c>
      <c r="G55" s="276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</row>
    <row r="56" spans="1:92" ht="15" customHeight="1" x14ac:dyDescent="0.3">
      <c r="A56" s="223" t="s">
        <v>59</v>
      </c>
      <c r="B56" s="223" t="s">
        <v>421</v>
      </c>
      <c r="C56" s="224">
        <v>0.49652777777777768</v>
      </c>
      <c r="D56" s="223" t="s">
        <v>61</v>
      </c>
      <c r="E56" s="225"/>
      <c r="F56" s="223" t="s">
        <v>62</v>
      </c>
      <c r="G56" s="276"/>
      <c r="H56" s="177" t="s">
        <v>421</v>
      </c>
      <c r="I56" s="178">
        <v>1</v>
      </c>
      <c r="J56" s="179">
        <v>180</v>
      </c>
      <c r="K56" s="180">
        <v>45986</v>
      </c>
      <c r="L56" s="179">
        <v>5</v>
      </c>
      <c r="M56" s="179">
        <v>0</v>
      </c>
      <c r="N56" s="179">
        <v>1</v>
      </c>
      <c r="O56" s="181" t="s">
        <v>63</v>
      </c>
      <c r="P56" s="182">
        <v>0.49652777777777768</v>
      </c>
      <c r="Q56" s="179">
        <v>180</v>
      </c>
      <c r="R56" s="183" t="s">
        <v>463</v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</row>
    <row r="57" spans="1:92" ht="15" customHeight="1" x14ac:dyDescent="0.3">
      <c r="A57" s="195" t="s">
        <v>59</v>
      </c>
      <c r="B57" s="195" t="s">
        <v>456</v>
      </c>
      <c r="C57" s="196">
        <v>0.57986111111111105</v>
      </c>
      <c r="D57" s="195" t="s">
        <v>61</v>
      </c>
      <c r="E57" s="197"/>
      <c r="F57" s="195" t="s">
        <v>62</v>
      </c>
      <c r="G57" s="277"/>
      <c r="H57" s="198" t="s">
        <v>456</v>
      </c>
      <c r="I57" s="199">
        <v>1</v>
      </c>
      <c r="J57" s="200">
        <v>180</v>
      </c>
      <c r="K57" s="201">
        <v>45986</v>
      </c>
      <c r="L57" s="200">
        <v>2</v>
      </c>
      <c r="M57" s="200">
        <v>0</v>
      </c>
      <c r="N57" s="200">
        <v>1</v>
      </c>
      <c r="O57" s="202" t="s">
        <v>63</v>
      </c>
      <c r="P57" s="203">
        <v>0.57986111111111105</v>
      </c>
      <c r="Q57" s="200">
        <v>180</v>
      </c>
      <c r="R57" s="204" t="s">
        <v>464</v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</row>
    <row r="58" spans="1:92" ht="14.4" customHeight="1" x14ac:dyDescent="0.3">
      <c r="A58" s="272"/>
      <c r="B58" s="273"/>
      <c r="C58" s="273"/>
      <c r="D58" s="273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</row>
  </sheetData>
  <mergeCells count="27">
    <mergeCell ref="A50:F50"/>
    <mergeCell ref="H4:R4"/>
    <mergeCell ref="H50:R50"/>
    <mergeCell ref="J1:M1"/>
    <mergeCell ref="D1:F1"/>
    <mergeCell ref="A19:R19"/>
    <mergeCell ref="K2:R2"/>
    <mergeCell ref="A39:F39"/>
    <mergeCell ref="O1:Q1"/>
    <mergeCell ref="H20:R20"/>
    <mergeCell ref="A27:F27"/>
    <mergeCell ref="A58:R58"/>
    <mergeCell ref="A1:C1"/>
    <mergeCell ref="G1:H1"/>
    <mergeCell ref="A49:R49"/>
    <mergeCell ref="G41:G48"/>
    <mergeCell ref="G52:G57"/>
    <mergeCell ref="A2:F2"/>
    <mergeCell ref="A3:R3"/>
    <mergeCell ref="H39:R39"/>
    <mergeCell ref="G22:G37"/>
    <mergeCell ref="A8:F8"/>
    <mergeCell ref="G6:G18"/>
    <mergeCell ref="G2:J2"/>
    <mergeCell ref="A4:F4"/>
    <mergeCell ref="A20:F20"/>
    <mergeCell ref="A38:R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9.7773437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7.21875" bestFit="1" customWidth="1"/>
    <col min="35" max="35" width="6.7773437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  <row r="2" spans="1:35" ht="18" x14ac:dyDescent="0.3">
      <c r="A2" s="65" t="s">
        <v>133</v>
      </c>
      <c r="B2" s="66">
        <v>45988</v>
      </c>
      <c r="C2" s="67" t="s">
        <v>421</v>
      </c>
      <c r="D2" s="68">
        <v>8.6805555555555566E-2</v>
      </c>
      <c r="E2" s="67" t="s">
        <v>418</v>
      </c>
      <c r="F2" s="67" t="s">
        <v>134</v>
      </c>
      <c r="G2" s="69">
        <v>0.99439999999999995</v>
      </c>
      <c r="H2" s="70">
        <v>180</v>
      </c>
      <c r="I2" s="70">
        <v>179</v>
      </c>
      <c r="J2" s="70">
        <v>119</v>
      </c>
      <c r="K2" s="66">
        <v>45985</v>
      </c>
      <c r="L2" s="70">
        <v>0</v>
      </c>
      <c r="M2" s="70">
        <v>0</v>
      </c>
      <c r="N2" s="70">
        <v>9</v>
      </c>
      <c r="O2" s="67" t="s">
        <v>63</v>
      </c>
      <c r="P2" s="71"/>
      <c r="Q2" s="71"/>
      <c r="R2" s="71"/>
      <c r="S2" s="71"/>
      <c r="T2" s="71"/>
      <c r="U2" s="71"/>
      <c r="V2" s="71"/>
      <c r="W2" s="71"/>
      <c r="X2" s="71"/>
      <c r="Y2" s="70" t="s">
        <v>465</v>
      </c>
      <c r="Z2" s="70" t="s">
        <v>412</v>
      </c>
      <c r="AA2" s="70" t="s">
        <v>466</v>
      </c>
      <c r="AB2" s="70" t="s">
        <v>328</v>
      </c>
      <c r="AC2" s="70" t="s">
        <v>203</v>
      </c>
      <c r="AD2" s="70" t="s">
        <v>323</v>
      </c>
      <c r="AE2" s="70" t="s">
        <v>329</v>
      </c>
      <c r="AF2" s="71"/>
      <c r="AG2" s="71"/>
      <c r="AH2" s="70" t="s">
        <v>467</v>
      </c>
      <c r="AI2" s="70" t="s">
        <v>468</v>
      </c>
    </row>
    <row r="3" spans="1:35" ht="18" x14ac:dyDescent="0.3">
      <c r="A3" s="72" t="s">
        <v>346</v>
      </c>
      <c r="B3" s="73">
        <v>45989</v>
      </c>
      <c r="C3" s="74" t="s">
        <v>421</v>
      </c>
      <c r="D3" s="75">
        <v>0.22916666666666671</v>
      </c>
      <c r="E3" s="74" t="s">
        <v>418</v>
      </c>
      <c r="F3" s="74" t="s">
        <v>134</v>
      </c>
      <c r="G3" s="76">
        <v>1</v>
      </c>
      <c r="H3" s="77">
        <v>180</v>
      </c>
      <c r="I3" s="77">
        <v>180</v>
      </c>
      <c r="J3" s="77">
        <v>50</v>
      </c>
      <c r="K3" s="73">
        <v>45984</v>
      </c>
      <c r="L3" s="77">
        <v>0</v>
      </c>
      <c r="M3" s="77">
        <v>0</v>
      </c>
      <c r="N3" s="77">
        <v>98</v>
      </c>
      <c r="O3" s="74" t="s">
        <v>63</v>
      </c>
      <c r="P3" s="78"/>
      <c r="Q3" s="78"/>
      <c r="R3" s="78"/>
      <c r="S3" s="78"/>
      <c r="T3" s="78"/>
      <c r="U3" s="78"/>
      <c r="V3" s="78"/>
      <c r="W3" s="78"/>
      <c r="X3" s="77" t="s">
        <v>469</v>
      </c>
      <c r="Y3" s="77" t="s">
        <v>470</v>
      </c>
      <c r="Z3" s="77" t="s">
        <v>471</v>
      </c>
      <c r="AA3" s="77" t="s">
        <v>472</v>
      </c>
      <c r="AB3" s="77" t="s">
        <v>375</v>
      </c>
      <c r="AC3" s="78"/>
      <c r="AD3" s="78"/>
      <c r="AE3" s="77" t="s">
        <v>473</v>
      </c>
      <c r="AF3" s="78"/>
      <c r="AG3" s="78"/>
      <c r="AH3" s="77" t="s">
        <v>474</v>
      </c>
      <c r="AI3" s="77" t="s">
        <v>139</v>
      </c>
    </row>
    <row r="4" spans="1:35" ht="18" x14ac:dyDescent="0.3">
      <c r="A4" s="65" t="s">
        <v>140</v>
      </c>
      <c r="B4" s="66">
        <v>45990</v>
      </c>
      <c r="C4" s="67" t="s">
        <v>456</v>
      </c>
      <c r="D4" s="68">
        <v>0.27083333333333331</v>
      </c>
      <c r="E4" s="67" t="s">
        <v>418</v>
      </c>
      <c r="F4" s="67" t="s">
        <v>134</v>
      </c>
      <c r="G4" s="69">
        <v>1</v>
      </c>
      <c r="H4" s="70">
        <v>180</v>
      </c>
      <c r="I4" s="70">
        <v>180</v>
      </c>
      <c r="J4" s="70">
        <v>135</v>
      </c>
      <c r="K4" s="66">
        <v>45986</v>
      </c>
      <c r="L4" s="70">
        <v>0</v>
      </c>
      <c r="M4" s="70">
        <v>1</v>
      </c>
      <c r="N4" s="70">
        <v>1</v>
      </c>
      <c r="O4" s="67" t="s">
        <v>63</v>
      </c>
      <c r="P4" s="71"/>
      <c r="Q4" s="71"/>
      <c r="R4" s="71"/>
      <c r="S4" s="71"/>
      <c r="T4" s="71"/>
      <c r="U4" s="71"/>
      <c r="V4" s="71"/>
      <c r="W4" s="70" t="s">
        <v>186</v>
      </c>
      <c r="X4" s="71"/>
      <c r="Y4" s="70" t="s">
        <v>199</v>
      </c>
      <c r="Z4" s="70" t="s">
        <v>475</v>
      </c>
      <c r="AA4" s="70" t="s">
        <v>320</v>
      </c>
      <c r="AB4" s="70" t="s">
        <v>366</v>
      </c>
      <c r="AC4" s="71"/>
      <c r="AD4" s="71"/>
      <c r="AE4" s="71"/>
      <c r="AF4" s="71"/>
      <c r="AG4" s="71"/>
      <c r="AH4" s="70" t="s">
        <v>146</v>
      </c>
      <c r="AI4" s="71"/>
    </row>
    <row r="5" spans="1:35" ht="18" x14ac:dyDescent="0.3">
      <c r="A5" s="72" t="s">
        <v>140</v>
      </c>
      <c r="B5" s="73">
        <v>45990</v>
      </c>
      <c r="C5" s="74" t="s">
        <v>421</v>
      </c>
      <c r="D5" s="75">
        <v>0.60416666666666663</v>
      </c>
      <c r="E5" s="74" t="s">
        <v>418</v>
      </c>
      <c r="F5" s="74" t="s">
        <v>134</v>
      </c>
      <c r="G5" s="76">
        <v>1</v>
      </c>
      <c r="H5" s="77">
        <v>180</v>
      </c>
      <c r="I5" s="77">
        <v>180</v>
      </c>
      <c r="J5" s="77">
        <v>95</v>
      </c>
      <c r="K5" s="73">
        <v>45984</v>
      </c>
      <c r="L5" s="77">
        <v>0</v>
      </c>
      <c r="M5" s="77">
        <v>0</v>
      </c>
      <c r="N5" s="77">
        <v>10</v>
      </c>
      <c r="O5" s="74" t="s">
        <v>63</v>
      </c>
      <c r="P5" s="78"/>
      <c r="Q5" s="78"/>
      <c r="R5" s="78"/>
      <c r="S5" s="78"/>
      <c r="T5" s="78"/>
      <c r="U5" s="77" t="s">
        <v>476</v>
      </c>
      <c r="V5" s="77" t="s">
        <v>348</v>
      </c>
      <c r="W5" s="77" t="s">
        <v>405</v>
      </c>
      <c r="X5" s="77" t="s">
        <v>469</v>
      </c>
      <c r="Y5" s="77" t="s">
        <v>477</v>
      </c>
      <c r="Z5" s="77" t="s">
        <v>393</v>
      </c>
      <c r="AA5" s="77" t="s">
        <v>320</v>
      </c>
      <c r="AB5" s="77" t="s">
        <v>366</v>
      </c>
      <c r="AC5" s="78"/>
      <c r="AD5" s="78"/>
      <c r="AE5" s="78"/>
      <c r="AF5" s="78"/>
      <c r="AG5" s="78"/>
      <c r="AH5" s="77" t="s">
        <v>478</v>
      </c>
      <c r="AI5" s="78"/>
    </row>
    <row r="6" spans="1:35" ht="18" x14ac:dyDescent="0.3">
      <c r="A6" s="65" t="s">
        <v>148</v>
      </c>
      <c r="B6" s="66">
        <v>45991</v>
      </c>
      <c r="C6" s="67" t="s">
        <v>421</v>
      </c>
      <c r="D6" s="68">
        <v>0.49652777777777768</v>
      </c>
      <c r="E6" s="67" t="s">
        <v>418</v>
      </c>
      <c r="F6" s="67" t="s">
        <v>134</v>
      </c>
      <c r="G6" s="69">
        <v>1</v>
      </c>
      <c r="H6" s="70">
        <v>180</v>
      </c>
      <c r="I6" s="70">
        <v>180</v>
      </c>
      <c r="J6" s="70">
        <v>135</v>
      </c>
      <c r="K6" s="66">
        <v>45986</v>
      </c>
      <c r="L6" s="70">
        <v>0</v>
      </c>
      <c r="M6" s="70">
        <v>1</v>
      </c>
      <c r="N6" s="70">
        <v>5</v>
      </c>
      <c r="O6" s="67" t="s">
        <v>63</v>
      </c>
      <c r="P6" s="71"/>
      <c r="Q6" s="71"/>
      <c r="R6" s="71"/>
      <c r="S6" s="71"/>
      <c r="T6" s="71"/>
      <c r="U6" s="71"/>
      <c r="V6" s="71"/>
      <c r="W6" s="71"/>
      <c r="X6" s="70" t="s">
        <v>479</v>
      </c>
      <c r="Y6" s="70" t="s">
        <v>373</v>
      </c>
      <c r="Z6" s="70" t="s">
        <v>480</v>
      </c>
      <c r="AA6" s="70" t="s">
        <v>466</v>
      </c>
      <c r="AB6" s="70" t="s">
        <v>328</v>
      </c>
      <c r="AC6" s="70" t="s">
        <v>203</v>
      </c>
      <c r="AD6" s="70" t="s">
        <v>323</v>
      </c>
      <c r="AE6" s="70" t="s">
        <v>481</v>
      </c>
      <c r="AF6" s="71"/>
      <c r="AG6" s="71"/>
      <c r="AH6" s="70" t="s">
        <v>146</v>
      </c>
      <c r="AI6" s="70" t="s">
        <v>355</v>
      </c>
    </row>
    <row r="7" spans="1:35" ht="18" x14ac:dyDescent="0.3">
      <c r="A7" s="72" t="s">
        <v>148</v>
      </c>
      <c r="B7" s="73">
        <v>45991</v>
      </c>
      <c r="C7" s="74" t="s">
        <v>456</v>
      </c>
      <c r="D7" s="75">
        <v>0.57986111111111105</v>
      </c>
      <c r="E7" s="74" t="s">
        <v>418</v>
      </c>
      <c r="F7" s="74" t="s">
        <v>134</v>
      </c>
      <c r="G7" s="76">
        <v>1</v>
      </c>
      <c r="H7" s="77">
        <v>180</v>
      </c>
      <c r="I7" s="77">
        <v>180</v>
      </c>
      <c r="J7" s="77">
        <v>135</v>
      </c>
      <c r="K7" s="73">
        <v>45986</v>
      </c>
      <c r="L7" s="77">
        <v>0</v>
      </c>
      <c r="M7" s="77">
        <v>1</v>
      </c>
      <c r="N7" s="77">
        <v>2</v>
      </c>
      <c r="O7" s="74" t="s">
        <v>63</v>
      </c>
      <c r="P7" s="78"/>
      <c r="Q7" s="78"/>
      <c r="R7" s="78"/>
      <c r="S7" s="78"/>
      <c r="T7" s="78"/>
      <c r="U7" s="78"/>
      <c r="V7" s="78"/>
      <c r="W7" s="78"/>
      <c r="X7" s="77" t="s">
        <v>469</v>
      </c>
      <c r="Y7" s="77" t="s">
        <v>333</v>
      </c>
      <c r="Z7" s="77" t="s">
        <v>194</v>
      </c>
      <c r="AA7" s="77" t="s">
        <v>482</v>
      </c>
      <c r="AB7" s="77" t="s">
        <v>483</v>
      </c>
      <c r="AC7" s="78"/>
      <c r="AD7" s="78"/>
      <c r="AE7" s="78"/>
      <c r="AF7" s="78"/>
      <c r="AG7" s="78"/>
      <c r="AH7" s="77" t="s">
        <v>146</v>
      </c>
      <c r="AI7" s="78"/>
    </row>
    <row r="8" spans="1:35" ht="18" x14ac:dyDescent="0.3">
      <c r="A8" s="79" t="s">
        <v>151</v>
      </c>
      <c r="B8" s="80"/>
      <c r="C8" s="81">
        <f>COUNTA(C2:C7)</f>
        <v>6</v>
      </c>
      <c r="D8" s="80"/>
      <c r="E8" s="80"/>
      <c r="F8" s="80"/>
      <c r="G8" s="82">
        <f>AVERAGE(G2:G7)</f>
        <v>0.99906666666666666</v>
      </c>
      <c r="H8" s="83">
        <f>SUM(H2:H7)</f>
        <v>1080</v>
      </c>
      <c r="I8" s="83">
        <f>SUM(I2:I7)</f>
        <v>1079</v>
      </c>
      <c r="J8" s="83">
        <f>SUM(J2:J7)</f>
        <v>669</v>
      </c>
      <c r="K8" s="80"/>
      <c r="L8" s="83">
        <f>SUM(L2:L7)</f>
        <v>0</v>
      </c>
      <c r="M8" s="83">
        <f>SUM(M2:M7)</f>
        <v>3</v>
      </c>
      <c r="N8" s="83">
        <f>SUM(N2:N7)</f>
        <v>125</v>
      </c>
      <c r="O8" s="80"/>
      <c r="P8" s="83">
        <f t="shared" ref="P8:AI8" si="0">SUMPRODUCT(--IFERROR(VALUE(SUBSTITUTE(SUBSTITUTE(SUBSTITUTE(SUBSTITUTE(SUBSTITUTE(SUBSTITUTE(SUBSTITUTE(SUBSTITUTE(SUBSTITUTE(SUBSTITUTE(SUBSTITUTE(SUBSTITUTE(SUBSTITUTE(SUBSTITUTE(SUBSTITUTE(SUBSTITUTE(SUBSTITUTE(SUBSTITUTE(SUBSTITUTE(SUBSTITUTE(P2:P7,"Y",""),"B",""),"M",""),"H",""),"Q",""),"K",""),"V",""),"L",""),"G",""),"S",""),"W",""),"T",""),"X",""),"U",""),"O",""),"I",""),"E",""),"A",""),"P",""),"N","")),0))</f>
        <v>0</v>
      </c>
      <c r="Q8" s="83">
        <f t="shared" si="0"/>
        <v>0</v>
      </c>
      <c r="R8" s="83">
        <f t="shared" si="0"/>
        <v>0</v>
      </c>
      <c r="S8" s="83">
        <f t="shared" si="0"/>
        <v>0</v>
      </c>
      <c r="T8" s="83">
        <f t="shared" si="0"/>
        <v>0</v>
      </c>
      <c r="U8" s="83">
        <f t="shared" si="0"/>
        <v>0</v>
      </c>
      <c r="V8" s="83">
        <f t="shared" si="0"/>
        <v>0</v>
      </c>
      <c r="W8" s="83">
        <f t="shared" si="0"/>
        <v>0</v>
      </c>
      <c r="X8" s="83">
        <f t="shared" si="0"/>
        <v>0</v>
      </c>
      <c r="Y8" s="83">
        <f t="shared" si="0"/>
        <v>0</v>
      </c>
      <c r="Z8" s="83">
        <f t="shared" si="0"/>
        <v>0</v>
      </c>
      <c r="AA8" s="83">
        <f t="shared" si="0"/>
        <v>0</v>
      </c>
      <c r="AB8" s="83">
        <f t="shared" si="0"/>
        <v>0</v>
      </c>
      <c r="AC8" s="83">
        <f t="shared" si="0"/>
        <v>0</v>
      </c>
      <c r="AD8" s="83">
        <f t="shared" si="0"/>
        <v>0</v>
      </c>
      <c r="AE8" s="83">
        <f t="shared" si="0"/>
        <v>0</v>
      </c>
      <c r="AF8" s="83">
        <f t="shared" si="0"/>
        <v>0</v>
      </c>
      <c r="AG8" s="83">
        <f t="shared" si="0"/>
        <v>0</v>
      </c>
      <c r="AH8" s="83">
        <f t="shared" si="0"/>
        <v>0</v>
      </c>
      <c r="AI8" s="83">
        <f t="shared" si="0"/>
        <v>0</v>
      </c>
    </row>
  </sheetData>
  <autoFilter ref="A1:AI7" xr:uid="{00000000-0009-0000-0000-00000E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4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32.1093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  <row r="2" spans="1:8" ht="18" x14ac:dyDescent="0.3">
      <c r="A2" s="85">
        <v>45988</v>
      </c>
      <c r="B2" s="86" t="s">
        <v>49</v>
      </c>
      <c r="C2" s="87" t="s">
        <v>419</v>
      </c>
      <c r="D2" s="86" t="s">
        <v>418</v>
      </c>
      <c r="E2" s="88">
        <v>1.819444444444444</v>
      </c>
      <c r="F2" s="86" t="s">
        <v>51</v>
      </c>
      <c r="G2" s="89">
        <v>1</v>
      </c>
      <c r="H2" s="90" t="s">
        <v>420</v>
      </c>
    </row>
    <row r="3" spans="1:8" ht="18" x14ac:dyDescent="0.3">
      <c r="A3" s="147">
        <v>45988</v>
      </c>
      <c r="B3" s="148" t="s">
        <v>59</v>
      </c>
      <c r="C3" s="149" t="s">
        <v>421</v>
      </c>
      <c r="D3" s="148" t="s">
        <v>418</v>
      </c>
      <c r="E3" s="150">
        <v>1.086805555555556</v>
      </c>
      <c r="F3" s="148" t="s">
        <v>61</v>
      </c>
      <c r="G3" s="148"/>
      <c r="H3" s="148" t="s">
        <v>62</v>
      </c>
    </row>
    <row r="4" spans="1:8" ht="15.6" x14ac:dyDescent="0.3">
      <c r="A4" s="151"/>
      <c r="B4" s="151"/>
      <c r="C4" s="151"/>
      <c r="D4" s="151"/>
      <c r="E4" s="152" t="s">
        <v>484</v>
      </c>
      <c r="F4" s="151"/>
      <c r="G4" s="151"/>
      <c r="H4" s="3"/>
    </row>
    <row r="5" spans="1:8" ht="18" x14ac:dyDescent="0.3">
      <c r="A5" s="147">
        <v>45988</v>
      </c>
      <c r="B5" s="148" t="s">
        <v>59</v>
      </c>
      <c r="C5" s="149" t="s">
        <v>208</v>
      </c>
      <c r="D5" s="148" t="s">
        <v>207</v>
      </c>
      <c r="E5" s="150">
        <v>1.9375</v>
      </c>
      <c r="F5" s="148" t="s">
        <v>191</v>
      </c>
      <c r="G5" s="155">
        <v>1</v>
      </c>
      <c r="H5" s="148" t="s">
        <v>209</v>
      </c>
    </row>
    <row r="6" spans="1:8" ht="18" x14ac:dyDescent="0.3">
      <c r="A6" s="96">
        <v>45988</v>
      </c>
      <c r="B6" s="86" t="s">
        <v>25</v>
      </c>
      <c r="C6" s="87" t="s">
        <v>223</v>
      </c>
      <c r="D6" s="86" t="s">
        <v>207</v>
      </c>
      <c r="E6" s="88">
        <v>1.399305555555556</v>
      </c>
      <c r="F6" s="86" t="s">
        <v>27</v>
      </c>
      <c r="G6" s="89">
        <v>3</v>
      </c>
      <c r="H6" s="86" t="s">
        <v>224</v>
      </c>
    </row>
    <row r="7" spans="1:8" ht="18" x14ac:dyDescent="0.3">
      <c r="A7" s="97">
        <v>45988</v>
      </c>
      <c r="B7" s="98" t="s">
        <v>25</v>
      </c>
      <c r="C7" s="99" t="s">
        <v>225</v>
      </c>
      <c r="D7" s="98" t="s">
        <v>207</v>
      </c>
      <c r="E7" s="100">
        <v>1.489583333333333</v>
      </c>
      <c r="F7" s="98" t="s">
        <v>27</v>
      </c>
      <c r="G7" s="101">
        <v>5</v>
      </c>
      <c r="H7" s="98" t="s">
        <v>224</v>
      </c>
    </row>
    <row r="8" spans="1:8" ht="18" x14ac:dyDescent="0.3">
      <c r="A8" s="97">
        <v>45988</v>
      </c>
      <c r="B8" s="98" t="s">
        <v>25</v>
      </c>
      <c r="C8" s="99" t="s">
        <v>228</v>
      </c>
      <c r="D8" s="98" t="s">
        <v>207</v>
      </c>
      <c r="E8" s="100">
        <v>1.989583333333333</v>
      </c>
      <c r="F8" s="98" t="s">
        <v>27</v>
      </c>
      <c r="G8" s="101">
        <v>7</v>
      </c>
      <c r="H8" s="98" t="s">
        <v>224</v>
      </c>
    </row>
    <row r="9" spans="1:8" ht="18" x14ac:dyDescent="0.3">
      <c r="A9" s="96">
        <v>45988</v>
      </c>
      <c r="B9" s="86" t="s">
        <v>35</v>
      </c>
      <c r="C9" s="87" t="s">
        <v>234</v>
      </c>
      <c r="D9" s="86" t="s">
        <v>207</v>
      </c>
      <c r="E9" s="88">
        <v>1.3472222222222221</v>
      </c>
      <c r="F9" s="86" t="s">
        <v>37</v>
      </c>
      <c r="G9" s="89">
        <v>9</v>
      </c>
      <c r="H9" s="86" t="s">
        <v>224</v>
      </c>
    </row>
    <row r="10" spans="1:8" ht="18" x14ac:dyDescent="0.3">
      <c r="A10" s="97">
        <v>45988</v>
      </c>
      <c r="B10" s="98" t="s">
        <v>35</v>
      </c>
      <c r="C10" s="99" t="s">
        <v>237</v>
      </c>
      <c r="D10" s="98" t="s">
        <v>207</v>
      </c>
      <c r="E10" s="100">
        <v>1.993055555555556</v>
      </c>
      <c r="F10" s="98" t="s">
        <v>37</v>
      </c>
      <c r="G10" s="101">
        <v>8</v>
      </c>
      <c r="H10" s="98" t="s">
        <v>224</v>
      </c>
    </row>
    <row r="11" spans="1:8" ht="18" x14ac:dyDescent="0.3">
      <c r="A11" s="97">
        <v>45988</v>
      </c>
      <c r="B11" s="98" t="s">
        <v>35</v>
      </c>
      <c r="C11" s="99" t="s">
        <v>238</v>
      </c>
      <c r="D11" s="98" t="s">
        <v>207</v>
      </c>
      <c r="E11" s="100">
        <v>1.836805555555556</v>
      </c>
      <c r="F11" s="98" t="s">
        <v>37</v>
      </c>
      <c r="G11" s="101">
        <v>8</v>
      </c>
      <c r="H11" s="98" t="s">
        <v>224</v>
      </c>
    </row>
    <row r="12" spans="1:8" ht="18" x14ac:dyDescent="0.3">
      <c r="A12" s="97">
        <v>45988</v>
      </c>
      <c r="B12" s="98" t="s">
        <v>35</v>
      </c>
      <c r="C12" s="99" t="s">
        <v>239</v>
      </c>
      <c r="D12" s="98" t="s">
        <v>207</v>
      </c>
      <c r="E12" s="100">
        <v>1.944444444444444</v>
      </c>
      <c r="F12" s="98" t="s">
        <v>37</v>
      </c>
      <c r="G12" s="101">
        <v>9</v>
      </c>
      <c r="H12" s="98" t="s">
        <v>224</v>
      </c>
    </row>
    <row r="13" spans="1:8" ht="18" x14ac:dyDescent="0.3">
      <c r="A13" s="97">
        <v>45988</v>
      </c>
      <c r="B13" s="98" t="s">
        <v>35</v>
      </c>
      <c r="C13" s="99" t="s">
        <v>241</v>
      </c>
      <c r="D13" s="98" t="s">
        <v>207</v>
      </c>
      <c r="E13" s="100">
        <v>1.4861111111111109</v>
      </c>
      <c r="F13" s="98" t="s">
        <v>37</v>
      </c>
      <c r="G13" s="101">
        <v>8</v>
      </c>
      <c r="H13" s="98" t="s">
        <v>224</v>
      </c>
    </row>
    <row r="14" spans="1:8" ht="18" x14ac:dyDescent="0.3">
      <c r="A14" s="106">
        <v>45988</v>
      </c>
      <c r="B14" s="107" t="s">
        <v>35</v>
      </c>
      <c r="C14" s="108" t="s">
        <v>242</v>
      </c>
      <c r="D14" s="107" t="s">
        <v>207</v>
      </c>
      <c r="E14" s="109">
        <v>1.3923611111111109</v>
      </c>
      <c r="F14" s="107" t="s">
        <v>37</v>
      </c>
      <c r="G14" s="110">
        <v>9</v>
      </c>
      <c r="H14" s="107" t="s">
        <v>224</v>
      </c>
    </row>
    <row r="15" spans="1:8" ht="18" x14ac:dyDescent="0.3">
      <c r="A15" s="85">
        <v>45989</v>
      </c>
      <c r="B15" s="86" t="s">
        <v>283</v>
      </c>
      <c r="C15" s="87" t="s">
        <v>435</v>
      </c>
      <c r="D15" s="86" t="s">
        <v>418</v>
      </c>
      <c r="E15" s="88">
        <v>1.010416666666667</v>
      </c>
      <c r="F15" s="86" t="s">
        <v>436</v>
      </c>
      <c r="G15" s="89">
        <v>1</v>
      </c>
      <c r="H15" s="90" t="s">
        <v>437</v>
      </c>
    </row>
    <row r="16" spans="1:8" ht="18" x14ac:dyDescent="0.3">
      <c r="A16" s="91">
        <v>45989</v>
      </c>
      <c r="B16" s="92" t="s">
        <v>283</v>
      </c>
      <c r="C16" s="93" t="s">
        <v>435</v>
      </c>
      <c r="D16" s="92" t="s">
        <v>418</v>
      </c>
      <c r="E16" s="94">
        <v>1.010416666666667</v>
      </c>
      <c r="F16" s="92" t="s">
        <v>438</v>
      </c>
      <c r="G16" s="95">
        <v>1</v>
      </c>
      <c r="H16" s="92" t="s">
        <v>439</v>
      </c>
    </row>
    <row r="17" spans="1:8" ht="18" x14ac:dyDescent="0.3">
      <c r="A17" s="91">
        <v>45989</v>
      </c>
      <c r="B17" s="92" t="s">
        <v>283</v>
      </c>
      <c r="C17" s="93" t="s">
        <v>435</v>
      </c>
      <c r="D17" s="92" t="s">
        <v>418</v>
      </c>
      <c r="E17" s="94">
        <v>1.010416666666667</v>
      </c>
      <c r="F17" s="92" t="s">
        <v>33</v>
      </c>
      <c r="G17" s="95">
        <v>1</v>
      </c>
      <c r="H17" s="92" t="s">
        <v>440</v>
      </c>
    </row>
    <row r="18" spans="1:8" ht="18" x14ac:dyDescent="0.3">
      <c r="A18" s="96">
        <v>45989</v>
      </c>
      <c r="B18" s="86" t="s">
        <v>49</v>
      </c>
      <c r="C18" s="87" t="s">
        <v>419</v>
      </c>
      <c r="D18" s="86" t="s">
        <v>418</v>
      </c>
      <c r="E18" s="88">
        <v>1.819444444444444</v>
      </c>
      <c r="F18" s="86" t="s">
        <v>51</v>
      </c>
      <c r="G18" s="89">
        <v>9</v>
      </c>
      <c r="H18" s="86" t="s">
        <v>48</v>
      </c>
    </row>
    <row r="19" spans="1:8" ht="18" x14ac:dyDescent="0.3">
      <c r="A19" s="147">
        <v>45989</v>
      </c>
      <c r="B19" s="148" t="s">
        <v>59</v>
      </c>
      <c r="C19" s="149" t="s">
        <v>421</v>
      </c>
      <c r="D19" s="148" t="s">
        <v>418</v>
      </c>
      <c r="E19" s="150">
        <v>1.229166666666667</v>
      </c>
      <c r="F19" s="148" t="s">
        <v>61</v>
      </c>
      <c r="G19" s="148"/>
      <c r="H19" s="148" t="s">
        <v>62</v>
      </c>
    </row>
    <row r="20" spans="1:8" ht="15.6" x14ac:dyDescent="0.3">
      <c r="A20" s="151"/>
      <c r="B20" s="151"/>
      <c r="C20" s="151"/>
      <c r="D20" s="151"/>
      <c r="E20" s="152" t="s">
        <v>484</v>
      </c>
      <c r="F20" s="151"/>
      <c r="G20" s="151"/>
      <c r="H20" s="3"/>
    </row>
    <row r="21" spans="1:8" ht="18" x14ac:dyDescent="0.3">
      <c r="A21" s="96">
        <v>45989</v>
      </c>
      <c r="B21" s="86" t="s">
        <v>246</v>
      </c>
      <c r="C21" s="87" t="s">
        <v>247</v>
      </c>
      <c r="D21" s="86" t="s">
        <v>207</v>
      </c>
      <c r="E21" s="88">
        <v>1.493055555555556</v>
      </c>
      <c r="F21" s="86" t="s">
        <v>191</v>
      </c>
      <c r="G21" s="89">
        <v>7</v>
      </c>
      <c r="H21" s="86" t="s">
        <v>270</v>
      </c>
    </row>
    <row r="22" spans="1:8" ht="18" x14ac:dyDescent="0.3">
      <c r="A22" s="147">
        <v>45989</v>
      </c>
      <c r="B22" s="148" t="s">
        <v>59</v>
      </c>
      <c r="C22" s="149" t="s">
        <v>271</v>
      </c>
      <c r="D22" s="148" t="s">
        <v>207</v>
      </c>
      <c r="E22" s="150">
        <v>1.5590277777777779</v>
      </c>
      <c r="F22" s="148" t="s">
        <v>191</v>
      </c>
      <c r="G22" s="155">
        <v>1</v>
      </c>
      <c r="H22" s="148" t="s">
        <v>272</v>
      </c>
    </row>
    <row r="23" spans="1:8" ht="18" x14ac:dyDescent="0.3">
      <c r="A23" s="211">
        <v>45989</v>
      </c>
      <c r="B23" s="212" t="s">
        <v>59</v>
      </c>
      <c r="C23" s="213" t="s">
        <v>275</v>
      </c>
      <c r="D23" s="212" t="s">
        <v>207</v>
      </c>
      <c r="E23" s="214">
        <v>1.760416666666667</v>
      </c>
      <c r="F23" s="212" t="s">
        <v>191</v>
      </c>
      <c r="G23" s="215">
        <v>1</v>
      </c>
      <c r="H23" s="212" t="s">
        <v>209</v>
      </c>
    </row>
    <row r="24" spans="1:8" ht="18" x14ac:dyDescent="0.3">
      <c r="A24" s="96">
        <v>45989</v>
      </c>
      <c r="B24" s="86" t="s">
        <v>25</v>
      </c>
      <c r="C24" s="87" t="s">
        <v>223</v>
      </c>
      <c r="D24" s="86" t="s">
        <v>207</v>
      </c>
      <c r="E24" s="88">
        <v>1.399305555555556</v>
      </c>
      <c r="F24" s="86" t="s">
        <v>27</v>
      </c>
      <c r="G24" s="89">
        <v>5</v>
      </c>
      <c r="H24" s="86" t="s">
        <v>224</v>
      </c>
    </row>
    <row r="25" spans="1:8" ht="18" x14ac:dyDescent="0.3">
      <c r="A25" s="97">
        <v>45989</v>
      </c>
      <c r="B25" s="98" t="s">
        <v>25</v>
      </c>
      <c r="C25" s="99" t="s">
        <v>228</v>
      </c>
      <c r="D25" s="98" t="s">
        <v>207</v>
      </c>
      <c r="E25" s="100">
        <v>1.989583333333333</v>
      </c>
      <c r="F25" s="98" t="s">
        <v>27</v>
      </c>
      <c r="G25" s="101">
        <v>10</v>
      </c>
      <c r="H25" s="98" t="s">
        <v>231</v>
      </c>
    </row>
    <row r="26" spans="1:8" ht="18" x14ac:dyDescent="0.3">
      <c r="A26" s="96">
        <v>45989</v>
      </c>
      <c r="B26" s="86" t="s">
        <v>283</v>
      </c>
      <c r="C26" s="87" t="s">
        <v>284</v>
      </c>
      <c r="D26" s="86" t="s">
        <v>207</v>
      </c>
      <c r="E26" s="88">
        <v>1.225694444444444</v>
      </c>
      <c r="F26" s="86" t="s">
        <v>285</v>
      </c>
      <c r="G26" s="89">
        <v>2</v>
      </c>
      <c r="H26" s="86" t="s">
        <v>286</v>
      </c>
    </row>
    <row r="27" spans="1:8" ht="18" x14ac:dyDescent="0.3">
      <c r="A27" s="96">
        <v>45989</v>
      </c>
      <c r="B27" s="86" t="s">
        <v>35</v>
      </c>
      <c r="C27" s="87" t="s">
        <v>234</v>
      </c>
      <c r="D27" s="86" t="s">
        <v>207</v>
      </c>
      <c r="E27" s="88">
        <v>1.3472222222222221</v>
      </c>
      <c r="F27" s="86" t="s">
        <v>37</v>
      </c>
      <c r="G27" s="89">
        <v>9</v>
      </c>
      <c r="H27" s="86" t="s">
        <v>231</v>
      </c>
    </row>
    <row r="28" spans="1:8" ht="18" x14ac:dyDescent="0.3">
      <c r="A28" s="97">
        <v>45989</v>
      </c>
      <c r="B28" s="98" t="s">
        <v>35</v>
      </c>
      <c r="C28" s="99" t="s">
        <v>237</v>
      </c>
      <c r="D28" s="98" t="s">
        <v>207</v>
      </c>
      <c r="E28" s="100">
        <v>1.993055555555556</v>
      </c>
      <c r="F28" s="98" t="s">
        <v>37</v>
      </c>
      <c r="G28" s="101">
        <v>2</v>
      </c>
      <c r="H28" s="98" t="s">
        <v>231</v>
      </c>
    </row>
    <row r="29" spans="1:8" ht="18" x14ac:dyDescent="0.3">
      <c r="A29" s="97">
        <v>45989</v>
      </c>
      <c r="B29" s="98" t="s">
        <v>35</v>
      </c>
      <c r="C29" s="99" t="s">
        <v>238</v>
      </c>
      <c r="D29" s="98" t="s">
        <v>207</v>
      </c>
      <c r="E29" s="100">
        <v>1.836805555555556</v>
      </c>
      <c r="F29" s="98" t="s">
        <v>37</v>
      </c>
      <c r="G29" s="101">
        <v>4</v>
      </c>
      <c r="H29" s="98" t="s">
        <v>231</v>
      </c>
    </row>
    <row r="30" spans="1:8" ht="18" x14ac:dyDescent="0.3">
      <c r="A30" s="106">
        <v>45989</v>
      </c>
      <c r="B30" s="107" t="s">
        <v>35</v>
      </c>
      <c r="C30" s="108" t="s">
        <v>239</v>
      </c>
      <c r="D30" s="107" t="s">
        <v>207</v>
      </c>
      <c r="E30" s="109">
        <v>1.944444444444444</v>
      </c>
      <c r="F30" s="107" t="s">
        <v>37</v>
      </c>
      <c r="G30" s="110">
        <v>9</v>
      </c>
      <c r="H30" s="107" t="s">
        <v>231</v>
      </c>
    </row>
    <row r="31" spans="1:8" ht="18" x14ac:dyDescent="0.3">
      <c r="A31" s="85">
        <v>45990</v>
      </c>
      <c r="B31" s="86" t="s">
        <v>25</v>
      </c>
      <c r="C31" s="87" t="s">
        <v>447</v>
      </c>
      <c r="D31" s="86" t="s">
        <v>418</v>
      </c>
      <c r="E31" s="88">
        <v>1.3611111111111109</v>
      </c>
      <c r="F31" s="86" t="s">
        <v>448</v>
      </c>
      <c r="G31" s="89">
        <v>1</v>
      </c>
      <c r="H31" s="90" t="s">
        <v>449</v>
      </c>
    </row>
    <row r="32" spans="1:8" ht="18" x14ac:dyDescent="0.3">
      <c r="A32" s="91">
        <v>45990</v>
      </c>
      <c r="B32" s="92" t="s">
        <v>25</v>
      </c>
      <c r="C32" s="93" t="s">
        <v>447</v>
      </c>
      <c r="D32" s="92" t="s">
        <v>418</v>
      </c>
      <c r="E32" s="94">
        <v>1.3611111111111109</v>
      </c>
      <c r="F32" s="92" t="s">
        <v>436</v>
      </c>
      <c r="G32" s="95">
        <v>1</v>
      </c>
      <c r="H32" s="92" t="s">
        <v>450</v>
      </c>
    </row>
    <row r="33" spans="1:8" ht="18" x14ac:dyDescent="0.3">
      <c r="A33" s="91">
        <v>45990</v>
      </c>
      <c r="B33" s="92" t="s">
        <v>25</v>
      </c>
      <c r="C33" s="93" t="s">
        <v>447</v>
      </c>
      <c r="D33" s="92" t="s">
        <v>418</v>
      </c>
      <c r="E33" s="94">
        <v>1.3611111111111109</v>
      </c>
      <c r="F33" s="92" t="s">
        <v>438</v>
      </c>
      <c r="G33" s="95">
        <v>1</v>
      </c>
      <c r="H33" s="92" t="s">
        <v>451</v>
      </c>
    </row>
    <row r="34" spans="1:8" ht="18" x14ac:dyDescent="0.3">
      <c r="A34" s="91">
        <v>45990</v>
      </c>
      <c r="B34" s="92" t="s">
        <v>25</v>
      </c>
      <c r="C34" s="93" t="s">
        <v>447</v>
      </c>
      <c r="D34" s="92" t="s">
        <v>418</v>
      </c>
      <c r="E34" s="94">
        <v>1.3611111111111109</v>
      </c>
      <c r="F34" s="92" t="s">
        <v>452</v>
      </c>
      <c r="G34" s="95">
        <v>1</v>
      </c>
      <c r="H34" s="92" t="s">
        <v>453</v>
      </c>
    </row>
    <row r="35" spans="1:8" ht="18" x14ac:dyDescent="0.3">
      <c r="A35" s="96">
        <v>45990</v>
      </c>
      <c r="B35" s="86" t="s">
        <v>49</v>
      </c>
      <c r="C35" s="87" t="s">
        <v>454</v>
      </c>
      <c r="D35" s="86" t="s">
        <v>418</v>
      </c>
      <c r="E35" s="88">
        <v>1.4513888888888891</v>
      </c>
      <c r="F35" s="86" t="s">
        <v>51</v>
      </c>
      <c r="G35" s="89">
        <v>6</v>
      </c>
      <c r="H35" s="86" t="s">
        <v>450</v>
      </c>
    </row>
    <row r="36" spans="1:8" ht="18" x14ac:dyDescent="0.3">
      <c r="A36" s="97">
        <v>45990</v>
      </c>
      <c r="B36" s="98" t="s">
        <v>49</v>
      </c>
      <c r="C36" s="99" t="s">
        <v>419</v>
      </c>
      <c r="D36" s="98" t="s">
        <v>418</v>
      </c>
      <c r="E36" s="100">
        <v>1.819444444444444</v>
      </c>
      <c r="F36" s="98" t="s">
        <v>51</v>
      </c>
      <c r="G36" s="101">
        <v>4</v>
      </c>
      <c r="H36" s="98" t="s">
        <v>450</v>
      </c>
    </row>
    <row r="37" spans="1:8" ht="18" x14ac:dyDescent="0.3">
      <c r="A37" s="147">
        <v>45990</v>
      </c>
      <c r="B37" s="148" t="s">
        <v>59</v>
      </c>
      <c r="C37" s="149" t="s">
        <v>456</v>
      </c>
      <c r="D37" s="148" t="s">
        <v>418</v>
      </c>
      <c r="E37" s="150">
        <v>1.270833333333333</v>
      </c>
      <c r="F37" s="148" t="s">
        <v>61</v>
      </c>
      <c r="G37" s="148"/>
      <c r="H37" s="148" t="s">
        <v>62</v>
      </c>
    </row>
    <row r="38" spans="1:8" ht="18" x14ac:dyDescent="0.3">
      <c r="A38" s="216">
        <v>45990</v>
      </c>
      <c r="B38" s="217" t="s">
        <v>59</v>
      </c>
      <c r="C38" s="218" t="s">
        <v>421</v>
      </c>
      <c r="D38" s="217" t="s">
        <v>418</v>
      </c>
      <c r="E38" s="219">
        <v>1.604166666666667</v>
      </c>
      <c r="F38" s="217" t="s">
        <v>61</v>
      </c>
      <c r="G38" s="217"/>
      <c r="H38" s="217" t="s">
        <v>62</v>
      </c>
    </row>
    <row r="39" spans="1:8" ht="18" x14ac:dyDescent="0.3">
      <c r="A39" s="85">
        <v>45991</v>
      </c>
      <c r="B39" s="86" t="s">
        <v>283</v>
      </c>
      <c r="C39" s="87" t="s">
        <v>459</v>
      </c>
      <c r="D39" s="86" t="s">
        <v>418</v>
      </c>
      <c r="E39" s="88">
        <v>1.3611111111111109</v>
      </c>
      <c r="F39" s="86" t="s">
        <v>436</v>
      </c>
      <c r="G39" s="89">
        <v>3</v>
      </c>
      <c r="H39" s="90" t="s">
        <v>460</v>
      </c>
    </row>
    <row r="40" spans="1:8" ht="18" x14ac:dyDescent="0.3">
      <c r="A40" s="91">
        <v>45991</v>
      </c>
      <c r="B40" s="92" t="s">
        <v>283</v>
      </c>
      <c r="C40" s="93" t="s">
        <v>459</v>
      </c>
      <c r="D40" s="92" t="s">
        <v>418</v>
      </c>
      <c r="E40" s="94">
        <v>1.3611111111111109</v>
      </c>
      <c r="F40" s="92" t="s">
        <v>438</v>
      </c>
      <c r="G40" s="95">
        <v>3</v>
      </c>
      <c r="H40" s="92" t="s">
        <v>461</v>
      </c>
    </row>
    <row r="41" spans="1:8" ht="18" x14ac:dyDescent="0.3">
      <c r="A41" s="91">
        <v>45991</v>
      </c>
      <c r="B41" s="92" t="s">
        <v>283</v>
      </c>
      <c r="C41" s="93" t="s">
        <v>459</v>
      </c>
      <c r="D41" s="92" t="s">
        <v>418</v>
      </c>
      <c r="E41" s="94">
        <v>1.3611111111111109</v>
      </c>
      <c r="F41" s="92" t="s">
        <v>33</v>
      </c>
      <c r="G41" s="95">
        <v>3</v>
      </c>
      <c r="H41" s="92" t="s">
        <v>462</v>
      </c>
    </row>
    <row r="42" spans="1:8" ht="18" x14ac:dyDescent="0.3">
      <c r="A42" s="96">
        <v>45991</v>
      </c>
      <c r="B42" s="86" t="s">
        <v>49</v>
      </c>
      <c r="C42" s="87" t="s">
        <v>419</v>
      </c>
      <c r="D42" s="86" t="s">
        <v>418</v>
      </c>
      <c r="E42" s="88">
        <v>1.819444444444444</v>
      </c>
      <c r="F42" s="86" t="s">
        <v>51</v>
      </c>
      <c r="G42" s="89">
        <v>9</v>
      </c>
      <c r="H42" s="86" t="s">
        <v>450</v>
      </c>
    </row>
    <row r="43" spans="1:8" ht="18" x14ac:dyDescent="0.3">
      <c r="A43" s="147">
        <v>45991</v>
      </c>
      <c r="B43" s="148" t="s">
        <v>59</v>
      </c>
      <c r="C43" s="149" t="s">
        <v>421</v>
      </c>
      <c r="D43" s="148" t="s">
        <v>418</v>
      </c>
      <c r="E43" s="150">
        <v>1.4965277777777779</v>
      </c>
      <c r="F43" s="148" t="s">
        <v>61</v>
      </c>
      <c r="G43" s="148"/>
      <c r="H43" s="148" t="s">
        <v>62</v>
      </c>
    </row>
    <row r="44" spans="1:8" ht="18" x14ac:dyDescent="0.3">
      <c r="A44" s="216">
        <v>45991</v>
      </c>
      <c r="B44" s="217" t="s">
        <v>59</v>
      </c>
      <c r="C44" s="218" t="s">
        <v>456</v>
      </c>
      <c r="D44" s="217" t="s">
        <v>418</v>
      </c>
      <c r="E44" s="219">
        <v>1.5798611111111109</v>
      </c>
      <c r="F44" s="217" t="s">
        <v>61</v>
      </c>
      <c r="G44" s="217"/>
      <c r="H44" s="217" t="s">
        <v>62</v>
      </c>
    </row>
  </sheetData>
  <dataValidations count="9">
    <dataValidation type="custom" allowBlank="1" showInputMessage="1" promptTitle="LOAD FACTOR ANALYSIS" prompt="SM451_x000d__x000a_LF 99.4%_x000d__x000a_SOLD 179_x000d__x000a_LST-SOLD 24NOV_x000d__x000a_WEEKLY 9_x000d__x000a_TO-DAY NIL_x000d__x000a_Y-DAY NIL_x000d__x000a_LOWEST AVAIL CLOSED_x000d__x000a_CAPACITY 180_x000d__x000a_CLASSES S20 &amp; W10 &amp; T5 &amp; +6 more" sqref="A3 B3 C3 D3 E3 F3 G3 H3" xr:uid="{00000000-0002-0000-0F00-000000000000}">
      <formula1>TRUE</formula1>
    </dataValidation>
    <dataValidation type="custom" allowBlank="1" showInputMessage="1" promptTitle="LOAD FACTOR ANALYSIS" prompt="SM-423_x000d__x000a_LF -_x000d__x000a_SOLD -_x000d__x000a_LST-SOLD -_x000d__x000a_WEEKLY -_x000d__x000a_TO-DAY -_x000d__x000a_Y-DAY -_x000d__x000a_LOWEST AVAIL -_x000d__x000a_CAPACITY -_x000d__x000a_CLASSES -" sqref="A5 B5 C5 D5 E5 F5 G5 H5" xr:uid="{00000000-0002-0000-0F00-000001000000}">
      <formula1>TRUE</formula1>
    </dataValidation>
    <dataValidation type="custom" allowBlank="1" showInputMessage="1" promptTitle="LOAD FACTOR ANALYSIS" prompt="SM451_x000d__x000a_LF 1.0%_x000d__x000a_SOLD 180_x000d__x000a_LST-SOLD 23NOV_x000d__x000a_WEEKLY 98_x000d__x000a_TO-DAY NIL_x000d__x000a_Y-DAY NIL_x000d__x000a_LOWEST AVAIL CLOSED_x000d__x000a_CAPACITY 180_x000d__x000a_CLASSES G7 &amp; S40 &amp; W28 &amp; +5 more" sqref="A19 B19 C19 D19 E19 F19 G19 H19" xr:uid="{00000000-0002-0000-0F00-000002000000}">
      <formula1>TRUE</formula1>
    </dataValidation>
    <dataValidation type="custom" allowBlank="1" showInputMessage="1" promptTitle="LOAD FACTOR ANALYSIS" prompt="SM-471_x000d__x000a_LF -_x000d__x000a_SOLD -_x000d__x000a_LST-SOLD -_x000d__x000a_WEEKLY -_x000d__x000a_TO-DAY -_x000d__x000a_Y-DAY -_x000d__x000a_LOWEST AVAIL -_x000d__x000a_CAPACITY -_x000d__x000a_CLASSES -" sqref="A22 B22 C22 D22 E22 F22 G22 H22" xr:uid="{00000000-0002-0000-0F00-000003000000}">
      <formula1>TRUE</formula1>
    </dataValidation>
    <dataValidation type="custom" allowBlank="1" showInputMessage="1" promptTitle="LOAD FACTOR ANALYSIS" prompt="SM-459_x000d__x000a_LF -_x000d__x000a_SOLD -_x000d__x000a_LST-SOLD -_x000d__x000a_WEEKLY -_x000d__x000a_TO-DAY -_x000d__x000a_Y-DAY -_x000d__x000a_LOWEST AVAIL -_x000d__x000a_CAPACITY -_x000d__x000a_CLASSES -" sqref="A23 B23 C23 D23 E23 F23 G23 H23" xr:uid="{00000000-0002-0000-0F00-000004000000}">
      <formula1>TRUE</formula1>
    </dataValidation>
    <dataValidation type="custom" allowBlank="1" showInputMessage="1" promptTitle="LOAD FACTOR ANALYSIS" prompt="SM457_x000d__x000a_LF 1.0%_x000d__x000a_SOLD 180_x000d__x000a_LST-SOLD 25NOV_x000d__x000a_WEEKLY 1_x000d__x000a_TO-DAY NIL_x000d__x000a_Y-DAY 1_x000d__x000a_LOWEST AVAIL CLOSED_x000d__x000a_CAPACITY 180_x000d__x000a_CLASSES L3 &amp; S8 &amp; W16 &amp; +3 more" sqref="A37 B37 C37 D37 E37 F37 G37 H37" xr:uid="{00000000-0002-0000-0F00-000005000000}">
      <formula1>TRUE</formula1>
    </dataValidation>
    <dataValidation type="custom" allowBlank="1" showInputMessage="1" promptTitle="LOAD FACTOR ANALYSIS" prompt="SM451_x000d__x000a_LF 1.0%_x000d__x000a_SOLD 180_x000d__x000a_LST-SOLD 23NOV_x000d__x000a_WEEKLY 10_x000d__x000a_TO-DAY NIL_x000d__x000a_Y-DAY NIL_x000d__x000a_LOWEST AVAIL CLOSED_x000d__x000a_CAPACITY 180_x000d__x000a_CLASSES K4 &amp; V9 &amp; L11 &amp; +6 more" sqref="A38 B38 C38 D38 E38 F38 G38 H38" xr:uid="{00000000-0002-0000-0F00-000006000000}">
      <formula1>TRUE</formula1>
    </dataValidation>
    <dataValidation type="custom" allowBlank="1" showInputMessage="1" promptTitle="LOAD FACTOR ANALYSIS" prompt="SM451_x000d__x000a_LF 1.0%_x000d__x000a_SOLD 180_x000d__x000a_LST-SOLD 25NOV_x000d__x000a_WEEKLY 5_x000d__x000a_TO-DAY NIL_x000d__x000a_Y-DAY 1_x000d__x000a_LOWEST AVAIL CLOSED_x000d__x000a_CAPACITY 180_x000d__x000a_CLASSES G5 &amp; S11 &amp; W4 &amp; +7 more" sqref="A43 B43 C43 D43 E43 F43 G43 H43" xr:uid="{00000000-0002-0000-0F00-000007000000}">
      <formula1>TRUE</formula1>
    </dataValidation>
    <dataValidation type="custom" allowBlank="1" showInputMessage="1" promptTitle="LOAD FACTOR ANALYSIS" prompt="SM457_x000d__x000a_LF 1.0%_x000d__x000a_SOLD 180_x000d__x000a_LST-SOLD 25NOV_x000d__x000a_WEEKLY 2_x000d__x000a_TO-DAY NIL_x000d__x000a_Y-DAY 1_x000d__x000a_LOWEST AVAIL CLOSED_x000d__x000a_CAPACITY 180_x000d__x000a_CLASSES G7 &amp; S3 &amp; W1 &amp; +3 more" sqref="A44 B44 C44 D44 E44 F44 G44 H44" xr:uid="{00000000-0002-0000-0F00-000008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N4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0.88671875" bestFit="1" customWidth="1"/>
    <col min="5" max="5" width="20.77734375" bestFit="1" customWidth="1"/>
    <col min="6" max="6" width="20.5546875" bestFit="1" customWidth="1"/>
    <col min="7" max="7" width="46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6.8867187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485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45987.359179673171</v>
      </c>
      <c r="H2" s="279"/>
      <c r="I2" s="279"/>
      <c r="J2" s="279"/>
      <c r="K2" s="288">
        <v>45987.359179673658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2" t="s">
        <v>5</v>
      </c>
      <c r="B4" s="283"/>
      <c r="C4" s="283"/>
      <c r="D4" s="283"/>
      <c r="E4" s="283"/>
      <c r="F4" s="283"/>
      <c r="G4" s="5">
        <v>45988</v>
      </c>
      <c r="H4" s="294" t="s">
        <v>6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121" t="s">
        <v>59</v>
      </c>
      <c r="B6" s="121" t="s">
        <v>486</v>
      </c>
      <c r="C6" s="122">
        <v>0.54861111111111105</v>
      </c>
      <c r="D6" s="121" t="s">
        <v>191</v>
      </c>
      <c r="E6" s="121" t="s">
        <v>52</v>
      </c>
      <c r="F6" s="121" t="s">
        <v>487</v>
      </c>
      <c r="G6" s="275"/>
      <c r="H6" s="124" t="s">
        <v>488</v>
      </c>
      <c r="I6" s="125">
        <v>0.99439999999999995</v>
      </c>
      <c r="J6" s="126">
        <v>179</v>
      </c>
      <c r="K6" s="127">
        <v>45986</v>
      </c>
      <c r="L6" s="126">
        <v>53</v>
      </c>
      <c r="M6" s="126">
        <v>0</v>
      </c>
      <c r="N6" s="126">
        <v>1</v>
      </c>
      <c r="O6" s="128" t="s">
        <v>194</v>
      </c>
      <c r="P6" s="129">
        <v>0.54861111111111105</v>
      </c>
      <c r="Q6" s="126">
        <v>180</v>
      </c>
      <c r="R6" s="130" t="s">
        <v>489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174" t="s">
        <v>59</v>
      </c>
      <c r="B7" s="174" t="s">
        <v>490</v>
      </c>
      <c r="C7" s="175">
        <v>0.3298611111111111</v>
      </c>
      <c r="D7" s="174" t="s">
        <v>61</v>
      </c>
      <c r="E7" s="176"/>
      <c r="F7" s="174" t="s">
        <v>62</v>
      </c>
      <c r="G7" s="276"/>
      <c r="H7" s="177" t="s">
        <v>490</v>
      </c>
      <c r="I7" s="178">
        <v>1</v>
      </c>
      <c r="J7" s="179">
        <v>180</v>
      </c>
      <c r="K7" s="180">
        <v>45987</v>
      </c>
      <c r="L7" s="179">
        <v>13</v>
      </c>
      <c r="M7" s="179">
        <v>2</v>
      </c>
      <c r="N7" s="179">
        <v>5</v>
      </c>
      <c r="O7" s="181" t="s">
        <v>63</v>
      </c>
      <c r="P7" s="182">
        <v>0.3298611111111111</v>
      </c>
      <c r="Q7" s="179">
        <v>180</v>
      </c>
      <c r="R7" s="183" t="s">
        <v>491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8" x14ac:dyDescent="0.3">
      <c r="A8" s="300" t="s">
        <v>423</v>
      </c>
      <c r="B8" s="301"/>
      <c r="C8" s="301"/>
      <c r="D8" s="301"/>
      <c r="E8" s="301"/>
      <c r="F8" s="301"/>
      <c r="G8" s="276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9" t="s">
        <v>59</v>
      </c>
      <c r="B9" s="19" t="s">
        <v>208</v>
      </c>
      <c r="C9" s="20" t="s">
        <v>424</v>
      </c>
      <c r="D9" s="19" t="s">
        <v>191</v>
      </c>
      <c r="E9" s="19" t="s">
        <v>171</v>
      </c>
      <c r="F9" s="19" t="s">
        <v>209</v>
      </c>
      <c r="G9" s="276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9" t="s">
        <v>25</v>
      </c>
      <c r="B10" s="19" t="s">
        <v>223</v>
      </c>
      <c r="C10" s="20" t="s">
        <v>425</v>
      </c>
      <c r="D10" s="19" t="s">
        <v>27</v>
      </c>
      <c r="E10" s="19" t="s">
        <v>173</v>
      </c>
      <c r="F10" s="19" t="s">
        <v>224</v>
      </c>
      <c r="G10" s="276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9" t="s">
        <v>25</v>
      </c>
      <c r="B11" s="19" t="s">
        <v>225</v>
      </c>
      <c r="C11" s="20" t="s">
        <v>426</v>
      </c>
      <c r="D11" s="19" t="s">
        <v>27</v>
      </c>
      <c r="E11" s="19" t="s">
        <v>427</v>
      </c>
      <c r="F11" s="19" t="s">
        <v>224</v>
      </c>
      <c r="G11" s="276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25</v>
      </c>
      <c r="B12" s="19" t="s">
        <v>228</v>
      </c>
      <c r="C12" s="20" t="s">
        <v>428</v>
      </c>
      <c r="D12" s="19" t="s">
        <v>27</v>
      </c>
      <c r="E12" s="19" t="s">
        <v>169</v>
      </c>
      <c r="F12" s="19" t="s">
        <v>224</v>
      </c>
      <c r="G12" s="276"/>
      <c r="H12" s="131"/>
      <c r="I12" s="131"/>
      <c r="J12" s="131"/>
      <c r="K12" s="131"/>
      <c r="L12" s="131"/>
      <c r="M12" s="131"/>
      <c r="N12" s="131"/>
      <c r="O12" s="132"/>
      <c r="P12" s="131"/>
      <c r="Q12" s="133"/>
      <c r="R12" s="13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9" t="s">
        <v>35</v>
      </c>
      <c r="B13" s="19" t="s">
        <v>234</v>
      </c>
      <c r="C13" s="20" t="s">
        <v>429</v>
      </c>
      <c r="D13" s="19" t="s">
        <v>37</v>
      </c>
      <c r="E13" s="19" t="s">
        <v>167</v>
      </c>
      <c r="F13" s="19" t="s">
        <v>224</v>
      </c>
      <c r="G13" s="276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9" t="s">
        <v>35</v>
      </c>
      <c r="B14" s="19" t="s">
        <v>237</v>
      </c>
      <c r="C14" s="20" t="s">
        <v>430</v>
      </c>
      <c r="D14" s="19" t="s">
        <v>37</v>
      </c>
      <c r="E14" s="19" t="s">
        <v>175</v>
      </c>
      <c r="F14" s="19" t="s">
        <v>224</v>
      </c>
      <c r="G14" s="276"/>
      <c r="H14" s="131"/>
      <c r="I14" s="131"/>
      <c r="J14" s="131"/>
      <c r="K14" s="131"/>
      <c r="L14" s="131"/>
      <c r="M14" s="131"/>
      <c r="N14" s="131"/>
      <c r="O14" s="132"/>
      <c r="P14" s="131"/>
      <c r="Q14" s="133"/>
      <c r="R14" s="13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35</v>
      </c>
      <c r="B15" s="19" t="s">
        <v>238</v>
      </c>
      <c r="C15" s="20" t="s">
        <v>431</v>
      </c>
      <c r="D15" s="19" t="s">
        <v>37</v>
      </c>
      <c r="E15" s="19" t="s">
        <v>175</v>
      </c>
      <c r="F15" s="19" t="s">
        <v>224</v>
      </c>
      <c r="G15" s="276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9" t="s">
        <v>35</v>
      </c>
      <c r="B16" s="19" t="s">
        <v>239</v>
      </c>
      <c r="C16" s="20" t="s">
        <v>432</v>
      </c>
      <c r="D16" s="19" t="s">
        <v>37</v>
      </c>
      <c r="E16" s="19" t="s">
        <v>167</v>
      </c>
      <c r="F16" s="19" t="s">
        <v>224</v>
      </c>
      <c r="G16" s="276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9" t="s">
        <v>35</v>
      </c>
      <c r="B17" s="19" t="s">
        <v>241</v>
      </c>
      <c r="C17" s="20" t="s">
        <v>433</v>
      </c>
      <c r="D17" s="19" t="s">
        <v>37</v>
      </c>
      <c r="E17" s="19" t="s">
        <v>175</v>
      </c>
      <c r="F17" s="19" t="s">
        <v>224</v>
      </c>
      <c r="G17" s="276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5" customHeight="1" x14ac:dyDescent="0.3">
      <c r="A18" s="37" t="s">
        <v>35</v>
      </c>
      <c r="B18" s="37" t="s">
        <v>242</v>
      </c>
      <c r="C18" s="38" t="s">
        <v>434</v>
      </c>
      <c r="D18" s="37" t="s">
        <v>37</v>
      </c>
      <c r="E18" s="37" t="s">
        <v>167</v>
      </c>
      <c r="F18" s="37" t="s">
        <v>224</v>
      </c>
      <c r="G18" s="277"/>
      <c r="H18" s="134"/>
      <c r="I18" s="134"/>
      <c r="J18" s="134"/>
      <c r="K18" s="134"/>
      <c r="L18" s="134"/>
      <c r="M18" s="134"/>
      <c r="N18" s="134"/>
      <c r="O18" s="135"/>
      <c r="P18" s="134"/>
      <c r="Q18" s="136"/>
      <c r="R18" s="136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4.4" customHeight="1" x14ac:dyDescent="0.3">
      <c r="A19" s="272"/>
      <c r="B19" s="273"/>
      <c r="C19" s="273"/>
      <c r="D19" s="273"/>
      <c r="E19" s="273"/>
      <c r="F19" s="273"/>
      <c r="G19" s="273"/>
      <c r="H19" s="273"/>
      <c r="I19" s="273"/>
      <c r="J19" s="273"/>
      <c r="K19" s="273"/>
      <c r="L19" s="273"/>
      <c r="M19" s="273"/>
      <c r="N19" s="273"/>
      <c r="O19" s="273"/>
      <c r="P19" s="273"/>
      <c r="Q19" s="273"/>
      <c r="R19" s="27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22.05" customHeight="1" x14ac:dyDescent="0.3">
      <c r="A20" s="280" t="s">
        <v>5</v>
      </c>
      <c r="B20" s="281"/>
      <c r="C20" s="281"/>
      <c r="D20" s="281"/>
      <c r="E20" s="281"/>
      <c r="F20" s="281"/>
      <c r="G20" s="5">
        <v>45989</v>
      </c>
      <c r="H20" s="290" t="s">
        <v>6</v>
      </c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24" customHeight="1" x14ac:dyDescent="0.3">
      <c r="A21" s="31" t="s">
        <v>7</v>
      </c>
      <c r="B21" s="31" t="s">
        <v>8</v>
      </c>
      <c r="C21" s="32" t="s">
        <v>9</v>
      </c>
      <c r="D21" s="31" t="s">
        <v>10</v>
      </c>
      <c r="E21" s="31" t="s">
        <v>11</v>
      </c>
      <c r="F21" s="31" t="s">
        <v>12</v>
      </c>
      <c r="G21" s="33" t="s">
        <v>13</v>
      </c>
      <c r="H21" s="31" t="s">
        <v>14</v>
      </c>
      <c r="I21" s="34" t="s">
        <v>15</v>
      </c>
      <c r="J21" s="35" t="s">
        <v>16</v>
      </c>
      <c r="K21" s="36" t="s">
        <v>17</v>
      </c>
      <c r="L21" s="35" t="s">
        <v>18</v>
      </c>
      <c r="M21" s="35" t="s">
        <v>19</v>
      </c>
      <c r="N21" s="35" t="s">
        <v>20</v>
      </c>
      <c r="O21" s="31" t="s">
        <v>21</v>
      </c>
      <c r="P21" s="32" t="s">
        <v>22</v>
      </c>
      <c r="Q21" s="35" t="s">
        <v>23</v>
      </c>
      <c r="R21" s="31" t="s">
        <v>24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5" customHeight="1" x14ac:dyDescent="0.3">
      <c r="A22" s="137" t="s">
        <v>59</v>
      </c>
      <c r="B22" s="137" t="s">
        <v>492</v>
      </c>
      <c r="C22" s="138">
        <v>0.13541666666666671</v>
      </c>
      <c r="D22" s="137" t="s">
        <v>191</v>
      </c>
      <c r="E22" s="137" t="s">
        <v>52</v>
      </c>
      <c r="F22" s="137" t="s">
        <v>493</v>
      </c>
      <c r="G22" s="275"/>
      <c r="H22" s="140" t="s">
        <v>494</v>
      </c>
      <c r="I22" s="226">
        <v>0.67220000000000002</v>
      </c>
      <c r="J22" s="142">
        <v>121</v>
      </c>
      <c r="K22" s="143">
        <v>45986</v>
      </c>
      <c r="L22" s="142">
        <v>59</v>
      </c>
      <c r="M22" s="142">
        <v>0</v>
      </c>
      <c r="N22" s="142">
        <v>8</v>
      </c>
      <c r="O22" s="144" t="s">
        <v>495</v>
      </c>
      <c r="P22" s="145">
        <v>0.13541666666666671</v>
      </c>
      <c r="Q22" s="142">
        <v>180</v>
      </c>
      <c r="R22" s="146" t="s">
        <v>496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8" x14ac:dyDescent="0.3">
      <c r="A23" s="300" t="s">
        <v>423</v>
      </c>
      <c r="B23" s="301"/>
      <c r="C23" s="301"/>
      <c r="D23" s="301"/>
      <c r="E23" s="301"/>
      <c r="F23" s="301"/>
      <c r="G23" s="276"/>
      <c r="H23" s="131"/>
      <c r="I23" s="131"/>
      <c r="J23" s="131"/>
      <c r="K23" s="131"/>
      <c r="L23" s="131"/>
      <c r="M23" s="131"/>
      <c r="N23" s="131"/>
      <c r="O23" s="132"/>
      <c r="P23" s="131"/>
      <c r="Q23" s="133"/>
      <c r="R23" s="13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5" customHeight="1" x14ac:dyDescent="0.3">
      <c r="A24" s="19" t="s">
        <v>246</v>
      </c>
      <c r="B24" s="19" t="s">
        <v>247</v>
      </c>
      <c r="C24" s="20" t="s">
        <v>442</v>
      </c>
      <c r="D24" s="19" t="s">
        <v>191</v>
      </c>
      <c r="E24" s="19" t="s">
        <v>169</v>
      </c>
      <c r="F24" s="19" t="s">
        <v>270</v>
      </c>
      <c r="G24" s="276"/>
      <c r="H24" s="131"/>
      <c r="I24" s="131"/>
      <c r="J24" s="131"/>
      <c r="K24" s="131"/>
      <c r="L24" s="131"/>
      <c r="M24" s="131"/>
      <c r="N24" s="131"/>
      <c r="O24" s="132"/>
      <c r="P24" s="131"/>
      <c r="Q24" s="133"/>
      <c r="R24" s="13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5" customHeight="1" x14ac:dyDescent="0.3">
      <c r="A25" s="19" t="s">
        <v>59</v>
      </c>
      <c r="B25" s="19" t="s">
        <v>271</v>
      </c>
      <c r="C25" s="20" t="s">
        <v>443</v>
      </c>
      <c r="D25" s="19" t="s">
        <v>191</v>
      </c>
      <c r="E25" s="19" t="s">
        <v>171</v>
      </c>
      <c r="F25" s="19" t="s">
        <v>272</v>
      </c>
      <c r="G25" s="276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19" t="s">
        <v>59</v>
      </c>
      <c r="B26" s="19" t="s">
        <v>275</v>
      </c>
      <c r="C26" s="20" t="s">
        <v>444</v>
      </c>
      <c r="D26" s="19" t="s">
        <v>191</v>
      </c>
      <c r="E26" s="19" t="s">
        <v>171</v>
      </c>
      <c r="F26" s="19" t="s">
        <v>209</v>
      </c>
      <c r="G26" s="276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5" customHeight="1" x14ac:dyDescent="0.3">
      <c r="A27" s="19" t="s">
        <v>25</v>
      </c>
      <c r="B27" s="19" t="s">
        <v>223</v>
      </c>
      <c r="C27" s="20" t="s">
        <v>425</v>
      </c>
      <c r="D27" s="19" t="s">
        <v>27</v>
      </c>
      <c r="E27" s="19" t="s">
        <v>427</v>
      </c>
      <c r="F27" s="19" t="s">
        <v>224</v>
      </c>
      <c r="G27" s="276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19" t="s">
        <v>283</v>
      </c>
      <c r="B28" s="19" t="s">
        <v>284</v>
      </c>
      <c r="C28" s="20" t="s">
        <v>445</v>
      </c>
      <c r="D28" s="19" t="s">
        <v>285</v>
      </c>
      <c r="E28" s="19" t="s">
        <v>165</v>
      </c>
      <c r="F28" s="19" t="s">
        <v>286</v>
      </c>
      <c r="G28" s="276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5" customHeight="1" x14ac:dyDescent="0.3">
      <c r="A29" s="19" t="s">
        <v>25</v>
      </c>
      <c r="B29" s="19" t="s">
        <v>228</v>
      </c>
      <c r="C29" s="20" t="s">
        <v>428</v>
      </c>
      <c r="D29" s="19" t="s">
        <v>27</v>
      </c>
      <c r="E29" s="19" t="s">
        <v>446</v>
      </c>
      <c r="F29" s="19" t="s">
        <v>231</v>
      </c>
      <c r="G29" s="276"/>
      <c r="H29" s="131"/>
      <c r="I29" s="131"/>
      <c r="J29" s="131"/>
      <c r="K29" s="131"/>
      <c r="L29" s="131"/>
      <c r="M29" s="131"/>
      <c r="N29" s="131"/>
      <c r="O29" s="132"/>
      <c r="P29" s="131"/>
      <c r="Q29" s="133"/>
      <c r="R29" s="13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19" t="s">
        <v>35</v>
      </c>
      <c r="B30" s="19" t="s">
        <v>234</v>
      </c>
      <c r="C30" s="20" t="s">
        <v>429</v>
      </c>
      <c r="D30" s="19" t="s">
        <v>37</v>
      </c>
      <c r="E30" s="19" t="s">
        <v>167</v>
      </c>
      <c r="F30" s="19" t="s">
        <v>231</v>
      </c>
      <c r="G30" s="276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5" customHeight="1" x14ac:dyDescent="0.3">
      <c r="A31" s="19" t="s">
        <v>35</v>
      </c>
      <c r="B31" s="19" t="s">
        <v>237</v>
      </c>
      <c r="C31" s="20" t="s">
        <v>430</v>
      </c>
      <c r="D31" s="19" t="s">
        <v>37</v>
      </c>
      <c r="E31" s="19" t="s">
        <v>165</v>
      </c>
      <c r="F31" s="19" t="s">
        <v>231</v>
      </c>
      <c r="G31" s="276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19" t="s">
        <v>35</v>
      </c>
      <c r="B32" s="19" t="s">
        <v>238</v>
      </c>
      <c r="C32" s="20" t="s">
        <v>431</v>
      </c>
      <c r="D32" s="19" t="s">
        <v>37</v>
      </c>
      <c r="E32" s="19" t="s">
        <v>196</v>
      </c>
      <c r="F32" s="19" t="s">
        <v>231</v>
      </c>
      <c r="G32" s="276"/>
      <c r="H32" s="131"/>
      <c r="I32" s="131"/>
      <c r="J32" s="131"/>
      <c r="K32" s="131"/>
      <c r="L32" s="131"/>
      <c r="M32" s="131"/>
      <c r="N32" s="131"/>
      <c r="O32" s="132"/>
      <c r="P32" s="131"/>
      <c r="Q32" s="133"/>
      <c r="R32" s="13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5" customHeight="1" x14ac:dyDescent="0.3">
      <c r="A33" s="37" t="s">
        <v>35</v>
      </c>
      <c r="B33" s="37" t="s">
        <v>239</v>
      </c>
      <c r="C33" s="38" t="s">
        <v>432</v>
      </c>
      <c r="D33" s="37" t="s">
        <v>37</v>
      </c>
      <c r="E33" s="37" t="s">
        <v>167</v>
      </c>
      <c r="F33" s="37" t="s">
        <v>231</v>
      </c>
      <c r="G33" s="277"/>
      <c r="H33" s="134"/>
      <c r="I33" s="134"/>
      <c r="J33" s="134"/>
      <c r="K33" s="134"/>
      <c r="L33" s="134"/>
      <c r="M33" s="134"/>
      <c r="N33" s="134"/>
      <c r="O33" s="135"/>
      <c r="P33" s="134"/>
      <c r="Q33" s="136"/>
      <c r="R33" s="136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4.4" customHeight="1" x14ac:dyDescent="0.3">
      <c r="A34" s="272"/>
      <c r="B34" s="273"/>
      <c r="C34" s="273"/>
      <c r="D34" s="273"/>
      <c r="E34" s="273"/>
      <c r="F34" s="273"/>
      <c r="G34" s="273"/>
      <c r="H34" s="273"/>
      <c r="I34" s="273"/>
      <c r="J34" s="273"/>
      <c r="K34" s="273"/>
      <c r="L34" s="273"/>
      <c r="M34" s="273"/>
      <c r="N34" s="273"/>
      <c r="O34" s="273"/>
      <c r="P34" s="273"/>
      <c r="Q34" s="273"/>
      <c r="R34" s="274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22.05" customHeight="1" x14ac:dyDescent="0.3">
      <c r="A35" s="280" t="s">
        <v>5</v>
      </c>
      <c r="B35" s="281"/>
      <c r="C35" s="281"/>
      <c r="D35" s="281"/>
      <c r="E35" s="281"/>
      <c r="F35" s="281"/>
      <c r="G35" s="5">
        <v>45990</v>
      </c>
      <c r="H35" s="290" t="s">
        <v>6</v>
      </c>
      <c r="I35" s="291"/>
      <c r="J35" s="291"/>
      <c r="K35" s="291"/>
      <c r="L35" s="291"/>
      <c r="M35" s="291"/>
      <c r="N35" s="291"/>
      <c r="O35" s="291"/>
      <c r="P35" s="291"/>
      <c r="Q35" s="291"/>
      <c r="R35" s="291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24" customHeight="1" x14ac:dyDescent="0.3">
      <c r="A36" s="31" t="s">
        <v>7</v>
      </c>
      <c r="B36" s="31" t="s">
        <v>8</v>
      </c>
      <c r="C36" s="32" t="s">
        <v>9</v>
      </c>
      <c r="D36" s="31" t="s">
        <v>10</v>
      </c>
      <c r="E36" s="31" t="s">
        <v>11</v>
      </c>
      <c r="F36" s="31" t="s">
        <v>12</v>
      </c>
      <c r="G36" s="33" t="s">
        <v>13</v>
      </c>
      <c r="H36" s="31" t="s">
        <v>14</v>
      </c>
      <c r="I36" s="34" t="s">
        <v>15</v>
      </c>
      <c r="J36" s="35" t="s">
        <v>16</v>
      </c>
      <c r="K36" s="36" t="s">
        <v>17</v>
      </c>
      <c r="L36" s="35" t="s">
        <v>18</v>
      </c>
      <c r="M36" s="35" t="s">
        <v>19</v>
      </c>
      <c r="N36" s="35" t="s">
        <v>20</v>
      </c>
      <c r="O36" s="31" t="s">
        <v>21</v>
      </c>
      <c r="P36" s="32" t="s">
        <v>22</v>
      </c>
      <c r="Q36" s="35" t="s">
        <v>23</v>
      </c>
      <c r="R36" s="31" t="s">
        <v>24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49.95" customHeight="1" x14ac:dyDescent="0.3">
      <c r="A37" s="205" t="s">
        <v>59</v>
      </c>
      <c r="B37" s="205" t="s">
        <v>492</v>
      </c>
      <c r="C37" s="206">
        <v>0.1423611111111111</v>
      </c>
      <c r="D37" s="205" t="s">
        <v>191</v>
      </c>
      <c r="E37" s="205" t="s">
        <v>73</v>
      </c>
      <c r="F37" s="205" t="s">
        <v>497</v>
      </c>
      <c r="G37" s="275"/>
      <c r="H37" s="187" t="s">
        <v>494</v>
      </c>
      <c r="I37" s="227">
        <v>0.77780000000000005</v>
      </c>
      <c r="J37" s="189">
        <v>140</v>
      </c>
      <c r="K37" s="190">
        <v>45987</v>
      </c>
      <c r="L37" s="189">
        <v>24</v>
      </c>
      <c r="M37" s="189">
        <v>5</v>
      </c>
      <c r="N37" s="189">
        <v>6</v>
      </c>
      <c r="O37" s="191" t="s">
        <v>312</v>
      </c>
      <c r="P37" s="192">
        <v>0.1423611111111111</v>
      </c>
      <c r="Q37" s="189">
        <v>180</v>
      </c>
      <c r="R37" s="193" t="s">
        <v>498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49.95" customHeight="1" x14ac:dyDescent="0.3">
      <c r="A38" s="195" t="s">
        <v>59</v>
      </c>
      <c r="B38" s="195" t="s">
        <v>488</v>
      </c>
      <c r="C38" s="196">
        <v>0.52777777777777779</v>
      </c>
      <c r="D38" s="195" t="s">
        <v>61</v>
      </c>
      <c r="E38" s="197"/>
      <c r="F38" s="195" t="s">
        <v>62</v>
      </c>
      <c r="G38" s="277"/>
      <c r="H38" s="198" t="s">
        <v>488</v>
      </c>
      <c r="I38" s="199">
        <v>1</v>
      </c>
      <c r="J38" s="200">
        <v>180</v>
      </c>
      <c r="K38" s="201">
        <v>45986</v>
      </c>
      <c r="L38" s="200">
        <v>20</v>
      </c>
      <c r="M38" s="200">
        <v>0</v>
      </c>
      <c r="N38" s="200">
        <v>1</v>
      </c>
      <c r="O38" s="202" t="s">
        <v>63</v>
      </c>
      <c r="P38" s="203">
        <v>0.52777777777777779</v>
      </c>
      <c r="Q38" s="200">
        <v>180</v>
      </c>
      <c r="R38" s="204" t="s">
        <v>499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14.4" customHeight="1" x14ac:dyDescent="0.3">
      <c r="A39" s="284"/>
      <c r="B39" s="285"/>
      <c r="C39" s="285"/>
      <c r="D39" s="285"/>
      <c r="E39" s="285"/>
      <c r="F39" s="285"/>
      <c r="G39" s="273"/>
      <c r="H39" s="286"/>
      <c r="I39" s="286"/>
      <c r="J39" s="286"/>
      <c r="K39" s="286"/>
      <c r="L39" s="286"/>
      <c r="M39" s="286"/>
      <c r="N39" s="286"/>
      <c r="O39" s="287"/>
      <c r="P39" s="286"/>
      <c r="Q39" s="273"/>
      <c r="R39" s="274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22.05" customHeight="1" x14ac:dyDescent="0.3">
      <c r="A40" s="280" t="s">
        <v>5</v>
      </c>
      <c r="B40" s="281"/>
      <c r="C40" s="281"/>
      <c r="D40" s="281"/>
      <c r="E40" s="281"/>
      <c r="F40" s="281"/>
      <c r="G40" s="5">
        <v>45991</v>
      </c>
      <c r="H40" s="290" t="s">
        <v>6</v>
      </c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24" customHeight="1" x14ac:dyDescent="0.3">
      <c r="A41" s="31" t="s">
        <v>7</v>
      </c>
      <c r="B41" s="31" t="s">
        <v>8</v>
      </c>
      <c r="C41" s="32" t="s">
        <v>9</v>
      </c>
      <c r="D41" s="31" t="s">
        <v>10</v>
      </c>
      <c r="E41" s="31" t="s">
        <v>11</v>
      </c>
      <c r="F41" s="31" t="s">
        <v>12</v>
      </c>
      <c r="G41" s="33" t="s">
        <v>13</v>
      </c>
      <c r="H41" s="31" t="s">
        <v>14</v>
      </c>
      <c r="I41" s="34" t="s">
        <v>15</v>
      </c>
      <c r="J41" s="35" t="s">
        <v>16</v>
      </c>
      <c r="K41" s="36" t="s">
        <v>17</v>
      </c>
      <c r="L41" s="35" t="s">
        <v>18</v>
      </c>
      <c r="M41" s="35" t="s">
        <v>19</v>
      </c>
      <c r="N41" s="35" t="s">
        <v>20</v>
      </c>
      <c r="O41" s="31" t="s">
        <v>21</v>
      </c>
      <c r="P41" s="32" t="s">
        <v>22</v>
      </c>
      <c r="Q41" s="35" t="s">
        <v>23</v>
      </c>
      <c r="R41" s="31" t="s">
        <v>24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5" customHeight="1" x14ac:dyDescent="0.3">
      <c r="A42" s="8" t="s">
        <v>25</v>
      </c>
      <c r="B42" s="8" t="s">
        <v>500</v>
      </c>
      <c r="C42" s="9">
        <v>0.36458333333333331</v>
      </c>
      <c r="D42" s="8" t="s">
        <v>448</v>
      </c>
      <c r="E42" s="8" t="s">
        <v>38</v>
      </c>
      <c r="F42" s="8" t="s">
        <v>501</v>
      </c>
      <c r="G42" s="275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15" customHeight="1" x14ac:dyDescent="0.3">
      <c r="A43" s="15" t="s">
        <v>25</v>
      </c>
      <c r="B43" s="15" t="s">
        <v>500</v>
      </c>
      <c r="C43" s="16">
        <v>0.36458333333333331</v>
      </c>
      <c r="D43" s="15" t="s">
        <v>436</v>
      </c>
      <c r="E43" s="15" t="s">
        <v>41</v>
      </c>
      <c r="F43" s="15" t="s">
        <v>502</v>
      </c>
      <c r="G43" s="276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5" customHeight="1" x14ac:dyDescent="0.3">
      <c r="A44" s="15" t="s">
        <v>25</v>
      </c>
      <c r="B44" s="15" t="s">
        <v>500</v>
      </c>
      <c r="C44" s="16">
        <v>0.36458333333333331</v>
      </c>
      <c r="D44" s="15" t="s">
        <v>438</v>
      </c>
      <c r="E44" s="15" t="s">
        <v>41</v>
      </c>
      <c r="F44" s="15" t="s">
        <v>503</v>
      </c>
      <c r="G44" s="276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15" customHeight="1" x14ac:dyDescent="0.3">
      <c r="A45" s="15" t="s">
        <v>25</v>
      </c>
      <c r="B45" s="15" t="s">
        <v>500</v>
      </c>
      <c r="C45" s="16">
        <v>0.36458333333333331</v>
      </c>
      <c r="D45" s="15" t="s">
        <v>452</v>
      </c>
      <c r="E45" s="15" t="s">
        <v>41</v>
      </c>
      <c r="F45" s="15" t="s">
        <v>504</v>
      </c>
      <c r="G45" s="276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15" customHeight="1" x14ac:dyDescent="0.3">
      <c r="A46" s="205" t="s">
        <v>59</v>
      </c>
      <c r="B46" s="205" t="s">
        <v>492</v>
      </c>
      <c r="C46" s="206">
        <v>0.3298611111111111</v>
      </c>
      <c r="D46" s="205" t="s">
        <v>191</v>
      </c>
      <c r="E46" s="205" t="s">
        <v>96</v>
      </c>
      <c r="F46" s="205" t="s">
        <v>493</v>
      </c>
      <c r="G46" s="276"/>
      <c r="H46" s="187" t="s">
        <v>494</v>
      </c>
      <c r="I46" s="188">
        <v>0.9778</v>
      </c>
      <c r="J46" s="189">
        <v>176</v>
      </c>
      <c r="K46" s="190">
        <v>45987</v>
      </c>
      <c r="L46" s="189">
        <v>36</v>
      </c>
      <c r="M46" s="189">
        <v>2</v>
      </c>
      <c r="N46" s="189">
        <v>7</v>
      </c>
      <c r="O46" s="191" t="s">
        <v>333</v>
      </c>
      <c r="P46" s="192">
        <v>0.3298611111111111</v>
      </c>
      <c r="Q46" s="189">
        <v>180</v>
      </c>
      <c r="R46" s="193" t="s">
        <v>505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228" t="s">
        <v>59</v>
      </c>
      <c r="B47" s="228" t="s">
        <v>486</v>
      </c>
      <c r="C47" s="229">
        <v>0.69097222222222221</v>
      </c>
      <c r="D47" s="228" t="s">
        <v>191</v>
      </c>
      <c r="E47" s="228" t="s">
        <v>76</v>
      </c>
      <c r="F47" s="228" t="s">
        <v>506</v>
      </c>
      <c r="G47" s="277"/>
      <c r="H47" s="230" t="s">
        <v>488</v>
      </c>
      <c r="I47" s="231">
        <v>0.7833</v>
      </c>
      <c r="J47" s="232">
        <v>141</v>
      </c>
      <c r="K47" s="233">
        <v>45986</v>
      </c>
      <c r="L47" s="232">
        <v>58</v>
      </c>
      <c r="M47" s="232">
        <v>0</v>
      </c>
      <c r="N47" s="232">
        <v>7</v>
      </c>
      <c r="O47" s="234" t="s">
        <v>392</v>
      </c>
      <c r="P47" s="235">
        <v>0.69097222222222221</v>
      </c>
      <c r="Q47" s="232">
        <v>180</v>
      </c>
      <c r="R47" s="236" t="s">
        <v>507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4.4" customHeight="1" x14ac:dyDescent="0.3">
      <c r="A48" s="272"/>
      <c r="B48" s="273"/>
      <c r="C48" s="273"/>
      <c r="D48" s="273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/>
      <c r="R48" s="274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</sheetData>
  <mergeCells count="27">
    <mergeCell ref="G42:G47"/>
    <mergeCell ref="H4:R4"/>
    <mergeCell ref="G22:G33"/>
    <mergeCell ref="H40:R40"/>
    <mergeCell ref="G37:G38"/>
    <mergeCell ref="A8:F8"/>
    <mergeCell ref="G6:G18"/>
    <mergeCell ref="G2:J2"/>
    <mergeCell ref="O1:Q1"/>
    <mergeCell ref="H35:R35"/>
    <mergeCell ref="H20:R20"/>
    <mergeCell ref="A40:F40"/>
    <mergeCell ref="D1:F1"/>
    <mergeCell ref="A34:R34"/>
    <mergeCell ref="A48:R48"/>
    <mergeCell ref="A39:R39"/>
    <mergeCell ref="A1:C1"/>
    <mergeCell ref="G1:H1"/>
    <mergeCell ref="A35:F35"/>
    <mergeCell ref="A4:F4"/>
    <mergeCell ref="A20:F20"/>
    <mergeCell ref="J1:M1"/>
    <mergeCell ref="A19:R19"/>
    <mergeCell ref="K2:R2"/>
    <mergeCell ref="A2:F2"/>
    <mergeCell ref="A3:R3"/>
    <mergeCell ref="A23:F2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9.7773437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7.21875" bestFit="1" customWidth="1"/>
    <col min="35" max="35" width="6.7773437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  <row r="2" spans="1:35" ht="18" x14ac:dyDescent="0.3">
      <c r="A2" s="65" t="s">
        <v>133</v>
      </c>
      <c r="B2" s="66">
        <v>45988</v>
      </c>
      <c r="C2" s="67" t="s">
        <v>490</v>
      </c>
      <c r="D2" s="68">
        <v>0.3298611111111111</v>
      </c>
      <c r="E2" s="67" t="s">
        <v>485</v>
      </c>
      <c r="F2" s="67" t="s">
        <v>134</v>
      </c>
      <c r="G2" s="69">
        <v>1</v>
      </c>
      <c r="H2" s="70">
        <v>180</v>
      </c>
      <c r="I2" s="70">
        <v>180</v>
      </c>
      <c r="J2" s="70">
        <v>132</v>
      </c>
      <c r="K2" s="66">
        <v>45987</v>
      </c>
      <c r="L2" s="70">
        <v>2</v>
      </c>
      <c r="M2" s="70">
        <v>5</v>
      </c>
      <c r="N2" s="70">
        <v>13</v>
      </c>
      <c r="O2" s="67" t="s">
        <v>63</v>
      </c>
      <c r="P2" s="71"/>
      <c r="Q2" s="71"/>
      <c r="R2" s="71"/>
      <c r="S2" s="71"/>
      <c r="T2" s="71"/>
      <c r="U2" s="71"/>
      <c r="V2" s="71"/>
      <c r="W2" s="71"/>
      <c r="X2" s="71"/>
      <c r="Y2" s="70" t="s">
        <v>508</v>
      </c>
      <c r="Z2" s="70" t="s">
        <v>194</v>
      </c>
      <c r="AA2" s="70" t="s">
        <v>509</v>
      </c>
      <c r="AB2" s="70" t="s">
        <v>321</v>
      </c>
      <c r="AC2" s="70" t="s">
        <v>203</v>
      </c>
      <c r="AD2" s="70" t="s">
        <v>136</v>
      </c>
      <c r="AE2" s="70" t="s">
        <v>473</v>
      </c>
      <c r="AF2" s="71"/>
      <c r="AG2" s="71"/>
      <c r="AH2" s="70" t="s">
        <v>338</v>
      </c>
      <c r="AI2" s="71"/>
    </row>
    <row r="3" spans="1:35" ht="18" x14ac:dyDescent="0.3">
      <c r="A3" s="72" t="s">
        <v>133</v>
      </c>
      <c r="B3" s="73">
        <v>45988</v>
      </c>
      <c r="C3" s="74" t="s">
        <v>488</v>
      </c>
      <c r="D3" s="75">
        <v>0.54861111111111105</v>
      </c>
      <c r="E3" s="74" t="s">
        <v>485</v>
      </c>
      <c r="F3" s="74" t="s">
        <v>134</v>
      </c>
      <c r="G3" s="76">
        <v>0.99439999999999995</v>
      </c>
      <c r="H3" s="77">
        <v>180</v>
      </c>
      <c r="I3" s="77">
        <v>179</v>
      </c>
      <c r="J3" s="77">
        <v>95</v>
      </c>
      <c r="K3" s="73">
        <v>45986</v>
      </c>
      <c r="L3" s="77">
        <v>0</v>
      </c>
      <c r="M3" s="77">
        <v>1</v>
      </c>
      <c r="N3" s="77">
        <v>53</v>
      </c>
      <c r="O3" s="74" t="s">
        <v>194</v>
      </c>
      <c r="P3" s="78"/>
      <c r="Q3" s="78"/>
      <c r="R3" s="78"/>
      <c r="S3" s="78"/>
      <c r="T3" s="78"/>
      <c r="U3" s="78"/>
      <c r="V3" s="78"/>
      <c r="W3" s="78"/>
      <c r="X3" s="78"/>
      <c r="Y3" s="77" t="s">
        <v>350</v>
      </c>
      <c r="Z3" s="77" t="s">
        <v>510</v>
      </c>
      <c r="AA3" s="77" t="s">
        <v>511</v>
      </c>
      <c r="AB3" s="77" t="s">
        <v>321</v>
      </c>
      <c r="AC3" s="78"/>
      <c r="AD3" s="77" t="s">
        <v>512</v>
      </c>
      <c r="AE3" s="77" t="s">
        <v>513</v>
      </c>
      <c r="AF3" s="78"/>
      <c r="AG3" s="78"/>
      <c r="AH3" s="77" t="s">
        <v>478</v>
      </c>
      <c r="AI3" s="78"/>
    </row>
    <row r="4" spans="1:35" ht="18" x14ac:dyDescent="0.3">
      <c r="A4" s="65" t="s">
        <v>346</v>
      </c>
      <c r="B4" s="66">
        <v>45989</v>
      </c>
      <c r="C4" s="67" t="s">
        <v>494</v>
      </c>
      <c r="D4" s="68">
        <v>0.13541666666666671</v>
      </c>
      <c r="E4" s="67" t="s">
        <v>485</v>
      </c>
      <c r="F4" s="67" t="s">
        <v>134</v>
      </c>
      <c r="G4" s="69">
        <v>0.67220000000000002</v>
      </c>
      <c r="H4" s="70">
        <v>180</v>
      </c>
      <c r="I4" s="70">
        <v>121</v>
      </c>
      <c r="J4" s="70">
        <v>0</v>
      </c>
      <c r="K4" s="66">
        <v>45986</v>
      </c>
      <c r="L4" s="70">
        <v>0</v>
      </c>
      <c r="M4" s="70">
        <v>8</v>
      </c>
      <c r="N4" s="70">
        <v>59</v>
      </c>
      <c r="O4" s="67" t="s">
        <v>495</v>
      </c>
      <c r="P4" s="71"/>
      <c r="Q4" s="71"/>
      <c r="R4" s="71"/>
      <c r="S4" s="71"/>
      <c r="T4" s="71"/>
      <c r="U4" s="71"/>
      <c r="V4" s="71"/>
      <c r="W4" s="71"/>
      <c r="X4" s="70" t="s">
        <v>514</v>
      </c>
      <c r="Y4" s="70" t="s">
        <v>515</v>
      </c>
      <c r="Z4" s="70" t="s">
        <v>385</v>
      </c>
      <c r="AA4" s="70" t="s">
        <v>201</v>
      </c>
      <c r="AB4" s="70" t="s">
        <v>516</v>
      </c>
      <c r="AC4" s="70" t="s">
        <v>517</v>
      </c>
      <c r="AD4" s="70" t="s">
        <v>518</v>
      </c>
      <c r="AE4" s="71"/>
      <c r="AF4" s="71"/>
      <c r="AG4" s="71"/>
      <c r="AH4" s="71"/>
      <c r="AI4" s="71"/>
    </row>
    <row r="5" spans="1:35" ht="18" x14ac:dyDescent="0.3">
      <c r="A5" s="72" t="s">
        <v>140</v>
      </c>
      <c r="B5" s="73">
        <v>45990</v>
      </c>
      <c r="C5" s="74" t="s">
        <v>494</v>
      </c>
      <c r="D5" s="75">
        <v>0.1423611111111111</v>
      </c>
      <c r="E5" s="74" t="s">
        <v>485</v>
      </c>
      <c r="F5" s="74" t="s">
        <v>134</v>
      </c>
      <c r="G5" s="76">
        <v>0.77780000000000005</v>
      </c>
      <c r="H5" s="77">
        <v>180</v>
      </c>
      <c r="I5" s="77">
        <v>140</v>
      </c>
      <c r="J5" s="77">
        <v>85</v>
      </c>
      <c r="K5" s="73">
        <v>45987</v>
      </c>
      <c r="L5" s="77">
        <v>5</v>
      </c>
      <c r="M5" s="77">
        <v>6</v>
      </c>
      <c r="N5" s="77">
        <v>24</v>
      </c>
      <c r="O5" s="74" t="s">
        <v>312</v>
      </c>
      <c r="P5" s="78"/>
      <c r="Q5" s="78"/>
      <c r="R5" s="78"/>
      <c r="S5" s="78"/>
      <c r="T5" s="78"/>
      <c r="U5" s="78"/>
      <c r="V5" s="78"/>
      <c r="W5" s="78"/>
      <c r="X5" s="77" t="s">
        <v>384</v>
      </c>
      <c r="Y5" s="77" t="s">
        <v>465</v>
      </c>
      <c r="Z5" s="77" t="s">
        <v>351</v>
      </c>
      <c r="AA5" s="77" t="s">
        <v>466</v>
      </c>
      <c r="AB5" s="77" t="s">
        <v>407</v>
      </c>
      <c r="AC5" s="78"/>
      <c r="AD5" s="78"/>
      <c r="AE5" s="78"/>
      <c r="AF5" s="78"/>
      <c r="AG5" s="78"/>
      <c r="AH5" s="77" t="s">
        <v>519</v>
      </c>
      <c r="AI5" s="78"/>
    </row>
    <row r="6" spans="1:35" ht="18" x14ac:dyDescent="0.3">
      <c r="A6" s="65" t="s">
        <v>140</v>
      </c>
      <c r="B6" s="66">
        <v>45990</v>
      </c>
      <c r="C6" s="67" t="s">
        <v>488</v>
      </c>
      <c r="D6" s="68">
        <v>0.52777777777777779</v>
      </c>
      <c r="E6" s="67" t="s">
        <v>485</v>
      </c>
      <c r="F6" s="67" t="s">
        <v>134</v>
      </c>
      <c r="G6" s="69">
        <v>1</v>
      </c>
      <c r="H6" s="70">
        <v>180</v>
      </c>
      <c r="I6" s="70">
        <v>180</v>
      </c>
      <c r="J6" s="70">
        <v>95</v>
      </c>
      <c r="K6" s="66">
        <v>45986</v>
      </c>
      <c r="L6" s="70">
        <v>0</v>
      </c>
      <c r="M6" s="70">
        <v>1</v>
      </c>
      <c r="N6" s="70">
        <v>20</v>
      </c>
      <c r="O6" s="67" t="s">
        <v>63</v>
      </c>
      <c r="P6" s="70" t="s">
        <v>520</v>
      </c>
      <c r="Q6" s="71"/>
      <c r="R6" s="71"/>
      <c r="S6" s="71"/>
      <c r="T6" s="71"/>
      <c r="U6" s="71"/>
      <c r="V6" s="71"/>
      <c r="W6" s="70" t="s">
        <v>186</v>
      </c>
      <c r="X6" s="70" t="s">
        <v>416</v>
      </c>
      <c r="Y6" s="70" t="s">
        <v>515</v>
      </c>
      <c r="Z6" s="70" t="s">
        <v>521</v>
      </c>
      <c r="AA6" s="70" t="s">
        <v>522</v>
      </c>
      <c r="AB6" s="70" t="s">
        <v>352</v>
      </c>
      <c r="AC6" s="71"/>
      <c r="AD6" s="71"/>
      <c r="AE6" s="71"/>
      <c r="AF6" s="71"/>
      <c r="AG6" s="71"/>
      <c r="AH6" s="70" t="s">
        <v>478</v>
      </c>
      <c r="AI6" s="71"/>
    </row>
    <row r="7" spans="1:35" ht="18" x14ac:dyDescent="0.3">
      <c r="A7" s="72" t="s">
        <v>148</v>
      </c>
      <c r="B7" s="73">
        <v>45991</v>
      </c>
      <c r="C7" s="74" t="s">
        <v>494</v>
      </c>
      <c r="D7" s="75">
        <v>0.3298611111111111</v>
      </c>
      <c r="E7" s="74" t="s">
        <v>485</v>
      </c>
      <c r="F7" s="74" t="s">
        <v>134</v>
      </c>
      <c r="G7" s="76">
        <v>0.9778</v>
      </c>
      <c r="H7" s="77">
        <v>180</v>
      </c>
      <c r="I7" s="77">
        <v>176</v>
      </c>
      <c r="J7" s="77">
        <v>82</v>
      </c>
      <c r="K7" s="73">
        <v>45987</v>
      </c>
      <c r="L7" s="77">
        <v>2</v>
      </c>
      <c r="M7" s="77">
        <v>7</v>
      </c>
      <c r="N7" s="77">
        <v>36</v>
      </c>
      <c r="O7" s="74" t="s">
        <v>333</v>
      </c>
      <c r="P7" s="78"/>
      <c r="Q7" s="78"/>
      <c r="R7" s="78"/>
      <c r="S7" s="78"/>
      <c r="T7" s="78"/>
      <c r="U7" s="78"/>
      <c r="V7" s="78"/>
      <c r="W7" s="78"/>
      <c r="X7" s="78"/>
      <c r="Y7" s="77" t="s">
        <v>523</v>
      </c>
      <c r="Z7" s="77" t="s">
        <v>524</v>
      </c>
      <c r="AA7" s="77" t="s">
        <v>525</v>
      </c>
      <c r="AB7" s="77" t="s">
        <v>526</v>
      </c>
      <c r="AC7" s="77" t="s">
        <v>527</v>
      </c>
      <c r="AD7" s="77" t="s">
        <v>136</v>
      </c>
      <c r="AE7" s="77" t="s">
        <v>528</v>
      </c>
      <c r="AF7" s="77" t="s">
        <v>529</v>
      </c>
      <c r="AG7" s="78"/>
      <c r="AH7" s="77" t="s">
        <v>330</v>
      </c>
      <c r="AI7" s="78"/>
    </row>
    <row r="8" spans="1:35" ht="18" x14ac:dyDescent="0.3">
      <c r="A8" s="65" t="s">
        <v>148</v>
      </c>
      <c r="B8" s="66">
        <v>45991</v>
      </c>
      <c r="C8" s="67" t="s">
        <v>488</v>
      </c>
      <c r="D8" s="68">
        <v>0.69097222222222221</v>
      </c>
      <c r="E8" s="67" t="s">
        <v>485</v>
      </c>
      <c r="F8" s="67" t="s">
        <v>134</v>
      </c>
      <c r="G8" s="69">
        <v>0.7833</v>
      </c>
      <c r="H8" s="70">
        <v>180</v>
      </c>
      <c r="I8" s="70">
        <v>141</v>
      </c>
      <c r="J8" s="70">
        <v>45</v>
      </c>
      <c r="K8" s="66">
        <v>45986</v>
      </c>
      <c r="L8" s="70">
        <v>0</v>
      </c>
      <c r="M8" s="70">
        <v>7</v>
      </c>
      <c r="N8" s="70">
        <v>58</v>
      </c>
      <c r="O8" s="67" t="s">
        <v>392</v>
      </c>
      <c r="P8" s="70" t="s">
        <v>198</v>
      </c>
      <c r="Q8" s="71"/>
      <c r="R8" s="71"/>
      <c r="S8" s="71"/>
      <c r="T8" s="71"/>
      <c r="U8" s="71"/>
      <c r="V8" s="71"/>
      <c r="W8" s="71"/>
      <c r="X8" s="70" t="s">
        <v>387</v>
      </c>
      <c r="Y8" s="70" t="s">
        <v>350</v>
      </c>
      <c r="Z8" s="70" t="s">
        <v>385</v>
      </c>
      <c r="AA8" s="70" t="s">
        <v>201</v>
      </c>
      <c r="AB8" s="70" t="s">
        <v>343</v>
      </c>
      <c r="AC8" s="70" t="s">
        <v>530</v>
      </c>
      <c r="AD8" s="71"/>
      <c r="AE8" s="71"/>
      <c r="AF8" s="71"/>
      <c r="AG8" s="71"/>
      <c r="AH8" s="70" t="s">
        <v>330</v>
      </c>
      <c r="AI8" s="71"/>
    </row>
    <row r="9" spans="1:35" ht="18" x14ac:dyDescent="0.3">
      <c r="A9" s="79" t="s">
        <v>151</v>
      </c>
      <c r="B9" s="80"/>
      <c r="C9" s="81">
        <f>COUNTA(C2:C8)</f>
        <v>7</v>
      </c>
      <c r="D9" s="80"/>
      <c r="E9" s="80"/>
      <c r="F9" s="80"/>
      <c r="G9" s="82">
        <f>AVERAGE(G2:G8)</f>
        <v>0.88649999999999995</v>
      </c>
      <c r="H9" s="83">
        <f>SUM(H2:H8)</f>
        <v>1260</v>
      </c>
      <c r="I9" s="83">
        <f>SUM(I2:I8)</f>
        <v>1117</v>
      </c>
      <c r="J9" s="83">
        <f>SUM(J2:J8)</f>
        <v>534</v>
      </c>
      <c r="K9" s="80"/>
      <c r="L9" s="83">
        <f>SUM(L2:L8)</f>
        <v>9</v>
      </c>
      <c r="M9" s="83">
        <f>SUM(M2:M8)</f>
        <v>35</v>
      </c>
      <c r="N9" s="83">
        <f>SUM(N2:N8)</f>
        <v>263</v>
      </c>
      <c r="O9" s="80"/>
      <c r="P9" s="83">
        <f t="shared" ref="P9:AI9" si="0">SUMPRODUCT(--IFERROR(VALUE(SUBSTITUTE(SUBSTITUTE(SUBSTITUTE(SUBSTITUTE(SUBSTITUTE(SUBSTITUTE(SUBSTITUTE(SUBSTITUTE(SUBSTITUTE(SUBSTITUTE(SUBSTITUTE(SUBSTITUTE(SUBSTITUTE(SUBSTITUTE(SUBSTITUTE(SUBSTITUTE(SUBSTITUTE(SUBSTITUTE(SUBSTITUTE(SUBSTITUTE(P2:P8,"Y",""),"B",""),"M",""),"H",""),"Q",""),"K",""),"V",""),"L",""),"G",""),"S",""),"W",""),"T",""),"X",""),"U",""),"O",""),"I",""),"E",""),"A",""),"P",""),"N","")),0))</f>
        <v>0</v>
      </c>
      <c r="Q9" s="83">
        <f t="shared" si="0"/>
        <v>0</v>
      </c>
      <c r="R9" s="83">
        <f t="shared" si="0"/>
        <v>0</v>
      </c>
      <c r="S9" s="83">
        <f t="shared" si="0"/>
        <v>0</v>
      </c>
      <c r="T9" s="83">
        <f t="shared" si="0"/>
        <v>0</v>
      </c>
      <c r="U9" s="83">
        <f t="shared" si="0"/>
        <v>0</v>
      </c>
      <c r="V9" s="83">
        <f t="shared" si="0"/>
        <v>0</v>
      </c>
      <c r="W9" s="83">
        <f t="shared" si="0"/>
        <v>0</v>
      </c>
      <c r="X9" s="83">
        <f t="shared" si="0"/>
        <v>0</v>
      </c>
      <c r="Y9" s="83">
        <f t="shared" si="0"/>
        <v>0</v>
      </c>
      <c r="Z9" s="83">
        <f t="shared" si="0"/>
        <v>0</v>
      </c>
      <c r="AA9" s="83">
        <f t="shared" si="0"/>
        <v>0</v>
      </c>
      <c r="AB9" s="83">
        <f t="shared" si="0"/>
        <v>0</v>
      </c>
      <c r="AC9" s="83">
        <f t="shared" si="0"/>
        <v>0</v>
      </c>
      <c r="AD9" s="83">
        <f t="shared" si="0"/>
        <v>0</v>
      </c>
      <c r="AE9" s="83">
        <f t="shared" si="0"/>
        <v>0</v>
      </c>
      <c r="AF9" s="83">
        <f t="shared" si="0"/>
        <v>0</v>
      </c>
      <c r="AG9" s="83">
        <f t="shared" si="0"/>
        <v>0</v>
      </c>
      <c r="AH9" s="83">
        <f t="shared" si="0"/>
        <v>0</v>
      </c>
      <c r="AI9" s="83">
        <f t="shared" si="0"/>
        <v>0</v>
      </c>
    </row>
  </sheetData>
  <autoFilter ref="A1:AI8" xr:uid="{00000000-0009-0000-0000-000011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4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32.109375" bestFit="1" customWidth="1"/>
    <col min="6" max="6" width="34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  <row r="2" spans="1:8" ht="18" x14ac:dyDescent="0.3">
      <c r="A2" s="153">
        <v>45988</v>
      </c>
      <c r="B2" s="148" t="s">
        <v>59</v>
      </c>
      <c r="C2" s="149" t="s">
        <v>486</v>
      </c>
      <c r="D2" s="148" t="s">
        <v>485</v>
      </c>
      <c r="E2" s="150">
        <v>1.5486111111111109</v>
      </c>
      <c r="F2" s="148" t="s">
        <v>191</v>
      </c>
      <c r="G2" s="155">
        <v>1</v>
      </c>
      <c r="H2" s="154" t="s">
        <v>487</v>
      </c>
    </row>
    <row r="3" spans="1:8" ht="18" x14ac:dyDescent="0.3">
      <c r="A3" s="211">
        <v>45988</v>
      </c>
      <c r="B3" s="212" t="s">
        <v>59</v>
      </c>
      <c r="C3" s="213" t="s">
        <v>490</v>
      </c>
      <c r="D3" s="212" t="s">
        <v>485</v>
      </c>
      <c r="E3" s="214">
        <v>1.3298611111111109</v>
      </c>
      <c r="F3" s="212" t="s">
        <v>61</v>
      </c>
      <c r="G3" s="212"/>
      <c r="H3" s="212" t="s">
        <v>62</v>
      </c>
    </row>
    <row r="4" spans="1:8" ht="15.6" x14ac:dyDescent="0.3">
      <c r="A4" s="151"/>
      <c r="B4" s="151"/>
      <c r="C4" s="151"/>
      <c r="D4" s="151"/>
      <c r="E4" s="152" t="s">
        <v>484</v>
      </c>
      <c r="F4" s="151"/>
      <c r="G4" s="151"/>
      <c r="H4" s="3"/>
    </row>
    <row r="5" spans="1:8" ht="18" x14ac:dyDescent="0.3">
      <c r="A5" s="147">
        <v>45988</v>
      </c>
      <c r="B5" s="148" t="s">
        <v>59</v>
      </c>
      <c r="C5" s="149" t="s">
        <v>208</v>
      </c>
      <c r="D5" s="148" t="s">
        <v>207</v>
      </c>
      <c r="E5" s="150">
        <v>1.9375</v>
      </c>
      <c r="F5" s="148" t="s">
        <v>191</v>
      </c>
      <c r="G5" s="155">
        <v>1</v>
      </c>
      <c r="H5" s="148" t="s">
        <v>209</v>
      </c>
    </row>
    <row r="6" spans="1:8" ht="18" x14ac:dyDescent="0.3">
      <c r="A6" s="96">
        <v>45988</v>
      </c>
      <c r="B6" s="86" t="s">
        <v>25</v>
      </c>
      <c r="C6" s="87" t="s">
        <v>223</v>
      </c>
      <c r="D6" s="86" t="s">
        <v>207</v>
      </c>
      <c r="E6" s="88">
        <v>1.399305555555556</v>
      </c>
      <c r="F6" s="86" t="s">
        <v>27</v>
      </c>
      <c r="G6" s="89">
        <v>3</v>
      </c>
      <c r="H6" s="86" t="s">
        <v>224</v>
      </c>
    </row>
    <row r="7" spans="1:8" ht="18" x14ac:dyDescent="0.3">
      <c r="A7" s="97">
        <v>45988</v>
      </c>
      <c r="B7" s="98" t="s">
        <v>25</v>
      </c>
      <c r="C7" s="99" t="s">
        <v>225</v>
      </c>
      <c r="D7" s="98" t="s">
        <v>207</v>
      </c>
      <c r="E7" s="100">
        <v>1.489583333333333</v>
      </c>
      <c r="F7" s="98" t="s">
        <v>27</v>
      </c>
      <c r="G7" s="101">
        <v>5</v>
      </c>
      <c r="H7" s="98" t="s">
        <v>224</v>
      </c>
    </row>
    <row r="8" spans="1:8" ht="18" x14ac:dyDescent="0.3">
      <c r="A8" s="97">
        <v>45988</v>
      </c>
      <c r="B8" s="98" t="s">
        <v>25</v>
      </c>
      <c r="C8" s="99" t="s">
        <v>228</v>
      </c>
      <c r="D8" s="98" t="s">
        <v>207</v>
      </c>
      <c r="E8" s="100">
        <v>1.989583333333333</v>
      </c>
      <c r="F8" s="98" t="s">
        <v>27</v>
      </c>
      <c r="G8" s="101">
        <v>7</v>
      </c>
      <c r="H8" s="98" t="s">
        <v>224</v>
      </c>
    </row>
    <row r="9" spans="1:8" ht="18" x14ac:dyDescent="0.3">
      <c r="A9" s="96">
        <v>45988</v>
      </c>
      <c r="B9" s="86" t="s">
        <v>35</v>
      </c>
      <c r="C9" s="87" t="s">
        <v>234</v>
      </c>
      <c r="D9" s="86" t="s">
        <v>207</v>
      </c>
      <c r="E9" s="88">
        <v>1.3472222222222221</v>
      </c>
      <c r="F9" s="86" t="s">
        <v>37</v>
      </c>
      <c r="G9" s="89">
        <v>9</v>
      </c>
      <c r="H9" s="86" t="s">
        <v>224</v>
      </c>
    </row>
    <row r="10" spans="1:8" ht="18" x14ac:dyDescent="0.3">
      <c r="A10" s="97">
        <v>45988</v>
      </c>
      <c r="B10" s="98" t="s">
        <v>35</v>
      </c>
      <c r="C10" s="99" t="s">
        <v>237</v>
      </c>
      <c r="D10" s="98" t="s">
        <v>207</v>
      </c>
      <c r="E10" s="100">
        <v>1.993055555555556</v>
      </c>
      <c r="F10" s="98" t="s">
        <v>37</v>
      </c>
      <c r="G10" s="101">
        <v>8</v>
      </c>
      <c r="H10" s="98" t="s">
        <v>224</v>
      </c>
    </row>
    <row r="11" spans="1:8" ht="18" x14ac:dyDescent="0.3">
      <c r="A11" s="97">
        <v>45988</v>
      </c>
      <c r="B11" s="98" t="s">
        <v>35</v>
      </c>
      <c r="C11" s="99" t="s">
        <v>238</v>
      </c>
      <c r="D11" s="98" t="s">
        <v>207</v>
      </c>
      <c r="E11" s="100">
        <v>1.836805555555556</v>
      </c>
      <c r="F11" s="98" t="s">
        <v>37</v>
      </c>
      <c r="G11" s="101">
        <v>8</v>
      </c>
      <c r="H11" s="98" t="s">
        <v>224</v>
      </c>
    </row>
    <row r="12" spans="1:8" ht="18" x14ac:dyDescent="0.3">
      <c r="A12" s="97">
        <v>45988</v>
      </c>
      <c r="B12" s="98" t="s">
        <v>35</v>
      </c>
      <c r="C12" s="99" t="s">
        <v>239</v>
      </c>
      <c r="D12" s="98" t="s">
        <v>207</v>
      </c>
      <c r="E12" s="100">
        <v>1.944444444444444</v>
      </c>
      <c r="F12" s="98" t="s">
        <v>37</v>
      </c>
      <c r="G12" s="101">
        <v>9</v>
      </c>
      <c r="H12" s="98" t="s">
        <v>224</v>
      </c>
    </row>
    <row r="13" spans="1:8" ht="18" x14ac:dyDescent="0.3">
      <c r="A13" s="97">
        <v>45988</v>
      </c>
      <c r="B13" s="98" t="s">
        <v>35</v>
      </c>
      <c r="C13" s="99" t="s">
        <v>241</v>
      </c>
      <c r="D13" s="98" t="s">
        <v>207</v>
      </c>
      <c r="E13" s="100">
        <v>1.4861111111111109</v>
      </c>
      <c r="F13" s="98" t="s">
        <v>37</v>
      </c>
      <c r="G13" s="101">
        <v>8</v>
      </c>
      <c r="H13" s="98" t="s">
        <v>224</v>
      </c>
    </row>
    <row r="14" spans="1:8" ht="18" x14ac:dyDescent="0.3">
      <c r="A14" s="106">
        <v>45988</v>
      </c>
      <c r="B14" s="107" t="s">
        <v>35</v>
      </c>
      <c r="C14" s="108" t="s">
        <v>242</v>
      </c>
      <c r="D14" s="107" t="s">
        <v>207</v>
      </c>
      <c r="E14" s="109">
        <v>1.3923611111111109</v>
      </c>
      <c r="F14" s="107" t="s">
        <v>37</v>
      </c>
      <c r="G14" s="110">
        <v>9</v>
      </c>
      <c r="H14" s="107" t="s">
        <v>224</v>
      </c>
    </row>
    <row r="15" spans="1:8" ht="18" x14ac:dyDescent="0.3">
      <c r="A15" s="153">
        <v>45989</v>
      </c>
      <c r="B15" s="148" t="s">
        <v>59</v>
      </c>
      <c r="C15" s="149" t="s">
        <v>492</v>
      </c>
      <c r="D15" s="148" t="s">
        <v>485</v>
      </c>
      <c r="E15" s="150">
        <v>1.135416666666667</v>
      </c>
      <c r="F15" s="148" t="s">
        <v>191</v>
      </c>
      <c r="G15" s="155">
        <v>1</v>
      </c>
      <c r="H15" s="154" t="s">
        <v>493</v>
      </c>
    </row>
    <row r="16" spans="1:8" ht="15.6" x14ac:dyDescent="0.3">
      <c r="A16" s="151"/>
      <c r="B16" s="151"/>
      <c r="C16" s="151"/>
      <c r="D16" s="151"/>
      <c r="E16" s="152" t="s">
        <v>484</v>
      </c>
      <c r="F16" s="151"/>
      <c r="G16" s="151"/>
      <c r="H16" s="3"/>
    </row>
    <row r="17" spans="1:8" ht="18" x14ac:dyDescent="0.3">
      <c r="A17" s="96">
        <v>45989</v>
      </c>
      <c r="B17" s="86" t="s">
        <v>246</v>
      </c>
      <c r="C17" s="87" t="s">
        <v>247</v>
      </c>
      <c r="D17" s="86" t="s">
        <v>207</v>
      </c>
      <c r="E17" s="88">
        <v>1.493055555555556</v>
      </c>
      <c r="F17" s="86" t="s">
        <v>191</v>
      </c>
      <c r="G17" s="89">
        <v>7</v>
      </c>
      <c r="H17" s="86" t="s">
        <v>270</v>
      </c>
    </row>
    <row r="18" spans="1:8" ht="18" x14ac:dyDescent="0.3">
      <c r="A18" s="147">
        <v>45989</v>
      </c>
      <c r="B18" s="148" t="s">
        <v>59</v>
      </c>
      <c r="C18" s="149" t="s">
        <v>271</v>
      </c>
      <c r="D18" s="148" t="s">
        <v>207</v>
      </c>
      <c r="E18" s="150">
        <v>1.5590277777777779</v>
      </c>
      <c r="F18" s="148" t="s">
        <v>191</v>
      </c>
      <c r="G18" s="155">
        <v>1</v>
      </c>
      <c r="H18" s="148" t="s">
        <v>272</v>
      </c>
    </row>
    <row r="19" spans="1:8" ht="18" x14ac:dyDescent="0.3">
      <c r="A19" s="211">
        <v>45989</v>
      </c>
      <c r="B19" s="212" t="s">
        <v>59</v>
      </c>
      <c r="C19" s="213" t="s">
        <v>275</v>
      </c>
      <c r="D19" s="212" t="s">
        <v>207</v>
      </c>
      <c r="E19" s="214">
        <v>1.760416666666667</v>
      </c>
      <c r="F19" s="212" t="s">
        <v>191</v>
      </c>
      <c r="G19" s="215">
        <v>1</v>
      </c>
      <c r="H19" s="212" t="s">
        <v>209</v>
      </c>
    </row>
    <row r="20" spans="1:8" ht="18" x14ac:dyDescent="0.3">
      <c r="A20" s="96">
        <v>45989</v>
      </c>
      <c r="B20" s="86" t="s">
        <v>25</v>
      </c>
      <c r="C20" s="87" t="s">
        <v>223</v>
      </c>
      <c r="D20" s="86" t="s">
        <v>207</v>
      </c>
      <c r="E20" s="88">
        <v>1.399305555555556</v>
      </c>
      <c r="F20" s="86" t="s">
        <v>27</v>
      </c>
      <c r="G20" s="89">
        <v>5</v>
      </c>
      <c r="H20" s="86" t="s">
        <v>224</v>
      </c>
    </row>
    <row r="21" spans="1:8" ht="18" x14ac:dyDescent="0.3">
      <c r="A21" s="97">
        <v>45989</v>
      </c>
      <c r="B21" s="98" t="s">
        <v>25</v>
      </c>
      <c r="C21" s="99" t="s">
        <v>228</v>
      </c>
      <c r="D21" s="98" t="s">
        <v>207</v>
      </c>
      <c r="E21" s="100">
        <v>1.989583333333333</v>
      </c>
      <c r="F21" s="98" t="s">
        <v>27</v>
      </c>
      <c r="G21" s="101">
        <v>10</v>
      </c>
      <c r="H21" s="98" t="s">
        <v>231</v>
      </c>
    </row>
    <row r="22" spans="1:8" ht="18" x14ac:dyDescent="0.3">
      <c r="A22" s="96">
        <v>45989</v>
      </c>
      <c r="B22" s="86" t="s">
        <v>283</v>
      </c>
      <c r="C22" s="87" t="s">
        <v>284</v>
      </c>
      <c r="D22" s="86" t="s">
        <v>207</v>
      </c>
      <c r="E22" s="88">
        <v>1.225694444444444</v>
      </c>
      <c r="F22" s="86" t="s">
        <v>285</v>
      </c>
      <c r="G22" s="89">
        <v>2</v>
      </c>
      <c r="H22" s="86" t="s">
        <v>286</v>
      </c>
    </row>
    <row r="23" spans="1:8" ht="18" x14ac:dyDescent="0.3">
      <c r="A23" s="96">
        <v>45989</v>
      </c>
      <c r="B23" s="86" t="s">
        <v>35</v>
      </c>
      <c r="C23" s="87" t="s">
        <v>234</v>
      </c>
      <c r="D23" s="86" t="s">
        <v>207</v>
      </c>
      <c r="E23" s="88">
        <v>1.3472222222222221</v>
      </c>
      <c r="F23" s="86" t="s">
        <v>37</v>
      </c>
      <c r="G23" s="89">
        <v>9</v>
      </c>
      <c r="H23" s="86" t="s">
        <v>231</v>
      </c>
    </row>
    <row r="24" spans="1:8" ht="18" x14ac:dyDescent="0.3">
      <c r="A24" s="97">
        <v>45989</v>
      </c>
      <c r="B24" s="98" t="s">
        <v>35</v>
      </c>
      <c r="C24" s="99" t="s">
        <v>237</v>
      </c>
      <c r="D24" s="98" t="s">
        <v>207</v>
      </c>
      <c r="E24" s="100">
        <v>1.993055555555556</v>
      </c>
      <c r="F24" s="98" t="s">
        <v>37</v>
      </c>
      <c r="G24" s="101">
        <v>2</v>
      </c>
      <c r="H24" s="98" t="s">
        <v>231</v>
      </c>
    </row>
    <row r="25" spans="1:8" ht="18" x14ac:dyDescent="0.3">
      <c r="A25" s="97">
        <v>45989</v>
      </c>
      <c r="B25" s="98" t="s">
        <v>35</v>
      </c>
      <c r="C25" s="99" t="s">
        <v>238</v>
      </c>
      <c r="D25" s="98" t="s">
        <v>207</v>
      </c>
      <c r="E25" s="100">
        <v>1.836805555555556</v>
      </c>
      <c r="F25" s="98" t="s">
        <v>37</v>
      </c>
      <c r="G25" s="101">
        <v>4</v>
      </c>
      <c r="H25" s="98" t="s">
        <v>231</v>
      </c>
    </row>
    <row r="26" spans="1:8" ht="18" x14ac:dyDescent="0.3">
      <c r="A26" s="106">
        <v>45989</v>
      </c>
      <c r="B26" s="107" t="s">
        <v>35</v>
      </c>
      <c r="C26" s="108" t="s">
        <v>239</v>
      </c>
      <c r="D26" s="107" t="s">
        <v>207</v>
      </c>
      <c r="E26" s="109">
        <v>1.944444444444444</v>
      </c>
      <c r="F26" s="107" t="s">
        <v>37</v>
      </c>
      <c r="G26" s="110">
        <v>9</v>
      </c>
      <c r="H26" s="107" t="s">
        <v>231</v>
      </c>
    </row>
    <row r="27" spans="1:8" ht="18" x14ac:dyDescent="0.3">
      <c r="A27" s="153">
        <v>45990</v>
      </c>
      <c r="B27" s="148" t="s">
        <v>59</v>
      </c>
      <c r="C27" s="149" t="s">
        <v>492</v>
      </c>
      <c r="D27" s="148" t="s">
        <v>485</v>
      </c>
      <c r="E27" s="150">
        <v>1.1423611111111109</v>
      </c>
      <c r="F27" s="148" t="s">
        <v>191</v>
      </c>
      <c r="G27" s="155">
        <v>9</v>
      </c>
      <c r="H27" s="154" t="s">
        <v>497</v>
      </c>
    </row>
    <row r="28" spans="1:8" ht="18" x14ac:dyDescent="0.3">
      <c r="A28" s="216">
        <v>45990</v>
      </c>
      <c r="B28" s="217" t="s">
        <v>59</v>
      </c>
      <c r="C28" s="218" t="s">
        <v>488</v>
      </c>
      <c r="D28" s="217" t="s">
        <v>485</v>
      </c>
      <c r="E28" s="219">
        <v>1.5277777777777779</v>
      </c>
      <c r="F28" s="217" t="s">
        <v>61</v>
      </c>
      <c r="G28" s="217"/>
      <c r="H28" s="217" t="s">
        <v>62</v>
      </c>
    </row>
    <row r="29" spans="1:8" ht="18" x14ac:dyDescent="0.3">
      <c r="A29" s="85">
        <v>45991</v>
      </c>
      <c r="B29" s="86" t="s">
        <v>25</v>
      </c>
      <c r="C29" s="87" t="s">
        <v>500</v>
      </c>
      <c r="D29" s="86" t="s">
        <v>485</v>
      </c>
      <c r="E29" s="88">
        <v>1.364583333333333</v>
      </c>
      <c r="F29" s="86" t="s">
        <v>448</v>
      </c>
      <c r="G29" s="89">
        <v>9</v>
      </c>
      <c r="H29" s="90" t="s">
        <v>501</v>
      </c>
    </row>
    <row r="30" spans="1:8" ht="18" x14ac:dyDescent="0.3">
      <c r="A30" s="91">
        <v>45991</v>
      </c>
      <c r="B30" s="92" t="s">
        <v>25</v>
      </c>
      <c r="C30" s="93" t="s">
        <v>500</v>
      </c>
      <c r="D30" s="92" t="s">
        <v>485</v>
      </c>
      <c r="E30" s="94">
        <v>1.364583333333333</v>
      </c>
      <c r="F30" s="92" t="s">
        <v>436</v>
      </c>
      <c r="G30" s="95">
        <v>9</v>
      </c>
      <c r="H30" s="92" t="s">
        <v>502</v>
      </c>
    </row>
    <row r="31" spans="1:8" ht="18" x14ac:dyDescent="0.3">
      <c r="A31" s="91">
        <v>45991</v>
      </c>
      <c r="B31" s="92" t="s">
        <v>25</v>
      </c>
      <c r="C31" s="93" t="s">
        <v>500</v>
      </c>
      <c r="D31" s="92" t="s">
        <v>485</v>
      </c>
      <c r="E31" s="94">
        <v>1.364583333333333</v>
      </c>
      <c r="F31" s="92" t="s">
        <v>438</v>
      </c>
      <c r="G31" s="95">
        <v>9</v>
      </c>
      <c r="H31" s="92" t="s">
        <v>503</v>
      </c>
    </row>
    <row r="32" spans="1:8" ht="18" x14ac:dyDescent="0.3">
      <c r="A32" s="91">
        <v>45991</v>
      </c>
      <c r="B32" s="92" t="s">
        <v>25</v>
      </c>
      <c r="C32" s="93" t="s">
        <v>500</v>
      </c>
      <c r="D32" s="92" t="s">
        <v>485</v>
      </c>
      <c r="E32" s="94">
        <v>1.364583333333333</v>
      </c>
      <c r="F32" s="92" t="s">
        <v>452</v>
      </c>
      <c r="G32" s="95">
        <v>9</v>
      </c>
      <c r="H32" s="92" t="s">
        <v>504</v>
      </c>
    </row>
    <row r="33" spans="1:8" ht="18" x14ac:dyDescent="0.3">
      <c r="A33" s="147">
        <v>45991</v>
      </c>
      <c r="B33" s="148" t="s">
        <v>59</v>
      </c>
      <c r="C33" s="149" t="s">
        <v>492</v>
      </c>
      <c r="D33" s="148" t="s">
        <v>485</v>
      </c>
      <c r="E33" s="150">
        <v>1.3298611111111109</v>
      </c>
      <c r="F33" s="148" t="s">
        <v>191</v>
      </c>
      <c r="G33" s="155">
        <v>3</v>
      </c>
      <c r="H33" s="148" t="s">
        <v>493</v>
      </c>
    </row>
    <row r="34" spans="1:8" ht="18" x14ac:dyDescent="0.3">
      <c r="A34" s="216">
        <v>45991</v>
      </c>
      <c r="B34" s="217" t="s">
        <v>59</v>
      </c>
      <c r="C34" s="218" t="s">
        <v>486</v>
      </c>
      <c r="D34" s="217" t="s">
        <v>485</v>
      </c>
      <c r="E34" s="219">
        <v>1.6909722222222221</v>
      </c>
      <c r="F34" s="217" t="s">
        <v>191</v>
      </c>
      <c r="G34" s="237">
        <v>9</v>
      </c>
      <c r="H34" s="217" t="s">
        <v>506</v>
      </c>
    </row>
  </sheetData>
  <dataValidations count="10">
    <dataValidation type="custom" allowBlank="1" showInputMessage="1" promptTitle="LOAD FACTOR ANALYSIS" prompt="SM-455_x000d__x000a_LF 99.4%_x000d__x000a_SOLD 179_x000d__x000a_LST-SOLD 25NOV_x000d__x000a_WEEKLY 53_x000d__x000a_TO-DAY NIL_x000d__x000a_Y-DAY 1_x000d__x000a_LOWEST AVAIL W1_x000d__x000a_CAPACITY 180_x000d__x000a_CLASSES S14 &amp; W29 &amp; T15 &amp; +4 more" sqref="A2 B2 C2 D2 E2 F2 G2 H2" xr:uid="{00000000-0002-0000-1200-000000000000}">
      <formula1>TRUE</formula1>
    </dataValidation>
    <dataValidation type="custom" allowBlank="1" showInputMessage="1" promptTitle="LOAD FACTOR ANALYSIS" prompt="SM453_x000d__x000a_LF 1.0%_x000d__x000a_SOLD 180_x000d__x000a_LST-SOLD 26NOV_x000d__x000a_WEEKLY 13_x000d__x000a_TO-DAY 2_x000d__x000a_Y-DAY 5_x000d__x000a_LOWEST AVAIL CLOSED_x000d__x000a_CAPACITY 180_x000d__x000a_CLASSES S2 &amp; W1 &amp; T12 &amp; +5 more" sqref="A3 B3 C3 D3 E3 F3 G3 H3" xr:uid="{00000000-0002-0000-1200-000001000000}">
      <formula1>TRUE</formula1>
    </dataValidation>
    <dataValidation type="custom" allowBlank="1" showInputMessage="1" promptTitle="LOAD FACTOR ANALYSIS" prompt="SM-423_x000d__x000a_LF -_x000d__x000a_SOLD -_x000d__x000a_LST-SOLD -_x000d__x000a_WEEKLY -_x000d__x000a_TO-DAY -_x000d__x000a_Y-DAY -_x000d__x000a_LOWEST AVAIL -_x000d__x000a_CAPACITY -_x000d__x000a_CLASSES -" sqref="A5 B5 C5 D5 E5 F5 G5 H5" xr:uid="{00000000-0002-0000-1200-000002000000}">
      <formula1>TRUE</formula1>
    </dataValidation>
    <dataValidation type="custom" allowBlank="1" showInputMessage="1" promptTitle="LOAD FACTOR ANALYSIS" prompt="SM-491_x000d__x000a_LF 67.2%_x000d__x000a_SOLD 121_x000d__x000a_LST-SOLD 25NOV_x000d__x000a_WEEKLY 59_x000d__x000a_TO-DAY NIL_x000d__x000a_Y-DAY 8_x000d__x000a_LOWEST AVAIL S1_x000d__x000a_CAPACITY 180_x000d__x000a_CLASSES G12 &amp; S19 &amp; W20 &amp; +4 more" sqref="A15 B15 C15 D15 E15 F15 G15 H15" xr:uid="{00000000-0002-0000-1200-000003000000}">
      <formula1>TRUE</formula1>
    </dataValidation>
    <dataValidation type="custom" allowBlank="1" showInputMessage="1" promptTitle="LOAD FACTOR ANALYSIS" prompt="SM-471_x000d__x000a_LF -_x000d__x000a_SOLD -_x000d__x000a_LST-SOLD -_x000d__x000a_WEEKLY -_x000d__x000a_TO-DAY -_x000d__x000a_Y-DAY -_x000d__x000a_LOWEST AVAIL -_x000d__x000a_CAPACITY -_x000d__x000a_CLASSES -" sqref="A18 B18 C18 D18 E18 F18 G18 H18" xr:uid="{00000000-0002-0000-1200-000004000000}">
      <formula1>TRUE</formula1>
    </dataValidation>
    <dataValidation type="custom" allowBlank="1" showInputMessage="1" promptTitle="LOAD FACTOR ANALYSIS" prompt="SM-459_x000d__x000a_LF -_x000d__x000a_SOLD -_x000d__x000a_LST-SOLD -_x000d__x000a_WEEKLY -_x000d__x000a_TO-DAY -_x000d__x000a_Y-DAY -_x000d__x000a_LOWEST AVAIL -_x000d__x000a_CAPACITY -_x000d__x000a_CLASSES -" sqref="A19 B19 C19 D19 E19 F19 G19 H19" xr:uid="{00000000-0002-0000-1200-000005000000}">
      <formula1>TRUE</formula1>
    </dataValidation>
    <dataValidation type="custom" allowBlank="1" showInputMessage="1" promptTitle="LOAD FACTOR ANALYSIS" prompt="SM-491_x000d__x000a_LF 77.8%_x000d__x000a_SOLD 140_x000d__x000a_LST-SOLD 26NOV_x000d__x000a_WEEKLY 24_x000d__x000a_TO-DAY 5_x000d__x000a_Y-DAY 6_x000d__x000a_LOWEST AVAIL L9_x000d__x000a_CAPACITY 180_x000d__x000a_CLASSES G15 &amp; S20 &amp; W11 &amp; +3 more" sqref="A27 B27 C27 D27 E27 F27 G27 H27" xr:uid="{00000000-0002-0000-1200-000006000000}">
      <formula1>TRUE</formula1>
    </dataValidation>
    <dataValidation type="custom" allowBlank="1" showInputMessage="1" promptTitle="LOAD FACTOR ANALYSIS" prompt="SM455_x000d__x000a_LF 1.0%_x000d__x000a_SOLD 180_x000d__x000a_LST-SOLD 25NOV_x000d__x000a_WEEKLY 20_x000d__x000a_TO-DAY NIL_x000d__x000a_Y-DAY 1_x000d__x000a_LOWEST AVAIL CLOSED_x000d__x000a_CAPACITY 180_x000d__x000a_CLASSES Y2 &amp; L3 &amp; G23 &amp; +5 more" sqref="A28 B28 C28 D28 E28 F28 G28 H28" xr:uid="{00000000-0002-0000-1200-000007000000}">
      <formula1>TRUE</formula1>
    </dataValidation>
    <dataValidation type="custom" allowBlank="1" showInputMessage="1" promptTitle="LOAD FACTOR ANALYSIS" prompt="SM-491_x000d__x000a_LF 97.8%_x000d__x000a_SOLD 176_x000d__x000a_LST-SOLD 26NOV_x000d__x000a_WEEKLY 36_x000d__x000a_TO-DAY 2_x000d__x000a_Y-DAY 7_x000d__x000a_LOWEST AVAIL S3_x000d__x000a_CAPACITY 180_x000d__x000a_CLASSES S5 &amp; W14 &amp; T31 &amp; +6 more" sqref="A33 B33 C33 D33 E33 F33 G33 H33" xr:uid="{00000000-0002-0000-1200-000008000000}">
      <formula1>TRUE</formula1>
    </dataValidation>
    <dataValidation type="custom" allowBlank="1" showInputMessage="1" promptTitle="LOAD FACTOR ANALYSIS" prompt="SM-455_x000d__x000a_LF 78.3%_x000d__x000a_SOLD 141_x000d__x000a_LST-SOLD 25NOV_x000d__x000a_WEEKLY 58_x000d__x000a_TO-DAY NIL_x000d__x000a_Y-DAY 7_x000d__x000a_LOWEST AVAIL G9_x000d__x000a_CAPACITY 180_x000d__x000a_CLASSES Y1 &amp; G6 &amp; S14 &amp; +5 more" sqref="A34 B34 C34 D34 E34 F34 G34 H34" xr:uid="{00000000-0002-0000-1200-000009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N7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7.33203125" bestFit="1" customWidth="1"/>
    <col min="6" max="6" width="20.5546875" bestFit="1" customWidth="1"/>
    <col min="7" max="7" width="43.218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531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45987.359182254899</v>
      </c>
      <c r="H2" s="279"/>
      <c r="I2" s="279"/>
      <c r="J2" s="279"/>
      <c r="K2" s="288">
        <v>45987.359182255474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2" t="s">
        <v>5</v>
      </c>
      <c r="B4" s="283"/>
      <c r="C4" s="283"/>
      <c r="D4" s="283"/>
      <c r="E4" s="283"/>
      <c r="F4" s="283"/>
      <c r="G4" s="5">
        <v>45991</v>
      </c>
      <c r="H4" s="294" t="s">
        <v>6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238" t="s">
        <v>249</v>
      </c>
      <c r="B6" s="238" t="s">
        <v>532</v>
      </c>
      <c r="C6" s="239">
        <v>3.8194444444444441E-2</v>
      </c>
      <c r="D6" s="238" t="s">
        <v>191</v>
      </c>
      <c r="E6" s="238" t="s">
        <v>65</v>
      </c>
      <c r="F6" s="238" t="s">
        <v>533</v>
      </c>
      <c r="G6" s="302"/>
      <c r="H6" s="39"/>
      <c r="I6" s="40"/>
      <c r="J6" s="40"/>
      <c r="K6" s="40"/>
      <c r="L6" s="40"/>
      <c r="M6" s="40"/>
      <c r="N6" s="40"/>
      <c r="O6" s="41"/>
      <c r="P6" s="40"/>
      <c r="Q6" s="42"/>
      <c r="R6" s="4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4.4" customHeight="1" x14ac:dyDescent="0.3">
      <c r="A7" s="272"/>
      <c r="B7" s="273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</sheetData>
  <mergeCells count="13">
    <mergeCell ref="A2:F2"/>
    <mergeCell ref="A3:R3"/>
    <mergeCell ref="O1:Q1"/>
    <mergeCell ref="H4:R4"/>
    <mergeCell ref="A7:R7"/>
    <mergeCell ref="A1:C1"/>
    <mergeCell ref="G1:H1"/>
    <mergeCell ref="K2:R2"/>
    <mergeCell ref="G2:J2"/>
    <mergeCell ref="A4:F4"/>
    <mergeCell ref="D1:F1"/>
    <mergeCell ref="J1:M1"/>
    <mergeCell ref="G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9" bestFit="1" customWidth="1"/>
    <col min="12" max="12" width="7.44140625" bestFit="1" customWidth="1"/>
    <col min="13" max="13" width="6.109375" bestFit="1" customWidth="1"/>
    <col min="14" max="14" width="7.77734375" bestFit="1" customWidth="1"/>
    <col min="15" max="15" width="13.6640625" bestFit="1" customWidth="1"/>
    <col min="16" max="16" width="2" bestFit="1" customWidth="1"/>
    <col min="17" max="17" width="2.109375" bestFit="1" customWidth="1"/>
    <col min="18" max="18" width="2.77734375" bestFit="1" customWidth="1"/>
    <col min="19" max="19" width="2.21875" bestFit="1" customWidth="1"/>
    <col min="20" max="20" width="2.33203125" bestFit="1" customWidth="1"/>
    <col min="21" max="21" width="2.109375" bestFit="1" customWidth="1"/>
    <col min="22" max="22" width="2.21875" bestFit="1" customWidth="1"/>
    <col min="23" max="23" width="1.88671875" bestFit="1" customWidth="1"/>
    <col min="24" max="24" width="2.21875" bestFit="1" customWidth="1"/>
    <col min="25" max="25" width="2" bestFit="1" customWidth="1"/>
    <col min="26" max="26" width="2.77734375" bestFit="1" customWidth="1"/>
    <col min="27" max="27" width="2" bestFit="1" customWidth="1"/>
    <col min="28" max="28" width="2.109375" bestFit="1" customWidth="1"/>
    <col min="29" max="30" width="2.33203125" bestFit="1" customWidth="1"/>
    <col min="31" max="31" width="1.5546875" bestFit="1" customWidth="1"/>
    <col min="32" max="32" width="2" bestFit="1" customWidth="1"/>
    <col min="33" max="33" width="2.21875" bestFit="1" customWidth="1"/>
    <col min="34" max="34" width="2.109375" bestFit="1" customWidth="1"/>
    <col min="35" max="35" width="2.3320312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"/>
  <sheetViews>
    <sheetView workbookViewId="0"/>
  </sheetViews>
  <sheetFormatPr defaultRowHeight="14.4" x14ac:dyDescent="0.3"/>
  <cols>
    <col min="1" max="1" width="13" bestFit="1" customWidth="1"/>
    <col min="2" max="2" width="17.8867187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3.44140625" bestFit="1" customWidth="1"/>
    <col min="7" max="7" width="16.88671875" bestFit="1" customWidth="1"/>
    <col min="8" max="8" width="19.664062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  <row r="2" spans="1:8" ht="18" x14ac:dyDescent="0.3">
      <c r="A2" s="240">
        <v>45991</v>
      </c>
      <c r="B2" s="241" t="s">
        <v>249</v>
      </c>
      <c r="C2" s="242" t="s">
        <v>532</v>
      </c>
      <c r="D2" s="241" t="s">
        <v>531</v>
      </c>
      <c r="E2" s="243">
        <v>1.038194444444444</v>
      </c>
      <c r="F2" s="241" t="s">
        <v>191</v>
      </c>
      <c r="G2" s="244">
        <v>8</v>
      </c>
      <c r="H2" s="245" t="s">
        <v>533</v>
      </c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N5"/>
  <sheetViews>
    <sheetView zoomScale="85" workbookViewId="0"/>
  </sheetViews>
  <sheetFormatPr defaultRowHeight="14.4" x14ac:dyDescent="0.3"/>
  <cols>
    <col min="14" max="14" width="7.7773437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534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45987.35918259382</v>
      </c>
      <c r="H2" s="279"/>
      <c r="I2" s="279"/>
      <c r="J2" s="279"/>
      <c r="K2" s="288">
        <v>45987.359182594373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1.6" customHeight="1" x14ac:dyDescent="0.3">
      <c r="A4" s="246"/>
      <c r="B4" s="246"/>
      <c r="C4" s="246"/>
      <c r="D4" s="246"/>
      <c r="E4" s="246"/>
      <c r="F4" s="246"/>
      <c r="G4" s="247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18.600000000000001" customHeight="1" x14ac:dyDescent="0.3">
      <c r="A5" s="248"/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9" bestFit="1" customWidth="1"/>
    <col min="12" max="12" width="7.44140625" bestFit="1" customWidth="1"/>
    <col min="13" max="13" width="6.109375" bestFit="1" customWidth="1"/>
    <col min="14" max="14" width="7.77734375" bestFit="1" customWidth="1"/>
    <col min="15" max="15" width="13.6640625" bestFit="1" customWidth="1"/>
    <col min="16" max="16" width="2" bestFit="1" customWidth="1"/>
    <col min="17" max="17" width="2.109375" bestFit="1" customWidth="1"/>
    <col min="18" max="18" width="2.77734375" bestFit="1" customWidth="1"/>
    <col min="19" max="19" width="2.21875" bestFit="1" customWidth="1"/>
    <col min="20" max="20" width="2.33203125" bestFit="1" customWidth="1"/>
    <col min="21" max="21" width="2.109375" bestFit="1" customWidth="1"/>
    <col min="22" max="22" width="2.21875" bestFit="1" customWidth="1"/>
    <col min="23" max="23" width="1.88671875" bestFit="1" customWidth="1"/>
    <col min="24" max="24" width="2.21875" bestFit="1" customWidth="1"/>
    <col min="25" max="25" width="2" bestFit="1" customWidth="1"/>
    <col min="26" max="26" width="2.77734375" bestFit="1" customWidth="1"/>
    <col min="27" max="27" width="2" bestFit="1" customWidth="1"/>
    <col min="28" max="28" width="2.109375" bestFit="1" customWidth="1"/>
    <col min="29" max="30" width="2.33203125" bestFit="1" customWidth="1"/>
    <col min="31" max="31" width="1.5546875" bestFit="1" customWidth="1"/>
    <col min="32" max="32" width="2" bestFit="1" customWidth="1"/>
    <col min="33" max="33" width="2.21875" bestFit="1" customWidth="1"/>
    <col min="34" max="34" width="2.109375" bestFit="1" customWidth="1"/>
    <col min="35" max="35" width="2.3320312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"/>
  <sheetViews>
    <sheetView workbookViewId="0"/>
  </sheetViews>
  <sheetFormatPr defaultRowHeight="14.4" x14ac:dyDescent="0.3"/>
  <cols>
    <col min="1" max="1" width="5.44140625" bestFit="1" customWidth="1"/>
    <col min="2" max="2" width="7.6640625" bestFit="1" customWidth="1"/>
    <col min="3" max="3" width="11.6640625" bestFit="1" customWidth="1"/>
    <col min="4" max="4" width="6.77734375" bestFit="1" customWidth="1"/>
    <col min="5" max="5" width="11.109375" bestFit="1" customWidth="1"/>
    <col min="6" max="6" width="9.21875" bestFit="1" customWidth="1"/>
    <col min="7" max="7" width="12.44140625" bestFit="1" customWidth="1"/>
    <col min="8" max="8" width="15.2187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N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17.33203125" bestFit="1" customWidth="1"/>
    <col min="6" max="6" width="20.5546875" bestFit="1" customWidth="1"/>
    <col min="7" max="7" width="43.218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535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45987.359182817272</v>
      </c>
      <c r="H2" s="279"/>
      <c r="I2" s="279"/>
      <c r="J2" s="279"/>
      <c r="K2" s="288">
        <v>45987.359182817803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2" t="s">
        <v>5</v>
      </c>
      <c r="B4" s="283"/>
      <c r="C4" s="283"/>
      <c r="D4" s="283"/>
      <c r="E4" s="283"/>
      <c r="F4" s="283"/>
      <c r="G4" s="5">
        <v>45991</v>
      </c>
      <c r="H4" s="294" t="s">
        <v>6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238" t="s">
        <v>49</v>
      </c>
      <c r="B6" s="238" t="s">
        <v>536</v>
      </c>
      <c r="C6" s="239">
        <v>0.69097222222222221</v>
      </c>
      <c r="D6" s="238" t="s">
        <v>51</v>
      </c>
      <c r="E6" s="238" t="s">
        <v>84</v>
      </c>
      <c r="F6" s="238" t="s">
        <v>537</v>
      </c>
      <c r="G6" s="302"/>
      <c r="H6" s="39"/>
      <c r="I6" s="40"/>
      <c r="J6" s="40"/>
      <c r="K6" s="40"/>
      <c r="L6" s="40"/>
      <c r="M6" s="40"/>
      <c r="N6" s="40"/>
      <c r="O6" s="41"/>
      <c r="P6" s="40"/>
      <c r="Q6" s="42"/>
      <c r="R6" s="4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4.4" customHeight="1" x14ac:dyDescent="0.3">
      <c r="A7" s="272"/>
      <c r="B7" s="273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</sheetData>
  <mergeCells count="13">
    <mergeCell ref="A2:F2"/>
    <mergeCell ref="A3:R3"/>
    <mergeCell ref="O1:Q1"/>
    <mergeCell ref="H4:R4"/>
    <mergeCell ref="A7:R7"/>
    <mergeCell ref="A1:C1"/>
    <mergeCell ref="G1:H1"/>
    <mergeCell ref="K2:R2"/>
    <mergeCell ref="G2:J2"/>
    <mergeCell ref="A4:F4"/>
    <mergeCell ref="D1:F1"/>
    <mergeCell ref="J1:M1"/>
    <mergeCell ref="G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9" bestFit="1" customWidth="1"/>
    <col min="12" max="12" width="7.44140625" bestFit="1" customWidth="1"/>
    <col min="13" max="13" width="6.109375" bestFit="1" customWidth="1"/>
    <col min="14" max="14" width="7.77734375" bestFit="1" customWidth="1"/>
    <col min="15" max="15" width="13.6640625" bestFit="1" customWidth="1"/>
    <col min="16" max="16" width="2" bestFit="1" customWidth="1"/>
    <col min="17" max="17" width="2.109375" bestFit="1" customWidth="1"/>
    <col min="18" max="18" width="2.77734375" bestFit="1" customWidth="1"/>
    <col min="19" max="19" width="2.21875" bestFit="1" customWidth="1"/>
    <col min="20" max="20" width="2.33203125" bestFit="1" customWidth="1"/>
    <col min="21" max="21" width="2.109375" bestFit="1" customWidth="1"/>
    <col min="22" max="22" width="2.21875" bestFit="1" customWidth="1"/>
    <col min="23" max="23" width="1.88671875" bestFit="1" customWidth="1"/>
    <col min="24" max="24" width="2.21875" bestFit="1" customWidth="1"/>
    <col min="25" max="25" width="2" bestFit="1" customWidth="1"/>
    <col min="26" max="26" width="2.77734375" bestFit="1" customWidth="1"/>
    <col min="27" max="27" width="2" bestFit="1" customWidth="1"/>
    <col min="28" max="28" width="2.109375" bestFit="1" customWidth="1"/>
    <col min="29" max="30" width="2.33203125" bestFit="1" customWidth="1"/>
    <col min="31" max="31" width="1.5546875" bestFit="1" customWidth="1"/>
    <col min="32" max="32" width="2" bestFit="1" customWidth="1"/>
    <col min="33" max="33" width="2.21875" bestFit="1" customWidth="1"/>
    <col min="34" max="34" width="2.109375" bestFit="1" customWidth="1"/>
    <col min="35" max="35" width="2.3320312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7.109375" bestFit="1" customWidth="1"/>
    <col min="7" max="7" width="16.88671875" bestFit="1" customWidth="1"/>
    <col min="8" max="8" width="19.664062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  <row r="2" spans="1:8" ht="18" x14ac:dyDescent="0.3">
      <c r="A2" s="240">
        <v>45991</v>
      </c>
      <c r="B2" s="241" t="s">
        <v>49</v>
      </c>
      <c r="C2" s="242" t="s">
        <v>536</v>
      </c>
      <c r="D2" s="241" t="s">
        <v>535</v>
      </c>
      <c r="E2" s="243">
        <v>1.6909722222222221</v>
      </c>
      <c r="F2" s="241" t="s">
        <v>51</v>
      </c>
      <c r="G2" s="244">
        <v>4</v>
      </c>
      <c r="H2" s="245" t="s">
        <v>537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N5"/>
  <sheetViews>
    <sheetView zoomScale="85" workbookViewId="0"/>
  </sheetViews>
  <sheetFormatPr defaultRowHeight="14.4" x14ac:dyDescent="0.3"/>
  <cols>
    <col min="14" max="14" width="7.7773437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538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45987.359183251632</v>
      </c>
      <c r="H2" s="279"/>
      <c r="I2" s="279"/>
      <c r="J2" s="279"/>
      <c r="K2" s="288">
        <v>45987.359183252287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1.6" customHeight="1" x14ac:dyDescent="0.3">
      <c r="A4" s="246"/>
      <c r="B4" s="246"/>
      <c r="C4" s="246"/>
      <c r="D4" s="246"/>
      <c r="E4" s="246"/>
      <c r="F4" s="246"/>
      <c r="G4" s="247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18.600000000000001" customHeight="1" x14ac:dyDescent="0.3">
      <c r="A5" s="248"/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9" bestFit="1" customWidth="1"/>
    <col min="12" max="12" width="7.44140625" bestFit="1" customWidth="1"/>
    <col min="13" max="13" width="6.109375" bestFit="1" customWidth="1"/>
    <col min="14" max="14" width="7.77734375" bestFit="1" customWidth="1"/>
    <col min="15" max="15" width="13.6640625" bestFit="1" customWidth="1"/>
    <col min="16" max="16" width="2" bestFit="1" customWidth="1"/>
    <col min="17" max="17" width="2.109375" bestFit="1" customWidth="1"/>
    <col min="18" max="18" width="2.77734375" bestFit="1" customWidth="1"/>
    <col min="19" max="19" width="2.21875" bestFit="1" customWidth="1"/>
    <col min="20" max="20" width="2.33203125" bestFit="1" customWidth="1"/>
    <col min="21" max="21" width="2.109375" bestFit="1" customWidth="1"/>
    <col min="22" max="22" width="2.21875" bestFit="1" customWidth="1"/>
    <col min="23" max="23" width="1.88671875" bestFit="1" customWidth="1"/>
    <col min="24" max="24" width="2.21875" bestFit="1" customWidth="1"/>
    <col min="25" max="25" width="2" bestFit="1" customWidth="1"/>
    <col min="26" max="26" width="2.77734375" bestFit="1" customWidth="1"/>
    <col min="27" max="27" width="2" bestFit="1" customWidth="1"/>
    <col min="28" max="28" width="2.109375" bestFit="1" customWidth="1"/>
    <col min="29" max="30" width="2.33203125" bestFit="1" customWidth="1"/>
    <col min="31" max="31" width="1.5546875" bestFit="1" customWidth="1"/>
    <col min="32" max="32" width="2" bestFit="1" customWidth="1"/>
    <col min="33" max="33" width="2.21875" bestFit="1" customWidth="1"/>
    <col min="34" max="34" width="2.109375" bestFit="1" customWidth="1"/>
    <col min="35" max="35" width="2.3320312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"/>
  <sheetViews>
    <sheetView workbookViewId="0"/>
  </sheetViews>
  <sheetFormatPr defaultRowHeight="14.4" x14ac:dyDescent="0.3"/>
  <cols>
    <col min="1" max="1" width="5.44140625" bestFit="1" customWidth="1"/>
    <col min="2" max="2" width="7.6640625" bestFit="1" customWidth="1"/>
    <col min="3" max="3" width="11.6640625" bestFit="1" customWidth="1"/>
    <col min="4" max="4" width="6.77734375" bestFit="1" customWidth="1"/>
    <col min="5" max="5" width="11.109375" bestFit="1" customWidth="1"/>
    <col min="6" max="6" width="9.21875" bestFit="1" customWidth="1"/>
    <col min="7" max="7" width="12.44140625" bestFit="1" customWidth="1"/>
    <col min="8" max="8" width="15.2187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N11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81.664062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539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45987.359183541157</v>
      </c>
      <c r="H2" s="279"/>
      <c r="I2" s="279"/>
      <c r="J2" s="279"/>
      <c r="K2" s="288">
        <v>45987.359183541797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2" t="s">
        <v>5</v>
      </c>
      <c r="B4" s="283"/>
      <c r="C4" s="283"/>
      <c r="D4" s="283"/>
      <c r="E4" s="283"/>
      <c r="F4" s="283"/>
      <c r="G4" s="5">
        <v>45988</v>
      </c>
      <c r="H4" s="294" t="s">
        <v>6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246</v>
      </c>
      <c r="B6" s="8" t="s">
        <v>540</v>
      </c>
      <c r="C6" s="9">
        <v>0.1701388888888889</v>
      </c>
      <c r="D6" s="8" t="s">
        <v>191</v>
      </c>
      <c r="E6" s="8" t="s">
        <v>73</v>
      </c>
      <c r="F6" s="8" t="s">
        <v>541</v>
      </c>
      <c r="G6" s="275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19" t="s">
        <v>246</v>
      </c>
      <c r="B7" s="19" t="s">
        <v>542</v>
      </c>
      <c r="C7" s="20">
        <v>0.67361111111111116</v>
      </c>
      <c r="D7" s="19" t="s">
        <v>191</v>
      </c>
      <c r="E7" s="19" t="s">
        <v>289</v>
      </c>
      <c r="F7" s="19" t="s">
        <v>543</v>
      </c>
      <c r="G7" s="276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205" t="s">
        <v>59</v>
      </c>
      <c r="B8" s="205" t="s">
        <v>544</v>
      </c>
      <c r="C8" s="206">
        <v>0.41319444444444442</v>
      </c>
      <c r="D8" s="205" t="s">
        <v>191</v>
      </c>
      <c r="E8" s="205" t="s">
        <v>52</v>
      </c>
      <c r="F8" s="205" t="s">
        <v>545</v>
      </c>
      <c r="G8" s="276"/>
      <c r="H8" s="187" t="s">
        <v>546</v>
      </c>
      <c r="I8" s="227">
        <v>0.80449999999999999</v>
      </c>
      <c r="J8" s="189">
        <v>144</v>
      </c>
      <c r="K8" s="190">
        <v>45987</v>
      </c>
      <c r="L8" s="189">
        <v>68</v>
      </c>
      <c r="M8" s="189">
        <v>1</v>
      </c>
      <c r="N8" s="189">
        <v>9</v>
      </c>
      <c r="O8" s="191" t="s">
        <v>211</v>
      </c>
      <c r="P8" s="192">
        <v>0.41319444444444442</v>
      </c>
      <c r="Q8" s="189">
        <v>179</v>
      </c>
      <c r="R8" s="193" t="s">
        <v>547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7" t="s">
        <v>249</v>
      </c>
      <c r="B9" s="17" t="s">
        <v>548</v>
      </c>
      <c r="C9" s="18">
        <v>0.69097222222222221</v>
      </c>
      <c r="D9" s="17" t="s">
        <v>191</v>
      </c>
      <c r="E9" s="17" t="s">
        <v>86</v>
      </c>
      <c r="F9" s="17" t="s">
        <v>549</v>
      </c>
      <c r="G9" s="276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7" t="s">
        <v>49</v>
      </c>
      <c r="B10" s="17" t="s">
        <v>550</v>
      </c>
      <c r="C10" s="18">
        <v>0.44444444444444442</v>
      </c>
      <c r="D10" s="17" t="s">
        <v>51</v>
      </c>
      <c r="E10" s="17" t="s">
        <v>73</v>
      </c>
      <c r="F10" s="17" t="s">
        <v>551</v>
      </c>
      <c r="G10" s="276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9" t="s">
        <v>49</v>
      </c>
      <c r="B11" s="19" t="s">
        <v>552</v>
      </c>
      <c r="C11" s="20">
        <v>0.98263888888888884</v>
      </c>
      <c r="D11" s="19" t="s">
        <v>51</v>
      </c>
      <c r="E11" s="19" t="s">
        <v>76</v>
      </c>
      <c r="F11" s="19" t="s">
        <v>551</v>
      </c>
      <c r="G11" s="276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49</v>
      </c>
      <c r="B12" s="19" t="s">
        <v>553</v>
      </c>
      <c r="C12" s="20">
        <v>0.62847222222222221</v>
      </c>
      <c r="D12" s="19" t="s">
        <v>51</v>
      </c>
      <c r="E12" s="19" t="s">
        <v>76</v>
      </c>
      <c r="F12" s="19" t="s">
        <v>551</v>
      </c>
      <c r="G12" s="276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9" t="s">
        <v>49</v>
      </c>
      <c r="B13" s="19" t="s">
        <v>554</v>
      </c>
      <c r="C13" s="20">
        <v>0.82986111111111116</v>
      </c>
      <c r="D13" s="19" t="s">
        <v>51</v>
      </c>
      <c r="E13" s="19" t="s">
        <v>76</v>
      </c>
      <c r="F13" s="19" t="s">
        <v>555</v>
      </c>
      <c r="G13" s="276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9" t="s">
        <v>49</v>
      </c>
      <c r="B14" s="19" t="s">
        <v>556</v>
      </c>
      <c r="C14" s="20">
        <v>0.88888888888888884</v>
      </c>
      <c r="D14" s="19" t="s">
        <v>51</v>
      </c>
      <c r="E14" s="19" t="s">
        <v>57</v>
      </c>
      <c r="F14" s="19" t="s">
        <v>557</v>
      </c>
      <c r="G14" s="276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49</v>
      </c>
      <c r="B15" s="19" t="s">
        <v>558</v>
      </c>
      <c r="C15" s="20">
        <v>0.62847222222222221</v>
      </c>
      <c r="D15" s="19" t="s">
        <v>51</v>
      </c>
      <c r="E15" s="19" t="s">
        <v>57</v>
      </c>
      <c r="F15" s="19" t="s">
        <v>557</v>
      </c>
      <c r="G15" s="276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9" t="s">
        <v>49</v>
      </c>
      <c r="B16" s="19" t="s">
        <v>559</v>
      </c>
      <c r="C16" s="20">
        <v>0.94444444444444453</v>
      </c>
      <c r="D16" s="19" t="s">
        <v>51</v>
      </c>
      <c r="E16" s="19" t="s">
        <v>57</v>
      </c>
      <c r="F16" s="19" t="s">
        <v>557</v>
      </c>
      <c r="G16" s="276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7" t="s">
        <v>70</v>
      </c>
      <c r="B17" s="17" t="s">
        <v>560</v>
      </c>
      <c r="C17" s="18">
        <v>0.98263888888888884</v>
      </c>
      <c r="D17" s="17" t="s">
        <v>72</v>
      </c>
      <c r="E17" s="17" t="s">
        <v>159</v>
      </c>
      <c r="F17" s="17" t="s">
        <v>561</v>
      </c>
      <c r="G17" s="276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5" customHeight="1" x14ac:dyDescent="0.3">
      <c r="A18" s="37" t="s">
        <v>70</v>
      </c>
      <c r="B18" s="37" t="s">
        <v>562</v>
      </c>
      <c r="C18" s="38">
        <v>0.35416666666666669</v>
      </c>
      <c r="D18" s="37" t="s">
        <v>72</v>
      </c>
      <c r="E18" s="37" t="s">
        <v>226</v>
      </c>
      <c r="F18" s="37" t="s">
        <v>561</v>
      </c>
      <c r="G18" s="277"/>
      <c r="H18" s="39"/>
      <c r="I18" s="40"/>
      <c r="J18" s="40"/>
      <c r="K18" s="40"/>
      <c r="L18" s="40"/>
      <c r="M18" s="40"/>
      <c r="N18" s="40"/>
      <c r="O18" s="41"/>
      <c r="P18" s="40"/>
      <c r="Q18" s="42"/>
      <c r="R18" s="4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4.4" customHeight="1" x14ac:dyDescent="0.3">
      <c r="A19" s="272"/>
      <c r="B19" s="273"/>
      <c r="C19" s="273"/>
      <c r="D19" s="273"/>
      <c r="E19" s="273"/>
      <c r="F19" s="273"/>
      <c r="G19" s="273"/>
      <c r="H19" s="273"/>
      <c r="I19" s="273"/>
      <c r="J19" s="273"/>
      <c r="K19" s="273"/>
      <c r="L19" s="273"/>
      <c r="M19" s="273"/>
      <c r="N19" s="273"/>
      <c r="O19" s="273"/>
      <c r="P19" s="273"/>
      <c r="Q19" s="273"/>
      <c r="R19" s="27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22.05" customHeight="1" x14ac:dyDescent="0.3">
      <c r="A20" s="280" t="s">
        <v>5</v>
      </c>
      <c r="B20" s="281"/>
      <c r="C20" s="281"/>
      <c r="D20" s="281"/>
      <c r="E20" s="281"/>
      <c r="F20" s="281"/>
      <c r="G20" s="5">
        <v>45989</v>
      </c>
      <c r="H20" s="290" t="s">
        <v>6</v>
      </c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24" customHeight="1" x14ac:dyDescent="0.3">
      <c r="A21" s="31" t="s">
        <v>7</v>
      </c>
      <c r="B21" s="31" t="s">
        <v>8</v>
      </c>
      <c r="C21" s="32" t="s">
        <v>9</v>
      </c>
      <c r="D21" s="31" t="s">
        <v>10</v>
      </c>
      <c r="E21" s="31" t="s">
        <v>11</v>
      </c>
      <c r="F21" s="31" t="s">
        <v>12</v>
      </c>
      <c r="G21" s="33" t="s">
        <v>13</v>
      </c>
      <c r="H21" s="31" t="s">
        <v>14</v>
      </c>
      <c r="I21" s="34" t="s">
        <v>15</v>
      </c>
      <c r="J21" s="35" t="s">
        <v>16</v>
      </c>
      <c r="K21" s="36" t="s">
        <v>17</v>
      </c>
      <c r="L21" s="35" t="s">
        <v>18</v>
      </c>
      <c r="M21" s="35" t="s">
        <v>19</v>
      </c>
      <c r="N21" s="35" t="s">
        <v>20</v>
      </c>
      <c r="O21" s="31" t="s">
        <v>21</v>
      </c>
      <c r="P21" s="32" t="s">
        <v>22</v>
      </c>
      <c r="Q21" s="35" t="s">
        <v>23</v>
      </c>
      <c r="R21" s="31" t="s">
        <v>24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49.95" customHeight="1" x14ac:dyDescent="0.3">
      <c r="A22" s="156" t="s">
        <v>59</v>
      </c>
      <c r="B22" s="156" t="s">
        <v>546</v>
      </c>
      <c r="C22" s="157">
        <v>0.40625</v>
      </c>
      <c r="D22" s="156" t="s">
        <v>61</v>
      </c>
      <c r="E22" s="194"/>
      <c r="F22" s="156" t="s">
        <v>563</v>
      </c>
      <c r="G22" s="275"/>
      <c r="H22" s="158" t="s">
        <v>546</v>
      </c>
      <c r="I22" s="249">
        <v>0.74860000000000004</v>
      </c>
      <c r="J22" s="160">
        <v>134</v>
      </c>
      <c r="K22" s="161">
        <v>45986</v>
      </c>
      <c r="L22" s="160">
        <v>32</v>
      </c>
      <c r="M22" s="160">
        <v>0</v>
      </c>
      <c r="N22" s="160">
        <v>16</v>
      </c>
      <c r="O22" s="162" t="s">
        <v>564</v>
      </c>
      <c r="P22" s="163">
        <v>0.40625</v>
      </c>
      <c r="Q22" s="160">
        <v>179</v>
      </c>
      <c r="R22" s="164" t="s">
        <v>565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49.95" customHeight="1" x14ac:dyDescent="0.3">
      <c r="A23" s="208" t="s">
        <v>59</v>
      </c>
      <c r="B23" s="208" t="s">
        <v>566</v>
      </c>
      <c r="C23" s="209">
        <v>0.72569444444444453</v>
      </c>
      <c r="D23" s="208" t="s">
        <v>61</v>
      </c>
      <c r="E23" s="210"/>
      <c r="F23" s="208" t="s">
        <v>563</v>
      </c>
      <c r="G23" s="277"/>
      <c r="H23" s="24" t="s">
        <v>566</v>
      </c>
      <c r="I23" s="250">
        <v>0.67600000000000005</v>
      </c>
      <c r="J23" s="26">
        <v>121</v>
      </c>
      <c r="K23" s="27">
        <v>45986</v>
      </c>
      <c r="L23" s="26">
        <v>28</v>
      </c>
      <c r="M23" s="26">
        <v>0</v>
      </c>
      <c r="N23" s="26">
        <v>5</v>
      </c>
      <c r="O23" s="28" t="s">
        <v>567</v>
      </c>
      <c r="P23" s="29">
        <v>0.72569444444444453</v>
      </c>
      <c r="Q23" s="26">
        <v>179</v>
      </c>
      <c r="R23" s="30" t="s">
        <v>568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4.4" customHeight="1" x14ac:dyDescent="0.3">
      <c r="A24" s="284"/>
      <c r="B24" s="285"/>
      <c r="C24" s="285"/>
      <c r="D24" s="285"/>
      <c r="E24" s="285"/>
      <c r="F24" s="285"/>
      <c r="G24" s="273"/>
      <c r="H24" s="286"/>
      <c r="I24" s="286"/>
      <c r="J24" s="286"/>
      <c r="K24" s="286"/>
      <c r="L24" s="286"/>
      <c r="M24" s="286"/>
      <c r="N24" s="286"/>
      <c r="O24" s="287"/>
      <c r="P24" s="286"/>
      <c r="Q24" s="273"/>
      <c r="R24" s="27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22.05" customHeight="1" x14ac:dyDescent="0.3">
      <c r="A25" s="280" t="s">
        <v>5</v>
      </c>
      <c r="B25" s="281"/>
      <c r="C25" s="281"/>
      <c r="D25" s="281"/>
      <c r="E25" s="281"/>
      <c r="F25" s="281"/>
      <c r="G25" s="5">
        <v>45990</v>
      </c>
      <c r="H25" s="290" t="s">
        <v>6</v>
      </c>
      <c r="I25" s="291"/>
      <c r="J25" s="291"/>
      <c r="K25" s="291"/>
      <c r="L25" s="291"/>
      <c r="M25" s="291"/>
      <c r="N25" s="291"/>
      <c r="O25" s="291"/>
      <c r="P25" s="291"/>
      <c r="Q25" s="291"/>
      <c r="R25" s="291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24" customHeight="1" x14ac:dyDescent="0.3">
      <c r="A26" s="31" t="s">
        <v>7</v>
      </c>
      <c r="B26" s="31" t="s">
        <v>8</v>
      </c>
      <c r="C26" s="32" t="s">
        <v>9</v>
      </c>
      <c r="D26" s="31" t="s">
        <v>10</v>
      </c>
      <c r="E26" s="31" t="s">
        <v>11</v>
      </c>
      <c r="F26" s="31" t="s">
        <v>12</v>
      </c>
      <c r="G26" s="33" t="s">
        <v>13</v>
      </c>
      <c r="H26" s="31" t="s">
        <v>14</v>
      </c>
      <c r="I26" s="34" t="s">
        <v>15</v>
      </c>
      <c r="J26" s="35" t="s">
        <v>16</v>
      </c>
      <c r="K26" s="36" t="s">
        <v>17</v>
      </c>
      <c r="L26" s="35" t="s">
        <v>18</v>
      </c>
      <c r="M26" s="35" t="s">
        <v>19</v>
      </c>
      <c r="N26" s="35" t="s">
        <v>20</v>
      </c>
      <c r="O26" s="31" t="s">
        <v>21</v>
      </c>
      <c r="P26" s="32" t="s">
        <v>22</v>
      </c>
      <c r="Q26" s="35" t="s">
        <v>23</v>
      </c>
      <c r="R26" s="31" t="s">
        <v>24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5" customHeight="1" x14ac:dyDescent="0.3">
      <c r="A27" s="8" t="s">
        <v>246</v>
      </c>
      <c r="B27" s="8" t="s">
        <v>569</v>
      </c>
      <c r="C27" s="9">
        <v>2.4305555555555559E-2</v>
      </c>
      <c r="D27" s="8" t="s">
        <v>191</v>
      </c>
      <c r="E27" s="8" t="s">
        <v>73</v>
      </c>
      <c r="F27" s="8" t="s">
        <v>570</v>
      </c>
      <c r="G27" s="275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19" t="s">
        <v>246</v>
      </c>
      <c r="B28" s="19" t="s">
        <v>571</v>
      </c>
      <c r="C28" s="20">
        <v>0.53819444444444442</v>
      </c>
      <c r="D28" s="19" t="s">
        <v>191</v>
      </c>
      <c r="E28" s="19" t="s">
        <v>76</v>
      </c>
      <c r="F28" s="19" t="s">
        <v>572</v>
      </c>
      <c r="G28" s="276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5" customHeight="1" x14ac:dyDescent="0.3">
      <c r="A29" s="17" t="s">
        <v>249</v>
      </c>
      <c r="B29" s="17" t="s">
        <v>573</v>
      </c>
      <c r="C29" s="18">
        <v>8.6805555555555566E-2</v>
      </c>
      <c r="D29" s="17" t="s">
        <v>191</v>
      </c>
      <c r="E29" s="17" t="s">
        <v>159</v>
      </c>
      <c r="F29" s="17" t="s">
        <v>574</v>
      </c>
      <c r="G29" s="276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19" t="s">
        <v>249</v>
      </c>
      <c r="B30" s="19" t="s">
        <v>548</v>
      </c>
      <c r="C30" s="20">
        <v>0.68402777777777779</v>
      </c>
      <c r="D30" s="19" t="s">
        <v>191</v>
      </c>
      <c r="E30" s="19" t="s">
        <v>289</v>
      </c>
      <c r="F30" s="19" t="s">
        <v>575</v>
      </c>
      <c r="G30" s="276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5" customHeight="1" x14ac:dyDescent="0.3">
      <c r="A31" s="17" t="s">
        <v>283</v>
      </c>
      <c r="B31" s="17" t="s">
        <v>576</v>
      </c>
      <c r="C31" s="18">
        <v>0.4375</v>
      </c>
      <c r="D31" s="17" t="s">
        <v>285</v>
      </c>
      <c r="E31" s="17" t="s">
        <v>38</v>
      </c>
      <c r="F31" s="17" t="s">
        <v>577</v>
      </c>
      <c r="G31" s="276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15" t="s">
        <v>283</v>
      </c>
      <c r="B32" s="15" t="s">
        <v>576</v>
      </c>
      <c r="C32" s="16">
        <v>0.4375</v>
      </c>
      <c r="D32" s="15" t="s">
        <v>33</v>
      </c>
      <c r="E32" s="15" t="s">
        <v>41</v>
      </c>
      <c r="F32" s="15" t="s">
        <v>578</v>
      </c>
      <c r="G32" s="276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5" customHeight="1" x14ac:dyDescent="0.3">
      <c r="A33" s="223" t="s">
        <v>59</v>
      </c>
      <c r="B33" s="223" t="s">
        <v>544</v>
      </c>
      <c r="C33" s="224">
        <v>0.41319444444444442</v>
      </c>
      <c r="D33" s="223" t="s">
        <v>191</v>
      </c>
      <c r="E33" s="223" t="s">
        <v>73</v>
      </c>
      <c r="F33" s="223" t="s">
        <v>579</v>
      </c>
      <c r="G33" s="276"/>
      <c r="H33" s="177" t="s">
        <v>546</v>
      </c>
      <c r="I33" s="251">
        <v>0.76539999999999997</v>
      </c>
      <c r="J33" s="179">
        <v>137</v>
      </c>
      <c r="K33" s="180">
        <v>45986</v>
      </c>
      <c r="L33" s="179">
        <v>19</v>
      </c>
      <c r="M33" s="179">
        <v>0</v>
      </c>
      <c r="N33" s="179">
        <v>11</v>
      </c>
      <c r="O33" s="181" t="s">
        <v>580</v>
      </c>
      <c r="P33" s="182">
        <v>0.41319444444444442</v>
      </c>
      <c r="Q33" s="179">
        <v>179</v>
      </c>
      <c r="R33" s="183" t="s">
        <v>581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5" customHeight="1" x14ac:dyDescent="0.3">
      <c r="A34" s="17" t="s">
        <v>35</v>
      </c>
      <c r="B34" s="17" t="s">
        <v>582</v>
      </c>
      <c r="C34" s="18">
        <v>0.4375</v>
      </c>
      <c r="D34" s="17" t="s">
        <v>37</v>
      </c>
      <c r="E34" s="17" t="s">
        <v>65</v>
      </c>
      <c r="F34" s="17" t="s">
        <v>80</v>
      </c>
      <c r="G34" s="276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15" customHeight="1" x14ac:dyDescent="0.3">
      <c r="A35" s="15" t="s">
        <v>35</v>
      </c>
      <c r="B35" s="15" t="s">
        <v>582</v>
      </c>
      <c r="C35" s="16">
        <v>0.4375</v>
      </c>
      <c r="D35" s="15" t="s">
        <v>40</v>
      </c>
      <c r="E35" s="15" t="s">
        <v>67</v>
      </c>
      <c r="F35" s="15" t="s">
        <v>295</v>
      </c>
      <c r="G35" s="276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15" customHeight="1" x14ac:dyDescent="0.3">
      <c r="A36" s="15" t="s">
        <v>35</v>
      </c>
      <c r="B36" s="15" t="s">
        <v>582</v>
      </c>
      <c r="C36" s="16">
        <v>0.4375</v>
      </c>
      <c r="D36" s="15" t="s">
        <v>43</v>
      </c>
      <c r="E36" s="15" t="s">
        <v>67</v>
      </c>
      <c r="F36" s="15" t="s">
        <v>296</v>
      </c>
      <c r="G36" s="276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15" customHeight="1" x14ac:dyDescent="0.3">
      <c r="A37" s="19" t="s">
        <v>35</v>
      </c>
      <c r="B37" s="19" t="s">
        <v>583</v>
      </c>
      <c r="C37" s="20">
        <v>0.50694444444444442</v>
      </c>
      <c r="D37" s="19" t="s">
        <v>37</v>
      </c>
      <c r="E37" s="19" t="s">
        <v>240</v>
      </c>
      <c r="F37" s="19" t="s">
        <v>80</v>
      </c>
      <c r="G37" s="276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15" customHeight="1" x14ac:dyDescent="0.3">
      <c r="A38" s="15" t="s">
        <v>35</v>
      </c>
      <c r="B38" s="15" t="s">
        <v>583</v>
      </c>
      <c r="C38" s="16">
        <v>0.50694444444444442</v>
      </c>
      <c r="D38" s="15" t="s">
        <v>40</v>
      </c>
      <c r="E38" s="15" t="s">
        <v>41</v>
      </c>
      <c r="F38" s="15" t="s">
        <v>295</v>
      </c>
      <c r="G38" s="276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15" customHeight="1" x14ac:dyDescent="0.3">
      <c r="A39" s="15" t="s">
        <v>35</v>
      </c>
      <c r="B39" s="15" t="s">
        <v>583</v>
      </c>
      <c r="C39" s="16">
        <v>0.50694444444444442</v>
      </c>
      <c r="D39" s="15" t="s">
        <v>43</v>
      </c>
      <c r="E39" s="15" t="s">
        <v>41</v>
      </c>
      <c r="F39" s="15" t="s">
        <v>296</v>
      </c>
      <c r="G39" s="276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15" customHeight="1" x14ac:dyDescent="0.3">
      <c r="A40" s="19" t="s">
        <v>35</v>
      </c>
      <c r="B40" s="19" t="s">
        <v>584</v>
      </c>
      <c r="C40" s="20">
        <v>0.63194444444444442</v>
      </c>
      <c r="D40" s="19" t="s">
        <v>37</v>
      </c>
      <c r="E40" s="19" t="s">
        <v>289</v>
      </c>
      <c r="F40" s="19" t="s">
        <v>585</v>
      </c>
      <c r="G40" s="276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15" customHeight="1" x14ac:dyDescent="0.3">
      <c r="A41" s="15" t="s">
        <v>35</v>
      </c>
      <c r="B41" s="15" t="s">
        <v>584</v>
      </c>
      <c r="C41" s="16">
        <v>0.63194444444444442</v>
      </c>
      <c r="D41" s="15" t="s">
        <v>40</v>
      </c>
      <c r="E41" s="15" t="s">
        <v>291</v>
      </c>
      <c r="F41" s="15" t="s">
        <v>586</v>
      </c>
      <c r="G41" s="276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5" customHeight="1" x14ac:dyDescent="0.3">
      <c r="A42" s="15" t="s">
        <v>35</v>
      </c>
      <c r="B42" s="15" t="s">
        <v>584</v>
      </c>
      <c r="C42" s="16">
        <v>0.63194444444444442</v>
      </c>
      <c r="D42" s="15" t="s">
        <v>43</v>
      </c>
      <c r="E42" s="15" t="s">
        <v>291</v>
      </c>
      <c r="F42" s="15" t="s">
        <v>587</v>
      </c>
      <c r="G42" s="276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15" customHeight="1" x14ac:dyDescent="0.3">
      <c r="A43" s="19" t="s">
        <v>35</v>
      </c>
      <c r="B43" s="19" t="s">
        <v>588</v>
      </c>
      <c r="C43" s="20">
        <v>0.55902777777777779</v>
      </c>
      <c r="D43" s="19" t="s">
        <v>37</v>
      </c>
      <c r="E43" s="19" t="s">
        <v>226</v>
      </c>
      <c r="F43" s="19" t="s">
        <v>585</v>
      </c>
      <c r="G43" s="276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5" customHeight="1" x14ac:dyDescent="0.3">
      <c r="A44" s="15" t="s">
        <v>35</v>
      </c>
      <c r="B44" s="15" t="s">
        <v>588</v>
      </c>
      <c r="C44" s="16">
        <v>0.55902777777777779</v>
      </c>
      <c r="D44" s="15" t="s">
        <v>40</v>
      </c>
      <c r="E44" s="15" t="s">
        <v>227</v>
      </c>
      <c r="F44" s="15" t="s">
        <v>586</v>
      </c>
      <c r="G44" s="276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15" customHeight="1" x14ac:dyDescent="0.3">
      <c r="A45" s="15" t="s">
        <v>35</v>
      </c>
      <c r="B45" s="15" t="s">
        <v>588</v>
      </c>
      <c r="C45" s="16">
        <v>0.55902777777777779</v>
      </c>
      <c r="D45" s="15" t="s">
        <v>43</v>
      </c>
      <c r="E45" s="15" t="s">
        <v>227</v>
      </c>
      <c r="F45" s="15" t="s">
        <v>587</v>
      </c>
      <c r="G45" s="276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15" customHeight="1" x14ac:dyDescent="0.3">
      <c r="A46" s="19" t="s">
        <v>35</v>
      </c>
      <c r="B46" s="19" t="s">
        <v>589</v>
      </c>
      <c r="C46" s="20">
        <v>0.69791666666666663</v>
      </c>
      <c r="D46" s="19" t="s">
        <v>37</v>
      </c>
      <c r="E46" s="19" t="s">
        <v>55</v>
      </c>
      <c r="F46" s="19" t="s">
        <v>590</v>
      </c>
      <c r="G46" s="276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15" t="s">
        <v>35</v>
      </c>
      <c r="B47" s="15" t="s">
        <v>589</v>
      </c>
      <c r="C47" s="16">
        <v>0.69791666666666663</v>
      </c>
      <c r="D47" s="15" t="s">
        <v>40</v>
      </c>
      <c r="E47" s="15" t="s">
        <v>98</v>
      </c>
      <c r="F47" s="15" t="s">
        <v>591</v>
      </c>
      <c r="G47" s="276"/>
      <c r="H47" s="10"/>
      <c r="I47" s="11"/>
      <c r="J47" s="11"/>
      <c r="K47" s="11"/>
      <c r="L47" s="11"/>
      <c r="M47" s="11"/>
      <c r="N47" s="11"/>
      <c r="O47" s="12"/>
      <c r="P47" s="11"/>
      <c r="Q47" s="13"/>
      <c r="R47" s="14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5" customHeight="1" x14ac:dyDescent="0.3">
      <c r="A48" s="15" t="s">
        <v>35</v>
      </c>
      <c r="B48" s="15" t="s">
        <v>589</v>
      </c>
      <c r="C48" s="16">
        <v>0.69791666666666663</v>
      </c>
      <c r="D48" s="15" t="s">
        <v>43</v>
      </c>
      <c r="E48" s="15" t="s">
        <v>98</v>
      </c>
      <c r="F48" s="15" t="s">
        <v>592</v>
      </c>
      <c r="G48" s="276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15" customHeight="1" x14ac:dyDescent="0.3">
      <c r="A49" s="19" t="s">
        <v>35</v>
      </c>
      <c r="B49" s="19" t="s">
        <v>593</v>
      </c>
      <c r="C49" s="20">
        <v>0.95833333333333337</v>
      </c>
      <c r="D49" s="19" t="s">
        <v>37</v>
      </c>
      <c r="E49" s="19" t="s">
        <v>89</v>
      </c>
      <c r="F49" s="19" t="s">
        <v>594</v>
      </c>
      <c r="G49" s="276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:92" ht="15" customHeight="1" x14ac:dyDescent="0.3">
      <c r="A50" s="15" t="s">
        <v>35</v>
      </c>
      <c r="B50" s="15" t="s">
        <v>593</v>
      </c>
      <c r="C50" s="16">
        <v>0.95833333333333337</v>
      </c>
      <c r="D50" s="15" t="s">
        <v>40</v>
      </c>
      <c r="E50" s="15" t="s">
        <v>67</v>
      </c>
      <c r="F50" s="15" t="s">
        <v>595</v>
      </c>
      <c r="G50" s="276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  <row r="51" spans="1:92" ht="15" customHeight="1" x14ac:dyDescent="0.3">
      <c r="A51" s="15" t="s">
        <v>35</v>
      </c>
      <c r="B51" s="15" t="s">
        <v>593</v>
      </c>
      <c r="C51" s="16">
        <v>0.95833333333333337</v>
      </c>
      <c r="D51" s="15" t="s">
        <v>43</v>
      </c>
      <c r="E51" s="15" t="s">
        <v>67</v>
      </c>
      <c r="F51" s="15" t="s">
        <v>596</v>
      </c>
      <c r="G51" s="276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</row>
    <row r="52" spans="1:92" ht="15" customHeight="1" x14ac:dyDescent="0.3">
      <c r="A52" s="19" t="s">
        <v>35</v>
      </c>
      <c r="B52" s="19" t="s">
        <v>597</v>
      </c>
      <c r="C52" s="20">
        <v>0.81944444444444453</v>
      </c>
      <c r="D52" s="19" t="s">
        <v>37</v>
      </c>
      <c r="E52" s="19" t="s">
        <v>268</v>
      </c>
      <c r="F52" s="19" t="s">
        <v>594</v>
      </c>
      <c r="G52" s="276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</row>
    <row r="53" spans="1:92" ht="15" customHeight="1" x14ac:dyDescent="0.3">
      <c r="A53" s="15" t="s">
        <v>35</v>
      </c>
      <c r="B53" s="15" t="s">
        <v>597</v>
      </c>
      <c r="C53" s="16">
        <v>0.81944444444444453</v>
      </c>
      <c r="D53" s="15" t="s">
        <v>40</v>
      </c>
      <c r="E53" s="15" t="s">
        <v>78</v>
      </c>
      <c r="F53" s="15" t="s">
        <v>595</v>
      </c>
      <c r="G53" s="276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</row>
    <row r="54" spans="1:92" ht="15" customHeight="1" x14ac:dyDescent="0.3">
      <c r="A54" s="15" t="s">
        <v>35</v>
      </c>
      <c r="B54" s="15" t="s">
        <v>597</v>
      </c>
      <c r="C54" s="16">
        <v>0.81944444444444453</v>
      </c>
      <c r="D54" s="15" t="s">
        <v>43</v>
      </c>
      <c r="E54" s="15" t="s">
        <v>78</v>
      </c>
      <c r="F54" s="15" t="s">
        <v>596</v>
      </c>
      <c r="G54" s="276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</row>
    <row r="55" spans="1:92" ht="15" customHeight="1" x14ac:dyDescent="0.3">
      <c r="A55" s="17" t="s">
        <v>25</v>
      </c>
      <c r="B55" s="17" t="s">
        <v>598</v>
      </c>
      <c r="C55" s="18">
        <v>0.57638888888888895</v>
      </c>
      <c r="D55" s="17" t="s">
        <v>27</v>
      </c>
      <c r="E55" s="17" t="s">
        <v>65</v>
      </c>
      <c r="F55" s="17" t="s">
        <v>599</v>
      </c>
      <c r="G55" s="276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</row>
    <row r="56" spans="1:92" ht="15" customHeight="1" x14ac:dyDescent="0.3">
      <c r="A56" s="15" t="s">
        <v>25</v>
      </c>
      <c r="B56" s="15" t="s">
        <v>598</v>
      </c>
      <c r="C56" s="16">
        <v>0.57638888888888895</v>
      </c>
      <c r="D56" s="15" t="s">
        <v>30</v>
      </c>
      <c r="E56" s="15" t="s">
        <v>67</v>
      </c>
      <c r="F56" s="15" t="s">
        <v>600</v>
      </c>
      <c r="G56" s="276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</row>
    <row r="57" spans="1:92" ht="15" customHeight="1" x14ac:dyDescent="0.3">
      <c r="A57" s="15" t="s">
        <v>25</v>
      </c>
      <c r="B57" s="15" t="s">
        <v>598</v>
      </c>
      <c r="C57" s="16">
        <v>0.57638888888888895</v>
      </c>
      <c r="D57" s="15" t="s">
        <v>33</v>
      </c>
      <c r="E57" s="15" t="s">
        <v>67</v>
      </c>
      <c r="F57" s="15" t="s">
        <v>601</v>
      </c>
      <c r="G57" s="276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</row>
    <row r="58" spans="1:92" ht="15" customHeight="1" x14ac:dyDescent="0.3">
      <c r="A58" s="19" t="s">
        <v>25</v>
      </c>
      <c r="B58" s="19" t="s">
        <v>602</v>
      </c>
      <c r="C58" s="20">
        <v>0.62847222222222221</v>
      </c>
      <c r="D58" s="19" t="s">
        <v>27</v>
      </c>
      <c r="E58" s="19" t="s">
        <v>603</v>
      </c>
      <c r="F58" s="19" t="s">
        <v>604</v>
      </c>
      <c r="G58" s="276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</row>
    <row r="59" spans="1:92" ht="15" customHeight="1" x14ac:dyDescent="0.3">
      <c r="A59" s="15" t="s">
        <v>25</v>
      </c>
      <c r="B59" s="15" t="s">
        <v>602</v>
      </c>
      <c r="C59" s="16">
        <v>0.62847222222222221</v>
      </c>
      <c r="D59" s="15" t="s">
        <v>30</v>
      </c>
      <c r="E59" s="15" t="s">
        <v>605</v>
      </c>
      <c r="F59" s="15" t="s">
        <v>601</v>
      </c>
      <c r="G59" s="276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</row>
    <row r="60" spans="1:92" ht="15" customHeight="1" x14ac:dyDescent="0.3">
      <c r="A60" s="15" t="s">
        <v>25</v>
      </c>
      <c r="B60" s="15" t="s">
        <v>602</v>
      </c>
      <c r="C60" s="16">
        <v>0.62847222222222221</v>
      </c>
      <c r="D60" s="15" t="s">
        <v>33</v>
      </c>
      <c r="E60" s="15" t="s">
        <v>605</v>
      </c>
      <c r="F60" s="15" t="s">
        <v>606</v>
      </c>
      <c r="G60" s="276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</row>
    <row r="61" spans="1:92" ht="15" customHeight="1" x14ac:dyDescent="0.3">
      <c r="A61" s="19" t="s">
        <v>25</v>
      </c>
      <c r="B61" s="19" t="s">
        <v>607</v>
      </c>
      <c r="C61" s="20">
        <v>0.88888888888888884</v>
      </c>
      <c r="D61" s="19" t="s">
        <v>27</v>
      </c>
      <c r="E61" s="19" t="s">
        <v>281</v>
      </c>
      <c r="F61" s="19" t="s">
        <v>608</v>
      </c>
      <c r="G61" s="276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</row>
    <row r="62" spans="1:92" ht="15" customHeight="1" x14ac:dyDescent="0.3">
      <c r="A62" s="15" t="s">
        <v>25</v>
      </c>
      <c r="B62" s="15" t="s">
        <v>607</v>
      </c>
      <c r="C62" s="16">
        <v>0.88888888888888884</v>
      </c>
      <c r="D62" s="15" t="s">
        <v>30</v>
      </c>
      <c r="E62" s="15" t="s">
        <v>282</v>
      </c>
      <c r="F62" s="15" t="s">
        <v>609</v>
      </c>
      <c r="G62" s="276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</row>
    <row r="63" spans="1:92" ht="15" customHeight="1" x14ac:dyDescent="0.3">
      <c r="A63" s="15" t="s">
        <v>25</v>
      </c>
      <c r="B63" s="15" t="s">
        <v>607</v>
      </c>
      <c r="C63" s="16">
        <v>0.88888888888888884</v>
      </c>
      <c r="D63" s="15" t="s">
        <v>33</v>
      </c>
      <c r="E63" s="15" t="s">
        <v>282</v>
      </c>
      <c r="F63" s="15" t="s">
        <v>606</v>
      </c>
      <c r="G63" s="276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</row>
    <row r="64" spans="1:92" ht="15" customHeight="1" x14ac:dyDescent="0.3">
      <c r="A64" s="19" t="s">
        <v>25</v>
      </c>
      <c r="B64" s="19" t="s">
        <v>610</v>
      </c>
      <c r="C64" s="20">
        <v>0.94444444444444453</v>
      </c>
      <c r="D64" s="19" t="s">
        <v>27</v>
      </c>
      <c r="E64" s="19" t="s">
        <v>611</v>
      </c>
      <c r="F64" s="19" t="s">
        <v>608</v>
      </c>
      <c r="G64" s="276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</row>
    <row r="65" spans="1:92" ht="15" customHeight="1" x14ac:dyDescent="0.3">
      <c r="A65" s="15" t="s">
        <v>25</v>
      </c>
      <c r="B65" s="15" t="s">
        <v>610</v>
      </c>
      <c r="C65" s="16">
        <v>0.94444444444444453</v>
      </c>
      <c r="D65" s="15" t="s">
        <v>30</v>
      </c>
      <c r="E65" s="15" t="s">
        <v>612</v>
      </c>
      <c r="F65" s="15" t="s">
        <v>609</v>
      </c>
      <c r="G65" s="276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</row>
    <row r="66" spans="1:92" ht="15" customHeight="1" x14ac:dyDescent="0.3">
      <c r="A66" s="15" t="s">
        <v>25</v>
      </c>
      <c r="B66" s="15" t="s">
        <v>610</v>
      </c>
      <c r="C66" s="16">
        <v>0.94444444444444453</v>
      </c>
      <c r="D66" s="15" t="s">
        <v>33</v>
      </c>
      <c r="E66" s="15" t="s">
        <v>612</v>
      </c>
      <c r="F66" s="15" t="s">
        <v>606</v>
      </c>
      <c r="G66" s="276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</row>
    <row r="67" spans="1:92" ht="15" customHeight="1" x14ac:dyDescent="0.3">
      <c r="A67" s="252" t="s">
        <v>70</v>
      </c>
      <c r="B67" s="252" t="s">
        <v>562</v>
      </c>
      <c r="C67" s="253">
        <v>0.35416666666666669</v>
      </c>
      <c r="D67" s="252" t="s">
        <v>72</v>
      </c>
      <c r="E67" s="252" t="s">
        <v>52</v>
      </c>
      <c r="F67" s="252" t="s">
        <v>613</v>
      </c>
      <c r="G67" s="277"/>
      <c r="H67" s="39"/>
      <c r="I67" s="40"/>
      <c r="J67" s="40"/>
      <c r="K67" s="40"/>
      <c r="L67" s="40"/>
      <c r="M67" s="40"/>
      <c r="N67" s="40"/>
      <c r="O67" s="41"/>
      <c r="P67" s="40"/>
      <c r="Q67" s="42"/>
      <c r="R67" s="4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</row>
    <row r="68" spans="1:92" ht="14.4" customHeight="1" x14ac:dyDescent="0.3">
      <c r="A68" s="272"/>
      <c r="B68" s="273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3"/>
      <c r="P68" s="273"/>
      <c r="Q68" s="273"/>
      <c r="R68" s="274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</row>
    <row r="69" spans="1:92" ht="22.05" customHeight="1" x14ac:dyDescent="0.3">
      <c r="A69" s="280" t="s">
        <v>5</v>
      </c>
      <c r="B69" s="281"/>
      <c r="C69" s="281"/>
      <c r="D69" s="281"/>
      <c r="E69" s="281"/>
      <c r="F69" s="281"/>
      <c r="G69" s="5">
        <v>45991</v>
      </c>
      <c r="H69" s="290" t="s">
        <v>6</v>
      </c>
      <c r="I69" s="291"/>
      <c r="J69" s="291"/>
      <c r="K69" s="291"/>
      <c r="L69" s="291"/>
      <c r="M69" s="291"/>
      <c r="N69" s="291"/>
      <c r="O69" s="291"/>
      <c r="P69" s="291"/>
      <c r="Q69" s="291"/>
      <c r="R69" s="291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</row>
    <row r="70" spans="1:92" ht="24" customHeight="1" x14ac:dyDescent="0.3">
      <c r="A70" s="31" t="s">
        <v>7</v>
      </c>
      <c r="B70" s="31" t="s">
        <v>8</v>
      </c>
      <c r="C70" s="32" t="s">
        <v>9</v>
      </c>
      <c r="D70" s="31" t="s">
        <v>10</v>
      </c>
      <c r="E70" s="31" t="s">
        <v>11</v>
      </c>
      <c r="F70" s="31" t="s">
        <v>12</v>
      </c>
      <c r="G70" s="33" t="s">
        <v>13</v>
      </c>
      <c r="H70" s="31" t="s">
        <v>14</v>
      </c>
      <c r="I70" s="34" t="s">
        <v>15</v>
      </c>
      <c r="J70" s="35" t="s">
        <v>16</v>
      </c>
      <c r="K70" s="36" t="s">
        <v>17</v>
      </c>
      <c r="L70" s="35" t="s">
        <v>18</v>
      </c>
      <c r="M70" s="35" t="s">
        <v>19</v>
      </c>
      <c r="N70" s="35" t="s">
        <v>20</v>
      </c>
      <c r="O70" s="31" t="s">
        <v>21</v>
      </c>
      <c r="P70" s="32" t="s">
        <v>22</v>
      </c>
      <c r="Q70" s="35" t="s">
        <v>23</v>
      </c>
      <c r="R70" s="31" t="s">
        <v>24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</row>
    <row r="71" spans="1:92" ht="15" customHeight="1" x14ac:dyDescent="0.3">
      <c r="A71" s="156" t="s">
        <v>59</v>
      </c>
      <c r="B71" s="156" t="s">
        <v>544</v>
      </c>
      <c r="C71" s="157">
        <v>0.42708333333333331</v>
      </c>
      <c r="D71" s="156" t="s">
        <v>191</v>
      </c>
      <c r="E71" s="156" t="s">
        <v>52</v>
      </c>
      <c r="F71" s="156" t="s">
        <v>614</v>
      </c>
      <c r="G71" s="275"/>
      <c r="H71" s="158" t="s">
        <v>546</v>
      </c>
      <c r="I71" s="249">
        <v>0.74299999999999999</v>
      </c>
      <c r="J71" s="160">
        <v>133</v>
      </c>
      <c r="K71" s="161">
        <v>45986</v>
      </c>
      <c r="L71" s="160">
        <v>42</v>
      </c>
      <c r="M71" s="160">
        <v>0</v>
      </c>
      <c r="N71" s="160">
        <v>6</v>
      </c>
      <c r="O71" s="162" t="s">
        <v>615</v>
      </c>
      <c r="P71" s="163">
        <v>0.42708333333333331</v>
      </c>
      <c r="Q71" s="160">
        <v>179</v>
      </c>
      <c r="R71" s="164" t="s">
        <v>616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</row>
    <row r="72" spans="1:92" ht="15" customHeight="1" x14ac:dyDescent="0.3">
      <c r="A72" s="17" t="s">
        <v>249</v>
      </c>
      <c r="B72" s="17" t="s">
        <v>617</v>
      </c>
      <c r="C72" s="18">
        <v>0.39930555555555558</v>
      </c>
      <c r="D72" s="17" t="s">
        <v>191</v>
      </c>
      <c r="E72" s="17" t="s">
        <v>455</v>
      </c>
      <c r="F72" s="17" t="s">
        <v>618</v>
      </c>
      <c r="G72" s="276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</row>
    <row r="73" spans="1:92" ht="15" customHeight="1" x14ac:dyDescent="0.3">
      <c r="A73" s="17" t="s">
        <v>25</v>
      </c>
      <c r="B73" s="17" t="s">
        <v>602</v>
      </c>
      <c r="C73" s="18">
        <v>0.62847222222222221</v>
      </c>
      <c r="D73" s="17" t="s">
        <v>27</v>
      </c>
      <c r="E73" s="17" t="s">
        <v>619</v>
      </c>
      <c r="F73" s="17" t="s">
        <v>224</v>
      </c>
      <c r="G73" s="276"/>
      <c r="H73" s="10"/>
      <c r="I73" s="11"/>
      <c r="J73" s="11"/>
      <c r="K73" s="11"/>
      <c r="L73" s="11"/>
      <c r="M73" s="11"/>
      <c r="N73" s="11"/>
      <c r="O73" s="12"/>
      <c r="P73" s="11"/>
      <c r="Q73" s="13"/>
      <c r="R73" s="14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</row>
    <row r="74" spans="1:92" ht="15" customHeight="1" x14ac:dyDescent="0.3">
      <c r="A74" s="15" t="s">
        <v>25</v>
      </c>
      <c r="B74" s="15" t="s">
        <v>602</v>
      </c>
      <c r="C74" s="16">
        <v>0.62847222222222221</v>
      </c>
      <c r="D74" s="15" t="s">
        <v>30</v>
      </c>
      <c r="E74" s="15" t="s">
        <v>620</v>
      </c>
      <c r="F74" s="15" t="s">
        <v>88</v>
      </c>
      <c r="G74" s="276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</row>
    <row r="75" spans="1:92" ht="15" customHeight="1" x14ac:dyDescent="0.3">
      <c r="A75" s="15" t="s">
        <v>25</v>
      </c>
      <c r="B75" s="15" t="s">
        <v>602</v>
      </c>
      <c r="C75" s="16">
        <v>0.62847222222222221</v>
      </c>
      <c r="D75" s="15" t="s">
        <v>33</v>
      </c>
      <c r="E75" s="15" t="s">
        <v>620</v>
      </c>
      <c r="F75" s="15" t="s">
        <v>601</v>
      </c>
      <c r="G75" s="276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</row>
    <row r="76" spans="1:92" ht="15" customHeight="1" x14ac:dyDescent="0.3">
      <c r="A76" s="19" t="s">
        <v>25</v>
      </c>
      <c r="B76" s="19" t="s">
        <v>607</v>
      </c>
      <c r="C76" s="20">
        <v>0.88888888888888884</v>
      </c>
      <c r="D76" s="19" t="s">
        <v>27</v>
      </c>
      <c r="E76" s="19" t="s">
        <v>46</v>
      </c>
      <c r="F76" s="19" t="s">
        <v>224</v>
      </c>
      <c r="G76" s="276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</row>
    <row r="77" spans="1:92" ht="15" customHeight="1" x14ac:dyDescent="0.3">
      <c r="A77" s="15" t="s">
        <v>25</v>
      </c>
      <c r="B77" s="15" t="s">
        <v>607</v>
      </c>
      <c r="C77" s="16">
        <v>0.88888888888888884</v>
      </c>
      <c r="D77" s="15" t="s">
        <v>30</v>
      </c>
      <c r="E77" s="15" t="s">
        <v>47</v>
      </c>
      <c r="F77" s="15" t="s">
        <v>88</v>
      </c>
      <c r="G77" s="276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</row>
    <row r="78" spans="1:92" ht="15" customHeight="1" x14ac:dyDescent="0.3">
      <c r="A78" s="15" t="s">
        <v>25</v>
      </c>
      <c r="B78" s="15" t="s">
        <v>607</v>
      </c>
      <c r="C78" s="16">
        <v>0.88888888888888884</v>
      </c>
      <c r="D78" s="15" t="s">
        <v>33</v>
      </c>
      <c r="E78" s="15" t="s">
        <v>47</v>
      </c>
      <c r="F78" s="15" t="s">
        <v>601</v>
      </c>
      <c r="G78" s="276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</row>
    <row r="79" spans="1:92" ht="15" customHeight="1" x14ac:dyDescent="0.3">
      <c r="A79" s="19" t="s">
        <v>25</v>
      </c>
      <c r="B79" s="19" t="s">
        <v>610</v>
      </c>
      <c r="C79" s="20">
        <v>0.94444444444444453</v>
      </c>
      <c r="D79" s="19" t="s">
        <v>27</v>
      </c>
      <c r="E79" s="19" t="s">
        <v>226</v>
      </c>
      <c r="F79" s="19" t="s">
        <v>224</v>
      </c>
      <c r="G79" s="276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</row>
    <row r="80" spans="1:92" ht="15" customHeight="1" x14ac:dyDescent="0.3">
      <c r="A80" s="15" t="s">
        <v>25</v>
      </c>
      <c r="B80" s="15" t="s">
        <v>610</v>
      </c>
      <c r="C80" s="16">
        <v>0.94444444444444453</v>
      </c>
      <c r="D80" s="15" t="s">
        <v>30</v>
      </c>
      <c r="E80" s="15" t="s">
        <v>227</v>
      </c>
      <c r="F80" s="15" t="s">
        <v>88</v>
      </c>
      <c r="G80" s="276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</row>
    <row r="81" spans="1:92" ht="15" customHeight="1" x14ac:dyDescent="0.3">
      <c r="A81" s="15" t="s">
        <v>25</v>
      </c>
      <c r="B81" s="15" t="s">
        <v>610</v>
      </c>
      <c r="C81" s="16">
        <v>0.94444444444444453</v>
      </c>
      <c r="D81" s="15" t="s">
        <v>33</v>
      </c>
      <c r="E81" s="15" t="s">
        <v>227</v>
      </c>
      <c r="F81" s="15" t="s">
        <v>601</v>
      </c>
      <c r="G81" s="276"/>
      <c r="H81" s="10"/>
      <c r="I81" s="11"/>
      <c r="J81" s="11"/>
      <c r="K81" s="11"/>
      <c r="L81" s="11"/>
      <c r="M81" s="11"/>
      <c r="N81" s="11"/>
      <c r="O81" s="12"/>
      <c r="P81" s="11"/>
      <c r="Q81" s="13"/>
      <c r="R81" s="14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</row>
    <row r="82" spans="1:92" ht="15" customHeight="1" x14ac:dyDescent="0.3">
      <c r="A82" s="19" t="s">
        <v>25</v>
      </c>
      <c r="B82" s="19" t="s">
        <v>598</v>
      </c>
      <c r="C82" s="20">
        <v>0.57638888888888895</v>
      </c>
      <c r="D82" s="19" t="s">
        <v>27</v>
      </c>
      <c r="E82" s="19" t="s">
        <v>621</v>
      </c>
      <c r="F82" s="19" t="s">
        <v>68</v>
      </c>
      <c r="G82" s="276"/>
      <c r="H82" s="10"/>
      <c r="I82" s="11"/>
      <c r="J82" s="11"/>
      <c r="K82" s="11"/>
      <c r="L82" s="11"/>
      <c r="M82" s="11"/>
      <c r="N82" s="11"/>
      <c r="O82" s="12"/>
      <c r="P82" s="11"/>
      <c r="Q82" s="13"/>
      <c r="R82" s="14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</row>
    <row r="83" spans="1:92" ht="15" customHeight="1" x14ac:dyDescent="0.3">
      <c r="A83" s="15" t="s">
        <v>25</v>
      </c>
      <c r="B83" s="15" t="s">
        <v>598</v>
      </c>
      <c r="C83" s="16">
        <v>0.57638888888888895</v>
      </c>
      <c r="D83" s="15" t="s">
        <v>30</v>
      </c>
      <c r="E83" s="15" t="s">
        <v>620</v>
      </c>
      <c r="F83" s="15" t="s">
        <v>293</v>
      </c>
      <c r="G83" s="276"/>
      <c r="H83" s="10"/>
      <c r="I83" s="11"/>
      <c r="J83" s="11"/>
      <c r="K83" s="11"/>
      <c r="L83" s="11"/>
      <c r="M83" s="11"/>
      <c r="N83" s="11"/>
      <c r="O83" s="12"/>
      <c r="P83" s="11"/>
      <c r="Q83" s="13"/>
      <c r="R83" s="14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</row>
    <row r="84" spans="1:92" ht="15" customHeight="1" x14ac:dyDescent="0.3">
      <c r="A84" s="15" t="s">
        <v>25</v>
      </c>
      <c r="B84" s="15" t="s">
        <v>598</v>
      </c>
      <c r="C84" s="16">
        <v>0.57638888888888895</v>
      </c>
      <c r="D84" s="15" t="s">
        <v>33</v>
      </c>
      <c r="E84" s="15" t="s">
        <v>620</v>
      </c>
      <c r="F84" s="15" t="s">
        <v>601</v>
      </c>
      <c r="G84" s="276"/>
      <c r="H84" s="10"/>
      <c r="I84" s="11"/>
      <c r="J84" s="11"/>
      <c r="K84" s="11"/>
      <c r="L84" s="11"/>
      <c r="M84" s="11"/>
      <c r="N84" s="11"/>
      <c r="O84" s="12"/>
      <c r="P84" s="11"/>
      <c r="Q84" s="13"/>
      <c r="R84" s="14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</row>
    <row r="85" spans="1:92" ht="15" customHeight="1" x14ac:dyDescent="0.3">
      <c r="A85" s="17" t="s">
        <v>70</v>
      </c>
      <c r="B85" s="17" t="s">
        <v>560</v>
      </c>
      <c r="C85" s="18">
        <v>0.98263888888888884</v>
      </c>
      <c r="D85" s="17" t="s">
        <v>72</v>
      </c>
      <c r="E85" s="17" t="s">
        <v>73</v>
      </c>
      <c r="F85" s="17" t="s">
        <v>622</v>
      </c>
      <c r="G85" s="276"/>
      <c r="H85" s="10"/>
      <c r="I85" s="11"/>
      <c r="J85" s="11"/>
      <c r="K85" s="11"/>
      <c r="L85" s="11"/>
      <c r="M85" s="11"/>
      <c r="N85" s="11"/>
      <c r="O85" s="12"/>
      <c r="P85" s="11"/>
      <c r="Q85" s="13"/>
      <c r="R85" s="14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</row>
    <row r="86" spans="1:92" ht="15" customHeight="1" x14ac:dyDescent="0.3">
      <c r="A86" s="19" t="s">
        <v>70</v>
      </c>
      <c r="B86" s="19" t="s">
        <v>562</v>
      </c>
      <c r="C86" s="20">
        <v>0.33333333333333331</v>
      </c>
      <c r="D86" s="19" t="s">
        <v>72</v>
      </c>
      <c r="E86" s="19" t="s">
        <v>76</v>
      </c>
      <c r="F86" s="19" t="s">
        <v>245</v>
      </c>
      <c r="G86" s="276"/>
      <c r="H86" s="10"/>
      <c r="I86" s="11"/>
      <c r="J86" s="11"/>
      <c r="K86" s="11"/>
      <c r="L86" s="11"/>
      <c r="M86" s="11"/>
      <c r="N86" s="11"/>
      <c r="O86" s="12"/>
      <c r="P86" s="11"/>
      <c r="Q86" s="13"/>
      <c r="R86" s="14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</row>
    <row r="87" spans="1:92" ht="15" customHeight="1" x14ac:dyDescent="0.3">
      <c r="A87" s="19" t="s">
        <v>70</v>
      </c>
      <c r="B87" s="19" t="s">
        <v>623</v>
      </c>
      <c r="C87" s="20">
        <v>0.72916666666666663</v>
      </c>
      <c r="D87" s="19" t="s">
        <v>72</v>
      </c>
      <c r="E87" s="19" t="s">
        <v>76</v>
      </c>
      <c r="F87" s="19" t="s">
        <v>624</v>
      </c>
      <c r="G87" s="276"/>
      <c r="H87" s="10"/>
      <c r="I87" s="11"/>
      <c r="J87" s="11"/>
      <c r="K87" s="11"/>
      <c r="L87" s="11"/>
      <c r="M87" s="11"/>
      <c r="N87" s="11"/>
      <c r="O87" s="12"/>
      <c r="P87" s="11"/>
      <c r="Q87" s="13"/>
      <c r="R87" s="14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</row>
    <row r="88" spans="1:92" ht="15" customHeight="1" x14ac:dyDescent="0.3">
      <c r="A88" s="17" t="s">
        <v>246</v>
      </c>
      <c r="B88" s="17" t="s">
        <v>540</v>
      </c>
      <c r="C88" s="18">
        <v>0.1736111111111111</v>
      </c>
      <c r="D88" s="17" t="s">
        <v>191</v>
      </c>
      <c r="E88" s="17" t="s">
        <v>73</v>
      </c>
      <c r="F88" s="17" t="s">
        <v>625</v>
      </c>
      <c r="G88" s="276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</row>
    <row r="89" spans="1:92" ht="15" customHeight="1" x14ac:dyDescent="0.3">
      <c r="A89" s="19" t="s">
        <v>246</v>
      </c>
      <c r="B89" s="19" t="s">
        <v>626</v>
      </c>
      <c r="C89" s="20">
        <v>0.13194444444444439</v>
      </c>
      <c r="D89" s="19" t="s">
        <v>191</v>
      </c>
      <c r="E89" s="19" t="s">
        <v>76</v>
      </c>
      <c r="F89" s="19" t="s">
        <v>625</v>
      </c>
      <c r="G89" s="276"/>
      <c r="H89" s="10"/>
      <c r="I89" s="11"/>
      <c r="J89" s="11"/>
      <c r="K89" s="11"/>
      <c r="L89" s="11"/>
      <c r="M89" s="11"/>
      <c r="N89" s="11"/>
      <c r="O89" s="12"/>
      <c r="P89" s="11"/>
      <c r="Q89" s="13"/>
      <c r="R89" s="14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</row>
    <row r="90" spans="1:92" ht="15" customHeight="1" x14ac:dyDescent="0.3">
      <c r="A90" s="17" t="s">
        <v>35</v>
      </c>
      <c r="B90" s="17" t="s">
        <v>582</v>
      </c>
      <c r="C90" s="18">
        <v>0.4375</v>
      </c>
      <c r="D90" s="17" t="s">
        <v>37</v>
      </c>
      <c r="E90" s="17" t="s">
        <v>84</v>
      </c>
      <c r="F90" s="17" t="s">
        <v>231</v>
      </c>
      <c r="G90" s="276"/>
      <c r="H90" s="10"/>
      <c r="I90" s="11"/>
      <c r="J90" s="11"/>
      <c r="K90" s="11"/>
      <c r="L90" s="11"/>
      <c r="M90" s="11"/>
      <c r="N90" s="11"/>
      <c r="O90" s="12"/>
      <c r="P90" s="11"/>
      <c r="Q90" s="13"/>
      <c r="R90" s="14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</row>
    <row r="91" spans="1:92" ht="15" customHeight="1" x14ac:dyDescent="0.3">
      <c r="A91" s="15" t="s">
        <v>35</v>
      </c>
      <c r="B91" s="15" t="s">
        <v>582</v>
      </c>
      <c r="C91" s="16">
        <v>0.4375</v>
      </c>
      <c r="D91" s="15" t="s">
        <v>40</v>
      </c>
      <c r="E91" s="15" t="s">
        <v>85</v>
      </c>
      <c r="F91" s="15" t="s">
        <v>88</v>
      </c>
      <c r="G91" s="276"/>
      <c r="H91" s="10"/>
      <c r="I91" s="11"/>
      <c r="J91" s="11"/>
      <c r="K91" s="11"/>
      <c r="L91" s="11"/>
      <c r="M91" s="11"/>
      <c r="N91" s="11"/>
      <c r="O91" s="12"/>
      <c r="P91" s="11"/>
      <c r="Q91" s="13"/>
      <c r="R91" s="14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</row>
    <row r="92" spans="1:92" ht="15" customHeight="1" x14ac:dyDescent="0.3">
      <c r="A92" s="15" t="s">
        <v>35</v>
      </c>
      <c r="B92" s="15" t="s">
        <v>582</v>
      </c>
      <c r="C92" s="16">
        <v>0.4375</v>
      </c>
      <c r="D92" s="15" t="s">
        <v>43</v>
      </c>
      <c r="E92" s="15" t="s">
        <v>85</v>
      </c>
      <c r="F92" s="15" t="s">
        <v>293</v>
      </c>
      <c r="G92" s="276"/>
      <c r="H92" s="10"/>
      <c r="I92" s="11"/>
      <c r="J92" s="11"/>
      <c r="K92" s="11"/>
      <c r="L92" s="11"/>
      <c r="M92" s="11"/>
      <c r="N92" s="11"/>
      <c r="O92" s="12"/>
      <c r="P92" s="11"/>
      <c r="Q92" s="13"/>
      <c r="R92" s="14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</row>
    <row r="93" spans="1:92" ht="15" customHeight="1" x14ac:dyDescent="0.3">
      <c r="A93" s="19" t="s">
        <v>35</v>
      </c>
      <c r="B93" s="19" t="s">
        <v>593</v>
      </c>
      <c r="C93" s="20">
        <v>0.95833333333333337</v>
      </c>
      <c r="D93" s="19" t="s">
        <v>37</v>
      </c>
      <c r="E93" s="19" t="s">
        <v>289</v>
      </c>
      <c r="F93" s="19" t="s">
        <v>231</v>
      </c>
      <c r="G93" s="276"/>
      <c r="H93" s="10"/>
      <c r="I93" s="11"/>
      <c r="J93" s="11"/>
      <c r="K93" s="11"/>
      <c r="L93" s="11"/>
      <c r="M93" s="11"/>
      <c r="N93" s="11"/>
      <c r="O93" s="12"/>
      <c r="P93" s="11"/>
      <c r="Q93" s="13"/>
      <c r="R93" s="14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</row>
    <row r="94" spans="1:92" ht="15" customHeight="1" x14ac:dyDescent="0.3">
      <c r="A94" s="15" t="s">
        <v>35</v>
      </c>
      <c r="B94" s="15" t="s">
        <v>593</v>
      </c>
      <c r="C94" s="16">
        <v>0.95833333333333337</v>
      </c>
      <c r="D94" s="15" t="s">
        <v>40</v>
      </c>
      <c r="E94" s="15" t="s">
        <v>291</v>
      </c>
      <c r="F94" s="15" t="s">
        <v>88</v>
      </c>
      <c r="G94" s="276"/>
      <c r="H94" s="10"/>
      <c r="I94" s="11"/>
      <c r="J94" s="11"/>
      <c r="K94" s="11"/>
      <c r="L94" s="11"/>
      <c r="M94" s="11"/>
      <c r="N94" s="11"/>
      <c r="O94" s="12"/>
      <c r="P94" s="11"/>
      <c r="Q94" s="13"/>
      <c r="R94" s="14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</row>
    <row r="95" spans="1:92" ht="15" customHeight="1" x14ac:dyDescent="0.3">
      <c r="A95" s="15" t="s">
        <v>35</v>
      </c>
      <c r="B95" s="15" t="s">
        <v>593</v>
      </c>
      <c r="C95" s="16">
        <v>0.95833333333333337</v>
      </c>
      <c r="D95" s="15" t="s">
        <v>43</v>
      </c>
      <c r="E95" s="15" t="s">
        <v>291</v>
      </c>
      <c r="F95" s="15" t="s">
        <v>293</v>
      </c>
      <c r="G95" s="276"/>
      <c r="H95" s="10"/>
      <c r="I95" s="11"/>
      <c r="J95" s="11"/>
      <c r="K95" s="11"/>
      <c r="L95" s="11"/>
      <c r="M95" s="11"/>
      <c r="N95" s="11"/>
      <c r="O95" s="12"/>
      <c r="P95" s="11"/>
      <c r="Q95" s="13"/>
      <c r="R95" s="14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</row>
    <row r="96" spans="1:92" ht="15" customHeight="1" x14ac:dyDescent="0.3">
      <c r="A96" s="19" t="s">
        <v>35</v>
      </c>
      <c r="B96" s="19" t="s">
        <v>597</v>
      </c>
      <c r="C96" s="20">
        <v>0.81944444444444453</v>
      </c>
      <c r="D96" s="19" t="s">
        <v>37</v>
      </c>
      <c r="E96" s="19" t="s">
        <v>226</v>
      </c>
      <c r="F96" s="19" t="s">
        <v>231</v>
      </c>
      <c r="G96" s="276"/>
      <c r="H96" s="10"/>
      <c r="I96" s="11"/>
      <c r="J96" s="11"/>
      <c r="K96" s="11"/>
      <c r="L96" s="11"/>
      <c r="M96" s="11"/>
      <c r="N96" s="11"/>
      <c r="O96" s="12"/>
      <c r="P96" s="11"/>
      <c r="Q96" s="13"/>
      <c r="R96" s="14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</row>
    <row r="97" spans="1:92" ht="15" customHeight="1" x14ac:dyDescent="0.3">
      <c r="A97" s="15" t="s">
        <v>35</v>
      </c>
      <c r="B97" s="15" t="s">
        <v>597</v>
      </c>
      <c r="C97" s="16">
        <v>0.81944444444444453</v>
      </c>
      <c r="D97" s="15" t="s">
        <v>40</v>
      </c>
      <c r="E97" s="15" t="s">
        <v>227</v>
      </c>
      <c r="F97" s="15" t="s">
        <v>88</v>
      </c>
      <c r="G97" s="276"/>
      <c r="H97" s="10"/>
      <c r="I97" s="11"/>
      <c r="J97" s="11"/>
      <c r="K97" s="11"/>
      <c r="L97" s="11"/>
      <c r="M97" s="11"/>
      <c r="N97" s="11"/>
      <c r="O97" s="12"/>
      <c r="P97" s="11"/>
      <c r="Q97" s="13"/>
      <c r="R97" s="14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</row>
    <row r="98" spans="1:92" ht="15" customHeight="1" x14ac:dyDescent="0.3">
      <c r="A98" s="15" t="s">
        <v>35</v>
      </c>
      <c r="B98" s="15" t="s">
        <v>597</v>
      </c>
      <c r="C98" s="16">
        <v>0.81944444444444453</v>
      </c>
      <c r="D98" s="15" t="s">
        <v>43</v>
      </c>
      <c r="E98" s="15" t="s">
        <v>227</v>
      </c>
      <c r="F98" s="15" t="s">
        <v>293</v>
      </c>
      <c r="G98" s="276"/>
      <c r="H98" s="10"/>
      <c r="I98" s="11"/>
      <c r="J98" s="11"/>
      <c r="K98" s="11"/>
      <c r="L98" s="11"/>
      <c r="M98" s="11"/>
      <c r="N98" s="11"/>
      <c r="O98" s="12"/>
      <c r="P98" s="11"/>
      <c r="Q98" s="13"/>
      <c r="R98" s="14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</row>
    <row r="99" spans="1:92" ht="15" customHeight="1" x14ac:dyDescent="0.3">
      <c r="A99" s="19" t="s">
        <v>35</v>
      </c>
      <c r="B99" s="19" t="s">
        <v>583</v>
      </c>
      <c r="C99" s="20">
        <v>0.50694444444444442</v>
      </c>
      <c r="D99" s="19" t="s">
        <v>37</v>
      </c>
      <c r="E99" s="19" t="s">
        <v>240</v>
      </c>
      <c r="F99" s="19" t="s">
        <v>231</v>
      </c>
      <c r="G99" s="276"/>
      <c r="H99" s="10"/>
      <c r="I99" s="11"/>
      <c r="J99" s="11"/>
      <c r="K99" s="11"/>
      <c r="L99" s="11"/>
      <c r="M99" s="11"/>
      <c r="N99" s="11"/>
      <c r="O99" s="12"/>
      <c r="P99" s="11"/>
      <c r="Q99" s="13"/>
      <c r="R99" s="14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</row>
    <row r="100" spans="1:92" ht="15" customHeight="1" x14ac:dyDescent="0.3">
      <c r="A100" s="15" t="s">
        <v>35</v>
      </c>
      <c r="B100" s="15" t="s">
        <v>583</v>
      </c>
      <c r="C100" s="16">
        <v>0.50694444444444442</v>
      </c>
      <c r="D100" s="15" t="s">
        <v>40</v>
      </c>
      <c r="E100" s="15" t="s">
        <v>41</v>
      </c>
      <c r="F100" s="15" t="s">
        <v>88</v>
      </c>
      <c r="G100" s="276"/>
      <c r="H100" s="10"/>
      <c r="I100" s="11"/>
      <c r="J100" s="11"/>
      <c r="K100" s="11"/>
      <c r="L100" s="11"/>
      <c r="M100" s="11"/>
      <c r="N100" s="11"/>
      <c r="O100" s="12"/>
      <c r="P100" s="11"/>
      <c r="Q100" s="13"/>
      <c r="R100" s="14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</row>
    <row r="101" spans="1:92" ht="15" customHeight="1" x14ac:dyDescent="0.3">
      <c r="A101" s="15" t="s">
        <v>35</v>
      </c>
      <c r="B101" s="15" t="s">
        <v>583</v>
      </c>
      <c r="C101" s="16">
        <v>0.50694444444444442</v>
      </c>
      <c r="D101" s="15" t="s">
        <v>43</v>
      </c>
      <c r="E101" s="15" t="s">
        <v>41</v>
      </c>
      <c r="F101" s="15" t="s">
        <v>293</v>
      </c>
      <c r="G101" s="276"/>
      <c r="H101" s="10"/>
      <c r="I101" s="11"/>
      <c r="J101" s="11"/>
      <c r="K101" s="11"/>
      <c r="L101" s="11"/>
      <c r="M101" s="11"/>
      <c r="N101" s="11"/>
      <c r="O101" s="12"/>
      <c r="P101" s="11"/>
      <c r="Q101" s="13"/>
      <c r="R101" s="14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</row>
    <row r="102" spans="1:92" ht="15" customHeight="1" x14ac:dyDescent="0.3">
      <c r="A102" s="19" t="s">
        <v>35</v>
      </c>
      <c r="B102" s="19" t="s">
        <v>589</v>
      </c>
      <c r="C102" s="20">
        <v>0.69791666666666663</v>
      </c>
      <c r="D102" s="19" t="s">
        <v>37</v>
      </c>
      <c r="E102" s="19" t="s">
        <v>268</v>
      </c>
      <c r="F102" s="19" t="s">
        <v>231</v>
      </c>
      <c r="G102" s="276"/>
      <c r="H102" s="10"/>
      <c r="I102" s="11"/>
      <c r="J102" s="11"/>
      <c r="K102" s="11"/>
      <c r="L102" s="11"/>
      <c r="M102" s="11"/>
      <c r="N102" s="11"/>
      <c r="O102" s="12"/>
      <c r="P102" s="11"/>
      <c r="Q102" s="13"/>
      <c r="R102" s="14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</row>
    <row r="103" spans="1:92" ht="15" customHeight="1" x14ac:dyDescent="0.3">
      <c r="A103" s="15" t="s">
        <v>35</v>
      </c>
      <c r="B103" s="15" t="s">
        <v>589</v>
      </c>
      <c r="C103" s="16">
        <v>0.69791666666666663</v>
      </c>
      <c r="D103" s="15" t="s">
        <v>40</v>
      </c>
      <c r="E103" s="15" t="s">
        <v>78</v>
      </c>
      <c r="F103" s="15" t="s">
        <v>88</v>
      </c>
      <c r="G103" s="276"/>
      <c r="H103" s="10"/>
      <c r="I103" s="11"/>
      <c r="J103" s="11"/>
      <c r="K103" s="11"/>
      <c r="L103" s="11"/>
      <c r="M103" s="11"/>
      <c r="N103" s="11"/>
      <c r="O103" s="12"/>
      <c r="P103" s="11"/>
      <c r="Q103" s="13"/>
      <c r="R103" s="14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</row>
    <row r="104" spans="1:92" ht="15" customHeight="1" x14ac:dyDescent="0.3">
      <c r="A104" s="15" t="s">
        <v>35</v>
      </c>
      <c r="B104" s="15" t="s">
        <v>589</v>
      </c>
      <c r="C104" s="16">
        <v>0.69791666666666663</v>
      </c>
      <c r="D104" s="15" t="s">
        <v>43</v>
      </c>
      <c r="E104" s="15" t="s">
        <v>78</v>
      </c>
      <c r="F104" s="15" t="s">
        <v>293</v>
      </c>
      <c r="G104" s="276"/>
      <c r="H104" s="10"/>
      <c r="I104" s="11"/>
      <c r="J104" s="11"/>
      <c r="K104" s="11"/>
      <c r="L104" s="11"/>
      <c r="M104" s="11"/>
      <c r="N104" s="11"/>
      <c r="O104" s="12"/>
      <c r="P104" s="11"/>
      <c r="Q104" s="13"/>
      <c r="R104" s="14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</row>
    <row r="105" spans="1:92" ht="15" customHeight="1" x14ac:dyDescent="0.3">
      <c r="A105" s="19" t="s">
        <v>35</v>
      </c>
      <c r="B105" s="19" t="s">
        <v>584</v>
      </c>
      <c r="C105" s="20">
        <v>0.63194444444444442</v>
      </c>
      <c r="D105" s="19" t="s">
        <v>37</v>
      </c>
      <c r="E105" s="19" t="s">
        <v>226</v>
      </c>
      <c r="F105" s="19" t="s">
        <v>88</v>
      </c>
      <c r="G105" s="276"/>
      <c r="H105" s="10"/>
      <c r="I105" s="11"/>
      <c r="J105" s="11"/>
      <c r="K105" s="11"/>
      <c r="L105" s="11"/>
      <c r="M105" s="11"/>
      <c r="N105" s="11"/>
      <c r="O105" s="12"/>
      <c r="P105" s="11"/>
      <c r="Q105" s="13"/>
      <c r="R105" s="14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</row>
    <row r="106" spans="1:92" ht="15" customHeight="1" x14ac:dyDescent="0.3">
      <c r="A106" s="15" t="s">
        <v>35</v>
      </c>
      <c r="B106" s="15" t="s">
        <v>584</v>
      </c>
      <c r="C106" s="16">
        <v>0.63194444444444442</v>
      </c>
      <c r="D106" s="15" t="s">
        <v>40</v>
      </c>
      <c r="E106" s="15" t="s">
        <v>227</v>
      </c>
      <c r="F106" s="15" t="s">
        <v>80</v>
      </c>
      <c r="G106" s="276"/>
      <c r="H106" s="10"/>
      <c r="I106" s="11"/>
      <c r="J106" s="11"/>
      <c r="K106" s="11"/>
      <c r="L106" s="11"/>
      <c r="M106" s="11"/>
      <c r="N106" s="11"/>
      <c r="O106" s="12"/>
      <c r="P106" s="11"/>
      <c r="Q106" s="13"/>
      <c r="R106" s="14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</row>
    <row r="107" spans="1:92" ht="15" customHeight="1" x14ac:dyDescent="0.3">
      <c r="A107" s="15" t="s">
        <v>35</v>
      </c>
      <c r="B107" s="15" t="s">
        <v>584</v>
      </c>
      <c r="C107" s="16">
        <v>0.63194444444444442</v>
      </c>
      <c r="D107" s="15" t="s">
        <v>43</v>
      </c>
      <c r="E107" s="15" t="s">
        <v>227</v>
      </c>
      <c r="F107" s="15" t="s">
        <v>627</v>
      </c>
      <c r="G107" s="276"/>
      <c r="H107" s="10"/>
      <c r="I107" s="11"/>
      <c r="J107" s="11"/>
      <c r="K107" s="11"/>
      <c r="L107" s="11"/>
      <c r="M107" s="11"/>
      <c r="N107" s="11"/>
      <c r="O107" s="12"/>
      <c r="P107" s="11"/>
      <c r="Q107" s="13"/>
      <c r="R107" s="14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</row>
    <row r="108" spans="1:92" ht="15" customHeight="1" x14ac:dyDescent="0.3">
      <c r="A108" s="19" t="s">
        <v>35</v>
      </c>
      <c r="B108" s="19" t="s">
        <v>588</v>
      </c>
      <c r="C108" s="20">
        <v>0.55902777777777779</v>
      </c>
      <c r="D108" s="19" t="s">
        <v>37</v>
      </c>
      <c r="E108" s="19" t="s">
        <v>240</v>
      </c>
      <c r="F108" s="19" t="s">
        <v>88</v>
      </c>
      <c r="G108" s="276"/>
      <c r="H108" s="10"/>
      <c r="I108" s="11"/>
      <c r="J108" s="11"/>
      <c r="K108" s="11"/>
      <c r="L108" s="11"/>
      <c r="M108" s="11"/>
      <c r="N108" s="11"/>
      <c r="O108" s="12"/>
      <c r="P108" s="11"/>
      <c r="Q108" s="13"/>
      <c r="R108" s="14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</row>
    <row r="109" spans="1:92" ht="15" customHeight="1" x14ac:dyDescent="0.3">
      <c r="A109" s="15" t="s">
        <v>35</v>
      </c>
      <c r="B109" s="15" t="s">
        <v>588</v>
      </c>
      <c r="C109" s="16">
        <v>0.55902777777777779</v>
      </c>
      <c r="D109" s="15" t="s">
        <v>40</v>
      </c>
      <c r="E109" s="15" t="s">
        <v>41</v>
      </c>
      <c r="F109" s="15" t="s">
        <v>80</v>
      </c>
      <c r="G109" s="276"/>
      <c r="H109" s="10"/>
      <c r="I109" s="11"/>
      <c r="J109" s="11"/>
      <c r="K109" s="11"/>
      <c r="L109" s="11"/>
      <c r="M109" s="11"/>
      <c r="N109" s="11"/>
      <c r="O109" s="12"/>
      <c r="P109" s="11"/>
      <c r="Q109" s="13"/>
      <c r="R109" s="14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</row>
    <row r="110" spans="1:92" ht="15" customHeight="1" x14ac:dyDescent="0.3">
      <c r="A110" s="15" t="s">
        <v>35</v>
      </c>
      <c r="B110" s="15" t="s">
        <v>588</v>
      </c>
      <c r="C110" s="16">
        <v>0.55902777777777779</v>
      </c>
      <c r="D110" s="15" t="s">
        <v>43</v>
      </c>
      <c r="E110" s="15" t="s">
        <v>41</v>
      </c>
      <c r="F110" s="15" t="s">
        <v>627</v>
      </c>
      <c r="G110" s="276"/>
      <c r="H110" s="10"/>
      <c r="I110" s="11"/>
      <c r="J110" s="11"/>
      <c r="K110" s="11"/>
      <c r="L110" s="11"/>
      <c r="M110" s="11"/>
      <c r="N110" s="11"/>
      <c r="O110" s="12"/>
      <c r="P110" s="11"/>
      <c r="Q110" s="13"/>
      <c r="R110" s="14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</row>
    <row r="111" spans="1:92" ht="15" customHeight="1" x14ac:dyDescent="0.3">
      <c r="A111" s="17" t="s">
        <v>49</v>
      </c>
      <c r="B111" s="17" t="s">
        <v>628</v>
      </c>
      <c r="C111" s="18">
        <v>0.69791666666666663</v>
      </c>
      <c r="D111" s="17" t="s">
        <v>51</v>
      </c>
      <c r="E111" s="17" t="s">
        <v>52</v>
      </c>
      <c r="F111" s="17" t="s">
        <v>555</v>
      </c>
      <c r="G111" s="276"/>
      <c r="H111" s="10"/>
      <c r="I111" s="11"/>
      <c r="J111" s="11"/>
      <c r="K111" s="11"/>
      <c r="L111" s="11"/>
      <c r="M111" s="11"/>
      <c r="N111" s="11"/>
      <c r="O111" s="12"/>
      <c r="P111" s="11"/>
      <c r="Q111" s="13"/>
      <c r="R111" s="14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</row>
    <row r="112" spans="1:92" ht="15" customHeight="1" x14ac:dyDescent="0.3">
      <c r="A112" s="19" t="s">
        <v>49</v>
      </c>
      <c r="B112" s="19" t="s">
        <v>550</v>
      </c>
      <c r="C112" s="20">
        <v>0.44444444444444442</v>
      </c>
      <c r="D112" s="19" t="s">
        <v>51</v>
      </c>
      <c r="E112" s="19" t="s">
        <v>289</v>
      </c>
      <c r="F112" s="19" t="s">
        <v>629</v>
      </c>
      <c r="G112" s="276"/>
      <c r="H112" s="10"/>
      <c r="I112" s="11"/>
      <c r="J112" s="11"/>
      <c r="K112" s="11"/>
      <c r="L112" s="11"/>
      <c r="M112" s="11"/>
      <c r="N112" s="11"/>
      <c r="O112" s="12"/>
      <c r="P112" s="11"/>
      <c r="Q112" s="13"/>
      <c r="R112" s="14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</row>
    <row r="113" spans="1:92" ht="15" customHeight="1" x14ac:dyDescent="0.3">
      <c r="A113" s="19" t="s">
        <v>49</v>
      </c>
      <c r="B113" s="19" t="s">
        <v>553</v>
      </c>
      <c r="C113" s="20">
        <v>0.62847222222222221</v>
      </c>
      <c r="D113" s="19" t="s">
        <v>51</v>
      </c>
      <c r="E113" s="19" t="s">
        <v>226</v>
      </c>
      <c r="F113" s="19" t="s">
        <v>629</v>
      </c>
      <c r="G113" s="276"/>
      <c r="H113" s="10"/>
      <c r="I113" s="11"/>
      <c r="J113" s="11"/>
      <c r="K113" s="11"/>
      <c r="L113" s="11"/>
      <c r="M113" s="11"/>
      <c r="N113" s="11"/>
      <c r="O113" s="12"/>
      <c r="P113" s="11"/>
      <c r="Q113" s="13"/>
      <c r="R113" s="14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</row>
    <row r="114" spans="1:92" ht="15" customHeight="1" x14ac:dyDescent="0.3">
      <c r="A114" s="19" t="s">
        <v>49</v>
      </c>
      <c r="B114" s="19" t="s">
        <v>556</v>
      </c>
      <c r="C114" s="20">
        <v>0.88888888888888884</v>
      </c>
      <c r="D114" s="19" t="s">
        <v>51</v>
      </c>
      <c r="E114" s="19" t="s">
        <v>57</v>
      </c>
      <c r="F114" s="19" t="s">
        <v>630</v>
      </c>
      <c r="G114" s="276"/>
      <c r="H114" s="10"/>
      <c r="I114" s="11"/>
      <c r="J114" s="11"/>
      <c r="K114" s="11"/>
      <c r="L114" s="11"/>
      <c r="M114" s="11"/>
      <c r="N114" s="11"/>
      <c r="O114" s="12"/>
      <c r="P114" s="11"/>
      <c r="Q114" s="13"/>
      <c r="R114" s="14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</row>
    <row r="115" spans="1:92" ht="15" customHeight="1" x14ac:dyDescent="0.3">
      <c r="A115" s="19" t="s">
        <v>49</v>
      </c>
      <c r="B115" s="19" t="s">
        <v>558</v>
      </c>
      <c r="C115" s="20">
        <v>0.62847222222222221</v>
      </c>
      <c r="D115" s="19" t="s">
        <v>51</v>
      </c>
      <c r="E115" s="19" t="s">
        <v>57</v>
      </c>
      <c r="F115" s="19" t="s">
        <v>630</v>
      </c>
      <c r="G115" s="276"/>
      <c r="H115" s="10"/>
      <c r="I115" s="11"/>
      <c r="J115" s="11"/>
      <c r="K115" s="11"/>
      <c r="L115" s="11"/>
      <c r="M115" s="11"/>
      <c r="N115" s="11"/>
      <c r="O115" s="12"/>
      <c r="P115" s="11"/>
      <c r="Q115" s="13"/>
      <c r="R115" s="14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</row>
    <row r="116" spans="1:92" ht="15" customHeight="1" x14ac:dyDescent="0.3">
      <c r="A116" s="37" t="s">
        <v>49</v>
      </c>
      <c r="B116" s="37" t="s">
        <v>559</v>
      </c>
      <c r="C116" s="38">
        <v>0.94444444444444453</v>
      </c>
      <c r="D116" s="37" t="s">
        <v>51</v>
      </c>
      <c r="E116" s="37" t="s">
        <v>57</v>
      </c>
      <c r="F116" s="37" t="s">
        <v>630</v>
      </c>
      <c r="G116" s="277"/>
      <c r="H116" s="39"/>
      <c r="I116" s="40"/>
      <c r="J116" s="40"/>
      <c r="K116" s="40"/>
      <c r="L116" s="40"/>
      <c r="M116" s="40"/>
      <c r="N116" s="40"/>
      <c r="O116" s="41"/>
      <c r="P116" s="40"/>
      <c r="Q116" s="42"/>
      <c r="R116" s="4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</row>
    <row r="117" spans="1:92" ht="14.4" customHeight="1" x14ac:dyDescent="0.3">
      <c r="A117" s="272"/>
      <c r="B117" s="273"/>
      <c r="C117" s="273"/>
      <c r="D117" s="273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4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</row>
  </sheetData>
  <mergeCells count="25">
    <mergeCell ref="J1:M1"/>
    <mergeCell ref="G27:G67"/>
    <mergeCell ref="A2:F2"/>
    <mergeCell ref="A3:R3"/>
    <mergeCell ref="H25:R25"/>
    <mergeCell ref="G6:G18"/>
    <mergeCell ref="G2:J2"/>
    <mergeCell ref="A4:F4"/>
    <mergeCell ref="A20:F20"/>
    <mergeCell ref="A117:R117"/>
    <mergeCell ref="D1:F1"/>
    <mergeCell ref="G22:G23"/>
    <mergeCell ref="A1:C1"/>
    <mergeCell ref="A24:R24"/>
    <mergeCell ref="G1:H1"/>
    <mergeCell ref="A69:F69"/>
    <mergeCell ref="A25:F25"/>
    <mergeCell ref="H69:R69"/>
    <mergeCell ref="A19:R19"/>
    <mergeCell ref="G71:G116"/>
    <mergeCell ref="A68:R68"/>
    <mergeCell ref="K2:R2"/>
    <mergeCell ref="O1:Q1"/>
    <mergeCell ref="H20:R20"/>
    <mergeCell ref="H4:R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I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  <row r="2" spans="1:35" ht="18" x14ac:dyDescent="0.3">
      <c r="A2" s="65" t="s">
        <v>133</v>
      </c>
      <c r="B2" s="66">
        <v>45988</v>
      </c>
      <c r="C2" s="67" t="s">
        <v>546</v>
      </c>
      <c r="D2" s="68">
        <v>0.41319444444444442</v>
      </c>
      <c r="E2" s="67" t="s">
        <v>539</v>
      </c>
      <c r="F2" s="67" t="s">
        <v>134</v>
      </c>
      <c r="G2" s="69">
        <v>0.80449999999999999</v>
      </c>
      <c r="H2" s="70">
        <v>179</v>
      </c>
      <c r="I2" s="70">
        <v>144</v>
      </c>
      <c r="J2" s="70">
        <v>0</v>
      </c>
      <c r="K2" s="66">
        <v>45987</v>
      </c>
      <c r="L2" s="70">
        <v>1</v>
      </c>
      <c r="M2" s="70">
        <v>9</v>
      </c>
      <c r="N2" s="70">
        <v>68</v>
      </c>
      <c r="O2" s="67" t="s">
        <v>211</v>
      </c>
      <c r="P2" s="71"/>
      <c r="Q2" s="71"/>
      <c r="R2" s="71"/>
      <c r="S2" s="71"/>
      <c r="T2" s="71"/>
      <c r="U2" s="71"/>
      <c r="V2" s="70" t="s">
        <v>631</v>
      </c>
      <c r="W2" s="70" t="s">
        <v>632</v>
      </c>
      <c r="X2" s="70" t="s">
        <v>633</v>
      </c>
      <c r="Y2" s="70" t="s">
        <v>477</v>
      </c>
      <c r="Z2" s="70" t="s">
        <v>200</v>
      </c>
      <c r="AA2" s="70" t="s">
        <v>634</v>
      </c>
      <c r="AB2" s="70" t="s">
        <v>352</v>
      </c>
      <c r="AC2" s="70" t="s">
        <v>635</v>
      </c>
      <c r="AD2" s="70" t="s">
        <v>636</v>
      </c>
      <c r="AE2" s="70" t="s">
        <v>528</v>
      </c>
      <c r="AF2" s="71"/>
      <c r="AG2" s="71"/>
      <c r="AH2" s="71"/>
      <c r="AI2" s="71"/>
    </row>
    <row r="3" spans="1:35" ht="18" x14ac:dyDescent="0.3">
      <c r="A3" s="72" t="s">
        <v>346</v>
      </c>
      <c r="B3" s="73">
        <v>45989</v>
      </c>
      <c r="C3" s="74" t="s">
        <v>546</v>
      </c>
      <c r="D3" s="75">
        <v>0.40625</v>
      </c>
      <c r="E3" s="74" t="s">
        <v>539</v>
      </c>
      <c r="F3" s="74" t="s">
        <v>134</v>
      </c>
      <c r="G3" s="76">
        <v>0.74860000000000004</v>
      </c>
      <c r="H3" s="77">
        <v>179</v>
      </c>
      <c r="I3" s="77">
        <v>134</v>
      </c>
      <c r="J3" s="77">
        <v>0</v>
      </c>
      <c r="K3" s="73">
        <v>45986</v>
      </c>
      <c r="L3" s="77">
        <v>0</v>
      </c>
      <c r="M3" s="77">
        <v>16</v>
      </c>
      <c r="N3" s="77">
        <v>32</v>
      </c>
      <c r="O3" s="74" t="s">
        <v>564</v>
      </c>
      <c r="P3" s="78"/>
      <c r="Q3" s="78"/>
      <c r="R3" s="78"/>
      <c r="S3" s="78"/>
      <c r="T3" s="77" t="s">
        <v>564</v>
      </c>
      <c r="U3" s="77" t="s">
        <v>637</v>
      </c>
      <c r="V3" s="77" t="s">
        <v>638</v>
      </c>
      <c r="W3" s="77" t="s">
        <v>312</v>
      </c>
      <c r="X3" s="77" t="s">
        <v>514</v>
      </c>
      <c r="Y3" s="77" t="s">
        <v>639</v>
      </c>
      <c r="Z3" s="77" t="s">
        <v>640</v>
      </c>
      <c r="AA3" s="77" t="s">
        <v>641</v>
      </c>
      <c r="AB3" s="77" t="s">
        <v>184</v>
      </c>
      <c r="AC3" s="77" t="s">
        <v>642</v>
      </c>
      <c r="AD3" s="77" t="s">
        <v>323</v>
      </c>
      <c r="AE3" s="77" t="s">
        <v>643</v>
      </c>
      <c r="AF3" s="78"/>
      <c r="AG3" s="78"/>
      <c r="AH3" s="78"/>
      <c r="AI3" s="78"/>
    </row>
    <row r="4" spans="1:35" ht="18" x14ac:dyDescent="0.3">
      <c r="A4" s="65" t="s">
        <v>346</v>
      </c>
      <c r="B4" s="66">
        <v>45989</v>
      </c>
      <c r="C4" s="67" t="s">
        <v>566</v>
      </c>
      <c r="D4" s="68">
        <v>0.72569444444444453</v>
      </c>
      <c r="E4" s="67" t="s">
        <v>539</v>
      </c>
      <c r="F4" s="67" t="s">
        <v>134</v>
      </c>
      <c r="G4" s="69">
        <v>0.67600000000000005</v>
      </c>
      <c r="H4" s="70">
        <v>179</v>
      </c>
      <c r="I4" s="70">
        <v>121</v>
      </c>
      <c r="J4" s="70">
        <v>0</v>
      </c>
      <c r="K4" s="66">
        <v>45986</v>
      </c>
      <c r="L4" s="70">
        <v>0</v>
      </c>
      <c r="M4" s="70">
        <v>5</v>
      </c>
      <c r="N4" s="70">
        <v>28</v>
      </c>
      <c r="O4" s="67" t="s">
        <v>567</v>
      </c>
      <c r="P4" s="71"/>
      <c r="Q4" s="71"/>
      <c r="R4" s="71"/>
      <c r="S4" s="70" t="s">
        <v>644</v>
      </c>
      <c r="T4" s="70" t="s">
        <v>645</v>
      </c>
      <c r="U4" s="70" t="s">
        <v>347</v>
      </c>
      <c r="V4" s="70" t="s">
        <v>638</v>
      </c>
      <c r="W4" s="70" t="s">
        <v>646</v>
      </c>
      <c r="X4" s="70" t="s">
        <v>380</v>
      </c>
      <c r="Y4" s="70" t="s">
        <v>333</v>
      </c>
      <c r="Z4" s="70" t="s">
        <v>647</v>
      </c>
      <c r="AA4" s="70" t="s">
        <v>466</v>
      </c>
      <c r="AB4" s="70" t="s">
        <v>328</v>
      </c>
      <c r="AC4" s="70" t="s">
        <v>648</v>
      </c>
      <c r="AD4" s="70" t="s">
        <v>649</v>
      </c>
      <c r="AE4" s="70" t="s">
        <v>650</v>
      </c>
      <c r="AF4" s="71"/>
      <c r="AG4" s="71"/>
      <c r="AH4" s="71"/>
      <c r="AI4" s="71"/>
    </row>
    <row r="5" spans="1:35" ht="18" x14ac:dyDescent="0.3">
      <c r="A5" s="72" t="s">
        <v>140</v>
      </c>
      <c r="B5" s="73">
        <v>45990</v>
      </c>
      <c r="C5" s="74" t="s">
        <v>546</v>
      </c>
      <c r="D5" s="75">
        <v>0.41319444444444442</v>
      </c>
      <c r="E5" s="74" t="s">
        <v>539</v>
      </c>
      <c r="F5" s="74" t="s">
        <v>134</v>
      </c>
      <c r="G5" s="76">
        <v>0.76539999999999997</v>
      </c>
      <c r="H5" s="77">
        <v>179</v>
      </c>
      <c r="I5" s="77">
        <v>137</v>
      </c>
      <c r="J5" s="77">
        <v>0</v>
      </c>
      <c r="K5" s="73">
        <v>45986</v>
      </c>
      <c r="L5" s="77">
        <v>0</v>
      </c>
      <c r="M5" s="77">
        <v>11</v>
      </c>
      <c r="N5" s="77">
        <v>19</v>
      </c>
      <c r="O5" s="74" t="s">
        <v>580</v>
      </c>
      <c r="P5" s="78"/>
      <c r="Q5" s="78"/>
      <c r="R5" s="77" t="s">
        <v>651</v>
      </c>
      <c r="S5" s="77" t="s">
        <v>652</v>
      </c>
      <c r="T5" s="78"/>
      <c r="U5" s="77" t="s">
        <v>653</v>
      </c>
      <c r="V5" s="77" t="s">
        <v>654</v>
      </c>
      <c r="W5" s="77" t="s">
        <v>405</v>
      </c>
      <c r="X5" s="77" t="s">
        <v>514</v>
      </c>
      <c r="Y5" s="77" t="s">
        <v>655</v>
      </c>
      <c r="Z5" s="77" t="s">
        <v>412</v>
      </c>
      <c r="AA5" s="77" t="s">
        <v>335</v>
      </c>
      <c r="AB5" s="77" t="s">
        <v>407</v>
      </c>
      <c r="AC5" s="77" t="s">
        <v>367</v>
      </c>
      <c r="AD5" s="77" t="s">
        <v>656</v>
      </c>
      <c r="AE5" s="77" t="s">
        <v>528</v>
      </c>
      <c r="AF5" s="78"/>
      <c r="AG5" s="78"/>
      <c r="AH5" s="78"/>
      <c r="AI5" s="78"/>
    </row>
    <row r="6" spans="1:35" ht="18" x14ac:dyDescent="0.3">
      <c r="A6" s="65" t="s">
        <v>148</v>
      </c>
      <c r="B6" s="66">
        <v>45991</v>
      </c>
      <c r="C6" s="67" t="s">
        <v>546</v>
      </c>
      <c r="D6" s="68">
        <v>0.42708333333333331</v>
      </c>
      <c r="E6" s="67" t="s">
        <v>539</v>
      </c>
      <c r="F6" s="67" t="s">
        <v>134</v>
      </c>
      <c r="G6" s="69">
        <v>0.74299999999999999</v>
      </c>
      <c r="H6" s="70">
        <v>179</v>
      </c>
      <c r="I6" s="70">
        <v>133</v>
      </c>
      <c r="J6" s="70">
        <v>0</v>
      </c>
      <c r="K6" s="66">
        <v>45986</v>
      </c>
      <c r="L6" s="70">
        <v>0</v>
      </c>
      <c r="M6" s="70">
        <v>6</v>
      </c>
      <c r="N6" s="70">
        <v>42</v>
      </c>
      <c r="O6" s="67" t="s">
        <v>615</v>
      </c>
      <c r="P6" s="71"/>
      <c r="Q6" s="71"/>
      <c r="R6" s="71"/>
      <c r="S6" s="71"/>
      <c r="T6" s="70" t="s">
        <v>657</v>
      </c>
      <c r="U6" s="70" t="s">
        <v>658</v>
      </c>
      <c r="V6" s="70" t="s">
        <v>659</v>
      </c>
      <c r="W6" s="70" t="s">
        <v>660</v>
      </c>
      <c r="X6" s="70" t="s">
        <v>479</v>
      </c>
      <c r="Y6" s="70" t="s">
        <v>515</v>
      </c>
      <c r="Z6" s="70" t="s">
        <v>661</v>
      </c>
      <c r="AA6" s="70" t="s">
        <v>641</v>
      </c>
      <c r="AB6" s="70" t="s">
        <v>407</v>
      </c>
      <c r="AC6" s="70" t="s">
        <v>337</v>
      </c>
      <c r="AD6" s="70" t="s">
        <v>649</v>
      </c>
      <c r="AE6" s="70" t="s">
        <v>329</v>
      </c>
      <c r="AF6" s="71"/>
      <c r="AG6" s="71"/>
      <c r="AH6" s="71"/>
      <c r="AI6" s="71"/>
    </row>
    <row r="7" spans="1:35" ht="18" x14ac:dyDescent="0.3">
      <c r="A7" s="79" t="s">
        <v>151</v>
      </c>
      <c r="B7" s="80"/>
      <c r="C7" s="81">
        <f>COUNTA(C2:C6)</f>
        <v>5</v>
      </c>
      <c r="D7" s="80"/>
      <c r="E7" s="80"/>
      <c r="F7" s="80"/>
      <c r="G7" s="82">
        <f>AVERAGE(G2:G6)</f>
        <v>0.74750000000000005</v>
      </c>
      <c r="H7" s="83">
        <f>SUM(H2:H6)</f>
        <v>895</v>
      </c>
      <c r="I7" s="83">
        <f>SUM(I2:I6)</f>
        <v>669</v>
      </c>
      <c r="J7" s="83">
        <f>SUM(J2:J6)</f>
        <v>0</v>
      </c>
      <c r="K7" s="80"/>
      <c r="L7" s="83">
        <f>SUM(L2:L6)</f>
        <v>1</v>
      </c>
      <c r="M7" s="83">
        <f>SUM(M2:M6)</f>
        <v>47</v>
      </c>
      <c r="N7" s="83">
        <f>SUM(N2:N6)</f>
        <v>189</v>
      </c>
      <c r="O7" s="80"/>
      <c r="P7" s="83">
        <f t="shared" ref="P7:AI7" si="0">SUMPRODUCT(--IFERROR(VALUE(SUBSTITUTE(SUBSTITUTE(SUBSTITUTE(SUBSTITUTE(SUBSTITUTE(SUBSTITUTE(SUBSTITUTE(SUBSTITUTE(SUBSTITUTE(SUBSTITUTE(SUBSTITUTE(SUBSTITUTE(SUBSTITUTE(SUBSTITUTE(SUBSTITUTE(SUBSTITUTE(SUBSTITUTE(SUBSTITUTE(SUBSTITUTE(SUBSTITUTE(P2:P6,"Y",""),"B",""),"M",""),"H",""),"Q",""),"K",""),"V",""),"L",""),"G",""),"S",""),"W",""),"T",""),"X",""),"U",""),"O",""),"I",""),"E",""),"A",""),"P",""),"N","")),0))</f>
        <v>0</v>
      </c>
      <c r="Q7" s="83">
        <f t="shared" si="0"/>
        <v>0</v>
      </c>
      <c r="R7" s="83">
        <f t="shared" si="0"/>
        <v>0</v>
      </c>
      <c r="S7" s="83">
        <f t="shared" si="0"/>
        <v>0</v>
      </c>
      <c r="T7" s="83">
        <f t="shared" si="0"/>
        <v>0</v>
      </c>
      <c r="U7" s="83">
        <f t="shared" si="0"/>
        <v>0</v>
      </c>
      <c r="V7" s="83">
        <f t="shared" si="0"/>
        <v>0</v>
      </c>
      <c r="W7" s="83">
        <f t="shared" si="0"/>
        <v>0</v>
      </c>
      <c r="X7" s="83">
        <f t="shared" si="0"/>
        <v>0</v>
      </c>
      <c r="Y7" s="83">
        <f t="shared" si="0"/>
        <v>0</v>
      </c>
      <c r="Z7" s="83">
        <f t="shared" si="0"/>
        <v>0</v>
      </c>
      <c r="AA7" s="83">
        <f t="shared" si="0"/>
        <v>0</v>
      </c>
      <c r="AB7" s="83">
        <f t="shared" si="0"/>
        <v>0</v>
      </c>
      <c r="AC7" s="83">
        <f t="shared" si="0"/>
        <v>0</v>
      </c>
      <c r="AD7" s="83">
        <f t="shared" si="0"/>
        <v>0</v>
      </c>
      <c r="AE7" s="83">
        <f t="shared" si="0"/>
        <v>0</v>
      </c>
      <c r="AF7" s="83">
        <f t="shared" si="0"/>
        <v>0</v>
      </c>
      <c r="AG7" s="83">
        <f t="shared" si="0"/>
        <v>0</v>
      </c>
      <c r="AH7" s="83">
        <f t="shared" si="0"/>
        <v>0</v>
      </c>
      <c r="AI7" s="83">
        <f t="shared" si="0"/>
        <v>0</v>
      </c>
    </row>
  </sheetData>
  <autoFilter ref="A1:AI6" xr:uid="{00000000-0009-0000-0000-000020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103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7.77734375" bestFit="1" customWidth="1"/>
    <col min="7" max="7" width="16.88671875" bestFit="1" customWidth="1"/>
    <col min="8" max="8" width="20.8867187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  <row r="2" spans="1:8" ht="18" x14ac:dyDescent="0.3">
      <c r="A2" s="85">
        <v>45988</v>
      </c>
      <c r="B2" s="86" t="s">
        <v>246</v>
      </c>
      <c r="C2" s="87" t="s">
        <v>540</v>
      </c>
      <c r="D2" s="86" t="s">
        <v>539</v>
      </c>
      <c r="E2" s="88">
        <v>1.1701388888888891</v>
      </c>
      <c r="F2" s="86" t="s">
        <v>191</v>
      </c>
      <c r="G2" s="89">
        <v>9</v>
      </c>
      <c r="H2" s="90" t="s">
        <v>541</v>
      </c>
    </row>
    <row r="3" spans="1:8" ht="18" x14ac:dyDescent="0.3">
      <c r="A3" s="97">
        <v>45988</v>
      </c>
      <c r="B3" s="98" t="s">
        <v>246</v>
      </c>
      <c r="C3" s="99" t="s">
        <v>542</v>
      </c>
      <c r="D3" s="98" t="s">
        <v>539</v>
      </c>
      <c r="E3" s="100">
        <v>1.6736111111111109</v>
      </c>
      <c r="F3" s="98" t="s">
        <v>191</v>
      </c>
      <c r="G3" s="101">
        <v>6</v>
      </c>
      <c r="H3" s="98" t="s">
        <v>543</v>
      </c>
    </row>
    <row r="4" spans="1:8" ht="18" x14ac:dyDescent="0.3">
      <c r="A4" s="147">
        <v>45988</v>
      </c>
      <c r="B4" s="148" t="s">
        <v>59</v>
      </c>
      <c r="C4" s="149" t="s">
        <v>544</v>
      </c>
      <c r="D4" s="148" t="s">
        <v>539</v>
      </c>
      <c r="E4" s="150">
        <v>1.413194444444444</v>
      </c>
      <c r="F4" s="148" t="s">
        <v>191</v>
      </c>
      <c r="G4" s="155">
        <v>1</v>
      </c>
      <c r="H4" s="148" t="s">
        <v>545</v>
      </c>
    </row>
    <row r="5" spans="1:8" ht="18" x14ac:dyDescent="0.3">
      <c r="A5" s="96">
        <v>45988</v>
      </c>
      <c r="B5" s="86" t="s">
        <v>249</v>
      </c>
      <c r="C5" s="87" t="s">
        <v>548</v>
      </c>
      <c r="D5" s="86" t="s">
        <v>539</v>
      </c>
      <c r="E5" s="88">
        <v>1.6909722222222221</v>
      </c>
      <c r="F5" s="86" t="s">
        <v>191</v>
      </c>
      <c r="G5" s="89">
        <v>7</v>
      </c>
      <c r="H5" s="86" t="s">
        <v>549</v>
      </c>
    </row>
    <row r="6" spans="1:8" ht="18" x14ac:dyDescent="0.3">
      <c r="A6" s="96">
        <v>45988</v>
      </c>
      <c r="B6" s="86" t="s">
        <v>49</v>
      </c>
      <c r="C6" s="87" t="s">
        <v>550</v>
      </c>
      <c r="D6" s="86" t="s">
        <v>539</v>
      </c>
      <c r="E6" s="88">
        <v>1.444444444444444</v>
      </c>
      <c r="F6" s="86" t="s">
        <v>51</v>
      </c>
      <c r="G6" s="89">
        <v>9</v>
      </c>
      <c r="H6" s="86" t="s">
        <v>551</v>
      </c>
    </row>
    <row r="7" spans="1:8" ht="18" x14ac:dyDescent="0.3">
      <c r="A7" s="97">
        <v>45988</v>
      </c>
      <c r="B7" s="98" t="s">
        <v>49</v>
      </c>
      <c r="C7" s="99" t="s">
        <v>552</v>
      </c>
      <c r="D7" s="98" t="s">
        <v>539</v>
      </c>
      <c r="E7" s="100">
        <v>1.9826388888888891</v>
      </c>
      <c r="F7" s="98" t="s">
        <v>51</v>
      </c>
      <c r="G7" s="101">
        <v>9</v>
      </c>
      <c r="H7" s="98" t="s">
        <v>551</v>
      </c>
    </row>
    <row r="8" spans="1:8" ht="18" x14ac:dyDescent="0.3">
      <c r="A8" s="97">
        <v>45988</v>
      </c>
      <c r="B8" s="98" t="s">
        <v>49</v>
      </c>
      <c r="C8" s="99" t="s">
        <v>553</v>
      </c>
      <c r="D8" s="98" t="s">
        <v>539</v>
      </c>
      <c r="E8" s="100">
        <v>1.6284722222222221</v>
      </c>
      <c r="F8" s="98" t="s">
        <v>51</v>
      </c>
      <c r="G8" s="101">
        <v>9</v>
      </c>
      <c r="H8" s="98" t="s">
        <v>551</v>
      </c>
    </row>
    <row r="9" spans="1:8" ht="18" x14ac:dyDescent="0.3">
      <c r="A9" s="97">
        <v>45988</v>
      </c>
      <c r="B9" s="98" t="s">
        <v>49</v>
      </c>
      <c r="C9" s="99" t="s">
        <v>554</v>
      </c>
      <c r="D9" s="98" t="s">
        <v>539</v>
      </c>
      <c r="E9" s="100">
        <v>1.8298611111111109</v>
      </c>
      <c r="F9" s="98" t="s">
        <v>51</v>
      </c>
      <c r="G9" s="101">
        <v>9</v>
      </c>
      <c r="H9" s="98" t="s">
        <v>555</v>
      </c>
    </row>
    <row r="10" spans="1:8" ht="18" x14ac:dyDescent="0.3">
      <c r="A10" s="97">
        <v>45988</v>
      </c>
      <c r="B10" s="98" t="s">
        <v>49</v>
      </c>
      <c r="C10" s="99" t="s">
        <v>556</v>
      </c>
      <c r="D10" s="98" t="s">
        <v>539</v>
      </c>
      <c r="E10" s="100">
        <v>1.8888888888888891</v>
      </c>
      <c r="F10" s="98" t="s">
        <v>51</v>
      </c>
      <c r="G10" s="101">
        <v>4</v>
      </c>
      <c r="H10" s="98" t="s">
        <v>557</v>
      </c>
    </row>
    <row r="11" spans="1:8" ht="18" x14ac:dyDescent="0.3">
      <c r="A11" s="97">
        <v>45988</v>
      </c>
      <c r="B11" s="98" t="s">
        <v>49</v>
      </c>
      <c r="C11" s="99" t="s">
        <v>558</v>
      </c>
      <c r="D11" s="98" t="s">
        <v>539</v>
      </c>
      <c r="E11" s="100">
        <v>1.6284722222222221</v>
      </c>
      <c r="F11" s="98" t="s">
        <v>51</v>
      </c>
      <c r="G11" s="101">
        <v>4</v>
      </c>
      <c r="H11" s="98" t="s">
        <v>557</v>
      </c>
    </row>
    <row r="12" spans="1:8" ht="18" x14ac:dyDescent="0.3">
      <c r="A12" s="97">
        <v>45988</v>
      </c>
      <c r="B12" s="98" t="s">
        <v>49</v>
      </c>
      <c r="C12" s="99" t="s">
        <v>559</v>
      </c>
      <c r="D12" s="98" t="s">
        <v>539</v>
      </c>
      <c r="E12" s="100">
        <v>1.944444444444444</v>
      </c>
      <c r="F12" s="98" t="s">
        <v>51</v>
      </c>
      <c r="G12" s="101">
        <v>4</v>
      </c>
      <c r="H12" s="98" t="s">
        <v>557</v>
      </c>
    </row>
    <row r="13" spans="1:8" ht="18" x14ac:dyDescent="0.3">
      <c r="A13" s="96">
        <v>45988</v>
      </c>
      <c r="B13" s="86" t="s">
        <v>70</v>
      </c>
      <c r="C13" s="87" t="s">
        <v>560</v>
      </c>
      <c r="D13" s="86" t="s">
        <v>539</v>
      </c>
      <c r="E13" s="88">
        <v>1.9826388888888891</v>
      </c>
      <c r="F13" s="86" t="s">
        <v>72</v>
      </c>
      <c r="G13" s="89">
        <v>5</v>
      </c>
      <c r="H13" s="86" t="s">
        <v>561</v>
      </c>
    </row>
    <row r="14" spans="1:8" ht="18" x14ac:dyDescent="0.3">
      <c r="A14" s="106">
        <v>45988</v>
      </c>
      <c r="B14" s="107" t="s">
        <v>70</v>
      </c>
      <c r="C14" s="108" t="s">
        <v>562</v>
      </c>
      <c r="D14" s="107" t="s">
        <v>539</v>
      </c>
      <c r="E14" s="109">
        <v>1.354166666666667</v>
      </c>
      <c r="F14" s="107" t="s">
        <v>72</v>
      </c>
      <c r="G14" s="110">
        <v>5</v>
      </c>
      <c r="H14" s="107" t="s">
        <v>561</v>
      </c>
    </row>
    <row r="15" spans="1:8" ht="18" x14ac:dyDescent="0.3">
      <c r="A15" s="153">
        <v>45989</v>
      </c>
      <c r="B15" s="148" t="s">
        <v>59</v>
      </c>
      <c r="C15" s="149" t="s">
        <v>546</v>
      </c>
      <c r="D15" s="148" t="s">
        <v>539</v>
      </c>
      <c r="E15" s="150">
        <v>1.40625</v>
      </c>
      <c r="F15" s="148" t="s">
        <v>61</v>
      </c>
      <c r="G15" s="148"/>
      <c r="H15" s="154" t="s">
        <v>563</v>
      </c>
    </row>
    <row r="16" spans="1:8" ht="18" x14ac:dyDescent="0.3">
      <c r="A16" s="216">
        <v>45989</v>
      </c>
      <c r="B16" s="217" t="s">
        <v>59</v>
      </c>
      <c r="C16" s="218" t="s">
        <v>566</v>
      </c>
      <c r="D16" s="217" t="s">
        <v>539</v>
      </c>
      <c r="E16" s="219">
        <v>1.725694444444444</v>
      </c>
      <c r="F16" s="217" t="s">
        <v>61</v>
      </c>
      <c r="G16" s="217"/>
      <c r="H16" s="217" t="s">
        <v>563</v>
      </c>
    </row>
    <row r="17" spans="1:8" ht="18" x14ac:dyDescent="0.3">
      <c r="A17" s="85">
        <v>45990</v>
      </c>
      <c r="B17" s="86" t="s">
        <v>246</v>
      </c>
      <c r="C17" s="87" t="s">
        <v>569</v>
      </c>
      <c r="D17" s="86" t="s">
        <v>539</v>
      </c>
      <c r="E17" s="88">
        <v>1.024305555555556</v>
      </c>
      <c r="F17" s="86" t="s">
        <v>191</v>
      </c>
      <c r="G17" s="89">
        <v>9</v>
      </c>
      <c r="H17" s="90" t="s">
        <v>570</v>
      </c>
    </row>
    <row r="18" spans="1:8" ht="18" x14ac:dyDescent="0.3">
      <c r="A18" s="97">
        <v>45990</v>
      </c>
      <c r="B18" s="98" t="s">
        <v>246</v>
      </c>
      <c r="C18" s="99" t="s">
        <v>571</v>
      </c>
      <c r="D18" s="98" t="s">
        <v>539</v>
      </c>
      <c r="E18" s="100">
        <v>1.538194444444444</v>
      </c>
      <c r="F18" s="98" t="s">
        <v>191</v>
      </c>
      <c r="G18" s="101">
        <v>9</v>
      </c>
      <c r="H18" s="98" t="s">
        <v>572</v>
      </c>
    </row>
    <row r="19" spans="1:8" ht="18" x14ac:dyDescent="0.3">
      <c r="A19" s="96">
        <v>45990</v>
      </c>
      <c r="B19" s="86" t="s">
        <v>249</v>
      </c>
      <c r="C19" s="87" t="s">
        <v>573</v>
      </c>
      <c r="D19" s="86" t="s">
        <v>539</v>
      </c>
      <c r="E19" s="88">
        <v>1.086805555555556</v>
      </c>
      <c r="F19" s="86" t="s">
        <v>191</v>
      </c>
      <c r="G19" s="89">
        <v>5</v>
      </c>
      <c r="H19" s="86" t="s">
        <v>574</v>
      </c>
    </row>
    <row r="20" spans="1:8" ht="18" x14ac:dyDescent="0.3">
      <c r="A20" s="97">
        <v>45990</v>
      </c>
      <c r="B20" s="98" t="s">
        <v>249</v>
      </c>
      <c r="C20" s="99" t="s">
        <v>548</v>
      </c>
      <c r="D20" s="98" t="s">
        <v>539</v>
      </c>
      <c r="E20" s="100">
        <v>1.6840277777777779</v>
      </c>
      <c r="F20" s="98" t="s">
        <v>191</v>
      </c>
      <c r="G20" s="101">
        <v>6</v>
      </c>
      <c r="H20" s="98" t="s">
        <v>575</v>
      </c>
    </row>
    <row r="21" spans="1:8" ht="18" x14ac:dyDescent="0.3">
      <c r="A21" s="96">
        <v>45990</v>
      </c>
      <c r="B21" s="86" t="s">
        <v>283</v>
      </c>
      <c r="C21" s="87" t="s">
        <v>576</v>
      </c>
      <c r="D21" s="86" t="s">
        <v>539</v>
      </c>
      <c r="E21" s="88">
        <v>1.4375</v>
      </c>
      <c r="F21" s="86" t="s">
        <v>285</v>
      </c>
      <c r="G21" s="89">
        <v>9</v>
      </c>
      <c r="H21" s="86" t="s">
        <v>577</v>
      </c>
    </row>
    <row r="22" spans="1:8" ht="18" x14ac:dyDescent="0.3">
      <c r="A22" s="91">
        <v>45990</v>
      </c>
      <c r="B22" s="92" t="s">
        <v>283</v>
      </c>
      <c r="C22" s="93" t="s">
        <v>576</v>
      </c>
      <c r="D22" s="92" t="s">
        <v>539</v>
      </c>
      <c r="E22" s="94">
        <v>1.4375</v>
      </c>
      <c r="F22" s="92" t="s">
        <v>33</v>
      </c>
      <c r="G22" s="95">
        <v>9</v>
      </c>
      <c r="H22" s="92" t="s">
        <v>578</v>
      </c>
    </row>
    <row r="23" spans="1:8" ht="18" x14ac:dyDescent="0.3">
      <c r="A23" s="147">
        <v>45990</v>
      </c>
      <c r="B23" s="148" t="s">
        <v>59</v>
      </c>
      <c r="C23" s="149" t="s">
        <v>544</v>
      </c>
      <c r="D23" s="148" t="s">
        <v>539</v>
      </c>
      <c r="E23" s="150">
        <v>1.413194444444444</v>
      </c>
      <c r="F23" s="148" t="s">
        <v>191</v>
      </c>
      <c r="G23" s="155">
        <v>9</v>
      </c>
      <c r="H23" s="148" t="s">
        <v>579</v>
      </c>
    </row>
    <row r="24" spans="1:8" ht="18" x14ac:dyDescent="0.3">
      <c r="A24" s="96">
        <v>45990</v>
      </c>
      <c r="B24" s="86" t="s">
        <v>35</v>
      </c>
      <c r="C24" s="87" t="s">
        <v>582</v>
      </c>
      <c r="D24" s="86" t="s">
        <v>539</v>
      </c>
      <c r="E24" s="88">
        <v>1.4375</v>
      </c>
      <c r="F24" s="86" t="s">
        <v>37</v>
      </c>
      <c r="G24" s="89">
        <v>8</v>
      </c>
      <c r="H24" s="86" t="s">
        <v>80</v>
      </c>
    </row>
    <row r="25" spans="1:8" ht="18" x14ac:dyDescent="0.3">
      <c r="A25" s="91">
        <v>45990</v>
      </c>
      <c r="B25" s="92" t="s">
        <v>35</v>
      </c>
      <c r="C25" s="93" t="s">
        <v>582</v>
      </c>
      <c r="D25" s="92" t="s">
        <v>539</v>
      </c>
      <c r="E25" s="94">
        <v>1.4375</v>
      </c>
      <c r="F25" s="92" t="s">
        <v>40</v>
      </c>
      <c r="G25" s="95">
        <v>8</v>
      </c>
      <c r="H25" s="92" t="s">
        <v>295</v>
      </c>
    </row>
    <row r="26" spans="1:8" ht="18" x14ac:dyDescent="0.3">
      <c r="A26" s="91">
        <v>45990</v>
      </c>
      <c r="B26" s="92" t="s">
        <v>35</v>
      </c>
      <c r="C26" s="93" t="s">
        <v>582</v>
      </c>
      <c r="D26" s="92" t="s">
        <v>539</v>
      </c>
      <c r="E26" s="94">
        <v>1.4375</v>
      </c>
      <c r="F26" s="92" t="s">
        <v>43</v>
      </c>
      <c r="G26" s="95">
        <v>8</v>
      </c>
      <c r="H26" s="92" t="s">
        <v>296</v>
      </c>
    </row>
    <row r="27" spans="1:8" ht="18" x14ac:dyDescent="0.3">
      <c r="A27" s="97">
        <v>45990</v>
      </c>
      <c r="B27" s="98" t="s">
        <v>35</v>
      </c>
      <c r="C27" s="99" t="s">
        <v>583</v>
      </c>
      <c r="D27" s="98" t="s">
        <v>539</v>
      </c>
      <c r="E27" s="100">
        <v>1.506944444444444</v>
      </c>
      <c r="F27" s="98" t="s">
        <v>37</v>
      </c>
      <c r="G27" s="101">
        <v>9</v>
      </c>
      <c r="H27" s="98" t="s">
        <v>80</v>
      </c>
    </row>
    <row r="28" spans="1:8" ht="18" x14ac:dyDescent="0.3">
      <c r="A28" s="91">
        <v>45990</v>
      </c>
      <c r="B28" s="92" t="s">
        <v>35</v>
      </c>
      <c r="C28" s="93" t="s">
        <v>583</v>
      </c>
      <c r="D28" s="92" t="s">
        <v>539</v>
      </c>
      <c r="E28" s="94">
        <v>1.506944444444444</v>
      </c>
      <c r="F28" s="92" t="s">
        <v>40</v>
      </c>
      <c r="G28" s="95">
        <v>9</v>
      </c>
      <c r="H28" s="92" t="s">
        <v>295</v>
      </c>
    </row>
    <row r="29" spans="1:8" ht="18" x14ac:dyDescent="0.3">
      <c r="A29" s="91">
        <v>45990</v>
      </c>
      <c r="B29" s="92" t="s">
        <v>35</v>
      </c>
      <c r="C29" s="93" t="s">
        <v>583</v>
      </c>
      <c r="D29" s="92" t="s">
        <v>539</v>
      </c>
      <c r="E29" s="94">
        <v>1.506944444444444</v>
      </c>
      <c r="F29" s="92" t="s">
        <v>43</v>
      </c>
      <c r="G29" s="95">
        <v>9</v>
      </c>
      <c r="H29" s="92" t="s">
        <v>296</v>
      </c>
    </row>
    <row r="30" spans="1:8" ht="18" x14ac:dyDescent="0.3">
      <c r="A30" s="97">
        <v>45990</v>
      </c>
      <c r="B30" s="98" t="s">
        <v>35</v>
      </c>
      <c r="C30" s="99" t="s">
        <v>584</v>
      </c>
      <c r="D30" s="98" t="s">
        <v>539</v>
      </c>
      <c r="E30" s="100">
        <v>1.631944444444444</v>
      </c>
      <c r="F30" s="98" t="s">
        <v>37</v>
      </c>
      <c r="G30" s="101">
        <v>6</v>
      </c>
      <c r="H30" s="98" t="s">
        <v>585</v>
      </c>
    </row>
    <row r="31" spans="1:8" ht="18" x14ac:dyDescent="0.3">
      <c r="A31" s="91">
        <v>45990</v>
      </c>
      <c r="B31" s="92" t="s">
        <v>35</v>
      </c>
      <c r="C31" s="93" t="s">
        <v>584</v>
      </c>
      <c r="D31" s="92" t="s">
        <v>539</v>
      </c>
      <c r="E31" s="94">
        <v>1.631944444444444</v>
      </c>
      <c r="F31" s="92" t="s">
        <v>40</v>
      </c>
      <c r="G31" s="95">
        <v>6</v>
      </c>
      <c r="H31" s="92" t="s">
        <v>586</v>
      </c>
    </row>
    <row r="32" spans="1:8" ht="18" x14ac:dyDescent="0.3">
      <c r="A32" s="91">
        <v>45990</v>
      </c>
      <c r="B32" s="92" t="s">
        <v>35</v>
      </c>
      <c r="C32" s="93" t="s">
        <v>584</v>
      </c>
      <c r="D32" s="92" t="s">
        <v>539</v>
      </c>
      <c r="E32" s="94">
        <v>1.631944444444444</v>
      </c>
      <c r="F32" s="92" t="s">
        <v>43</v>
      </c>
      <c r="G32" s="95">
        <v>6</v>
      </c>
      <c r="H32" s="92" t="s">
        <v>587</v>
      </c>
    </row>
    <row r="33" spans="1:8" ht="18" x14ac:dyDescent="0.3">
      <c r="A33" s="97">
        <v>45990</v>
      </c>
      <c r="B33" s="98" t="s">
        <v>35</v>
      </c>
      <c r="C33" s="99" t="s">
        <v>588</v>
      </c>
      <c r="D33" s="98" t="s">
        <v>539</v>
      </c>
      <c r="E33" s="100">
        <v>1.5590277777777779</v>
      </c>
      <c r="F33" s="98" t="s">
        <v>37</v>
      </c>
      <c r="G33" s="101">
        <v>5</v>
      </c>
      <c r="H33" s="98" t="s">
        <v>585</v>
      </c>
    </row>
    <row r="34" spans="1:8" ht="18" x14ac:dyDescent="0.3">
      <c r="A34" s="91">
        <v>45990</v>
      </c>
      <c r="B34" s="92" t="s">
        <v>35</v>
      </c>
      <c r="C34" s="93" t="s">
        <v>588</v>
      </c>
      <c r="D34" s="92" t="s">
        <v>539</v>
      </c>
      <c r="E34" s="94">
        <v>1.5590277777777779</v>
      </c>
      <c r="F34" s="92" t="s">
        <v>40</v>
      </c>
      <c r="G34" s="95">
        <v>5</v>
      </c>
      <c r="H34" s="92" t="s">
        <v>586</v>
      </c>
    </row>
    <row r="35" spans="1:8" ht="18" x14ac:dyDescent="0.3">
      <c r="A35" s="91">
        <v>45990</v>
      </c>
      <c r="B35" s="92" t="s">
        <v>35</v>
      </c>
      <c r="C35" s="93" t="s">
        <v>588</v>
      </c>
      <c r="D35" s="92" t="s">
        <v>539</v>
      </c>
      <c r="E35" s="94">
        <v>1.5590277777777779</v>
      </c>
      <c r="F35" s="92" t="s">
        <v>43</v>
      </c>
      <c r="G35" s="95">
        <v>5</v>
      </c>
      <c r="H35" s="92" t="s">
        <v>587</v>
      </c>
    </row>
    <row r="36" spans="1:8" ht="18" x14ac:dyDescent="0.3">
      <c r="A36" s="97">
        <v>45990</v>
      </c>
      <c r="B36" s="98" t="s">
        <v>35</v>
      </c>
      <c r="C36" s="99" t="s">
        <v>589</v>
      </c>
      <c r="D36" s="98" t="s">
        <v>539</v>
      </c>
      <c r="E36" s="100">
        <v>1.697916666666667</v>
      </c>
      <c r="F36" s="98" t="s">
        <v>37</v>
      </c>
      <c r="G36" s="101">
        <v>3</v>
      </c>
      <c r="H36" s="98" t="s">
        <v>590</v>
      </c>
    </row>
    <row r="37" spans="1:8" ht="18" x14ac:dyDescent="0.3">
      <c r="A37" s="91">
        <v>45990</v>
      </c>
      <c r="B37" s="92" t="s">
        <v>35</v>
      </c>
      <c r="C37" s="93" t="s">
        <v>589</v>
      </c>
      <c r="D37" s="92" t="s">
        <v>539</v>
      </c>
      <c r="E37" s="94">
        <v>1.697916666666667</v>
      </c>
      <c r="F37" s="92" t="s">
        <v>40</v>
      </c>
      <c r="G37" s="95">
        <v>3</v>
      </c>
      <c r="H37" s="92" t="s">
        <v>591</v>
      </c>
    </row>
    <row r="38" spans="1:8" ht="18" x14ac:dyDescent="0.3">
      <c r="A38" s="91">
        <v>45990</v>
      </c>
      <c r="B38" s="92" t="s">
        <v>35</v>
      </c>
      <c r="C38" s="93" t="s">
        <v>589</v>
      </c>
      <c r="D38" s="92" t="s">
        <v>539</v>
      </c>
      <c r="E38" s="94">
        <v>1.697916666666667</v>
      </c>
      <c r="F38" s="92" t="s">
        <v>43</v>
      </c>
      <c r="G38" s="95">
        <v>3</v>
      </c>
      <c r="H38" s="92" t="s">
        <v>592</v>
      </c>
    </row>
    <row r="39" spans="1:8" ht="18" x14ac:dyDescent="0.3">
      <c r="A39" s="97">
        <v>45990</v>
      </c>
      <c r="B39" s="98" t="s">
        <v>35</v>
      </c>
      <c r="C39" s="99" t="s">
        <v>593</v>
      </c>
      <c r="D39" s="98" t="s">
        <v>539</v>
      </c>
      <c r="E39" s="100">
        <v>1.958333333333333</v>
      </c>
      <c r="F39" s="98" t="s">
        <v>37</v>
      </c>
      <c r="G39" s="101">
        <v>8</v>
      </c>
      <c r="H39" s="98" t="s">
        <v>594</v>
      </c>
    </row>
    <row r="40" spans="1:8" ht="18" x14ac:dyDescent="0.3">
      <c r="A40" s="91">
        <v>45990</v>
      </c>
      <c r="B40" s="92" t="s">
        <v>35</v>
      </c>
      <c r="C40" s="93" t="s">
        <v>593</v>
      </c>
      <c r="D40" s="92" t="s">
        <v>539</v>
      </c>
      <c r="E40" s="94">
        <v>1.958333333333333</v>
      </c>
      <c r="F40" s="92" t="s">
        <v>40</v>
      </c>
      <c r="G40" s="95">
        <v>8</v>
      </c>
      <c r="H40" s="92" t="s">
        <v>595</v>
      </c>
    </row>
    <row r="41" spans="1:8" ht="18" x14ac:dyDescent="0.3">
      <c r="A41" s="91">
        <v>45990</v>
      </c>
      <c r="B41" s="92" t="s">
        <v>35</v>
      </c>
      <c r="C41" s="93" t="s">
        <v>593</v>
      </c>
      <c r="D41" s="92" t="s">
        <v>539</v>
      </c>
      <c r="E41" s="94">
        <v>1.958333333333333</v>
      </c>
      <c r="F41" s="92" t="s">
        <v>43</v>
      </c>
      <c r="G41" s="95">
        <v>8</v>
      </c>
      <c r="H41" s="92" t="s">
        <v>596</v>
      </c>
    </row>
    <row r="42" spans="1:8" ht="18" x14ac:dyDescent="0.3">
      <c r="A42" s="97">
        <v>45990</v>
      </c>
      <c r="B42" s="98" t="s">
        <v>35</v>
      </c>
      <c r="C42" s="99" t="s">
        <v>597</v>
      </c>
      <c r="D42" s="98" t="s">
        <v>539</v>
      </c>
      <c r="E42" s="100">
        <v>1.819444444444444</v>
      </c>
      <c r="F42" s="98" t="s">
        <v>37</v>
      </c>
      <c r="G42" s="101">
        <v>1</v>
      </c>
      <c r="H42" s="98" t="s">
        <v>594</v>
      </c>
    </row>
    <row r="43" spans="1:8" ht="18" x14ac:dyDescent="0.3">
      <c r="A43" s="91">
        <v>45990</v>
      </c>
      <c r="B43" s="92" t="s">
        <v>35</v>
      </c>
      <c r="C43" s="93" t="s">
        <v>597</v>
      </c>
      <c r="D43" s="92" t="s">
        <v>539</v>
      </c>
      <c r="E43" s="94">
        <v>1.819444444444444</v>
      </c>
      <c r="F43" s="92" t="s">
        <v>40</v>
      </c>
      <c r="G43" s="95">
        <v>1</v>
      </c>
      <c r="H43" s="92" t="s">
        <v>595</v>
      </c>
    </row>
    <row r="44" spans="1:8" ht="18" x14ac:dyDescent="0.3">
      <c r="A44" s="91">
        <v>45990</v>
      </c>
      <c r="B44" s="92" t="s">
        <v>35</v>
      </c>
      <c r="C44" s="93" t="s">
        <v>597</v>
      </c>
      <c r="D44" s="92" t="s">
        <v>539</v>
      </c>
      <c r="E44" s="94">
        <v>1.819444444444444</v>
      </c>
      <c r="F44" s="92" t="s">
        <v>43</v>
      </c>
      <c r="G44" s="95">
        <v>1</v>
      </c>
      <c r="H44" s="92" t="s">
        <v>596</v>
      </c>
    </row>
    <row r="45" spans="1:8" ht="18" x14ac:dyDescent="0.3">
      <c r="A45" s="96">
        <v>45990</v>
      </c>
      <c r="B45" s="86" t="s">
        <v>25</v>
      </c>
      <c r="C45" s="87" t="s">
        <v>598</v>
      </c>
      <c r="D45" s="86" t="s">
        <v>539</v>
      </c>
      <c r="E45" s="88">
        <v>1.5763888888888891</v>
      </c>
      <c r="F45" s="86" t="s">
        <v>27</v>
      </c>
      <c r="G45" s="89">
        <v>8</v>
      </c>
      <c r="H45" s="86" t="s">
        <v>599</v>
      </c>
    </row>
    <row r="46" spans="1:8" ht="18" x14ac:dyDescent="0.3">
      <c r="A46" s="91">
        <v>45990</v>
      </c>
      <c r="B46" s="92" t="s">
        <v>25</v>
      </c>
      <c r="C46" s="93" t="s">
        <v>598</v>
      </c>
      <c r="D46" s="92" t="s">
        <v>539</v>
      </c>
      <c r="E46" s="94">
        <v>1.5763888888888891</v>
      </c>
      <c r="F46" s="92" t="s">
        <v>30</v>
      </c>
      <c r="G46" s="95">
        <v>8</v>
      </c>
      <c r="H46" s="92" t="s">
        <v>600</v>
      </c>
    </row>
    <row r="47" spans="1:8" ht="18" x14ac:dyDescent="0.3">
      <c r="A47" s="91">
        <v>45990</v>
      </c>
      <c r="B47" s="92" t="s">
        <v>25</v>
      </c>
      <c r="C47" s="93" t="s">
        <v>598</v>
      </c>
      <c r="D47" s="92" t="s">
        <v>539</v>
      </c>
      <c r="E47" s="94">
        <v>1.5763888888888891</v>
      </c>
      <c r="F47" s="92" t="s">
        <v>33</v>
      </c>
      <c r="G47" s="95">
        <v>8</v>
      </c>
      <c r="H47" s="92" t="s">
        <v>601</v>
      </c>
    </row>
    <row r="48" spans="1:8" ht="18" x14ac:dyDescent="0.3">
      <c r="A48" s="97">
        <v>45990</v>
      </c>
      <c r="B48" s="98" t="s">
        <v>25</v>
      </c>
      <c r="C48" s="99" t="s">
        <v>602</v>
      </c>
      <c r="D48" s="98" t="s">
        <v>539</v>
      </c>
      <c r="E48" s="100">
        <v>1.6284722222222221</v>
      </c>
      <c r="F48" s="98" t="s">
        <v>27</v>
      </c>
      <c r="G48" s="101">
        <v>19</v>
      </c>
      <c r="H48" s="98" t="s">
        <v>604</v>
      </c>
    </row>
    <row r="49" spans="1:8" ht="18" x14ac:dyDescent="0.3">
      <c r="A49" s="91">
        <v>45990</v>
      </c>
      <c r="B49" s="92" t="s">
        <v>25</v>
      </c>
      <c r="C49" s="93" t="s">
        <v>602</v>
      </c>
      <c r="D49" s="92" t="s">
        <v>539</v>
      </c>
      <c r="E49" s="94">
        <v>1.6284722222222221</v>
      </c>
      <c r="F49" s="92" t="s">
        <v>30</v>
      </c>
      <c r="G49" s="95">
        <v>19</v>
      </c>
      <c r="H49" s="92" t="s">
        <v>601</v>
      </c>
    </row>
    <row r="50" spans="1:8" ht="18" x14ac:dyDescent="0.3">
      <c r="A50" s="91">
        <v>45990</v>
      </c>
      <c r="B50" s="92" t="s">
        <v>25</v>
      </c>
      <c r="C50" s="93" t="s">
        <v>602</v>
      </c>
      <c r="D50" s="92" t="s">
        <v>539</v>
      </c>
      <c r="E50" s="94">
        <v>1.6284722222222221</v>
      </c>
      <c r="F50" s="92" t="s">
        <v>33</v>
      </c>
      <c r="G50" s="95">
        <v>19</v>
      </c>
      <c r="H50" s="92" t="s">
        <v>606</v>
      </c>
    </row>
    <row r="51" spans="1:8" ht="18" x14ac:dyDescent="0.3">
      <c r="A51" s="97">
        <v>45990</v>
      </c>
      <c r="B51" s="98" t="s">
        <v>25</v>
      </c>
      <c r="C51" s="99" t="s">
        <v>607</v>
      </c>
      <c r="D51" s="98" t="s">
        <v>539</v>
      </c>
      <c r="E51" s="100">
        <v>1.8888888888888891</v>
      </c>
      <c r="F51" s="98" t="s">
        <v>27</v>
      </c>
      <c r="G51" s="101">
        <v>10</v>
      </c>
      <c r="H51" s="98" t="s">
        <v>608</v>
      </c>
    </row>
    <row r="52" spans="1:8" ht="18" x14ac:dyDescent="0.3">
      <c r="A52" s="91">
        <v>45990</v>
      </c>
      <c r="B52" s="92" t="s">
        <v>25</v>
      </c>
      <c r="C52" s="93" t="s">
        <v>607</v>
      </c>
      <c r="D52" s="92" t="s">
        <v>539</v>
      </c>
      <c r="E52" s="94">
        <v>1.8888888888888891</v>
      </c>
      <c r="F52" s="92" t="s">
        <v>30</v>
      </c>
      <c r="G52" s="95">
        <v>10</v>
      </c>
      <c r="H52" s="92" t="s">
        <v>609</v>
      </c>
    </row>
    <row r="53" spans="1:8" ht="18" x14ac:dyDescent="0.3">
      <c r="A53" s="91">
        <v>45990</v>
      </c>
      <c r="B53" s="92" t="s">
        <v>25</v>
      </c>
      <c r="C53" s="93" t="s">
        <v>607</v>
      </c>
      <c r="D53" s="92" t="s">
        <v>539</v>
      </c>
      <c r="E53" s="94">
        <v>1.8888888888888891</v>
      </c>
      <c r="F53" s="92" t="s">
        <v>33</v>
      </c>
      <c r="G53" s="95">
        <v>10</v>
      </c>
      <c r="H53" s="92" t="s">
        <v>606</v>
      </c>
    </row>
    <row r="54" spans="1:8" ht="18" x14ac:dyDescent="0.3">
      <c r="A54" s="97">
        <v>45990</v>
      </c>
      <c r="B54" s="98" t="s">
        <v>25</v>
      </c>
      <c r="C54" s="99" t="s">
        <v>610</v>
      </c>
      <c r="D54" s="98" t="s">
        <v>539</v>
      </c>
      <c r="E54" s="100">
        <v>1.944444444444444</v>
      </c>
      <c r="F54" s="98" t="s">
        <v>27</v>
      </c>
      <c r="G54" s="101">
        <v>14</v>
      </c>
      <c r="H54" s="98" t="s">
        <v>608</v>
      </c>
    </row>
    <row r="55" spans="1:8" ht="18" x14ac:dyDescent="0.3">
      <c r="A55" s="91">
        <v>45990</v>
      </c>
      <c r="B55" s="92" t="s">
        <v>25</v>
      </c>
      <c r="C55" s="93" t="s">
        <v>610</v>
      </c>
      <c r="D55" s="92" t="s">
        <v>539</v>
      </c>
      <c r="E55" s="94">
        <v>1.944444444444444</v>
      </c>
      <c r="F55" s="92" t="s">
        <v>30</v>
      </c>
      <c r="G55" s="95">
        <v>14</v>
      </c>
      <c r="H55" s="92" t="s">
        <v>609</v>
      </c>
    </row>
    <row r="56" spans="1:8" ht="18" x14ac:dyDescent="0.3">
      <c r="A56" s="91">
        <v>45990</v>
      </c>
      <c r="B56" s="92" t="s">
        <v>25</v>
      </c>
      <c r="C56" s="93" t="s">
        <v>610</v>
      </c>
      <c r="D56" s="92" t="s">
        <v>539</v>
      </c>
      <c r="E56" s="94">
        <v>1.944444444444444</v>
      </c>
      <c r="F56" s="92" t="s">
        <v>33</v>
      </c>
      <c r="G56" s="95">
        <v>14</v>
      </c>
      <c r="H56" s="92" t="s">
        <v>606</v>
      </c>
    </row>
    <row r="57" spans="1:8" ht="18" x14ac:dyDescent="0.3">
      <c r="A57" s="254">
        <v>45990</v>
      </c>
      <c r="B57" s="241" t="s">
        <v>70</v>
      </c>
      <c r="C57" s="242" t="s">
        <v>562</v>
      </c>
      <c r="D57" s="241" t="s">
        <v>539</v>
      </c>
      <c r="E57" s="243">
        <v>1.354166666666667</v>
      </c>
      <c r="F57" s="241" t="s">
        <v>72</v>
      </c>
      <c r="G57" s="244">
        <v>1</v>
      </c>
      <c r="H57" s="241" t="s">
        <v>613</v>
      </c>
    </row>
    <row r="58" spans="1:8" ht="18" x14ac:dyDescent="0.3">
      <c r="A58" s="153">
        <v>45991</v>
      </c>
      <c r="B58" s="148" t="s">
        <v>59</v>
      </c>
      <c r="C58" s="149" t="s">
        <v>544</v>
      </c>
      <c r="D58" s="148" t="s">
        <v>539</v>
      </c>
      <c r="E58" s="150">
        <v>1.427083333333333</v>
      </c>
      <c r="F58" s="148" t="s">
        <v>191</v>
      </c>
      <c r="G58" s="155">
        <v>1</v>
      </c>
      <c r="H58" s="154" t="s">
        <v>614</v>
      </c>
    </row>
    <row r="59" spans="1:8" ht="18" x14ac:dyDescent="0.3">
      <c r="A59" s="96">
        <v>45991</v>
      </c>
      <c r="B59" s="86" t="s">
        <v>249</v>
      </c>
      <c r="C59" s="87" t="s">
        <v>617</v>
      </c>
      <c r="D59" s="86" t="s">
        <v>539</v>
      </c>
      <c r="E59" s="88">
        <v>1.399305555555556</v>
      </c>
      <c r="F59" s="86" t="s">
        <v>191</v>
      </c>
      <c r="G59" s="89">
        <v>6</v>
      </c>
      <c r="H59" s="86" t="s">
        <v>618</v>
      </c>
    </row>
    <row r="60" spans="1:8" ht="18" x14ac:dyDescent="0.3">
      <c r="A60" s="96">
        <v>45991</v>
      </c>
      <c r="B60" s="86" t="s">
        <v>25</v>
      </c>
      <c r="C60" s="87" t="s">
        <v>602</v>
      </c>
      <c r="D60" s="86" t="s">
        <v>539</v>
      </c>
      <c r="E60" s="88">
        <v>1.6284722222222221</v>
      </c>
      <c r="F60" s="86" t="s">
        <v>27</v>
      </c>
      <c r="G60" s="89">
        <v>11</v>
      </c>
      <c r="H60" s="86" t="s">
        <v>224</v>
      </c>
    </row>
    <row r="61" spans="1:8" ht="18" x14ac:dyDescent="0.3">
      <c r="A61" s="91">
        <v>45991</v>
      </c>
      <c r="B61" s="92" t="s">
        <v>25</v>
      </c>
      <c r="C61" s="93" t="s">
        <v>602</v>
      </c>
      <c r="D61" s="92" t="s">
        <v>539</v>
      </c>
      <c r="E61" s="94">
        <v>1.6284722222222221</v>
      </c>
      <c r="F61" s="92" t="s">
        <v>30</v>
      </c>
      <c r="G61" s="95">
        <v>11</v>
      </c>
      <c r="H61" s="92" t="s">
        <v>88</v>
      </c>
    </row>
    <row r="62" spans="1:8" ht="18" x14ac:dyDescent="0.3">
      <c r="A62" s="91">
        <v>45991</v>
      </c>
      <c r="B62" s="92" t="s">
        <v>25</v>
      </c>
      <c r="C62" s="93" t="s">
        <v>602</v>
      </c>
      <c r="D62" s="92" t="s">
        <v>539</v>
      </c>
      <c r="E62" s="94">
        <v>1.6284722222222221</v>
      </c>
      <c r="F62" s="92" t="s">
        <v>33</v>
      </c>
      <c r="G62" s="95">
        <v>11</v>
      </c>
      <c r="H62" s="92" t="s">
        <v>601</v>
      </c>
    </row>
    <row r="63" spans="1:8" ht="18" x14ac:dyDescent="0.3">
      <c r="A63" s="97">
        <v>45991</v>
      </c>
      <c r="B63" s="98" t="s">
        <v>25</v>
      </c>
      <c r="C63" s="99" t="s">
        <v>607</v>
      </c>
      <c r="D63" s="98" t="s">
        <v>539</v>
      </c>
      <c r="E63" s="100">
        <v>1.8888888888888891</v>
      </c>
      <c r="F63" s="98" t="s">
        <v>27</v>
      </c>
      <c r="G63" s="101">
        <v>7</v>
      </c>
      <c r="H63" s="98" t="s">
        <v>224</v>
      </c>
    </row>
    <row r="64" spans="1:8" ht="18" x14ac:dyDescent="0.3">
      <c r="A64" s="91">
        <v>45991</v>
      </c>
      <c r="B64" s="92" t="s">
        <v>25</v>
      </c>
      <c r="C64" s="93" t="s">
        <v>607</v>
      </c>
      <c r="D64" s="92" t="s">
        <v>539</v>
      </c>
      <c r="E64" s="94">
        <v>1.8888888888888891</v>
      </c>
      <c r="F64" s="92" t="s">
        <v>30</v>
      </c>
      <c r="G64" s="95">
        <v>7</v>
      </c>
      <c r="H64" s="92" t="s">
        <v>88</v>
      </c>
    </row>
    <row r="65" spans="1:8" ht="18" x14ac:dyDescent="0.3">
      <c r="A65" s="91">
        <v>45991</v>
      </c>
      <c r="B65" s="92" t="s">
        <v>25</v>
      </c>
      <c r="C65" s="93" t="s">
        <v>607</v>
      </c>
      <c r="D65" s="92" t="s">
        <v>539</v>
      </c>
      <c r="E65" s="94">
        <v>1.8888888888888891</v>
      </c>
      <c r="F65" s="92" t="s">
        <v>33</v>
      </c>
      <c r="G65" s="95">
        <v>7</v>
      </c>
      <c r="H65" s="92" t="s">
        <v>601</v>
      </c>
    </row>
    <row r="66" spans="1:8" ht="18" x14ac:dyDescent="0.3">
      <c r="A66" s="97">
        <v>45991</v>
      </c>
      <c r="B66" s="98" t="s">
        <v>25</v>
      </c>
      <c r="C66" s="99" t="s">
        <v>610</v>
      </c>
      <c r="D66" s="98" t="s">
        <v>539</v>
      </c>
      <c r="E66" s="100">
        <v>1.944444444444444</v>
      </c>
      <c r="F66" s="98" t="s">
        <v>27</v>
      </c>
      <c r="G66" s="101">
        <v>5</v>
      </c>
      <c r="H66" s="98" t="s">
        <v>224</v>
      </c>
    </row>
    <row r="67" spans="1:8" ht="18" x14ac:dyDescent="0.3">
      <c r="A67" s="91">
        <v>45991</v>
      </c>
      <c r="B67" s="92" t="s">
        <v>25</v>
      </c>
      <c r="C67" s="93" t="s">
        <v>610</v>
      </c>
      <c r="D67" s="92" t="s">
        <v>539</v>
      </c>
      <c r="E67" s="94">
        <v>1.944444444444444</v>
      </c>
      <c r="F67" s="92" t="s">
        <v>30</v>
      </c>
      <c r="G67" s="95">
        <v>5</v>
      </c>
      <c r="H67" s="92" t="s">
        <v>88</v>
      </c>
    </row>
    <row r="68" spans="1:8" ht="18" x14ac:dyDescent="0.3">
      <c r="A68" s="91">
        <v>45991</v>
      </c>
      <c r="B68" s="92" t="s">
        <v>25</v>
      </c>
      <c r="C68" s="93" t="s">
        <v>610</v>
      </c>
      <c r="D68" s="92" t="s">
        <v>539</v>
      </c>
      <c r="E68" s="94">
        <v>1.944444444444444</v>
      </c>
      <c r="F68" s="92" t="s">
        <v>33</v>
      </c>
      <c r="G68" s="95">
        <v>5</v>
      </c>
      <c r="H68" s="92" t="s">
        <v>601</v>
      </c>
    </row>
    <row r="69" spans="1:8" ht="18" x14ac:dyDescent="0.3">
      <c r="A69" s="97">
        <v>45991</v>
      </c>
      <c r="B69" s="98" t="s">
        <v>25</v>
      </c>
      <c r="C69" s="99" t="s">
        <v>598</v>
      </c>
      <c r="D69" s="98" t="s">
        <v>539</v>
      </c>
      <c r="E69" s="100">
        <v>1.5763888888888891</v>
      </c>
      <c r="F69" s="98" t="s">
        <v>27</v>
      </c>
      <c r="G69" s="101">
        <v>11</v>
      </c>
      <c r="H69" s="98" t="s">
        <v>68</v>
      </c>
    </row>
    <row r="70" spans="1:8" ht="18" x14ac:dyDescent="0.3">
      <c r="A70" s="91">
        <v>45991</v>
      </c>
      <c r="B70" s="92" t="s">
        <v>25</v>
      </c>
      <c r="C70" s="93" t="s">
        <v>598</v>
      </c>
      <c r="D70" s="92" t="s">
        <v>539</v>
      </c>
      <c r="E70" s="94">
        <v>1.5763888888888891</v>
      </c>
      <c r="F70" s="92" t="s">
        <v>30</v>
      </c>
      <c r="G70" s="95">
        <v>11</v>
      </c>
      <c r="H70" s="92" t="s">
        <v>293</v>
      </c>
    </row>
    <row r="71" spans="1:8" ht="18" x14ac:dyDescent="0.3">
      <c r="A71" s="91">
        <v>45991</v>
      </c>
      <c r="B71" s="92" t="s">
        <v>25</v>
      </c>
      <c r="C71" s="93" t="s">
        <v>598</v>
      </c>
      <c r="D71" s="92" t="s">
        <v>539</v>
      </c>
      <c r="E71" s="94">
        <v>1.5763888888888891</v>
      </c>
      <c r="F71" s="92" t="s">
        <v>33</v>
      </c>
      <c r="G71" s="95">
        <v>11</v>
      </c>
      <c r="H71" s="92" t="s">
        <v>601</v>
      </c>
    </row>
    <row r="72" spans="1:8" ht="18" x14ac:dyDescent="0.3">
      <c r="A72" s="96">
        <v>45991</v>
      </c>
      <c r="B72" s="86" t="s">
        <v>70</v>
      </c>
      <c r="C72" s="87" t="s">
        <v>560</v>
      </c>
      <c r="D72" s="86" t="s">
        <v>539</v>
      </c>
      <c r="E72" s="88">
        <v>1.9826388888888891</v>
      </c>
      <c r="F72" s="86" t="s">
        <v>72</v>
      </c>
      <c r="G72" s="89">
        <v>9</v>
      </c>
      <c r="H72" s="86" t="s">
        <v>622</v>
      </c>
    </row>
    <row r="73" spans="1:8" ht="18" x14ac:dyDescent="0.3">
      <c r="A73" s="97">
        <v>45991</v>
      </c>
      <c r="B73" s="98" t="s">
        <v>70</v>
      </c>
      <c r="C73" s="99" t="s">
        <v>562</v>
      </c>
      <c r="D73" s="98" t="s">
        <v>539</v>
      </c>
      <c r="E73" s="100">
        <v>1.333333333333333</v>
      </c>
      <c r="F73" s="98" t="s">
        <v>72</v>
      </c>
      <c r="G73" s="101">
        <v>9</v>
      </c>
      <c r="H73" s="98" t="s">
        <v>245</v>
      </c>
    </row>
    <row r="74" spans="1:8" ht="18" x14ac:dyDescent="0.3">
      <c r="A74" s="97">
        <v>45991</v>
      </c>
      <c r="B74" s="98" t="s">
        <v>70</v>
      </c>
      <c r="C74" s="99" t="s">
        <v>623</v>
      </c>
      <c r="D74" s="98" t="s">
        <v>539</v>
      </c>
      <c r="E74" s="100">
        <v>1.729166666666667</v>
      </c>
      <c r="F74" s="98" t="s">
        <v>72</v>
      </c>
      <c r="G74" s="101">
        <v>9</v>
      </c>
      <c r="H74" s="98" t="s">
        <v>624</v>
      </c>
    </row>
    <row r="75" spans="1:8" ht="18" x14ac:dyDescent="0.3">
      <c r="A75" s="96">
        <v>45991</v>
      </c>
      <c r="B75" s="86" t="s">
        <v>246</v>
      </c>
      <c r="C75" s="87" t="s">
        <v>540</v>
      </c>
      <c r="D75" s="86" t="s">
        <v>539</v>
      </c>
      <c r="E75" s="88">
        <v>1.1736111111111109</v>
      </c>
      <c r="F75" s="86" t="s">
        <v>191</v>
      </c>
      <c r="G75" s="89">
        <v>9</v>
      </c>
      <c r="H75" s="86" t="s">
        <v>625</v>
      </c>
    </row>
    <row r="76" spans="1:8" ht="18" x14ac:dyDescent="0.3">
      <c r="A76" s="97">
        <v>45991</v>
      </c>
      <c r="B76" s="98" t="s">
        <v>246</v>
      </c>
      <c r="C76" s="99" t="s">
        <v>626</v>
      </c>
      <c r="D76" s="98" t="s">
        <v>539</v>
      </c>
      <c r="E76" s="100">
        <v>1.131944444444444</v>
      </c>
      <c r="F76" s="98" t="s">
        <v>191</v>
      </c>
      <c r="G76" s="101">
        <v>9</v>
      </c>
      <c r="H76" s="98" t="s">
        <v>625</v>
      </c>
    </row>
    <row r="77" spans="1:8" ht="18" x14ac:dyDescent="0.3">
      <c r="A77" s="96">
        <v>45991</v>
      </c>
      <c r="B77" s="86" t="s">
        <v>35</v>
      </c>
      <c r="C77" s="87" t="s">
        <v>582</v>
      </c>
      <c r="D77" s="86" t="s">
        <v>539</v>
      </c>
      <c r="E77" s="88">
        <v>1.4375</v>
      </c>
      <c r="F77" s="86" t="s">
        <v>37</v>
      </c>
      <c r="G77" s="89">
        <v>4</v>
      </c>
      <c r="H77" s="86" t="s">
        <v>231</v>
      </c>
    </row>
    <row r="78" spans="1:8" ht="18" x14ac:dyDescent="0.3">
      <c r="A78" s="91">
        <v>45991</v>
      </c>
      <c r="B78" s="92" t="s">
        <v>35</v>
      </c>
      <c r="C78" s="93" t="s">
        <v>582</v>
      </c>
      <c r="D78" s="92" t="s">
        <v>539</v>
      </c>
      <c r="E78" s="94">
        <v>1.4375</v>
      </c>
      <c r="F78" s="92" t="s">
        <v>40</v>
      </c>
      <c r="G78" s="95">
        <v>4</v>
      </c>
      <c r="H78" s="92" t="s">
        <v>88</v>
      </c>
    </row>
    <row r="79" spans="1:8" ht="18" x14ac:dyDescent="0.3">
      <c r="A79" s="91">
        <v>45991</v>
      </c>
      <c r="B79" s="92" t="s">
        <v>35</v>
      </c>
      <c r="C79" s="93" t="s">
        <v>582</v>
      </c>
      <c r="D79" s="92" t="s">
        <v>539</v>
      </c>
      <c r="E79" s="94">
        <v>1.4375</v>
      </c>
      <c r="F79" s="92" t="s">
        <v>43</v>
      </c>
      <c r="G79" s="95">
        <v>4</v>
      </c>
      <c r="H79" s="92" t="s">
        <v>293</v>
      </c>
    </row>
    <row r="80" spans="1:8" ht="18" x14ac:dyDescent="0.3">
      <c r="A80" s="97">
        <v>45991</v>
      </c>
      <c r="B80" s="98" t="s">
        <v>35</v>
      </c>
      <c r="C80" s="99" t="s">
        <v>593</v>
      </c>
      <c r="D80" s="98" t="s">
        <v>539</v>
      </c>
      <c r="E80" s="100">
        <v>1.958333333333333</v>
      </c>
      <c r="F80" s="98" t="s">
        <v>37</v>
      </c>
      <c r="G80" s="101">
        <v>6</v>
      </c>
      <c r="H80" s="98" t="s">
        <v>231</v>
      </c>
    </row>
    <row r="81" spans="1:8" ht="18" x14ac:dyDescent="0.3">
      <c r="A81" s="91">
        <v>45991</v>
      </c>
      <c r="B81" s="92" t="s">
        <v>35</v>
      </c>
      <c r="C81" s="93" t="s">
        <v>593</v>
      </c>
      <c r="D81" s="92" t="s">
        <v>539</v>
      </c>
      <c r="E81" s="94">
        <v>1.958333333333333</v>
      </c>
      <c r="F81" s="92" t="s">
        <v>40</v>
      </c>
      <c r="G81" s="95">
        <v>6</v>
      </c>
      <c r="H81" s="92" t="s">
        <v>88</v>
      </c>
    </row>
    <row r="82" spans="1:8" ht="18" x14ac:dyDescent="0.3">
      <c r="A82" s="91">
        <v>45991</v>
      </c>
      <c r="B82" s="92" t="s">
        <v>35</v>
      </c>
      <c r="C82" s="93" t="s">
        <v>593</v>
      </c>
      <c r="D82" s="92" t="s">
        <v>539</v>
      </c>
      <c r="E82" s="94">
        <v>1.958333333333333</v>
      </c>
      <c r="F82" s="92" t="s">
        <v>43</v>
      </c>
      <c r="G82" s="95">
        <v>6</v>
      </c>
      <c r="H82" s="92" t="s">
        <v>293</v>
      </c>
    </row>
    <row r="83" spans="1:8" ht="18" x14ac:dyDescent="0.3">
      <c r="A83" s="97">
        <v>45991</v>
      </c>
      <c r="B83" s="98" t="s">
        <v>35</v>
      </c>
      <c r="C83" s="99" t="s">
        <v>597</v>
      </c>
      <c r="D83" s="98" t="s">
        <v>539</v>
      </c>
      <c r="E83" s="100">
        <v>1.819444444444444</v>
      </c>
      <c r="F83" s="98" t="s">
        <v>37</v>
      </c>
      <c r="G83" s="101">
        <v>5</v>
      </c>
      <c r="H83" s="98" t="s">
        <v>231</v>
      </c>
    </row>
    <row r="84" spans="1:8" ht="18" x14ac:dyDescent="0.3">
      <c r="A84" s="91">
        <v>45991</v>
      </c>
      <c r="B84" s="92" t="s">
        <v>35</v>
      </c>
      <c r="C84" s="93" t="s">
        <v>597</v>
      </c>
      <c r="D84" s="92" t="s">
        <v>539</v>
      </c>
      <c r="E84" s="94">
        <v>1.819444444444444</v>
      </c>
      <c r="F84" s="92" t="s">
        <v>40</v>
      </c>
      <c r="G84" s="95">
        <v>5</v>
      </c>
      <c r="H84" s="92" t="s">
        <v>88</v>
      </c>
    </row>
    <row r="85" spans="1:8" ht="18" x14ac:dyDescent="0.3">
      <c r="A85" s="91">
        <v>45991</v>
      </c>
      <c r="B85" s="92" t="s">
        <v>35</v>
      </c>
      <c r="C85" s="93" t="s">
        <v>597</v>
      </c>
      <c r="D85" s="92" t="s">
        <v>539</v>
      </c>
      <c r="E85" s="94">
        <v>1.819444444444444</v>
      </c>
      <c r="F85" s="92" t="s">
        <v>43</v>
      </c>
      <c r="G85" s="95">
        <v>5</v>
      </c>
      <c r="H85" s="92" t="s">
        <v>293</v>
      </c>
    </row>
    <row r="86" spans="1:8" ht="18" x14ac:dyDescent="0.3">
      <c r="A86" s="97">
        <v>45991</v>
      </c>
      <c r="B86" s="98" t="s">
        <v>35</v>
      </c>
      <c r="C86" s="99" t="s">
        <v>583</v>
      </c>
      <c r="D86" s="98" t="s">
        <v>539</v>
      </c>
      <c r="E86" s="100">
        <v>1.506944444444444</v>
      </c>
      <c r="F86" s="98" t="s">
        <v>37</v>
      </c>
      <c r="G86" s="101">
        <v>9</v>
      </c>
      <c r="H86" s="98" t="s">
        <v>231</v>
      </c>
    </row>
    <row r="87" spans="1:8" ht="18" x14ac:dyDescent="0.3">
      <c r="A87" s="91">
        <v>45991</v>
      </c>
      <c r="B87" s="92" t="s">
        <v>35</v>
      </c>
      <c r="C87" s="93" t="s">
        <v>583</v>
      </c>
      <c r="D87" s="92" t="s">
        <v>539</v>
      </c>
      <c r="E87" s="94">
        <v>1.506944444444444</v>
      </c>
      <c r="F87" s="92" t="s">
        <v>40</v>
      </c>
      <c r="G87" s="95">
        <v>9</v>
      </c>
      <c r="H87" s="92" t="s">
        <v>88</v>
      </c>
    </row>
    <row r="88" spans="1:8" ht="18" x14ac:dyDescent="0.3">
      <c r="A88" s="91">
        <v>45991</v>
      </c>
      <c r="B88" s="92" t="s">
        <v>35</v>
      </c>
      <c r="C88" s="93" t="s">
        <v>583</v>
      </c>
      <c r="D88" s="92" t="s">
        <v>539</v>
      </c>
      <c r="E88" s="94">
        <v>1.506944444444444</v>
      </c>
      <c r="F88" s="92" t="s">
        <v>43</v>
      </c>
      <c r="G88" s="95">
        <v>9</v>
      </c>
      <c r="H88" s="92" t="s">
        <v>293</v>
      </c>
    </row>
    <row r="89" spans="1:8" ht="18" x14ac:dyDescent="0.3">
      <c r="A89" s="97">
        <v>45991</v>
      </c>
      <c r="B89" s="98" t="s">
        <v>35</v>
      </c>
      <c r="C89" s="99" t="s">
        <v>589</v>
      </c>
      <c r="D89" s="98" t="s">
        <v>539</v>
      </c>
      <c r="E89" s="100">
        <v>1.697916666666667</v>
      </c>
      <c r="F89" s="98" t="s">
        <v>37</v>
      </c>
      <c r="G89" s="101">
        <v>1</v>
      </c>
      <c r="H89" s="98" t="s">
        <v>231</v>
      </c>
    </row>
    <row r="90" spans="1:8" ht="18" x14ac:dyDescent="0.3">
      <c r="A90" s="91">
        <v>45991</v>
      </c>
      <c r="B90" s="92" t="s">
        <v>35</v>
      </c>
      <c r="C90" s="93" t="s">
        <v>589</v>
      </c>
      <c r="D90" s="92" t="s">
        <v>539</v>
      </c>
      <c r="E90" s="94">
        <v>1.697916666666667</v>
      </c>
      <c r="F90" s="92" t="s">
        <v>40</v>
      </c>
      <c r="G90" s="95">
        <v>1</v>
      </c>
      <c r="H90" s="92" t="s">
        <v>88</v>
      </c>
    </row>
    <row r="91" spans="1:8" ht="18" x14ac:dyDescent="0.3">
      <c r="A91" s="91">
        <v>45991</v>
      </c>
      <c r="B91" s="92" t="s">
        <v>35</v>
      </c>
      <c r="C91" s="93" t="s">
        <v>589</v>
      </c>
      <c r="D91" s="92" t="s">
        <v>539</v>
      </c>
      <c r="E91" s="94">
        <v>1.697916666666667</v>
      </c>
      <c r="F91" s="92" t="s">
        <v>43</v>
      </c>
      <c r="G91" s="95">
        <v>1</v>
      </c>
      <c r="H91" s="92" t="s">
        <v>293</v>
      </c>
    </row>
    <row r="92" spans="1:8" ht="18" x14ac:dyDescent="0.3">
      <c r="A92" s="97">
        <v>45991</v>
      </c>
      <c r="B92" s="98" t="s">
        <v>35</v>
      </c>
      <c r="C92" s="99" t="s">
        <v>584</v>
      </c>
      <c r="D92" s="98" t="s">
        <v>539</v>
      </c>
      <c r="E92" s="100">
        <v>1.631944444444444</v>
      </c>
      <c r="F92" s="98" t="s">
        <v>37</v>
      </c>
      <c r="G92" s="101">
        <v>5</v>
      </c>
      <c r="H92" s="98" t="s">
        <v>88</v>
      </c>
    </row>
    <row r="93" spans="1:8" ht="18" x14ac:dyDescent="0.3">
      <c r="A93" s="91">
        <v>45991</v>
      </c>
      <c r="B93" s="92" t="s">
        <v>35</v>
      </c>
      <c r="C93" s="93" t="s">
        <v>584</v>
      </c>
      <c r="D93" s="92" t="s">
        <v>539</v>
      </c>
      <c r="E93" s="94">
        <v>1.631944444444444</v>
      </c>
      <c r="F93" s="92" t="s">
        <v>40</v>
      </c>
      <c r="G93" s="95">
        <v>5</v>
      </c>
      <c r="H93" s="92" t="s">
        <v>80</v>
      </c>
    </row>
    <row r="94" spans="1:8" ht="18" x14ac:dyDescent="0.3">
      <c r="A94" s="91">
        <v>45991</v>
      </c>
      <c r="B94" s="92" t="s">
        <v>35</v>
      </c>
      <c r="C94" s="93" t="s">
        <v>584</v>
      </c>
      <c r="D94" s="92" t="s">
        <v>539</v>
      </c>
      <c r="E94" s="94">
        <v>1.631944444444444</v>
      </c>
      <c r="F94" s="92" t="s">
        <v>43</v>
      </c>
      <c r="G94" s="95">
        <v>5</v>
      </c>
      <c r="H94" s="92" t="s">
        <v>627</v>
      </c>
    </row>
    <row r="95" spans="1:8" ht="18" x14ac:dyDescent="0.3">
      <c r="A95" s="97">
        <v>45991</v>
      </c>
      <c r="B95" s="98" t="s">
        <v>35</v>
      </c>
      <c r="C95" s="99" t="s">
        <v>588</v>
      </c>
      <c r="D95" s="98" t="s">
        <v>539</v>
      </c>
      <c r="E95" s="100">
        <v>1.5590277777777779</v>
      </c>
      <c r="F95" s="98" t="s">
        <v>37</v>
      </c>
      <c r="G95" s="101">
        <v>9</v>
      </c>
      <c r="H95" s="98" t="s">
        <v>88</v>
      </c>
    </row>
    <row r="96" spans="1:8" ht="18" x14ac:dyDescent="0.3">
      <c r="A96" s="91">
        <v>45991</v>
      </c>
      <c r="B96" s="92" t="s">
        <v>35</v>
      </c>
      <c r="C96" s="93" t="s">
        <v>588</v>
      </c>
      <c r="D96" s="92" t="s">
        <v>539</v>
      </c>
      <c r="E96" s="94">
        <v>1.5590277777777779</v>
      </c>
      <c r="F96" s="92" t="s">
        <v>40</v>
      </c>
      <c r="G96" s="95">
        <v>9</v>
      </c>
      <c r="H96" s="92" t="s">
        <v>80</v>
      </c>
    </row>
    <row r="97" spans="1:8" ht="18" x14ac:dyDescent="0.3">
      <c r="A97" s="91">
        <v>45991</v>
      </c>
      <c r="B97" s="92" t="s">
        <v>35</v>
      </c>
      <c r="C97" s="93" t="s">
        <v>588</v>
      </c>
      <c r="D97" s="92" t="s">
        <v>539</v>
      </c>
      <c r="E97" s="94">
        <v>1.5590277777777779</v>
      </c>
      <c r="F97" s="92" t="s">
        <v>43</v>
      </c>
      <c r="G97" s="95">
        <v>9</v>
      </c>
      <c r="H97" s="92" t="s">
        <v>627</v>
      </c>
    </row>
    <row r="98" spans="1:8" ht="18" x14ac:dyDescent="0.3">
      <c r="A98" s="96">
        <v>45991</v>
      </c>
      <c r="B98" s="86" t="s">
        <v>49</v>
      </c>
      <c r="C98" s="87" t="s">
        <v>628</v>
      </c>
      <c r="D98" s="86" t="s">
        <v>539</v>
      </c>
      <c r="E98" s="88">
        <v>1.697916666666667</v>
      </c>
      <c r="F98" s="86" t="s">
        <v>51</v>
      </c>
      <c r="G98" s="89">
        <v>1</v>
      </c>
      <c r="H98" s="86" t="s">
        <v>555</v>
      </c>
    </row>
    <row r="99" spans="1:8" ht="18" x14ac:dyDescent="0.3">
      <c r="A99" s="97">
        <v>45991</v>
      </c>
      <c r="B99" s="98" t="s">
        <v>49</v>
      </c>
      <c r="C99" s="99" t="s">
        <v>550</v>
      </c>
      <c r="D99" s="98" t="s">
        <v>539</v>
      </c>
      <c r="E99" s="100">
        <v>1.444444444444444</v>
      </c>
      <c r="F99" s="98" t="s">
        <v>51</v>
      </c>
      <c r="G99" s="101">
        <v>6</v>
      </c>
      <c r="H99" s="98" t="s">
        <v>629</v>
      </c>
    </row>
    <row r="100" spans="1:8" ht="18" x14ac:dyDescent="0.3">
      <c r="A100" s="97">
        <v>45991</v>
      </c>
      <c r="B100" s="98" t="s">
        <v>49</v>
      </c>
      <c r="C100" s="99" t="s">
        <v>553</v>
      </c>
      <c r="D100" s="98" t="s">
        <v>539</v>
      </c>
      <c r="E100" s="100">
        <v>1.6284722222222221</v>
      </c>
      <c r="F100" s="98" t="s">
        <v>51</v>
      </c>
      <c r="G100" s="101">
        <v>5</v>
      </c>
      <c r="H100" s="98" t="s">
        <v>629</v>
      </c>
    </row>
    <row r="101" spans="1:8" ht="18" x14ac:dyDescent="0.3">
      <c r="A101" s="97">
        <v>45991</v>
      </c>
      <c r="B101" s="98" t="s">
        <v>49</v>
      </c>
      <c r="C101" s="99" t="s">
        <v>556</v>
      </c>
      <c r="D101" s="98" t="s">
        <v>539</v>
      </c>
      <c r="E101" s="100">
        <v>1.8888888888888891</v>
      </c>
      <c r="F101" s="98" t="s">
        <v>51</v>
      </c>
      <c r="G101" s="101">
        <v>4</v>
      </c>
      <c r="H101" s="98" t="s">
        <v>630</v>
      </c>
    </row>
    <row r="102" spans="1:8" ht="18" x14ac:dyDescent="0.3">
      <c r="A102" s="97">
        <v>45991</v>
      </c>
      <c r="B102" s="98" t="s">
        <v>49</v>
      </c>
      <c r="C102" s="99" t="s">
        <v>558</v>
      </c>
      <c r="D102" s="98" t="s">
        <v>539</v>
      </c>
      <c r="E102" s="100">
        <v>1.6284722222222221</v>
      </c>
      <c r="F102" s="98" t="s">
        <v>51</v>
      </c>
      <c r="G102" s="101">
        <v>4</v>
      </c>
      <c r="H102" s="98" t="s">
        <v>630</v>
      </c>
    </row>
    <row r="103" spans="1:8" ht="18" x14ac:dyDescent="0.3">
      <c r="A103" s="106">
        <v>45991</v>
      </c>
      <c r="B103" s="107" t="s">
        <v>49</v>
      </c>
      <c r="C103" s="108" t="s">
        <v>559</v>
      </c>
      <c r="D103" s="107" t="s">
        <v>539</v>
      </c>
      <c r="E103" s="109">
        <v>1.944444444444444</v>
      </c>
      <c r="F103" s="107" t="s">
        <v>51</v>
      </c>
      <c r="G103" s="110">
        <v>4</v>
      </c>
      <c r="H103" s="107" t="s">
        <v>630</v>
      </c>
    </row>
  </sheetData>
  <dataValidations count="5">
    <dataValidation type="custom" allowBlank="1" showInputMessage="1" promptTitle="LOAD FACTOR ANALYSIS" prompt="SM-461_x000d__x000a_LF 80.5%_x000d__x000a_SOLD 144_x000d__x000a_LST-SOLD 26NOV_x000d__x000a_WEEKLY 68_x000d__x000a_TO-DAY 1_x000d__x000a_Y-DAY 9_x000d__x000a_LOWEST AVAIL V1_x000d__x000a_CAPACITY 179_x000d__x000a_CLASSES V36 &amp; L14 &amp; G30 &amp; +7 more" sqref="A4 B4 C4 D4 E4 F4 G4 H4" xr:uid="{00000000-0002-0000-2100-000000000000}">
      <formula1>TRUE</formula1>
    </dataValidation>
    <dataValidation type="custom" allowBlank="1" showInputMessage="1" promptTitle="LOAD FACTOR ANALYSIS" prompt="SM461_x000d__x000a_LF 74.9%_x000d__x000a_SOLD 134_x000d__x000a_LST-SOLD 25NOV_x000d__x000a_WEEKLY 32_x000d__x000a_TO-DAY NIL_x000d__x000a_Y-DAY 16_x000d__x000a_LOWEST AVAIL Q5_x000d__x000a_CAPACITY 179_x000d__x000a_CLASSES Q5 &amp; K49 &amp; V7 &amp; +9 more" sqref="A15 B15 C15 D15 E15 F15 G15 H15" xr:uid="{00000000-0002-0000-2100-000001000000}">
      <formula1>TRUE</formula1>
    </dataValidation>
    <dataValidation type="custom" allowBlank="1" showInputMessage="1" promptTitle="LOAD FACTOR ANALYSIS" prompt="SM469_x000d__x000a_LF 67.6%_x000d__x000a_SOLD 121_x000d__x000a_LST-SOLD 25NOV_x000d__x000a_WEEKLY 28_x000d__x000a_TO-DAY NIL_x000d__x000a_Y-DAY 5_x000d__x000a_LOWEST AVAIL Q6_x000d__x000a_CAPACITY 179_x000d__x000a_CLASSES H6 &amp; Q29 &amp; K9 &amp; +10 more" sqref="A16 B16 C16 D16 E16 F16 G16 H16" xr:uid="{00000000-0002-0000-2100-000002000000}">
      <formula1>TRUE</formula1>
    </dataValidation>
    <dataValidation type="custom" allowBlank="1" showInputMessage="1" promptTitle="LOAD FACTOR ANALYSIS" prompt="SM-461_x000d__x000a_LF 76.5%_x000d__x000a_SOLD 137_x000d__x000a_LST-SOLD 25NOV_x000d__x000a_WEEKLY 19_x000d__x000a_TO-DAY NIL_x000d__x000a_Y-DAY 11_x000d__x000a_LOWEST AVAIL H9_x000d__x000a_CAPACITY 179_x000d__x000a_CLASSES M10 &amp; H35 &amp; K12 &amp; +10 more" sqref="A23 B23 C23 D23 E23 F23 G23 H23" xr:uid="{00000000-0002-0000-2100-000003000000}">
      <formula1>TRUE</formula1>
    </dataValidation>
    <dataValidation type="custom" allowBlank="1" showInputMessage="1" promptTitle="LOAD FACTOR ANALYSIS" prompt="SM-461_x000d__x000a_LF 74.3%_x000d__x000a_SOLD 133_x000d__x000a_LST-SOLD 25NOV_x000d__x000a_WEEKLY 42_x000d__x000a_TO-DAY NIL_x000d__x000a_Y-DAY 6_x000d__x000a_LOWEST AVAIL K1_x000d__x000a_CAPACITY 179_x000d__x000a_CLASSES Q8 &amp; K14 &amp; V22 &amp; +9 more" sqref="A58 B58 C58 D58 E58 F58 G58 H58" xr:uid="{00000000-0002-0000-2100-000004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N3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5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4.10937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662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45987.359189450202</v>
      </c>
      <c r="H2" s="279"/>
      <c r="I2" s="279"/>
      <c r="J2" s="279"/>
      <c r="K2" s="288">
        <v>45987.359189450814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2" t="s">
        <v>5</v>
      </c>
      <c r="B4" s="283"/>
      <c r="C4" s="283"/>
      <c r="D4" s="283"/>
      <c r="E4" s="283"/>
      <c r="F4" s="283"/>
      <c r="G4" s="5">
        <v>45990</v>
      </c>
      <c r="H4" s="294" t="s">
        <v>6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35</v>
      </c>
      <c r="B6" s="8" t="s">
        <v>663</v>
      </c>
      <c r="C6" s="9">
        <v>0.3611111111111111</v>
      </c>
      <c r="D6" s="8" t="s">
        <v>664</v>
      </c>
      <c r="E6" s="8" t="s">
        <v>455</v>
      </c>
      <c r="F6" s="8" t="s">
        <v>665</v>
      </c>
      <c r="G6" s="275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15" t="s">
        <v>35</v>
      </c>
      <c r="B7" s="15" t="s">
        <v>663</v>
      </c>
      <c r="C7" s="16">
        <v>0.3611111111111111</v>
      </c>
      <c r="D7" s="15" t="s">
        <v>40</v>
      </c>
      <c r="E7" s="15" t="s">
        <v>291</v>
      </c>
      <c r="F7" s="15" t="s">
        <v>666</v>
      </c>
      <c r="G7" s="276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15" t="s">
        <v>35</v>
      </c>
      <c r="B8" s="15" t="s">
        <v>663</v>
      </c>
      <c r="C8" s="16">
        <v>0.3611111111111111</v>
      </c>
      <c r="D8" s="15" t="s">
        <v>43</v>
      </c>
      <c r="E8" s="15" t="s">
        <v>291</v>
      </c>
      <c r="F8" s="15" t="s">
        <v>667</v>
      </c>
      <c r="G8" s="276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8" x14ac:dyDescent="0.3">
      <c r="A9" s="300" t="s">
        <v>668</v>
      </c>
      <c r="B9" s="301"/>
      <c r="C9" s="301"/>
      <c r="D9" s="301"/>
      <c r="E9" s="301"/>
      <c r="F9" s="301"/>
      <c r="G9" s="276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9" t="s">
        <v>246</v>
      </c>
      <c r="B10" s="19" t="s">
        <v>569</v>
      </c>
      <c r="C10" s="20" t="s">
        <v>669</v>
      </c>
      <c r="D10" s="19" t="s">
        <v>191</v>
      </c>
      <c r="E10" s="19" t="s">
        <v>177</v>
      </c>
      <c r="F10" s="19" t="s">
        <v>570</v>
      </c>
      <c r="G10" s="276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9" t="s">
        <v>246</v>
      </c>
      <c r="B11" s="19" t="s">
        <v>571</v>
      </c>
      <c r="C11" s="20" t="s">
        <v>670</v>
      </c>
      <c r="D11" s="19" t="s">
        <v>191</v>
      </c>
      <c r="E11" s="19" t="s">
        <v>177</v>
      </c>
      <c r="F11" s="19" t="s">
        <v>572</v>
      </c>
      <c r="G11" s="276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9" t="s">
        <v>249</v>
      </c>
      <c r="B12" s="19" t="s">
        <v>573</v>
      </c>
      <c r="C12" s="20" t="s">
        <v>671</v>
      </c>
      <c r="D12" s="19" t="s">
        <v>191</v>
      </c>
      <c r="E12" s="19" t="s">
        <v>427</v>
      </c>
      <c r="F12" s="19" t="s">
        <v>574</v>
      </c>
      <c r="G12" s="276"/>
      <c r="H12" s="131"/>
      <c r="I12" s="131"/>
      <c r="J12" s="131"/>
      <c r="K12" s="131"/>
      <c r="L12" s="131"/>
      <c r="M12" s="131"/>
      <c r="N12" s="131"/>
      <c r="O12" s="132"/>
      <c r="P12" s="131"/>
      <c r="Q12" s="133"/>
      <c r="R12" s="13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9" t="s">
        <v>283</v>
      </c>
      <c r="B13" s="19" t="s">
        <v>576</v>
      </c>
      <c r="C13" s="20" t="s">
        <v>672</v>
      </c>
      <c r="D13" s="19" t="s">
        <v>285</v>
      </c>
      <c r="E13" s="19" t="s">
        <v>167</v>
      </c>
      <c r="F13" s="19" t="s">
        <v>577</v>
      </c>
      <c r="G13" s="276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9" t="s">
        <v>59</v>
      </c>
      <c r="B14" s="19" t="s">
        <v>544</v>
      </c>
      <c r="C14" s="20" t="s">
        <v>673</v>
      </c>
      <c r="D14" s="19" t="s">
        <v>191</v>
      </c>
      <c r="E14" s="19" t="s">
        <v>177</v>
      </c>
      <c r="F14" s="19" t="s">
        <v>579</v>
      </c>
      <c r="G14" s="276"/>
      <c r="H14" s="131"/>
      <c r="I14" s="131"/>
      <c r="J14" s="131"/>
      <c r="K14" s="131"/>
      <c r="L14" s="131"/>
      <c r="M14" s="131"/>
      <c r="N14" s="131"/>
      <c r="O14" s="132"/>
      <c r="P14" s="131"/>
      <c r="Q14" s="133"/>
      <c r="R14" s="13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9" t="s">
        <v>35</v>
      </c>
      <c r="B15" s="19" t="s">
        <v>582</v>
      </c>
      <c r="C15" s="20" t="s">
        <v>672</v>
      </c>
      <c r="D15" s="19" t="s">
        <v>37</v>
      </c>
      <c r="E15" s="19" t="s">
        <v>175</v>
      </c>
      <c r="F15" s="19" t="s">
        <v>80</v>
      </c>
      <c r="G15" s="276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9" t="s">
        <v>35</v>
      </c>
      <c r="B16" s="19" t="s">
        <v>583</v>
      </c>
      <c r="C16" s="20" t="s">
        <v>674</v>
      </c>
      <c r="D16" s="19" t="s">
        <v>37</v>
      </c>
      <c r="E16" s="19" t="s">
        <v>167</v>
      </c>
      <c r="F16" s="19" t="s">
        <v>80</v>
      </c>
      <c r="G16" s="276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9" t="s">
        <v>25</v>
      </c>
      <c r="B17" s="19" t="s">
        <v>598</v>
      </c>
      <c r="C17" s="20" t="s">
        <v>675</v>
      </c>
      <c r="D17" s="19" t="s">
        <v>27</v>
      </c>
      <c r="E17" s="19" t="s">
        <v>175</v>
      </c>
      <c r="F17" s="19" t="s">
        <v>599</v>
      </c>
      <c r="G17" s="276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5" customHeight="1" x14ac:dyDescent="0.3">
      <c r="A18" s="19" t="s">
        <v>283</v>
      </c>
      <c r="B18" s="19" t="s">
        <v>576</v>
      </c>
      <c r="C18" s="20" t="s">
        <v>672</v>
      </c>
      <c r="D18" s="19" t="s">
        <v>33</v>
      </c>
      <c r="E18" s="19" t="s">
        <v>167</v>
      </c>
      <c r="F18" s="19" t="s">
        <v>578</v>
      </c>
      <c r="G18" s="276"/>
      <c r="H18" s="131"/>
      <c r="I18" s="131"/>
      <c r="J18" s="131"/>
      <c r="K18" s="131"/>
      <c r="L18" s="131"/>
      <c r="M18" s="131"/>
      <c r="N18" s="131"/>
      <c r="O18" s="132"/>
      <c r="P18" s="131"/>
      <c r="Q18" s="133"/>
      <c r="R18" s="13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5" customHeight="1" x14ac:dyDescent="0.3">
      <c r="A19" s="37" t="s">
        <v>35</v>
      </c>
      <c r="B19" s="37" t="s">
        <v>582</v>
      </c>
      <c r="C19" s="38" t="s">
        <v>672</v>
      </c>
      <c r="D19" s="37" t="s">
        <v>40</v>
      </c>
      <c r="E19" s="37" t="s">
        <v>175</v>
      </c>
      <c r="F19" s="37" t="s">
        <v>295</v>
      </c>
      <c r="G19" s="277"/>
      <c r="H19" s="134"/>
      <c r="I19" s="134"/>
      <c r="J19" s="134"/>
      <c r="K19" s="134"/>
      <c r="L19" s="134"/>
      <c r="M19" s="134"/>
      <c r="N19" s="134"/>
      <c r="O19" s="135"/>
      <c r="P19" s="134"/>
      <c r="Q19" s="136"/>
      <c r="R19" s="136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14.4" customHeight="1" x14ac:dyDescent="0.3">
      <c r="A20" s="272"/>
      <c r="B20" s="273"/>
      <c r="C20" s="273"/>
      <c r="D20" s="273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3"/>
      <c r="R20" s="274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22.05" customHeight="1" x14ac:dyDescent="0.3">
      <c r="A21" s="280" t="s">
        <v>5</v>
      </c>
      <c r="B21" s="281"/>
      <c r="C21" s="281"/>
      <c r="D21" s="281"/>
      <c r="E21" s="281"/>
      <c r="F21" s="281"/>
      <c r="G21" s="5">
        <v>45991</v>
      </c>
      <c r="H21" s="290" t="s">
        <v>6</v>
      </c>
      <c r="I21" s="291"/>
      <c r="J21" s="291"/>
      <c r="K21" s="291"/>
      <c r="L21" s="291"/>
      <c r="M21" s="291"/>
      <c r="N21" s="291"/>
      <c r="O21" s="291"/>
      <c r="P21" s="291"/>
      <c r="Q21" s="291"/>
      <c r="R21" s="291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24" customHeight="1" x14ac:dyDescent="0.3">
      <c r="A22" s="31" t="s">
        <v>7</v>
      </c>
      <c r="B22" s="31" t="s">
        <v>8</v>
      </c>
      <c r="C22" s="32" t="s">
        <v>9</v>
      </c>
      <c r="D22" s="31" t="s">
        <v>10</v>
      </c>
      <c r="E22" s="31" t="s">
        <v>11</v>
      </c>
      <c r="F22" s="31" t="s">
        <v>12</v>
      </c>
      <c r="G22" s="33" t="s">
        <v>13</v>
      </c>
      <c r="H22" s="31" t="s">
        <v>14</v>
      </c>
      <c r="I22" s="34" t="s">
        <v>15</v>
      </c>
      <c r="J22" s="35" t="s">
        <v>16</v>
      </c>
      <c r="K22" s="36" t="s">
        <v>17</v>
      </c>
      <c r="L22" s="35" t="s">
        <v>18</v>
      </c>
      <c r="M22" s="35" t="s">
        <v>19</v>
      </c>
      <c r="N22" s="35" t="s">
        <v>20</v>
      </c>
      <c r="O22" s="31" t="s">
        <v>21</v>
      </c>
      <c r="P22" s="32" t="s">
        <v>22</v>
      </c>
      <c r="Q22" s="35" t="s">
        <v>23</v>
      </c>
      <c r="R22" s="31" t="s">
        <v>24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5" customHeight="1" x14ac:dyDescent="0.3">
      <c r="A23" s="205" t="s">
        <v>59</v>
      </c>
      <c r="B23" s="205" t="s">
        <v>676</v>
      </c>
      <c r="C23" s="206">
        <v>0.42708333333333331</v>
      </c>
      <c r="D23" s="205" t="s">
        <v>191</v>
      </c>
      <c r="E23" s="205" t="s">
        <v>65</v>
      </c>
      <c r="F23" s="205" t="s">
        <v>677</v>
      </c>
      <c r="G23" s="275"/>
      <c r="H23" s="187" t="s">
        <v>678</v>
      </c>
      <c r="I23" s="227">
        <v>0.65920000000000001</v>
      </c>
      <c r="J23" s="189">
        <v>118</v>
      </c>
      <c r="K23" s="190">
        <v>45986</v>
      </c>
      <c r="L23" s="189">
        <v>28</v>
      </c>
      <c r="M23" s="189">
        <v>0</v>
      </c>
      <c r="N23" s="189">
        <v>4</v>
      </c>
      <c r="O23" s="191" t="s">
        <v>657</v>
      </c>
      <c r="P23" s="192">
        <v>0.42708333333333331</v>
      </c>
      <c r="Q23" s="189">
        <v>179</v>
      </c>
      <c r="R23" s="193" t="s">
        <v>679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5" customHeight="1" x14ac:dyDescent="0.3">
      <c r="A24" s="17" t="s">
        <v>70</v>
      </c>
      <c r="B24" s="17" t="s">
        <v>680</v>
      </c>
      <c r="C24" s="18">
        <v>0.42708333333333331</v>
      </c>
      <c r="D24" s="17" t="s">
        <v>72</v>
      </c>
      <c r="E24" s="17" t="s">
        <v>84</v>
      </c>
      <c r="F24" s="17" t="s">
        <v>681</v>
      </c>
      <c r="G24" s="276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8" x14ac:dyDescent="0.3">
      <c r="A25" s="300" t="s">
        <v>668</v>
      </c>
      <c r="B25" s="301"/>
      <c r="C25" s="301"/>
      <c r="D25" s="301"/>
      <c r="E25" s="301"/>
      <c r="F25" s="301"/>
      <c r="G25" s="276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15" customHeight="1" x14ac:dyDescent="0.3">
      <c r="A26" s="19" t="s">
        <v>59</v>
      </c>
      <c r="B26" s="19" t="s">
        <v>544</v>
      </c>
      <c r="C26" s="20" t="s">
        <v>682</v>
      </c>
      <c r="D26" s="19" t="s">
        <v>191</v>
      </c>
      <c r="E26" s="19" t="s">
        <v>171</v>
      </c>
      <c r="F26" s="19" t="s">
        <v>614</v>
      </c>
      <c r="G26" s="276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15" customHeight="1" x14ac:dyDescent="0.3">
      <c r="A27" s="19" t="s">
        <v>249</v>
      </c>
      <c r="B27" s="19" t="s">
        <v>617</v>
      </c>
      <c r="C27" s="20" t="s">
        <v>425</v>
      </c>
      <c r="D27" s="19" t="s">
        <v>191</v>
      </c>
      <c r="E27" s="19" t="s">
        <v>683</v>
      </c>
      <c r="F27" s="19" t="s">
        <v>618</v>
      </c>
      <c r="G27" s="276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15" customHeight="1" x14ac:dyDescent="0.3">
      <c r="A28" s="19" t="s">
        <v>25</v>
      </c>
      <c r="B28" s="19" t="s">
        <v>602</v>
      </c>
      <c r="C28" s="20" t="s">
        <v>684</v>
      </c>
      <c r="D28" s="19" t="s">
        <v>27</v>
      </c>
      <c r="E28" s="19" t="s">
        <v>685</v>
      </c>
      <c r="F28" s="19" t="s">
        <v>224</v>
      </c>
      <c r="G28" s="276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5" customHeight="1" x14ac:dyDescent="0.3">
      <c r="A29" s="19" t="s">
        <v>25</v>
      </c>
      <c r="B29" s="19" t="s">
        <v>607</v>
      </c>
      <c r="C29" s="20" t="s">
        <v>686</v>
      </c>
      <c r="D29" s="19" t="s">
        <v>27</v>
      </c>
      <c r="E29" s="19" t="s">
        <v>169</v>
      </c>
      <c r="F29" s="19" t="s">
        <v>224</v>
      </c>
      <c r="G29" s="276"/>
      <c r="H29" s="131"/>
      <c r="I29" s="131"/>
      <c r="J29" s="131"/>
      <c r="K29" s="131"/>
      <c r="L29" s="131"/>
      <c r="M29" s="131"/>
      <c r="N29" s="131"/>
      <c r="O29" s="132"/>
      <c r="P29" s="131"/>
      <c r="Q29" s="133"/>
      <c r="R29" s="13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15" customHeight="1" x14ac:dyDescent="0.3">
      <c r="A30" s="19" t="s">
        <v>25</v>
      </c>
      <c r="B30" s="19" t="s">
        <v>610</v>
      </c>
      <c r="C30" s="20" t="s">
        <v>432</v>
      </c>
      <c r="D30" s="19" t="s">
        <v>27</v>
      </c>
      <c r="E30" s="19" t="s">
        <v>427</v>
      </c>
      <c r="F30" s="19" t="s">
        <v>224</v>
      </c>
      <c r="G30" s="276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15" customHeight="1" x14ac:dyDescent="0.3">
      <c r="A31" s="19" t="s">
        <v>70</v>
      </c>
      <c r="B31" s="19" t="s">
        <v>560</v>
      </c>
      <c r="C31" s="20" t="s">
        <v>687</v>
      </c>
      <c r="D31" s="19" t="s">
        <v>72</v>
      </c>
      <c r="E31" s="19" t="s">
        <v>177</v>
      </c>
      <c r="F31" s="19" t="s">
        <v>622</v>
      </c>
      <c r="G31" s="276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19" t="s">
        <v>246</v>
      </c>
      <c r="B32" s="19" t="s">
        <v>540</v>
      </c>
      <c r="C32" s="20" t="s">
        <v>688</v>
      </c>
      <c r="D32" s="19" t="s">
        <v>191</v>
      </c>
      <c r="E32" s="19" t="s">
        <v>177</v>
      </c>
      <c r="F32" s="19" t="s">
        <v>625</v>
      </c>
      <c r="G32" s="276"/>
      <c r="H32" s="131"/>
      <c r="I32" s="131"/>
      <c r="J32" s="131"/>
      <c r="K32" s="131"/>
      <c r="L32" s="131"/>
      <c r="M32" s="131"/>
      <c r="N32" s="131"/>
      <c r="O32" s="132"/>
      <c r="P32" s="131"/>
      <c r="Q32" s="133"/>
      <c r="R32" s="13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5" customHeight="1" x14ac:dyDescent="0.3">
      <c r="A33" s="19" t="s">
        <v>246</v>
      </c>
      <c r="B33" s="19" t="s">
        <v>626</v>
      </c>
      <c r="C33" s="20" t="s">
        <v>689</v>
      </c>
      <c r="D33" s="19" t="s">
        <v>191</v>
      </c>
      <c r="E33" s="19" t="s">
        <v>177</v>
      </c>
      <c r="F33" s="19" t="s">
        <v>625</v>
      </c>
      <c r="G33" s="276"/>
      <c r="H33" s="131"/>
      <c r="I33" s="131"/>
      <c r="J33" s="131"/>
      <c r="K33" s="131"/>
      <c r="L33" s="131"/>
      <c r="M33" s="131"/>
      <c r="N33" s="131"/>
      <c r="O33" s="132"/>
      <c r="P33" s="131"/>
      <c r="Q33" s="133"/>
      <c r="R33" s="13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5" customHeight="1" x14ac:dyDescent="0.3">
      <c r="A34" s="19" t="s">
        <v>35</v>
      </c>
      <c r="B34" s="19" t="s">
        <v>582</v>
      </c>
      <c r="C34" s="20" t="s">
        <v>672</v>
      </c>
      <c r="D34" s="19" t="s">
        <v>37</v>
      </c>
      <c r="E34" s="19" t="s">
        <v>196</v>
      </c>
      <c r="F34" s="19" t="s">
        <v>231</v>
      </c>
      <c r="G34" s="276"/>
      <c r="H34" s="131"/>
      <c r="I34" s="131"/>
      <c r="J34" s="131"/>
      <c r="K34" s="131"/>
      <c r="L34" s="131"/>
      <c r="M34" s="131"/>
      <c r="N34" s="131"/>
      <c r="O34" s="132"/>
      <c r="P34" s="131"/>
      <c r="Q34" s="133"/>
      <c r="R34" s="13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15" customHeight="1" x14ac:dyDescent="0.3">
      <c r="A35" s="37" t="s">
        <v>35</v>
      </c>
      <c r="B35" s="37" t="s">
        <v>593</v>
      </c>
      <c r="C35" s="38" t="s">
        <v>690</v>
      </c>
      <c r="D35" s="37" t="s">
        <v>37</v>
      </c>
      <c r="E35" s="37" t="s">
        <v>683</v>
      </c>
      <c r="F35" s="37" t="s">
        <v>231</v>
      </c>
      <c r="G35" s="277"/>
      <c r="H35" s="134"/>
      <c r="I35" s="134"/>
      <c r="J35" s="134"/>
      <c r="K35" s="134"/>
      <c r="L35" s="134"/>
      <c r="M35" s="134"/>
      <c r="N35" s="134"/>
      <c r="O35" s="135"/>
      <c r="P35" s="134"/>
      <c r="Q35" s="136"/>
      <c r="R35" s="136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14.4" customHeight="1" x14ac:dyDescent="0.3">
      <c r="A36" s="272"/>
      <c r="B36" s="273"/>
      <c r="C36" s="273"/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3"/>
      <c r="R36" s="274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</sheetData>
  <mergeCells count="19">
    <mergeCell ref="D1:F1"/>
    <mergeCell ref="A1:C1"/>
    <mergeCell ref="G1:H1"/>
    <mergeCell ref="A36:R36"/>
    <mergeCell ref="G6:G19"/>
    <mergeCell ref="A25:F25"/>
    <mergeCell ref="O1:Q1"/>
    <mergeCell ref="G23:G35"/>
    <mergeCell ref="A21:F21"/>
    <mergeCell ref="H4:R4"/>
    <mergeCell ref="A2:F2"/>
    <mergeCell ref="A3:R3"/>
    <mergeCell ref="H21:R21"/>
    <mergeCell ref="G2:J2"/>
    <mergeCell ref="A4:F4"/>
    <mergeCell ref="J1:M1"/>
    <mergeCell ref="A20:R20"/>
    <mergeCell ref="A9:F9"/>
    <mergeCell ref="K2:R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I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  <row r="2" spans="1:35" ht="18" x14ac:dyDescent="0.3">
      <c r="A2" s="65" t="s">
        <v>148</v>
      </c>
      <c r="B2" s="66">
        <v>45991</v>
      </c>
      <c r="C2" s="67" t="s">
        <v>678</v>
      </c>
      <c r="D2" s="68">
        <v>0.42708333333333331</v>
      </c>
      <c r="E2" s="67" t="s">
        <v>662</v>
      </c>
      <c r="F2" s="67" t="s">
        <v>134</v>
      </c>
      <c r="G2" s="69">
        <v>0.65920000000000001</v>
      </c>
      <c r="H2" s="70">
        <v>179</v>
      </c>
      <c r="I2" s="70">
        <v>118</v>
      </c>
      <c r="J2" s="70">
        <v>0</v>
      </c>
      <c r="K2" s="66">
        <v>45986</v>
      </c>
      <c r="L2" s="70">
        <v>0</v>
      </c>
      <c r="M2" s="70">
        <v>4</v>
      </c>
      <c r="N2" s="70">
        <v>28</v>
      </c>
      <c r="O2" s="67" t="s">
        <v>657</v>
      </c>
      <c r="P2" s="71"/>
      <c r="Q2" s="71"/>
      <c r="R2" s="71"/>
      <c r="S2" s="70" t="s">
        <v>691</v>
      </c>
      <c r="T2" s="70" t="s">
        <v>692</v>
      </c>
      <c r="U2" s="70" t="s">
        <v>693</v>
      </c>
      <c r="V2" s="70" t="s">
        <v>638</v>
      </c>
      <c r="W2" s="70" t="s">
        <v>135</v>
      </c>
      <c r="X2" s="71"/>
      <c r="Y2" s="70" t="s">
        <v>495</v>
      </c>
      <c r="Z2" s="70" t="s">
        <v>342</v>
      </c>
      <c r="AA2" s="70" t="s">
        <v>511</v>
      </c>
      <c r="AB2" s="70" t="s">
        <v>343</v>
      </c>
      <c r="AC2" s="70" t="s">
        <v>694</v>
      </c>
      <c r="AD2" s="70" t="s">
        <v>636</v>
      </c>
      <c r="AE2" s="70" t="s">
        <v>513</v>
      </c>
      <c r="AF2" s="71"/>
      <c r="AG2" s="71"/>
      <c r="AH2" s="71"/>
      <c r="AI2" s="71"/>
    </row>
    <row r="3" spans="1:35" ht="18" x14ac:dyDescent="0.3">
      <c r="A3" s="79" t="s">
        <v>151</v>
      </c>
      <c r="B3" s="80"/>
      <c r="C3" s="81">
        <f>COUNTA(C2:C2)</f>
        <v>1</v>
      </c>
      <c r="D3" s="80"/>
      <c r="E3" s="80"/>
      <c r="F3" s="80"/>
      <c r="G3" s="82">
        <f>AVERAGE(G2:G2)</f>
        <v>0.65920000000000001</v>
      </c>
      <c r="H3" s="83">
        <f>SUM(H2:H2)</f>
        <v>179</v>
      </c>
      <c r="I3" s="83">
        <f>SUM(I2:I2)</f>
        <v>118</v>
      </c>
      <c r="J3" s="83">
        <f>SUM(J2:J2)</f>
        <v>0</v>
      </c>
      <c r="K3" s="80"/>
      <c r="L3" s="83">
        <f>SUM(L2:L2)</f>
        <v>0</v>
      </c>
      <c r="M3" s="83">
        <f>SUM(M2:M2)</f>
        <v>4</v>
      </c>
      <c r="N3" s="83">
        <f>SUM(N2:N2)</f>
        <v>28</v>
      </c>
      <c r="O3" s="80"/>
      <c r="P3" s="83">
        <f t="shared" ref="P3:AI3" si="0">SUMPRODUCT(--IFERROR(VALUE(SUBSTITUTE(SUBSTITUTE(SUBSTITUTE(SUBSTITUTE(SUBSTITUTE(SUBSTITUTE(SUBSTITUTE(SUBSTITUTE(SUBSTITUTE(SUBSTITUTE(SUBSTITUTE(SUBSTITUTE(SUBSTITUTE(SUBSTITUTE(SUBSTITUTE(SUBSTITUTE(SUBSTITUTE(SUBSTITUTE(SUBSTITUTE(SUBSTITUTE(P2:P2,"Y",""),"B",""),"M",""),"H",""),"Q",""),"K",""),"V",""),"L",""),"G",""),"S",""),"W",""),"T",""),"X",""),"U",""),"O",""),"I",""),"E",""),"A",""),"P",""),"N","")),0))</f>
        <v>0</v>
      </c>
      <c r="Q3" s="83">
        <f t="shared" si="0"/>
        <v>0</v>
      </c>
      <c r="R3" s="83">
        <f t="shared" si="0"/>
        <v>0</v>
      </c>
      <c r="S3" s="83">
        <f t="shared" si="0"/>
        <v>1</v>
      </c>
      <c r="T3" s="83">
        <f t="shared" si="0"/>
        <v>30</v>
      </c>
      <c r="U3" s="83">
        <f t="shared" si="0"/>
        <v>19</v>
      </c>
      <c r="V3" s="83">
        <f t="shared" si="0"/>
        <v>7</v>
      </c>
      <c r="W3" s="83">
        <f t="shared" si="0"/>
        <v>1</v>
      </c>
      <c r="X3" s="83">
        <f t="shared" si="0"/>
        <v>0</v>
      </c>
      <c r="Y3" s="83">
        <f t="shared" si="0"/>
        <v>1</v>
      </c>
      <c r="Z3" s="83">
        <f t="shared" si="0"/>
        <v>12</v>
      </c>
      <c r="AA3" s="83">
        <f t="shared" si="0"/>
        <v>15</v>
      </c>
      <c r="AB3" s="83">
        <f t="shared" si="0"/>
        <v>12</v>
      </c>
      <c r="AC3" s="83">
        <f t="shared" si="0"/>
        <v>13</v>
      </c>
      <c r="AD3" s="83">
        <f t="shared" si="0"/>
        <v>6</v>
      </c>
      <c r="AE3" s="83">
        <f t="shared" si="0"/>
        <v>1</v>
      </c>
      <c r="AF3" s="83">
        <f t="shared" si="0"/>
        <v>0</v>
      </c>
      <c r="AG3" s="83">
        <f t="shared" si="0"/>
        <v>0</v>
      </c>
      <c r="AH3" s="83">
        <f t="shared" si="0"/>
        <v>0</v>
      </c>
      <c r="AI3" s="83">
        <f t="shared" si="0"/>
        <v>0</v>
      </c>
    </row>
  </sheetData>
  <autoFilter ref="A1:AI2" xr:uid="{00000000-0009-0000-0000-000023000000}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39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44140625" bestFit="1" customWidth="1"/>
    <col min="5" max="5" width="32.886718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  <row r="2" spans="1:8" ht="15.6" x14ac:dyDescent="0.3">
      <c r="A2" s="151"/>
      <c r="B2" s="151"/>
      <c r="C2" s="151"/>
      <c r="D2" s="151"/>
      <c r="E2" s="152" t="s">
        <v>695</v>
      </c>
      <c r="F2" s="151"/>
      <c r="G2" s="151"/>
      <c r="H2" s="3"/>
    </row>
    <row r="3" spans="1:8" ht="18" x14ac:dyDescent="0.3">
      <c r="A3" s="85">
        <v>45988</v>
      </c>
      <c r="B3" s="86" t="s">
        <v>246</v>
      </c>
      <c r="C3" s="87" t="s">
        <v>540</v>
      </c>
      <c r="D3" s="86" t="s">
        <v>539</v>
      </c>
      <c r="E3" s="88">
        <v>1.1701388888888891</v>
      </c>
      <c r="F3" s="86" t="s">
        <v>191</v>
      </c>
      <c r="G3" s="89">
        <v>9</v>
      </c>
      <c r="H3" s="90" t="s">
        <v>541</v>
      </c>
    </row>
    <row r="4" spans="1:8" ht="18" x14ac:dyDescent="0.3">
      <c r="A4" s="97">
        <v>45988</v>
      </c>
      <c r="B4" s="98" t="s">
        <v>246</v>
      </c>
      <c r="C4" s="99" t="s">
        <v>542</v>
      </c>
      <c r="D4" s="98" t="s">
        <v>539</v>
      </c>
      <c r="E4" s="100">
        <v>1.6736111111111109</v>
      </c>
      <c r="F4" s="98" t="s">
        <v>191</v>
      </c>
      <c r="G4" s="101">
        <v>6</v>
      </c>
      <c r="H4" s="98" t="s">
        <v>543</v>
      </c>
    </row>
    <row r="5" spans="1:8" ht="18" x14ac:dyDescent="0.3">
      <c r="A5" s="147">
        <v>45988</v>
      </c>
      <c r="B5" s="148" t="s">
        <v>59</v>
      </c>
      <c r="C5" s="149" t="s">
        <v>544</v>
      </c>
      <c r="D5" s="148" t="s">
        <v>539</v>
      </c>
      <c r="E5" s="150">
        <v>1.413194444444444</v>
      </c>
      <c r="F5" s="148" t="s">
        <v>191</v>
      </c>
      <c r="G5" s="155">
        <v>1</v>
      </c>
      <c r="H5" s="148" t="s">
        <v>545</v>
      </c>
    </row>
    <row r="6" spans="1:8" ht="18" x14ac:dyDescent="0.3">
      <c r="A6" s="96">
        <v>45988</v>
      </c>
      <c r="B6" s="86" t="s">
        <v>249</v>
      </c>
      <c r="C6" s="87" t="s">
        <v>548</v>
      </c>
      <c r="D6" s="86" t="s">
        <v>539</v>
      </c>
      <c r="E6" s="88">
        <v>1.6909722222222221</v>
      </c>
      <c r="F6" s="86" t="s">
        <v>191</v>
      </c>
      <c r="G6" s="89">
        <v>7</v>
      </c>
      <c r="H6" s="86" t="s">
        <v>549</v>
      </c>
    </row>
    <row r="7" spans="1:8" ht="18" x14ac:dyDescent="0.3">
      <c r="A7" s="96">
        <v>45988</v>
      </c>
      <c r="B7" s="86" t="s">
        <v>49</v>
      </c>
      <c r="C7" s="87" t="s">
        <v>550</v>
      </c>
      <c r="D7" s="86" t="s">
        <v>539</v>
      </c>
      <c r="E7" s="88">
        <v>1.444444444444444</v>
      </c>
      <c r="F7" s="86" t="s">
        <v>51</v>
      </c>
      <c r="G7" s="89">
        <v>9</v>
      </c>
      <c r="H7" s="86" t="s">
        <v>551</v>
      </c>
    </row>
    <row r="8" spans="1:8" ht="18" x14ac:dyDescent="0.3">
      <c r="A8" s="97">
        <v>45988</v>
      </c>
      <c r="B8" s="98" t="s">
        <v>49</v>
      </c>
      <c r="C8" s="99" t="s">
        <v>552</v>
      </c>
      <c r="D8" s="98" t="s">
        <v>539</v>
      </c>
      <c r="E8" s="100">
        <v>1.9826388888888891</v>
      </c>
      <c r="F8" s="98" t="s">
        <v>51</v>
      </c>
      <c r="G8" s="101">
        <v>9</v>
      </c>
      <c r="H8" s="98" t="s">
        <v>551</v>
      </c>
    </row>
    <row r="9" spans="1:8" ht="18" x14ac:dyDescent="0.3">
      <c r="A9" s="97">
        <v>45988</v>
      </c>
      <c r="B9" s="98" t="s">
        <v>49</v>
      </c>
      <c r="C9" s="99" t="s">
        <v>553</v>
      </c>
      <c r="D9" s="98" t="s">
        <v>539</v>
      </c>
      <c r="E9" s="100">
        <v>1.6284722222222221</v>
      </c>
      <c r="F9" s="98" t="s">
        <v>51</v>
      </c>
      <c r="G9" s="101">
        <v>9</v>
      </c>
      <c r="H9" s="98" t="s">
        <v>551</v>
      </c>
    </row>
    <row r="10" spans="1:8" ht="18" x14ac:dyDescent="0.3">
      <c r="A10" s="97">
        <v>45988</v>
      </c>
      <c r="B10" s="98" t="s">
        <v>49</v>
      </c>
      <c r="C10" s="99" t="s">
        <v>554</v>
      </c>
      <c r="D10" s="98" t="s">
        <v>539</v>
      </c>
      <c r="E10" s="100">
        <v>1.8298611111111109</v>
      </c>
      <c r="F10" s="98" t="s">
        <v>51</v>
      </c>
      <c r="G10" s="101">
        <v>9</v>
      </c>
      <c r="H10" s="98" t="s">
        <v>555</v>
      </c>
    </row>
    <row r="11" spans="1:8" ht="18" x14ac:dyDescent="0.3">
      <c r="A11" s="96">
        <v>45988</v>
      </c>
      <c r="B11" s="86" t="s">
        <v>70</v>
      </c>
      <c r="C11" s="87" t="s">
        <v>560</v>
      </c>
      <c r="D11" s="86" t="s">
        <v>539</v>
      </c>
      <c r="E11" s="88">
        <v>1.9826388888888891</v>
      </c>
      <c r="F11" s="86" t="s">
        <v>72</v>
      </c>
      <c r="G11" s="89">
        <v>5</v>
      </c>
      <c r="H11" s="86" t="s">
        <v>561</v>
      </c>
    </row>
    <row r="12" spans="1:8" ht="18" x14ac:dyDescent="0.3">
      <c r="A12" s="106">
        <v>45988</v>
      </c>
      <c r="B12" s="107" t="s">
        <v>70</v>
      </c>
      <c r="C12" s="108" t="s">
        <v>562</v>
      </c>
      <c r="D12" s="107" t="s">
        <v>539</v>
      </c>
      <c r="E12" s="109">
        <v>1.354166666666667</v>
      </c>
      <c r="F12" s="107" t="s">
        <v>72</v>
      </c>
      <c r="G12" s="110">
        <v>5</v>
      </c>
      <c r="H12" s="107" t="s">
        <v>561</v>
      </c>
    </row>
    <row r="13" spans="1:8" ht="18" x14ac:dyDescent="0.3">
      <c r="A13" s="85">
        <v>45990</v>
      </c>
      <c r="B13" s="86" t="s">
        <v>35</v>
      </c>
      <c r="C13" s="87" t="s">
        <v>663</v>
      </c>
      <c r="D13" s="86" t="s">
        <v>662</v>
      </c>
      <c r="E13" s="88">
        <v>1.3611111111111109</v>
      </c>
      <c r="F13" s="86" t="s">
        <v>664</v>
      </c>
      <c r="G13" s="89">
        <v>6</v>
      </c>
      <c r="H13" s="90" t="s">
        <v>665</v>
      </c>
    </row>
    <row r="14" spans="1:8" ht="18" x14ac:dyDescent="0.3">
      <c r="A14" s="91">
        <v>45990</v>
      </c>
      <c r="B14" s="92" t="s">
        <v>35</v>
      </c>
      <c r="C14" s="93" t="s">
        <v>663</v>
      </c>
      <c r="D14" s="92" t="s">
        <v>662</v>
      </c>
      <c r="E14" s="94">
        <v>1.3611111111111109</v>
      </c>
      <c r="F14" s="92" t="s">
        <v>40</v>
      </c>
      <c r="G14" s="95">
        <v>6</v>
      </c>
      <c r="H14" s="92" t="s">
        <v>666</v>
      </c>
    </row>
    <row r="15" spans="1:8" ht="18" x14ac:dyDescent="0.3">
      <c r="A15" s="91">
        <v>45990</v>
      </c>
      <c r="B15" s="92" t="s">
        <v>35</v>
      </c>
      <c r="C15" s="93" t="s">
        <v>663</v>
      </c>
      <c r="D15" s="92" t="s">
        <v>662</v>
      </c>
      <c r="E15" s="94">
        <v>1.3611111111111109</v>
      </c>
      <c r="F15" s="92" t="s">
        <v>43</v>
      </c>
      <c r="G15" s="95">
        <v>6</v>
      </c>
      <c r="H15" s="92" t="s">
        <v>667</v>
      </c>
    </row>
    <row r="16" spans="1:8" ht="15.6" x14ac:dyDescent="0.3">
      <c r="A16" s="151"/>
      <c r="B16" s="151"/>
      <c r="C16" s="151"/>
      <c r="D16" s="151"/>
      <c r="E16" s="152" t="s">
        <v>695</v>
      </c>
      <c r="F16" s="151"/>
      <c r="G16" s="151"/>
      <c r="H16" s="3"/>
    </row>
    <row r="17" spans="1:8" ht="18" x14ac:dyDescent="0.3">
      <c r="A17" s="96">
        <v>45990</v>
      </c>
      <c r="B17" s="86" t="s">
        <v>246</v>
      </c>
      <c r="C17" s="87" t="s">
        <v>569</v>
      </c>
      <c r="D17" s="86" t="s">
        <v>539</v>
      </c>
      <c r="E17" s="88">
        <v>1.024305555555556</v>
      </c>
      <c r="F17" s="86" t="s">
        <v>191</v>
      </c>
      <c r="G17" s="89">
        <v>9</v>
      </c>
      <c r="H17" s="86" t="s">
        <v>570</v>
      </c>
    </row>
    <row r="18" spans="1:8" ht="18" x14ac:dyDescent="0.3">
      <c r="A18" s="97">
        <v>45990</v>
      </c>
      <c r="B18" s="98" t="s">
        <v>246</v>
      </c>
      <c r="C18" s="99" t="s">
        <v>571</v>
      </c>
      <c r="D18" s="98" t="s">
        <v>539</v>
      </c>
      <c r="E18" s="100">
        <v>1.538194444444444</v>
      </c>
      <c r="F18" s="98" t="s">
        <v>191</v>
      </c>
      <c r="G18" s="101">
        <v>9</v>
      </c>
      <c r="H18" s="98" t="s">
        <v>572</v>
      </c>
    </row>
    <row r="19" spans="1:8" ht="18" x14ac:dyDescent="0.3">
      <c r="A19" s="96">
        <v>45990</v>
      </c>
      <c r="B19" s="86" t="s">
        <v>249</v>
      </c>
      <c r="C19" s="87" t="s">
        <v>573</v>
      </c>
      <c r="D19" s="86" t="s">
        <v>539</v>
      </c>
      <c r="E19" s="88">
        <v>1.086805555555556</v>
      </c>
      <c r="F19" s="86" t="s">
        <v>191</v>
      </c>
      <c r="G19" s="89">
        <v>5</v>
      </c>
      <c r="H19" s="86" t="s">
        <v>574</v>
      </c>
    </row>
    <row r="20" spans="1:8" ht="18" x14ac:dyDescent="0.3">
      <c r="A20" s="96">
        <v>45990</v>
      </c>
      <c r="B20" s="86" t="s">
        <v>283</v>
      </c>
      <c r="C20" s="87" t="s">
        <v>576</v>
      </c>
      <c r="D20" s="86" t="s">
        <v>539</v>
      </c>
      <c r="E20" s="88">
        <v>1.4375</v>
      </c>
      <c r="F20" s="86" t="s">
        <v>285</v>
      </c>
      <c r="G20" s="89">
        <v>9</v>
      </c>
      <c r="H20" s="86" t="s">
        <v>577</v>
      </c>
    </row>
    <row r="21" spans="1:8" ht="18" x14ac:dyDescent="0.3">
      <c r="A21" s="91">
        <v>45990</v>
      </c>
      <c r="B21" s="92" t="s">
        <v>283</v>
      </c>
      <c r="C21" s="93" t="s">
        <v>576</v>
      </c>
      <c r="D21" s="92" t="s">
        <v>539</v>
      </c>
      <c r="E21" s="94">
        <v>1.4375</v>
      </c>
      <c r="F21" s="92" t="s">
        <v>33</v>
      </c>
      <c r="G21" s="95">
        <v>9</v>
      </c>
      <c r="H21" s="92" t="s">
        <v>578</v>
      </c>
    </row>
    <row r="22" spans="1:8" ht="18" x14ac:dyDescent="0.3">
      <c r="A22" s="147">
        <v>45990</v>
      </c>
      <c r="B22" s="148" t="s">
        <v>59</v>
      </c>
      <c r="C22" s="149" t="s">
        <v>544</v>
      </c>
      <c r="D22" s="148" t="s">
        <v>539</v>
      </c>
      <c r="E22" s="150">
        <v>1.413194444444444</v>
      </c>
      <c r="F22" s="148" t="s">
        <v>191</v>
      </c>
      <c r="G22" s="155">
        <v>9</v>
      </c>
      <c r="H22" s="148" t="s">
        <v>579</v>
      </c>
    </row>
    <row r="23" spans="1:8" ht="18" x14ac:dyDescent="0.3">
      <c r="A23" s="96">
        <v>45990</v>
      </c>
      <c r="B23" s="86" t="s">
        <v>35</v>
      </c>
      <c r="C23" s="87" t="s">
        <v>582</v>
      </c>
      <c r="D23" s="86" t="s">
        <v>539</v>
      </c>
      <c r="E23" s="88">
        <v>1.4375</v>
      </c>
      <c r="F23" s="86" t="s">
        <v>37</v>
      </c>
      <c r="G23" s="89">
        <v>8</v>
      </c>
      <c r="H23" s="86" t="s">
        <v>80</v>
      </c>
    </row>
    <row r="24" spans="1:8" ht="18" x14ac:dyDescent="0.3">
      <c r="A24" s="91">
        <v>45990</v>
      </c>
      <c r="B24" s="92" t="s">
        <v>35</v>
      </c>
      <c r="C24" s="93" t="s">
        <v>582</v>
      </c>
      <c r="D24" s="92" t="s">
        <v>539</v>
      </c>
      <c r="E24" s="94">
        <v>1.4375</v>
      </c>
      <c r="F24" s="92" t="s">
        <v>40</v>
      </c>
      <c r="G24" s="95">
        <v>8</v>
      </c>
      <c r="H24" s="92" t="s">
        <v>295</v>
      </c>
    </row>
    <row r="25" spans="1:8" ht="18" x14ac:dyDescent="0.3">
      <c r="A25" s="97">
        <v>45990</v>
      </c>
      <c r="B25" s="98" t="s">
        <v>35</v>
      </c>
      <c r="C25" s="99" t="s">
        <v>583</v>
      </c>
      <c r="D25" s="98" t="s">
        <v>539</v>
      </c>
      <c r="E25" s="100">
        <v>1.506944444444444</v>
      </c>
      <c r="F25" s="98" t="s">
        <v>37</v>
      </c>
      <c r="G25" s="101">
        <v>9</v>
      </c>
      <c r="H25" s="98" t="s">
        <v>80</v>
      </c>
    </row>
    <row r="26" spans="1:8" ht="18" x14ac:dyDescent="0.3">
      <c r="A26" s="254">
        <v>45990</v>
      </c>
      <c r="B26" s="241" t="s">
        <v>25</v>
      </c>
      <c r="C26" s="242" t="s">
        <v>598</v>
      </c>
      <c r="D26" s="241" t="s">
        <v>539</v>
      </c>
      <c r="E26" s="243">
        <v>1.5763888888888891</v>
      </c>
      <c r="F26" s="241" t="s">
        <v>27</v>
      </c>
      <c r="G26" s="244">
        <v>8</v>
      </c>
      <c r="H26" s="241" t="s">
        <v>599</v>
      </c>
    </row>
    <row r="27" spans="1:8" ht="18" x14ac:dyDescent="0.3">
      <c r="A27" s="153">
        <v>45991</v>
      </c>
      <c r="B27" s="148" t="s">
        <v>59</v>
      </c>
      <c r="C27" s="149" t="s">
        <v>676</v>
      </c>
      <c r="D27" s="148" t="s">
        <v>662</v>
      </c>
      <c r="E27" s="150">
        <v>1.427083333333333</v>
      </c>
      <c r="F27" s="148" t="s">
        <v>191</v>
      </c>
      <c r="G27" s="155">
        <v>8</v>
      </c>
      <c r="H27" s="154" t="s">
        <v>677</v>
      </c>
    </row>
    <row r="28" spans="1:8" ht="18" x14ac:dyDescent="0.3">
      <c r="A28" s="96">
        <v>45991</v>
      </c>
      <c r="B28" s="86" t="s">
        <v>70</v>
      </c>
      <c r="C28" s="87" t="s">
        <v>680</v>
      </c>
      <c r="D28" s="86" t="s">
        <v>662</v>
      </c>
      <c r="E28" s="88">
        <v>1.427083333333333</v>
      </c>
      <c r="F28" s="86" t="s">
        <v>72</v>
      </c>
      <c r="G28" s="89">
        <v>4</v>
      </c>
      <c r="H28" s="86" t="s">
        <v>681</v>
      </c>
    </row>
    <row r="29" spans="1:8" ht="15.6" x14ac:dyDescent="0.3">
      <c r="A29" s="151"/>
      <c r="B29" s="151"/>
      <c r="C29" s="151"/>
      <c r="D29" s="151"/>
      <c r="E29" s="152" t="s">
        <v>695</v>
      </c>
      <c r="F29" s="151"/>
      <c r="G29" s="151"/>
      <c r="H29" s="3"/>
    </row>
    <row r="30" spans="1:8" ht="18" x14ac:dyDescent="0.3">
      <c r="A30" s="147">
        <v>45991</v>
      </c>
      <c r="B30" s="148" t="s">
        <v>59</v>
      </c>
      <c r="C30" s="149" t="s">
        <v>544</v>
      </c>
      <c r="D30" s="148" t="s">
        <v>539</v>
      </c>
      <c r="E30" s="150">
        <v>1.427083333333333</v>
      </c>
      <c r="F30" s="148" t="s">
        <v>191</v>
      </c>
      <c r="G30" s="155">
        <v>1</v>
      </c>
      <c r="H30" s="148" t="s">
        <v>614</v>
      </c>
    </row>
    <row r="31" spans="1:8" ht="18" x14ac:dyDescent="0.3">
      <c r="A31" s="96">
        <v>45991</v>
      </c>
      <c r="B31" s="86" t="s">
        <v>249</v>
      </c>
      <c r="C31" s="87" t="s">
        <v>617</v>
      </c>
      <c r="D31" s="86" t="s">
        <v>539</v>
      </c>
      <c r="E31" s="88">
        <v>1.399305555555556</v>
      </c>
      <c r="F31" s="86" t="s">
        <v>191</v>
      </c>
      <c r="G31" s="89">
        <v>6</v>
      </c>
      <c r="H31" s="86" t="s">
        <v>618</v>
      </c>
    </row>
    <row r="32" spans="1:8" ht="18" x14ac:dyDescent="0.3">
      <c r="A32" s="96">
        <v>45991</v>
      </c>
      <c r="B32" s="86" t="s">
        <v>25</v>
      </c>
      <c r="C32" s="87" t="s">
        <v>602</v>
      </c>
      <c r="D32" s="86" t="s">
        <v>539</v>
      </c>
      <c r="E32" s="88">
        <v>1.6284722222222221</v>
      </c>
      <c r="F32" s="86" t="s">
        <v>27</v>
      </c>
      <c r="G32" s="89">
        <v>11</v>
      </c>
      <c r="H32" s="86" t="s">
        <v>224</v>
      </c>
    </row>
    <row r="33" spans="1:8" ht="18" x14ac:dyDescent="0.3">
      <c r="A33" s="97">
        <v>45991</v>
      </c>
      <c r="B33" s="98" t="s">
        <v>25</v>
      </c>
      <c r="C33" s="99" t="s">
        <v>607</v>
      </c>
      <c r="D33" s="98" t="s">
        <v>539</v>
      </c>
      <c r="E33" s="100">
        <v>1.8888888888888891</v>
      </c>
      <c r="F33" s="98" t="s">
        <v>27</v>
      </c>
      <c r="G33" s="101">
        <v>7</v>
      </c>
      <c r="H33" s="98" t="s">
        <v>224</v>
      </c>
    </row>
    <row r="34" spans="1:8" ht="18" x14ac:dyDescent="0.3">
      <c r="A34" s="97">
        <v>45991</v>
      </c>
      <c r="B34" s="98" t="s">
        <v>25</v>
      </c>
      <c r="C34" s="99" t="s">
        <v>610</v>
      </c>
      <c r="D34" s="98" t="s">
        <v>539</v>
      </c>
      <c r="E34" s="100">
        <v>1.944444444444444</v>
      </c>
      <c r="F34" s="98" t="s">
        <v>27</v>
      </c>
      <c r="G34" s="101">
        <v>5</v>
      </c>
      <c r="H34" s="98" t="s">
        <v>224</v>
      </c>
    </row>
    <row r="35" spans="1:8" ht="18" x14ac:dyDescent="0.3">
      <c r="A35" s="96">
        <v>45991</v>
      </c>
      <c r="B35" s="86" t="s">
        <v>70</v>
      </c>
      <c r="C35" s="87" t="s">
        <v>560</v>
      </c>
      <c r="D35" s="86" t="s">
        <v>539</v>
      </c>
      <c r="E35" s="88">
        <v>1.9826388888888891</v>
      </c>
      <c r="F35" s="86" t="s">
        <v>72</v>
      </c>
      <c r="G35" s="89">
        <v>9</v>
      </c>
      <c r="H35" s="86" t="s">
        <v>622</v>
      </c>
    </row>
    <row r="36" spans="1:8" ht="18" x14ac:dyDescent="0.3">
      <c r="A36" s="96">
        <v>45991</v>
      </c>
      <c r="B36" s="86" t="s">
        <v>246</v>
      </c>
      <c r="C36" s="87" t="s">
        <v>540</v>
      </c>
      <c r="D36" s="86" t="s">
        <v>539</v>
      </c>
      <c r="E36" s="88">
        <v>1.1736111111111109</v>
      </c>
      <c r="F36" s="86" t="s">
        <v>191</v>
      </c>
      <c r="G36" s="89">
        <v>9</v>
      </c>
      <c r="H36" s="86" t="s">
        <v>625</v>
      </c>
    </row>
    <row r="37" spans="1:8" ht="18" x14ac:dyDescent="0.3">
      <c r="A37" s="97">
        <v>45991</v>
      </c>
      <c r="B37" s="98" t="s">
        <v>246</v>
      </c>
      <c r="C37" s="99" t="s">
        <v>626</v>
      </c>
      <c r="D37" s="98" t="s">
        <v>539</v>
      </c>
      <c r="E37" s="100">
        <v>1.131944444444444</v>
      </c>
      <c r="F37" s="98" t="s">
        <v>191</v>
      </c>
      <c r="G37" s="101">
        <v>9</v>
      </c>
      <c r="H37" s="98" t="s">
        <v>625</v>
      </c>
    </row>
    <row r="38" spans="1:8" ht="18" x14ac:dyDescent="0.3">
      <c r="A38" s="96">
        <v>45991</v>
      </c>
      <c r="B38" s="86" t="s">
        <v>35</v>
      </c>
      <c r="C38" s="87" t="s">
        <v>582</v>
      </c>
      <c r="D38" s="86" t="s">
        <v>539</v>
      </c>
      <c r="E38" s="88">
        <v>1.4375</v>
      </c>
      <c r="F38" s="86" t="s">
        <v>37</v>
      </c>
      <c r="G38" s="89">
        <v>4</v>
      </c>
      <c r="H38" s="86" t="s">
        <v>231</v>
      </c>
    </row>
    <row r="39" spans="1:8" ht="18" x14ac:dyDescent="0.3">
      <c r="A39" s="106">
        <v>45991</v>
      </c>
      <c r="B39" s="107" t="s">
        <v>35</v>
      </c>
      <c r="C39" s="108" t="s">
        <v>593</v>
      </c>
      <c r="D39" s="107" t="s">
        <v>539</v>
      </c>
      <c r="E39" s="109">
        <v>1.958333333333333</v>
      </c>
      <c r="F39" s="107" t="s">
        <v>37</v>
      </c>
      <c r="G39" s="110">
        <v>6</v>
      </c>
      <c r="H39" s="107" t="s">
        <v>231</v>
      </c>
    </row>
  </sheetData>
  <dataValidations count="2">
    <dataValidation type="custom" allowBlank="1" showInputMessage="1" promptTitle="LOAD FACTOR ANALYSIS" prompt="SM-461_x000d__x000a_LF -_x000d__x000a_SOLD -_x000d__x000a_LST-SOLD -_x000d__x000a_WEEKLY -_x000d__x000a_TO-DAY -_x000d__x000a_Y-DAY -_x000d__x000a_LOWEST AVAIL -_x000d__x000a_CAPACITY -_x000d__x000a_CLASSES -" sqref="A5 A22 A30 B5 B22 B30 C5 C22 C30 D5 D22 D30 E5 E22 E30 F5 F22 F30 G5 G22 G30 H5 H22 H30" xr:uid="{00000000-0002-0000-2400-000000000000}">
      <formula1>TRUE</formula1>
    </dataValidation>
    <dataValidation type="custom" allowBlank="1" showInputMessage="1" promptTitle="LOAD FACTOR ANALYSIS" prompt="SM-463_x000d__x000a_LF 65.9%_x000d__x000a_SOLD 118_x000d__x000a_LST-SOLD 25NOV_x000d__x000a_WEEKLY 28_x000d__x000a_TO-DAY NIL_x000d__x000a_Y-DAY 4_x000d__x000a_LOWEST AVAIL Q8_x000d__x000a_CAPACITY 179_x000d__x000a_CLASSES H1 &amp; Q30 &amp; K19 &amp; +9 more" sqref="A27 B27 C27 D27 E27 F27 G27 H27" xr:uid="{00000000-0002-0000-24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N6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86.3320312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696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45987.359191293748</v>
      </c>
      <c r="H2" s="279"/>
      <c r="I2" s="279"/>
      <c r="J2" s="279"/>
      <c r="K2" s="288">
        <v>45987.359191294323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2" t="s">
        <v>5</v>
      </c>
      <c r="B4" s="283"/>
      <c r="C4" s="283"/>
      <c r="D4" s="283"/>
      <c r="E4" s="283"/>
      <c r="F4" s="283"/>
      <c r="G4" s="5">
        <v>45988</v>
      </c>
      <c r="H4" s="294" t="s">
        <v>6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246</v>
      </c>
      <c r="B6" s="8" t="s">
        <v>697</v>
      </c>
      <c r="C6" s="9">
        <v>0.75694444444444453</v>
      </c>
      <c r="D6" s="8" t="s">
        <v>191</v>
      </c>
      <c r="E6" s="8" t="s">
        <v>52</v>
      </c>
      <c r="F6" s="8" t="s">
        <v>698</v>
      </c>
      <c r="G6" s="275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5" customHeight="1" x14ac:dyDescent="0.3">
      <c r="A7" s="19" t="s">
        <v>246</v>
      </c>
      <c r="B7" s="19" t="s">
        <v>699</v>
      </c>
      <c r="C7" s="20">
        <v>0.3611111111111111</v>
      </c>
      <c r="D7" s="19" t="s">
        <v>191</v>
      </c>
      <c r="E7" s="19" t="s">
        <v>76</v>
      </c>
      <c r="F7" s="19" t="s">
        <v>700</v>
      </c>
      <c r="G7" s="276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5" customHeight="1" x14ac:dyDescent="0.3">
      <c r="A8" s="17" t="s">
        <v>249</v>
      </c>
      <c r="B8" s="17" t="s">
        <v>701</v>
      </c>
      <c r="C8" s="18">
        <v>0.68055555555555547</v>
      </c>
      <c r="D8" s="17" t="s">
        <v>191</v>
      </c>
      <c r="E8" s="17" t="s">
        <v>52</v>
      </c>
      <c r="F8" s="17" t="s">
        <v>702</v>
      </c>
      <c r="G8" s="276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5" customHeight="1" x14ac:dyDescent="0.3">
      <c r="A9" s="19" t="s">
        <v>249</v>
      </c>
      <c r="B9" s="19" t="s">
        <v>703</v>
      </c>
      <c r="C9" s="20">
        <v>0.96527777777777779</v>
      </c>
      <c r="D9" s="19" t="s">
        <v>191</v>
      </c>
      <c r="E9" s="19" t="s">
        <v>268</v>
      </c>
      <c r="F9" s="19" t="s">
        <v>704</v>
      </c>
      <c r="G9" s="276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5" customHeight="1" x14ac:dyDescent="0.3">
      <c r="A10" s="19" t="s">
        <v>249</v>
      </c>
      <c r="B10" s="19" t="s">
        <v>705</v>
      </c>
      <c r="C10" s="20">
        <v>7.6388888888888895E-2</v>
      </c>
      <c r="D10" s="19" t="s">
        <v>191</v>
      </c>
      <c r="E10" s="19" t="s">
        <v>89</v>
      </c>
      <c r="F10" s="19" t="s">
        <v>704</v>
      </c>
      <c r="G10" s="276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5" customHeight="1" x14ac:dyDescent="0.3">
      <c r="A11" s="17" t="s">
        <v>35</v>
      </c>
      <c r="B11" s="17" t="s">
        <v>706</v>
      </c>
      <c r="C11" s="18">
        <v>0.33680555555555558</v>
      </c>
      <c r="D11" s="17" t="s">
        <v>37</v>
      </c>
      <c r="E11" s="17" t="s">
        <v>52</v>
      </c>
      <c r="F11" s="17" t="s">
        <v>707</v>
      </c>
      <c r="G11" s="276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5" customHeight="1" x14ac:dyDescent="0.3">
      <c r="A12" s="15" t="s">
        <v>35</v>
      </c>
      <c r="B12" s="15" t="s">
        <v>706</v>
      </c>
      <c r="C12" s="16">
        <v>0.33680555555555558</v>
      </c>
      <c r="D12" s="15" t="s">
        <v>40</v>
      </c>
      <c r="E12" s="15" t="s">
        <v>78</v>
      </c>
      <c r="F12" s="15" t="s">
        <v>708</v>
      </c>
      <c r="G12" s="276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5" customHeight="1" x14ac:dyDescent="0.3">
      <c r="A13" s="15" t="s">
        <v>35</v>
      </c>
      <c r="B13" s="15" t="s">
        <v>706</v>
      </c>
      <c r="C13" s="16">
        <v>0.33680555555555558</v>
      </c>
      <c r="D13" s="15" t="s">
        <v>43</v>
      </c>
      <c r="E13" s="15" t="s">
        <v>78</v>
      </c>
      <c r="F13" s="15" t="s">
        <v>79</v>
      </c>
      <c r="G13" s="276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5" customHeight="1" x14ac:dyDescent="0.3">
      <c r="A14" s="19" t="s">
        <v>35</v>
      </c>
      <c r="B14" s="19" t="s">
        <v>709</v>
      </c>
      <c r="C14" s="20">
        <v>0.97222222222222221</v>
      </c>
      <c r="D14" s="19" t="s">
        <v>37</v>
      </c>
      <c r="E14" s="19" t="s">
        <v>240</v>
      </c>
      <c r="F14" s="19" t="s">
        <v>233</v>
      </c>
      <c r="G14" s="276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5" customHeight="1" x14ac:dyDescent="0.3">
      <c r="A15" s="15" t="s">
        <v>35</v>
      </c>
      <c r="B15" s="15" t="s">
        <v>709</v>
      </c>
      <c r="C15" s="16">
        <v>0.97222222222222221</v>
      </c>
      <c r="D15" s="15" t="s">
        <v>40</v>
      </c>
      <c r="E15" s="15" t="s">
        <v>41</v>
      </c>
      <c r="F15" s="15" t="s">
        <v>69</v>
      </c>
      <c r="G15" s="276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15" customHeight="1" x14ac:dyDescent="0.3">
      <c r="A16" s="15" t="s">
        <v>35</v>
      </c>
      <c r="B16" s="15" t="s">
        <v>709</v>
      </c>
      <c r="C16" s="16">
        <v>0.97222222222222221</v>
      </c>
      <c r="D16" s="15" t="s">
        <v>43</v>
      </c>
      <c r="E16" s="15" t="s">
        <v>41</v>
      </c>
      <c r="F16" s="15" t="s">
        <v>710</v>
      </c>
      <c r="G16" s="276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5" customHeight="1" x14ac:dyDescent="0.3">
      <c r="A17" s="17" t="s">
        <v>25</v>
      </c>
      <c r="B17" s="17" t="s">
        <v>711</v>
      </c>
      <c r="C17" s="18">
        <v>0.44791666666666669</v>
      </c>
      <c r="D17" s="17" t="s">
        <v>27</v>
      </c>
      <c r="E17" s="17" t="s">
        <v>52</v>
      </c>
      <c r="F17" s="17" t="s">
        <v>224</v>
      </c>
      <c r="G17" s="276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5" customHeight="1" x14ac:dyDescent="0.3">
      <c r="A18" s="15" t="s">
        <v>25</v>
      </c>
      <c r="B18" s="15" t="s">
        <v>711</v>
      </c>
      <c r="C18" s="16">
        <v>0.44791666666666669</v>
      </c>
      <c r="D18" s="15" t="s">
        <v>30</v>
      </c>
      <c r="E18" s="15" t="s">
        <v>78</v>
      </c>
      <c r="F18" s="15" t="s">
        <v>88</v>
      </c>
      <c r="G18" s="276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5" customHeight="1" x14ac:dyDescent="0.3">
      <c r="A19" s="15" t="s">
        <v>25</v>
      </c>
      <c r="B19" s="15" t="s">
        <v>711</v>
      </c>
      <c r="C19" s="16">
        <v>0.44791666666666669</v>
      </c>
      <c r="D19" s="15" t="s">
        <v>33</v>
      </c>
      <c r="E19" s="15" t="s">
        <v>78</v>
      </c>
      <c r="F19" s="15" t="s">
        <v>595</v>
      </c>
      <c r="G19" s="276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15" customHeight="1" x14ac:dyDescent="0.3">
      <c r="A20" s="156" t="s">
        <v>59</v>
      </c>
      <c r="B20" s="156" t="s">
        <v>712</v>
      </c>
      <c r="C20" s="157">
        <v>0.72222222222222221</v>
      </c>
      <c r="D20" s="156" t="s">
        <v>191</v>
      </c>
      <c r="E20" s="156" t="s">
        <v>28</v>
      </c>
      <c r="F20" s="156" t="s">
        <v>713</v>
      </c>
      <c r="G20" s="276"/>
      <c r="H20" s="158" t="s">
        <v>714</v>
      </c>
      <c r="I20" s="159">
        <v>0.93889999999999996</v>
      </c>
      <c r="J20" s="160">
        <v>169</v>
      </c>
      <c r="K20" s="161">
        <v>45986</v>
      </c>
      <c r="L20" s="160">
        <v>43</v>
      </c>
      <c r="M20" s="160">
        <v>0</v>
      </c>
      <c r="N20" s="160">
        <v>2</v>
      </c>
      <c r="O20" s="162" t="s">
        <v>715</v>
      </c>
      <c r="P20" s="163">
        <v>0.72222222222222221</v>
      </c>
      <c r="Q20" s="160">
        <v>180</v>
      </c>
      <c r="R20" s="164" t="s">
        <v>716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15" customHeight="1" x14ac:dyDescent="0.3">
      <c r="A21" s="17" t="s">
        <v>70</v>
      </c>
      <c r="B21" s="17" t="s">
        <v>717</v>
      </c>
      <c r="C21" s="18">
        <v>0.33680555555555558</v>
      </c>
      <c r="D21" s="17" t="s">
        <v>72</v>
      </c>
      <c r="E21" s="17" t="s">
        <v>84</v>
      </c>
      <c r="F21" s="17" t="s">
        <v>718</v>
      </c>
      <c r="G21" s="276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  <row r="22" spans="1:92" ht="15" customHeight="1" x14ac:dyDescent="0.3">
      <c r="A22" s="19" t="s">
        <v>70</v>
      </c>
      <c r="B22" s="19" t="s">
        <v>719</v>
      </c>
      <c r="C22" s="20">
        <v>0.69444444444444453</v>
      </c>
      <c r="D22" s="19" t="s">
        <v>72</v>
      </c>
      <c r="E22" s="19" t="s">
        <v>289</v>
      </c>
      <c r="F22" s="19" t="s">
        <v>720</v>
      </c>
      <c r="G22" s="276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</row>
    <row r="23" spans="1:92" ht="15" customHeight="1" x14ac:dyDescent="0.3">
      <c r="A23" s="19" t="s">
        <v>70</v>
      </c>
      <c r="B23" s="19" t="s">
        <v>721</v>
      </c>
      <c r="C23" s="20">
        <v>0.97916666666666663</v>
      </c>
      <c r="D23" s="19" t="s">
        <v>72</v>
      </c>
      <c r="E23" s="19" t="s">
        <v>55</v>
      </c>
      <c r="F23" s="19" t="s">
        <v>722</v>
      </c>
      <c r="G23" s="276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</row>
    <row r="24" spans="1:92" ht="15" customHeight="1" x14ac:dyDescent="0.3">
      <c r="A24" s="252" t="s">
        <v>49</v>
      </c>
      <c r="B24" s="252" t="s">
        <v>723</v>
      </c>
      <c r="C24" s="253">
        <v>0.44791666666666669</v>
      </c>
      <c r="D24" s="252" t="s">
        <v>51</v>
      </c>
      <c r="E24" s="252" t="s">
        <v>84</v>
      </c>
      <c r="F24" s="252" t="s">
        <v>630</v>
      </c>
      <c r="G24" s="277"/>
      <c r="H24" s="39"/>
      <c r="I24" s="40"/>
      <c r="J24" s="40"/>
      <c r="K24" s="40"/>
      <c r="L24" s="40"/>
      <c r="M24" s="40"/>
      <c r="N24" s="40"/>
      <c r="O24" s="41"/>
      <c r="P24" s="40"/>
      <c r="Q24" s="42"/>
      <c r="R24" s="4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</row>
    <row r="25" spans="1:92" ht="14.4" customHeight="1" x14ac:dyDescent="0.3">
      <c r="A25" s="272"/>
      <c r="B25" s="273"/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3"/>
      <c r="Q25" s="273"/>
      <c r="R25" s="27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</row>
    <row r="26" spans="1:92" ht="22.05" customHeight="1" x14ac:dyDescent="0.3">
      <c r="A26" s="280" t="s">
        <v>5</v>
      </c>
      <c r="B26" s="281"/>
      <c r="C26" s="281"/>
      <c r="D26" s="281"/>
      <c r="E26" s="281"/>
      <c r="F26" s="281"/>
      <c r="G26" s="5">
        <v>45989</v>
      </c>
      <c r="H26" s="290" t="s">
        <v>6</v>
      </c>
      <c r="I26" s="291"/>
      <c r="J26" s="291"/>
      <c r="K26" s="291"/>
      <c r="L26" s="291"/>
      <c r="M26" s="291"/>
      <c r="N26" s="291"/>
      <c r="O26" s="291"/>
      <c r="P26" s="291"/>
      <c r="Q26" s="291"/>
      <c r="R26" s="291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</row>
    <row r="27" spans="1:92" ht="24" customHeight="1" x14ac:dyDescent="0.3">
      <c r="A27" s="31" t="s">
        <v>7</v>
      </c>
      <c r="B27" s="31" t="s">
        <v>8</v>
      </c>
      <c r="C27" s="32" t="s">
        <v>9</v>
      </c>
      <c r="D27" s="31" t="s">
        <v>10</v>
      </c>
      <c r="E27" s="31" t="s">
        <v>11</v>
      </c>
      <c r="F27" s="31" t="s">
        <v>12</v>
      </c>
      <c r="G27" s="33" t="s">
        <v>13</v>
      </c>
      <c r="H27" s="31" t="s">
        <v>14</v>
      </c>
      <c r="I27" s="34" t="s">
        <v>15</v>
      </c>
      <c r="J27" s="35" t="s">
        <v>16</v>
      </c>
      <c r="K27" s="36" t="s">
        <v>17</v>
      </c>
      <c r="L27" s="35" t="s">
        <v>18</v>
      </c>
      <c r="M27" s="35" t="s">
        <v>19</v>
      </c>
      <c r="N27" s="35" t="s">
        <v>20</v>
      </c>
      <c r="O27" s="31" t="s">
        <v>21</v>
      </c>
      <c r="P27" s="32" t="s">
        <v>22</v>
      </c>
      <c r="Q27" s="35" t="s">
        <v>23</v>
      </c>
      <c r="R27" s="31" t="s">
        <v>24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</row>
    <row r="28" spans="1:92" ht="49.95" customHeight="1" x14ac:dyDescent="0.3">
      <c r="A28" s="205" t="s">
        <v>59</v>
      </c>
      <c r="B28" s="205" t="s">
        <v>714</v>
      </c>
      <c r="C28" s="206">
        <v>0.38194444444444442</v>
      </c>
      <c r="D28" s="205" t="s">
        <v>61</v>
      </c>
      <c r="E28" s="207"/>
      <c r="F28" s="205" t="s">
        <v>563</v>
      </c>
      <c r="G28" s="302"/>
      <c r="H28" s="24" t="s">
        <v>714</v>
      </c>
      <c r="I28" s="250">
        <v>0.81669999999999998</v>
      </c>
      <c r="J28" s="26">
        <v>147</v>
      </c>
      <c r="K28" s="27">
        <v>45986</v>
      </c>
      <c r="L28" s="26">
        <v>18</v>
      </c>
      <c r="M28" s="26">
        <v>0</v>
      </c>
      <c r="N28" s="26">
        <v>1</v>
      </c>
      <c r="O28" s="28" t="s">
        <v>691</v>
      </c>
      <c r="P28" s="29">
        <v>0.38194444444444442</v>
      </c>
      <c r="Q28" s="26">
        <v>180</v>
      </c>
      <c r="R28" s="30" t="s">
        <v>724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</row>
    <row r="29" spans="1:92" ht="14.4" customHeight="1" x14ac:dyDescent="0.3">
      <c r="A29" s="272"/>
      <c r="B29" s="273"/>
      <c r="C29" s="273"/>
      <c r="D29" s="273"/>
      <c r="E29" s="273"/>
      <c r="F29" s="273"/>
      <c r="G29" s="273"/>
      <c r="H29" s="273"/>
      <c r="I29" s="273"/>
      <c r="J29" s="273"/>
      <c r="K29" s="273"/>
      <c r="L29" s="273"/>
      <c r="M29" s="273"/>
      <c r="N29" s="273"/>
      <c r="O29" s="273"/>
      <c r="P29" s="273"/>
      <c r="Q29" s="273"/>
      <c r="R29" s="274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</row>
    <row r="30" spans="1:92" ht="22.05" customHeight="1" x14ac:dyDescent="0.3">
      <c r="A30" s="280" t="s">
        <v>5</v>
      </c>
      <c r="B30" s="281"/>
      <c r="C30" s="281"/>
      <c r="D30" s="281"/>
      <c r="E30" s="281"/>
      <c r="F30" s="281"/>
      <c r="G30" s="5">
        <v>45990</v>
      </c>
      <c r="H30" s="290" t="s">
        <v>6</v>
      </c>
      <c r="I30" s="291"/>
      <c r="J30" s="291"/>
      <c r="K30" s="291"/>
      <c r="L30" s="291"/>
      <c r="M30" s="291"/>
      <c r="N30" s="291"/>
      <c r="O30" s="291"/>
      <c r="P30" s="291"/>
      <c r="Q30" s="291"/>
      <c r="R30" s="291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</row>
    <row r="31" spans="1:92" ht="24" customHeight="1" x14ac:dyDescent="0.3">
      <c r="A31" s="31" t="s">
        <v>7</v>
      </c>
      <c r="B31" s="31" t="s">
        <v>8</v>
      </c>
      <c r="C31" s="32" t="s">
        <v>9</v>
      </c>
      <c r="D31" s="31" t="s">
        <v>10</v>
      </c>
      <c r="E31" s="31" t="s">
        <v>11</v>
      </c>
      <c r="F31" s="31" t="s">
        <v>12</v>
      </c>
      <c r="G31" s="33" t="s">
        <v>13</v>
      </c>
      <c r="H31" s="31" t="s">
        <v>14</v>
      </c>
      <c r="I31" s="34" t="s">
        <v>15</v>
      </c>
      <c r="J31" s="35" t="s">
        <v>16</v>
      </c>
      <c r="K31" s="36" t="s">
        <v>17</v>
      </c>
      <c r="L31" s="35" t="s">
        <v>18</v>
      </c>
      <c r="M31" s="35" t="s">
        <v>19</v>
      </c>
      <c r="N31" s="35" t="s">
        <v>20</v>
      </c>
      <c r="O31" s="31" t="s">
        <v>21</v>
      </c>
      <c r="P31" s="32" t="s">
        <v>22</v>
      </c>
      <c r="Q31" s="35" t="s">
        <v>23</v>
      </c>
      <c r="R31" s="31" t="s">
        <v>24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</row>
    <row r="32" spans="1:92" ht="15" customHeight="1" x14ac:dyDescent="0.3">
      <c r="A32" s="8" t="s">
        <v>246</v>
      </c>
      <c r="B32" s="8" t="s">
        <v>725</v>
      </c>
      <c r="C32" s="9">
        <v>0.96180555555555547</v>
      </c>
      <c r="D32" s="8" t="s">
        <v>191</v>
      </c>
      <c r="E32" s="8" t="s">
        <v>73</v>
      </c>
      <c r="F32" s="8" t="s">
        <v>726</v>
      </c>
      <c r="G32" s="275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</row>
    <row r="33" spans="1:92" ht="15" customHeight="1" x14ac:dyDescent="0.3">
      <c r="A33" s="19" t="s">
        <v>246</v>
      </c>
      <c r="B33" s="19" t="s">
        <v>697</v>
      </c>
      <c r="C33" s="20">
        <v>0.69444444444444453</v>
      </c>
      <c r="D33" s="19" t="s">
        <v>191</v>
      </c>
      <c r="E33" s="19" t="s">
        <v>89</v>
      </c>
      <c r="F33" s="19" t="s">
        <v>727</v>
      </c>
      <c r="G33" s="276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</row>
    <row r="34" spans="1:92" ht="15" customHeight="1" x14ac:dyDescent="0.3">
      <c r="A34" s="17" t="s">
        <v>25</v>
      </c>
      <c r="B34" s="17" t="s">
        <v>711</v>
      </c>
      <c r="C34" s="18">
        <v>0.44791666666666669</v>
      </c>
      <c r="D34" s="17" t="s">
        <v>27</v>
      </c>
      <c r="E34" s="17" t="s">
        <v>159</v>
      </c>
      <c r="F34" s="17" t="s">
        <v>728</v>
      </c>
      <c r="G34" s="276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</row>
    <row r="35" spans="1:92" ht="15" customHeight="1" x14ac:dyDescent="0.3">
      <c r="A35" s="15" t="s">
        <v>25</v>
      </c>
      <c r="B35" s="15" t="s">
        <v>711</v>
      </c>
      <c r="C35" s="16">
        <v>0.44791666666666669</v>
      </c>
      <c r="D35" s="15" t="s">
        <v>30</v>
      </c>
      <c r="E35" s="15" t="s">
        <v>227</v>
      </c>
      <c r="F35" s="15" t="s">
        <v>729</v>
      </c>
      <c r="G35" s="276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</row>
    <row r="36" spans="1:92" ht="15" customHeight="1" x14ac:dyDescent="0.3">
      <c r="A36" s="15" t="s">
        <v>25</v>
      </c>
      <c r="B36" s="15" t="s">
        <v>711</v>
      </c>
      <c r="C36" s="16">
        <v>0.44791666666666669</v>
      </c>
      <c r="D36" s="15" t="s">
        <v>33</v>
      </c>
      <c r="E36" s="15" t="s">
        <v>227</v>
      </c>
      <c r="F36" s="15" t="s">
        <v>730</v>
      </c>
      <c r="G36" s="276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</row>
    <row r="37" spans="1:92" ht="15" customHeight="1" x14ac:dyDescent="0.3">
      <c r="A37" s="17" t="s">
        <v>35</v>
      </c>
      <c r="B37" s="17" t="s">
        <v>706</v>
      </c>
      <c r="C37" s="18">
        <v>0.33680555555555558</v>
      </c>
      <c r="D37" s="17" t="s">
        <v>37</v>
      </c>
      <c r="E37" s="17" t="s">
        <v>159</v>
      </c>
      <c r="F37" s="17" t="s">
        <v>80</v>
      </c>
      <c r="G37" s="276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</row>
    <row r="38" spans="1:92" ht="15" customHeight="1" x14ac:dyDescent="0.3">
      <c r="A38" s="15" t="s">
        <v>35</v>
      </c>
      <c r="B38" s="15" t="s">
        <v>706</v>
      </c>
      <c r="C38" s="16">
        <v>0.33680555555555558</v>
      </c>
      <c r="D38" s="15" t="s">
        <v>40</v>
      </c>
      <c r="E38" s="15" t="s">
        <v>227</v>
      </c>
      <c r="F38" s="15" t="s">
        <v>295</v>
      </c>
      <c r="G38" s="276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</row>
    <row r="39" spans="1:92" ht="15" customHeight="1" x14ac:dyDescent="0.3">
      <c r="A39" s="15" t="s">
        <v>35</v>
      </c>
      <c r="B39" s="15" t="s">
        <v>706</v>
      </c>
      <c r="C39" s="16">
        <v>0.33680555555555558</v>
      </c>
      <c r="D39" s="15" t="s">
        <v>43</v>
      </c>
      <c r="E39" s="15" t="s">
        <v>227</v>
      </c>
      <c r="F39" s="15" t="s">
        <v>296</v>
      </c>
      <c r="G39" s="276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</row>
    <row r="40" spans="1:92" ht="15" customHeight="1" x14ac:dyDescent="0.3">
      <c r="A40" s="19" t="s">
        <v>35</v>
      </c>
      <c r="B40" s="19" t="s">
        <v>709</v>
      </c>
      <c r="C40" s="20">
        <v>0.97222222222222221</v>
      </c>
      <c r="D40" s="19" t="s">
        <v>37</v>
      </c>
      <c r="E40" s="19" t="s">
        <v>289</v>
      </c>
      <c r="F40" s="19" t="s">
        <v>80</v>
      </c>
      <c r="G40" s="276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</row>
    <row r="41" spans="1:92" ht="15" customHeight="1" x14ac:dyDescent="0.3">
      <c r="A41" s="15" t="s">
        <v>35</v>
      </c>
      <c r="B41" s="15" t="s">
        <v>709</v>
      </c>
      <c r="C41" s="16">
        <v>0.97222222222222221</v>
      </c>
      <c r="D41" s="15" t="s">
        <v>40</v>
      </c>
      <c r="E41" s="15" t="s">
        <v>291</v>
      </c>
      <c r="F41" s="15" t="s">
        <v>295</v>
      </c>
      <c r="G41" s="276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</row>
    <row r="42" spans="1:92" ht="15" customHeight="1" x14ac:dyDescent="0.3">
      <c r="A42" s="15" t="s">
        <v>35</v>
      </c>
      <c r="B42" s="15" t="s">
        <v>709</v>
      </c>
      <c r="C42" s="16">
        <v>0.97222222222222221</v>
      </c>
      <c r="D42" s="15" t="s">
        <v>43</v>
      </c>
      <c r="E42" s="15" t="s">
        <v>291</v>
      </c>
      <c r="F42" s="15" t="s">
        <v>296</v>
      </c>
      <c r="G42" s="276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</row>
    <row r="43" spans="1:92" ht="15" customHeight="1" x14ac:dyDescent="0.3">
      <c r="A43" s="223" t="s">
        <v>59</v>
      </c>
      <c r="B43" s="223" t="s">
        <v>712</v>
      </c>
      <c r="C43" s="224">
        <v>0.72222222222222221</v>
      </c>
      <c r="D43" s="223" t="s">
        <v>191</v>
      </c>
      <c r="E43" s="223" t="s">
        <v>455</v>
      </c>
      <c r="F43" s="223" t="s">
        <v>731</v>
      </c>
      <c r="G43" s="276"/>
      <c r="H43" s="177" t="s">
        <v>714</v>
      </c>
      <c r="I43" s="251">
        <v>0.75</v>
      </c>
      <c r="J43" s="179">
        <v>135</v>
      </c>
      <c r="K43" s="180">
        <v>45986</v>
      </c>
      <c r="L43" s="179">
        <v>14</v>
      </c>
      <c r="M43" s="179">
        <v>0</v>
      </c>
      <c r="N43" s="179">
        <v>3</v>
      </c>
      <c r="O43" s="181" t="s">
        <v>732</v>
      </c>
      <c r="P43" s="182">
        <v>0.72222222222222221</v>
      </c>
      <c r="Q43" s="179">
        <v>180</v>
      </c>
      <c r="R43" s="183" t="s">
        <v>733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</row>
    <row r="44" spans="1:92" ht="15" customHeight="1" x14ac:dyDescent="0.3">
      <c r="A44" s="17" t="s">
        <v>283</v>
      </c>
      <c r="B44" s="17" t="s">
        <v>734</v>
      </c>
      <c r="C44" s="18">
        <v>0.74652777777777779</v>
      </c>
      <c r="D44" s="17" t="s">
        <v>285</v>
      </c>
      <c r="E44" s="17" t="s">
        <v>38</v>
      </c>
      <c r="F44" s="17" t="s">
        <v>735</v>
      </c>
      <c r="G44" s="276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</row>
    <row r="45" spans="1:92" ht="15" customHeight="1" x14ac:dyDescent="0.3">
      <c r="A45" s="15" t="s">
        <v>283</v>
      </c>
      <c r="B45" s="15" t="s">
        <v>734</v>
      </c>
      <c r="C45" s="16">
        <v>0.74652777777777779</v>
      </c>
      <c r="D45" s="15" t="s">
        <v>33</v>
      </c>
      <c r="E45" s="15" t="s">
        <v>41</v>
      </c>
      <c r="F45" s="15" t="s">
        <v>736</v>
      </c>
      <c r="G45" s="276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</row>
    <row r="46" spans="1:92" ht="15" customHeight="1" x14ac:dyDescent="0.3">
      <c r="A46" s="17" t="s">
        <v>49</v>
      </c>
      <c r="B46" s="17" t="s">
        <v>723</v>
      </c>
      <c r="C46" s="18">
        <v>0.44791666666666669</v>
      </c>
      <c r="D46" s="17" t="s">
        <v>51</v>
      </c>
      <c r="E46" s="17" t="s">
        <v>84</v>
      </c>
      <c r="F46" s="17" t="s">
        <v>737</v>
      </c>
      <c r="G46" s="276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</row>
    <row r="47" spans="1:92" ht="15" customHeight="1" x14ac:dyDescent="0.3">
      <c r="A47" s="252" t="s">
        <v>70</v>
      </c>
      <c r="B47" s="252" t="s">
        <v>719</v>
      </c>
      <c r="C47" s="253">
        <v>0.67361111111111116</v>
      </c>
      <c r="D47" s="252" t="s">
        <v>72</v>
      </c>
      <c r="E47" s="252" t="s">
        <v>28</v>
      </c>
      <c r="F47" s="252" t="s">
        <v>722</v>
      </c>
      <c r="G47" s="277"/>
      <c r="H47" s="39"/>
      <c r="I47" s="40"/>
      <c r="J47" s="40"/>
      <c r="K47" s="40"/>
      <c r="L47" s="40"/>
      <c r="M47" s="40"/>
      <c r="N47" s="40"/>
      <c r="O47" s="41"/>
      <c r="P47" s="40"/>
      <c r="Q47" s="42"/>
      <c r="R47" s="4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</row>
    <row r="48" spans="1:92" ht="14.4" customHeight="1" x14ac:dyDescent="0.3">
      <c r="A48" s="272"/>
      <c r="B48" s="273"/>
      <c r="C48" s="273"/>
      <c r="D48" s="273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/>
      <c r="R48" s="274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</row>
    <row r="49" spans="1:92" ht="22.05" customHeight="1" x14ac:dyDescent="0.3">
      <c r="A49" s="280" t="s">
        <v>5</v>
      </c>
      <c r="B49" s="281"/>
      <c r="C49" s="281"/>
      <c r="D49" s="281"/>
      <c r="E49" s="281"/>
      <c r="F49" s="281"/>
      <c r="G49" s="5">
        <v>45991</v>
      </c>
      <c r="H49" s="290" t="s">
        <v>6</v>
      </c>
      <c r="I49" s="291"/>
      <c r="J49" s="291"/>
      <c r="K49" s="291"/>
      <c r="L49" s="291"/>
      <c r="M49" s="291"/>
      <c r="N49" s="291"/>
      <c r="O49" s="291"/>
      <c r="P49" s="291"/>
      <c r="Q49" s="291"/>
      <c r="R49" s="291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</row>
    <row r="50" spans="1:92" ht="24" customHeight="1" x14ac:dyDescent="0.3">
      <c r="A50" s="31" t="s">
        <v>7</v>
      </c>
      <c r="B50" s="31" t="s">
        <v>8</v>
      </c>
      <c r="C50" s="32" t="s">
        <v>9</v>
      </c>
      <c r="D50" s="31" t="s">
        <v>10</v>
      </c>
      <c r="E50" s="31" t="s">
        <v>11</v>
      </c>
      <c r="F50" s="31" t="s">
        <v>12</v>
      </c>
      <c r="G50" s="33" t="s">
        <v>13</v>
      </c>
      <c r="H50" s="31" t="s">
        <v>14</v>
      </c>
      <c r="I50" s="34" t="s">
        <v>15</v>
      </c>
      <c r="J50" s="35" t="s">
        <v>16</v>
      </c>
      <c r="K50" s="36" t="s">
        <v>17</v>
      </c>
      <c r="L50" s="35" t="s">
        <v>18</v>
      </c>
      <c r="M50" s="35" t="s">
        <v>19</v>
      </c>
      <c r="N50" s="35" t="s">
        <v>20</v>
      </c>
      <c r="O50" s="31" t="s">
        <v>21</v>
      </c>
      <c r="P50" s="32" t="s">
        <v>22</v>
      </c>
      <c r="Q50" s="35" t="s">
        <v>23</v>
      </c>
      <c r="R50" s="31" t="s">
        <v>24</v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</row>
    <row r="51" spans="1:92" ht="15" customHeight="1" x14ac:dyDescent="0.3">
      <c r="A51" s="8" t="s">
        <v>249</v>
      </c>
      <c r="B51" s="8" t="s">
        <v>703</v>
      </c>
      <c r="C51" s="9">
        <v>6.9444444444444441E-3</v>
      </c>
      <c r="D51" s="8" t="s">
        <v>191</v>
      </c>
      <c r="E51" s="8" t="s">
        <v>52</v>
      </c>
      <c r="F51" s="8" t="s">
        <v>738</v>
      </c>
      <c r="G51" s="275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</row>
    <row r="52" spans="1:92" ht="15" customHeight="1" x14ac:dyDescent="0.3">
      <c r="A52" s="19" t="s">
        <v>249</v>
      </c>
      <c r="B52" s="19" t="s">
        <v>705</v>
      </c>
      <c r="C52" s="20">
        <v>0.92013888888888884</v>
      </c>
      <c r="D52" s="19" t="s">
        <v>191</v>
      </c>
      <c r="E52" s="19" t="s">
        <v>294</v>
      </c>
      <c r="F52" s="19" t="s">
        <v>739</v>
      </c>
      <c r="G52" s="276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</row>
    <row r="53" spans="1:92" ht="15" customHeight="1" x14ac:dyDescent="0.3">
      <c r="A53" s="17" t="s">
        <v>246</v>
      </c>
      <c r="B53" s="17" t="s">
        <v>740</v>
      </c>
      <c r="C53" s="18">
        <v>0.4826388888888889</v>
      </c>
      <c r="D53" s="17" t="s">
        <v>191</v>
      </c>
      <c r="E53" s="17" t="s">
        <v>65</v>
      </c>
      <c r="F53" s="17" t="s">
        <v>741</v>
      </c>
      <c r="G53" s="276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</row>
    <row r="54" spans="1:92" ht="15" customHeight="1" x14ac:dyDescent="0.3">
      <c r="A54" s="19" t="s">
        <v>246</v>
      </c>
      <c r="B54" s="19" t="s">
        <v>699</v>
      </c>
      <c r="C54" s="20">
        <v>0.75694444444444453</v>
      </c>
      <c r="D54" s="19" t="s">
        <v>191</v>
      </c>
      <c r="E54" s="19" t="s">
        <v>76</v>
      </c>
      <c r="F54" s="19" t="s">
        <v>726</v>
      </c>
      <c r="G54" s="276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</row>
    <row r="55" spans="1:92" ht="15" customHeight="1" x14ac:dyDescent="0.3">
      <c r="A55" s="17" t="s">
        <v>25</v>
      </c>
      <c r="B55" s="17" t="s">
        <v>711</v>
      </c>
      <c r="C55" s="18">
        <v>0.44791666666666669</v>
      </c>
      <c r="D55" s="17" t="s">
        <v>27</v>
      </c>
      <c r="E55" s="17" t="s">
        <v>28</v>
      </c>
      <c r="F55" s="17" t="s">
        <v>728</v>
      </c>
      <c r="G55" s="276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</row>
    <row r="56" spans="1:92" ht="15" customHeight="1" x14ac:dyDescent="0.3">
      <c r="A56" s="15" t="s">
        <v>25</v>
      </c>
      <c r="B56" s="15" t="s">
        <v>711</v>
      </c>
      <c r="C56" s="16">
        <v>0.44791666666666669</v>
      </c>
      <c r="D56" s="15" t="s">
        <v>30</v>
      </c>
      <c r="E56" s="15" t="s">
        <v>31</v>
      </c>
      <c r="F56" s="15" t="s">
        <v>729</v>
      </c>
      <c r="G56" s="276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</row>
    <row r="57" spans="1:92" ht="15" customHeight="1" x14ac:dyDescent="0.3">
      <c r="A57" s="15" t="s">
        <v>25</v>
      </c>
      <c r="B57" s="15" t="s">
        <v>711</v>
      </c>
      <c r="C57" s="16">
        <v>0.44791666666666669</v>
      </c>
      <c r="D57" s="15" t="s">
        <v>33</v>
      </c>
      <c r="E57" s="15" t="s">
        <v>31</v>
      </c>
      <c r="F57" s="15" t="s">
        <v>742</v>
      </c>
      <c r="G57" s="276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</row>
    <row r="58" spans="1:92" ht="15" customHeight="1" x14ac:dyDescent="0.3">
      <c r="A58" s="17" t="s">
        <v>35</v>
      </c>
      <c r="B58" s="17" t="s">
        <v>709</v>
      </c>
      <c r="C58" s="18">
        <v>0.97222222222222221</v>
      </c>
      <c r="D58" s="17" t="s">
        <v>37</v>
      </c>
      <c r="E58" s="17" t="s">
        <v>38</v>
      </c>
      <c r="F58" s="17" t="s">
        <v>80</v>
      </c>
      <c r="G58" s="276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</row>
    <row r="59" spans="1:92" ht="15" customHeight="1" x14ac:dyDescent="0.3">
      <c r="A59" s="15" t="s">
        <v>35</v>
      </c>
      <c r="B59" s="15" t="s">
        <v>709</v>
      </c>
      <c r="C59" s="16">
        <v>0.97222222222222221</v>
      </c>
      <c r="D59" s="15" t="s">
        <v>40</v>
      </c>
      <c r="E59" s="15" t="s">
        <v>41</v>
      </c>
      <c r="F59" s="15" t="s">
        <v>295</v>
      </c>
      <c r="G59" s="276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</row>
    <row r="60" spans="1:92" ht="15" customHeight="1" x14ac:dyDescent="0.3">
      <c r="A60" s="15" t="s">
        <v>35</v>
      </c>
      <c r="B60" s="15" t="s">
        <v>709</v>
      </c>
      <c r="C60" s="16">
        <v>0.97222222222222221</v>
      </c>
      <c r="D60" s="15" t="s">
        <v>43</v>
      </c>
      <c r="E60" s="15" t="s">
        <v>41</v>
      </c>
      <c r="F60" s="15" t="s">
        <v>296</v>
      </c>
      <c r="G60" s="276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</row>
    <row r="61" spans="1:92" ht="15" customHeight="1" x14ac:dyDescent="0.3">
      <c r="A61" s="17" t="s">
        <v>49</v>
      </c>
      <c r="B61" s="17" t="s">
        <v>723</v>
      </c>
      <c r="C61" s="18">
        <v>0.44791666666666669</v>
      </c>
      <c r="D61" s="17" t="s">
        <v>51</v>
      </c>
      <c r="E61" s="17" t="s">
        <v>84</v>
      </c>
      <c r="F61" s="17" t="s">
        <v>737</v>
      </c>
      <c r="G61" s="276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</row>
    <row r="62" spans="1:92" ht="15" customHeight="1" x14ac:dyDescent="0.3">
      <c r="A62" s="17" t="s">
        <v>70</v>
      </c>
      <c r="B62" s="17" t="s">
        <v>721</v>
      </c>
      <c r="C62" s="18">
        <v>0.97916666666666663</v>
      </c>
      <c r="D62" s="17" t="s">
        <v>72</v>
      </c>
      <c r="E62" s="17" t="s">
        <v>65</v>
      </c>
      <c r="F62" s="17" t="s">
        <v>722</v>
      </c>
      <c r="G62" s="276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</row>
    <row r="63" spans="1:92" ht="15" customHeight="1" x14ac:dyDescent="0.3">
      <c r="A63" s="37" t="s">
        <v>70</v>
      </c>
      <c r="B63" s="37" t="s">
        <v>719</v>
      </c>
      <c r="C63" s="38">
        <v>0.67361111111111116</v>
      </c>
      <c r="D63" s="37" t="s">
        <v>72</v>
      </c>
      <c r="E63" s="37" t="s">
        <v>57</v>
      </c>
      <c r="F63" s="37" t="s">
        <v>722</v>
      </c>
      <c r="G63" s="277"/>
      <c r="H63" s="39"/>
      <c r="I63" s="40"/>
      <c r="J63" s="40"/>
      <c r="K63" s="40"/>
      <c r="L63" s="40"/>
      <c r="M63" s="40"/>
      <c r="N63" s="40"/>
      <c r="O63" s="41"/>
      <c r="P63" s="40"/>
      <c r="Q63" s="42"/>
      <c r="R63" s="4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</row>
    <row r="64" spans="1:92" ht="14.4" customHeight="1" x14ac:dyDescent="0.3">
      <c r="A64" s="272"/>
      <c r="B64" s="273"/>
      <c r="C64" s="273"/>
      <c r="D64" s="273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4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</row>
  </sheetData>
  <mergeCells count="25">
    <mergeCell ref="D1:F1"/>
    <mergeCell ref="H30:R30"/>
    <mergeCell ref="O1:Q1"/>
    <mergeCell ref="H26:R26"/>
    <mergeCell ref="A25:R25"/>
    <mergeCell ref="A26:F26"/>
    <mergeCell ref="H4:R4"/>
    <mergeCell ref="A2:F2"/>
    <mergeCell ref="A3:R3"/>
    <mergeCell ref="A64:R64"/>
    <mergeCell ref="A1:C1"/>
    <mergeCell ref="G1:H1"/>
    <mergeCell ref="G51:G63"/>
    <mergeCell ref="K2:R2"/>
    <mergeCell ref="G6:G24"/>
    <mergeCell ref="A30:F30"/>
    <mergeCell ref="G28"/>
    <mergeCell ref="A48:R48"/>
    <mergeCell ref="A49:F49"/>
    <mergeCell ref="G32:G47"/>
    <mergeCell ref="G2:J2"/>
    <mergeCell ref="H49:R49"/>
    <mergeCell ref="A4:F4"/>
    <mergeCell ref="J1:M1"/>
    <mergeCell ref="A29:R2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I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2.332031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  <row r="2" spans="1:35" ht="18" x14ac:dyDescent="0.3">
      <c r="A2" s="65" t="s">
        <v>133</v>
      </c>
      <c r="B2" s="66">
        <v>45988</v>
      </c>
      <c r="C2" s="67" t="s">
        <v>714</v>
      </c>
      <c r="D2" s="68">
        <v>0.72222222222222221</v>
      </c>
      <c r="E2" s="67" t="s">
        <v>696</v>
      </c>
      <c r="F2" s="67" t="s">
        <v>134</v>
      </c>
      <c r="G2" s="69">
        <v>0.93889999999999996</v>
      </c>
      <c r="H2" s="70">
        <v>180</v>
      </c>
      <c r="I2" s="70">
        <v>169</v>
      </c>
      <c r="J2" s="70">
        <v>0</v>
      </c>
      <c r="K2" s="66">
        <v>45986</v>
      </c>
      <c r="L2" s="70">
        <v>0</v>
      </c>
      <c r="M2" s="70">
        <v>2</v>
      </c>
      <c r="N2" s="70">
        <v>43</v>
      </c>
      <c r="O2" s="67" t="s">
        <v>715</v>
      </c>
      <c r="P2" s="71"/>
      <c r="Q2" s="71"/>
      <c r="R2" s="70" t="s">
        <v>395</v>
      </c>
      <c r="S2" s="70" t="s">
        <v>743</v>
      </c>
      <c r="T2" s="70" t="s">
        <v>744</v>
      </c>
      <c r="U2" s="70" t="s">
        <v>745</v>
      </c>
      <c r="V2" s="70" t="s">
        <v>638</v>
      </c>
      <c r="W2" s="70" t="s">
        <v>326</v>
      </c>
      <c r="X2" s="70" t="s">
        <v>364</v>
      </c>
      <c r="Y2" s="70" t="s">
        <v>199</v>
      </c>
      <c r="Z2" s="70" t="s">
        <v>746</v>
      </c>
      <c r="AA2" s="70" t="s">
        <v>320</v>
      </c>
      <c r="AB2" s="70" t="s">
        <v>142</v>
      </c>
      <c r="AC2" s="70" t="s">
        <v>642</v>
      </c>
      <c r="AD2" s="70" t="s">
        <v>649</v>
      </c>
      <c r="AE2" s="70" t="s">
        <v>650</v>
      </c>
      <c r="AF2" s="71"/>
      <c r="AG2" s="71"/>
      <c r="AH2" s="71"/>
      <c r="AI2" s="71"/>
    </row>
    <row r="3" spans="1:35" ht="18" x14ac:dyDescent="0.3">
      <c r="A3" s="72" t="s">
        <v>346</v>
      </c>
      <c r="B3" s="73">
        <v>45989</v>
      </c>
      <c r="C3" s="74" t="s">
        <v>714</v>
      </c>
      <c r="D3" s="75">
        <v>0.38194444444444442</v>
      </c>
      <c r="E3" s="74" t="s">
        <v>696</v>
      </c>
      <c r="F3" s="74" t="s">
        <v>134</v>
      </c>
      <c r="G3" s="76">
        <v>0.81669999999999998</v>
      </c>
      <c r="H3" s="77">
        <v>180</v>
      </c>
      <c r="I3" s="77">
        <v>147</v>
      </c>
      <c r="J3" s="77">
        <v>0</v>
      </c>
      <c r="K3" s="73">
        <v>45986</v>
      </c>
      <c r="L3" s="77">
        <v>0</v>
      </c>
      <c r="M3" s="77">
        <v>1</v>
      </c>
      <c r="N3" s="77">
        <v>18</v>
      </c>
      <c r="O3" s="74" t="s">
        <v>691</v>
      </c>
      <c r="P3" s="78"/>
      <c r="Q3" s="78"/>
      <c r="R3" s="77" t="s">
        <v>747</v>
      </c>
      <c r="S3" s="77" t="s">
        <v>748</v>
      </c>
      <c r="T3" s="77" t="s">
        <v>749</v>
      </c>
      <c r="U3" s="77" t="s">
        <v>750</v>
      </c>
      <c r="V3" s="77" t="s">
        <v>638</v>
      </c>
      <c r="W3" s="77" t="s">
        <v>405</v>
      </c>
      <c r="X3" s="77" t="s">
        <v>751</v>
      </c>
      <c r="Y3" s="77" t="s">
        <v>752</v>
      </c>
      <c r="Z3" s="77" t="s">
        <v>342</v>
      </c>
      <c r="AA3" s="77" t="s">
        <v>413</v>
      </c>
      <c r="AB3" s="77" t="s">
        <v>328</v>
      </c>
      <c r="AC3" s="77" t="s">
        <v>753</v>
      </c>
      <c r="AD3" s="77" t="s">
        <v>323</v>
      </c>
      <c r="AE3" s="77" t="s">
        <v>481</v>
      </c>
      <c r="AF3" s="78"/>
      <c r="AG3" s="78"/>
      <c r="AH3" s="78"/>
      <c r="AI3" s="78"/>
    </row>
    <row r="4" spans="1:35" ht="18" x14ac:dyDescent="0.3">
      <c r="A4" s="65" t="s">
        <v>140</v>
      </c>
      <c r="B4" s="66">
        <v>45990</v>
      </c>
      <c r="C4" s="67" t="s">
        <v>714</v>
      </c>
      <c r="D4" s="68">
        <v>0.72222222222222221</v>
      </c>
      <c r="E4" s="67" t="s">
        <v>696</v>
      </c>
      <c r="F4" s="67" t="s">
        <v>134</v>
      </c>
      <c r="G4" s="69">
        <v>0.75</v>
      </c>
      <c r="H4" s="70">
        <v>180</v>
      </c>
      <c r="I4" s="70">
        <v>135</v>
      </c>
      <c r="J4" s="70">
        <v>0</v>
      </c>
      <c r="K4" s="66">
        <v>45986</v>
      </c>
      <c r="L4" s="70">
        <v>0</v>
      </c>
      <c r="M4" s="70">
        <v>3</v>
      </c>
      <c r="N4" s="70">
        <v>14</v>
      </c>
      <c r="O4" s="67" t="s">
        <v>732</v>
      </c>
      <c r="P4" s="71"/>
      <c r="Q4" s="70" t="s">
        <v>754</v>
      </c>
      <c r="R4" s="70" t="s">
        <v>755</v>
      </c>
      <c r="S4" s="70" t="s">
        <v>756</v>
      </c>
      <c r="T4" s="70" t="s">
        <v>757</v>
      </c>
      <c r="U4" s="71"/>
      <c r="V4" s="70" t="s">
        <v>758</v>
      </c>
      <c r="W4" s="70" t="s">
        <v>759</v>
      </c>
      <c r="X4" s="70" t="s">
        <v>364</v>
      </c>
      <c r="Y4" s="70" t="s">
        <v>655</v>
      </c>
      <c r="Z4" s="70" t="s">
        <v>200</v>
      </c>
      <c r="AA4" s="70" t="s">
        <v>374</v>
      </c>
      <c r="AB4" s="70" t="s">
        <v>760</v>
      </c>
      <c r="AC4" s="70" t="s">
        <v>648</v>
      </c>
      <c r="AD4" s="70" t="s">
        <v>649</v>
      </c>
      <c r="AE4" s="70" t="s">
        <v>528</v>
      </c>
      <c r="AF4" s="71"/>
      <c r="AG4" s="71"/>
      <c r="AH4" s="71"/>
      <c r="AI4" s="71"/>
    </row>
    <row r="5" spans="1:35" ht="18" x14ac:dyDescent="0.3">
      <c r="A5" s="79" t="s">
        <v>151</v>
      </c>
      <c r="B5" s="80"/>
      <c r="C5" s="81">
        <f>COUNTA(C2:C4)</f>
        <v>3</v>
      </c>
      <c r="D5" s="80"/>
      <c r="E5" s="80"/>
      <c r="F5" s="80"/>
      <c r="G5" s="82">
        <f>AVERAGE(G2:G4)</f>
        <v>0.83519999999999994</v>
      </c>
      <c r="H5" s="83">
        <f>SUM(H2:H4)</f>
        <v>540</v>
      </c>
      <c r="I5" s="83">
        <f>SUM(I2:I4)</f>
        <v>451</v>
      </c>
      <c r="J5" s="83">
        <f>SUM(J2:J4)</f>
        <v>0</v>
      </c>
      <c r="K5" s="80"/>
      <c r="L5" s="83">
        <f>SUM(L2:L4)</f>
        <v>0</v>
      </c>
      <c r="M5" s="83">
        <f>SUM(M2:M4)</f>
        <v>6</v>
      </c>
      <c r="N5" s="83">
        <f>SUM(N2:N4)</f>
        <v>75</v>
      </c>
      <c r="O5" s="80"/>
      <c r="P5" s="83">
        <f t="shared" ref="P5:AI5" si="0">SUMPRODUCT(--IFERROR(VALUE(SUBSTITUTE(SUBSTITUTE(SUBSTITUTE(SUBSTITUTE(SUBSTITUTE(SUBSTITUTE(SUBSTITUTE(SUBSTITUTE(SUBSTITUTE(SUBSTITUTE(SUBSTITUTE(SUBSTITUTE(SUBSTITUTE(SUBSTITUTE(SUBSTITUTE(SUBSTITUTE(SUBSTITUTE(SUBSTITUTE(SUBSTITUTE(SUBSTITUTE(P2:P4,"Y",""),"B",""),"M",""),"H",""),"Q",""),"K",""),"V",""),"L",""),"G",""),"S",""),"W",""),"T",""),"X",""),"U",""),"O",""),"I",""),"E",""),"A",""),"P",""),"N","")),0))</f>
        <v>0</v>
      </c>
      <c r="Q5" s="83">
        <f t="shared" si="0"/>
        <v>0</v>
      </c>
      <c r="R5" s="83">
        <f t="shared" si="0"/>
        <v>0</v>
      </c>
      <c r="S5" s="83">
        <f t="shared" si="0"/>
        <v>0</v>
      </c>
      <c r="T5" s="83">
        <f t="shared" si="0"/>
        <v>0</v>
      </c>
      <c r="U5" s="83">
        <f t="shared" si="0"/>
        <v>0</v>
      </c>
      <c r="V5" s="83">
        <f t="shared" si="0"/>
        <v>0</v>
      </c>
      <c r="W5" s="83">
        <f t="shared" si="0"/>
        <v>0</v>
      </c>
      <c r="X5" s="83">
        <f t="shared" si="0"/>
        <v>0</v>
      </c>
      <c r="Y5" s="83">
        <f t="shared" si="0"/>
        <v>0</v>
      </c>
      <c r="Z5" s="83">
        <f t="shared" si="0"/>
        <v>0</v>
      </c>
      <c r="AA5" s="83">
        <f t="shared" si="0"/>
        <v>0</v>
      </c>
      <c r="AB5" s="83">
        <f t="shared" si="0"/>
        <v>0</v>
      </c>
      <c r="AC5" s="83">
        <f t="shared" si="0"/>
        <v>0</v>
      </c>
      <c r="AD5" s="83">
        <f t="shared" si="0"/>
        <v>0</v>
      </c>
      <c r="AE5" s="83">
        <f t="shared" si="0"/>
        <v>0</v>
      </c>
      <c r="AF5" s="83">
        <f t="shared" si="0"/>
        <v>0</v>
      </c>
      <c r="AG5" s="83">
        <f t="shared" si="0"/>
        <v>0</v>
      </c>
      <c r="AH5" s="83">
        <f t="shared" si="0"/>
        <v>0</v>
      </c>
      <c r="AI5" s="83">
        <f t="shared" si="0"/>
        <v>0</v>
      </c>
    </row>
  </sheetData>
  <autoFilter ref="A1:AI4" xr:uid="{00000000-0009-0000-0000-000026000000}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50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2.33203125" bestFit="1" customWidth="1"/>
    <col min="5" max="5" width="15.5546875" bestFit="1" customWidth="1"/>
    <col min="6" max="6" width="37.77734375" bestFit="1" customWidth="1"/>
    <col min="7" max="7" width="16.88671875" bestFit="1" customWidth="1"/>
    <col min="8" max="8" width="20.8867187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  <row r="2" spans="1:8" ht="18" x14ac:dyDescent="0.3">
      <c r="A2" s="85">
        <v>45988</v>
      </c>
      <c r="B2" s="86" t="s">
        <v>246</v>
      </c>
      <c r="C2" s="87" t="s">
        <v>697</v>
      </c>
      <c r="D2" s="86" t="s">
        <v>696</v>
      </c>
      <c r="E2" s="88">
        <v>1.756944444444444</v>
      </c>
      <c r="F2" s="86" t="s">
        <v>191</v>
      </c>
      <c r="G2" s="89">
        <v>1</v>
      </c>
      <c r="H2" s="90" t="s">
        <v>698</v>
      </c>
    </row>
    <row r="3" spans="1:8" ht="18" x14ac:dyDescent="0.3">
      <c r="A3" s="97">
        <v>45988</v>
      </c>
      <c r="B3" s="98" t="s">
        <v>246</v>
      </c>
      <c r="C3" s="99" t="s">
        <v>699</v>
      </c>
      <c r="D3" s="98" t="s">
        <v>696</v>
      </c>
      <c r="E3" s="100">
        <v>1.3611111111111109</v>
      </c>
      <c r="F3" s="98" t="s">
        <v>191</v>
      </c>
      <c r="G3" s="101">
        <v>9</v>
      </c>
      <c r="H3" s="98" t="s">
        <v>700</v>
      </c>
    </row>
    <row r="4" spans="1:8" ht="18" x14ac:dyDescent="0.3">
      <c r="A4" s="96">
        <v>45988</v>
      </c>
      <c r="B4" s="86" t="s">
        <v>249</v>
      </c>
      <c r="C4" s="87" t="s">
        <v>701</v>
      </c>
      <c r="D4" s="86" t="s">
        <v>696</v>
      </c>
      <c r="E4" s="88">
        <v>1.680555555555556</v>
      </c>
      <c r="F4" s="86" t="s">
        <v>191</v>
      </c>
      <c r="G4" s="89">
        <v>1</v>
      </c>
      <c r="H4" s="86" t="s">
        <v>702</v>
      </c>
    </row>
    <row r="5" spans="1:8" ht="18" x14ac:dyDescent="0.3">
      <c r="A5" s="97">
        <v>45988</v>
      </c>
      <c r="B5" s="98" t="s">
        <v>249</v>
      </c>
      <c r="C5" s="99" t="s">
        <v>703</v>
      </c>
      <c r="D5" s="98" t="s">
        <v>696</v>
      </c>
      <c r="E5" s="100">
        <v>1.9652777777777779</v>
      </c>
      <c r="F5" s="98" t="s">
        <v>191</v>
      </c>
      <c r="G5" s="101">
        <v>1</v>
      </c>
      <c r="H5" s="98" t="s">
        <v>704</v>
      </c>
    </row>
    <row r="6" spans="1:8" ht="18" x14ac:dyDescent="0.3">
      <c r="A6" s="97">
        <v>45988</v>
      </c>
      <c r="B6" s="98" t="s">
        <v>249</v>
      </c>
      <c r="C6" s="99" t="s">
        <v>705</v>
      </c>
      <c r="D6" s="98" t="s">
        <v>696</v>
      </c>
      <c r="E6" s="100">
        <v>1.0763888888888891</v>
      </c>
      <c r="F6" s="98" t="s">
        <v>191</v>
      </c>
      <c r="G6" s="101">
        <v>8</v>
      </c>
      <c r="H6" s="98" t="s">
        <v>704</v>
      </c>
    </row>
    <row r="7" spans="1:8" ht="18" x14ac:dyDescent="0.3">
      <c r="A7" s="96">
        <v>45988</v>
      </c>
      <c r="B7" s="86" t="s">
        <v>35</v>
      </c>
      <c r="C7" s="87" t="s">
        <v>706</v>
      </c>
      <c r="D7" s="86" t="s">
        <v>696</v>
      </c>
      <c r="E7" s="88">
        <v>1.336805555555556</v>
      </c>
      <c r="F7" s="86" t="s">
        <v>37</v>
      </c>
      <c r="G7" s="89">
        <v>1</v>
      </c>
      <c r="H7" s="86" t="s">
        <v>707</v>
      </c>
    </row>
    <row r="8" spans="1:8" ht="18" x14ac:dyDescent="0.3">
      <c r="A8" s="91">
        <v>45988</v>
      </c>
      <c r="B8" s="92" t="s">
        <v>35</v>
      </c>
      <c r="C8" s="93" t="s">
        <v>706</v>
      </c>
      <c r="D8" s="92" t="s">
        <v>696</v>
      </c>
      <c r="E8" s="94">
        <v>1.336805555555556</v>
      </c>
      <c r="F8" s="92" t="s">
        <v>40</v>
      </c>
      <c r="G8" s="95">
        <v>1</v>
      </c>
      <c r="H8" s="92" t="s">
        <v>708</v>
      </c>
    </row>
    <row r="9" spans="1:8" ht="18" x14ac:dyDescent="0.3">
      <c r="A9" s="91">
        <v>45988</v>
      </c>
      <c r="B9" s="92" t="s">
        <v>35</v>
      </c>
      <c r="C9" s="93" t="s">
        <v>706</v>
      </c>
      <c r="D9" s="92" t="s">
        <v>696</v>
      </c>
      <c r="E9" s="94">
        <v>1.336805555555556</v>
      </c>
      <c r="F9" s="92" t="s">
        <v>43</v>
      </c>
      <c r="G9" s="95">
        <v>1</v>
      </c>
      <c r="H9" s="92" t="s">
        <v>79</v>
      </c>
    </row>
    <row r="10" spans="1:8" ht="18" x14ac:dyDescent="0.3">
      <c r="A10" s="97">
        <v>45988</v>
      </c>
      <c r="B10" s="98" t="s">
        <v>35</v>
      </c>
      <c r="C10" s="99" t="s">
        <v>709</v>
      </c>
      <c r="D10" s="98" t="s">
        <v>696</v>
      </c>
      <c r="E10" s="100">
        <v>1.9722222222222221</v>
      </c>
      <c r="F10" s="98" t="s">
        <v>37</v>
      </c>
      <c r="G10" s="101">
        <v>9</v>
      </c>
      <c r="H10" s="98" t="s">
        <v>233</v>
      </c>
    </row>
    <row r="11" spans="1:8" ht="18" x14ac:dyDescent="0.3">
      <c r="A11" s="91">
        <v>45988</v>
      </c>
      <c r="B11" s="92" t="s">
        <v>35</v>
      </c>
      <c r="C11" s="93" t="s">
        <v>709</v>
      </c>
      <c r="D11" s="92" t="s">
        <v>696</v>
      </c>
      <c r="E11" s="94">
        <v>1.9722222222222221</v>
      </c>
      <c r="F11" s="92" t="s">
        <v>40</v>
      </c>
      <c r="G11" s="95">
        <v>9</v>
      </c>
      <c r="H11" s="92" t="s">
        <v>69</v>
      </c>
    </row>
    <row r="12" spans="1:8" ht="18" x14ac:dyDescent="0.3">
      <c r="A12" s="91">
        <v>45988</v>
      </c>
      <c r="B12" s="92" t="s">
        <v>35</v>
      </c>
      <c r="C12" s="93" t="s">
        <v>709</v>
      </c>
      <c r="D12" s="92" t="s">
        <v>696</v>
      </c>
      <c r="E12" s="94">
        <v>1.9722222222222221</v>
      </c>
      <c r="F12" s="92" t="s">
        <v>43</v>
      </c>
      <c r="G12" s="95">
        <v>9</v>
      </c>
      <c r="H12" s="92" t="s">
        <v>710</v>
      </c>
    </row>
    <row r="13" spans="1:8" ht="18" x14ac:dyDescent="0.3">
      <c r="A13" s="96">
        <v>45988</v>
      </c>
      <c r="B13" s="86" t="s">
        <v>25</v>
      </c>
      <c r="C13" s="87" t="s">
        <v>711</v>
      </c>
      <c r="D13" s="86" t="s">
        <v>696</v>
      </c>
      <c r="E13" s="88">
        <v>1.447916666666667</v>
      </c>
      <c r="F13" s="86" t="s">
        <v>27</v>
      </c>
      <c r="G13" s="89">
        <v>1</v>
      </c>
      <c r="H13" s="86" t="s">
        <v>224</v>
      </c>
    </row>
    <row r="14" spans="1:8" ht="18" x14ac:dyDescent="0.3">
      <c r="A14" s="91">
        <v>45988</v>
      </c>
      <c r="B14" s="92" t="s">
        <v>25</v>
      </c>
      <c r="C14" s="93" t="s">
        <v>711</v>
      </c>
      <c r="D14" s="92" t="s">
        <v>696</v>
      </c>
      <c r="E14" s="94">
        <v>1.447916666666667</v>
      </c>
      <c r="F14" s="92" t="s">
        <v>30</v>
      </c>
      <c r="G14" s="95">
        <v>1</v>
      </c>
      <c r="H14" s="92" t="s">
        <v>88</v>
      </c>
    </row>
    <row r="15" spans="1:8" ht="18" x14ac:dyDescent="0.3">
      <c r="A15" s="91">
        <v>45988</v>
      </c>
      <c r="B15" s="92" t="s">
        <v>25</v>
      </c>
      <c r="C15" s="93" t="s">
        <v>711</v>
      </c>
      <c r="D15" s="92" t="s">
        <v>696</v>
      </c>
      <c r="E15" s="94">
        <v>1.447916666666667</v>
      </c>
      <c r="F15" s="92" t="s">
        <v>33</v>
      </c>
      <c r="G15" s="95">
        <v>1</v>
      </c>
      <c r="H15" s="92" t="s">
        <v>595</v>
      </c>
    </row>
    <row r="16" spans="1:8" ht="18" x14ac:dyDescent="0.3">
      <c r="A16" s="147">
        <v>45988</v>
      </c>
      <c r="B16" s="148" t="s">
        <v>59</v>
      </c>
      <c r="C16" s="149" t="s">
        <v>712</v>
      </c>
      <c r="D16" s="148" t="s">
        <v>696</v>
      </c>
      <c r="E16" s="150">
        <v>1.7222222222222221</v>
      </c>
      <c r="F16" s="148" t="s">
        <v>191</v>
      </c>
      <c r="G16" s="155">
        <v>2</v>
      </c>
      <c r="H16" s="148" t="s">
        <v>713</v>
      </c>
    </row>
    <row r="17" spans="1:8" ht="18" x14ac:dyDescent="0.3">
      <c r="A17" s="96">
        <v>45988</v>
      </c>
      <c r="B17" s="86" t="s">
        <v>70</v>
      </c>
      <c r="C17" s="87" t="s">
        <v>717</v>
      </c>
      <c r="D17" s="86" t="s">
        <v>696</v>
      </c>
      <c r="E17" s="88">
        <v>1.336805555555556</v>
      </c>
      <c r="F17" s="86" t="s">
        <v>72</v>
      </c>
      <c r="G17" s="89">
        <v>4</v>
      </c>
      <c r="H17" s="86" t="s">
        <v>718</v>
      </c>
    </row>
    <row r="18" spans="1:8" ht="18" x14ac:dyDescent="0.3">
      <c r="A18" s="97">
        <v>45988</v>
      </c>
      <c r="B18" s="98" t="s">
        <v>70</v>
      </c>
      <c r="C18" s="99" t="s">
        <v>719</v>
      </c>
      <c r="D18" s="98" t="s">
        <v>696</v>
      </c>
      <c r="E18" s="100">
        <v>1.694444444444444</v>
      </c>
      <c r="F18" s="98" t="s">
        <v>72</v>
      </c>
      <c r="G18" s="101">
        <v>6</v>
      </c>
      <c r="H18" s="98" t="s">
        <v>720</v>
      </c>
    </row>
    <row r="19" spans="1:8" ht="18" x14ac:dyDescent="0.3">
      <c r="A19" s="97">
        <v>45988</v>
      </c>
      <c r="B19" s="98" t="s">
        <v>70</v>
      </c>
      <c r="C19" s="99" t="s">
        <v>721</v>
      </c>
      <c r="D19" s="98" t="s">
        <v>696</v>
      </c>
      <c r="E19" s="100">
        <v>1.979166666666667</v>
      </c>
      <c r="F19" s="98" t="s">
        <v>72</v>
      </c>
      <c r="G19" s="101">
        <v>3</v>
      </c>
      <c r="H19" s="98" t="s">
        <v>722</v>
      </c>
    </row>
    <row r="20" spans="1:8" ht="18" x14ac:dyDescent="0.3">
      <c r="A20" s="254">
        <v>45988</v>
      </c>
      <c r="B20" s="241" t="s">
        <v>49</v>
      </c>
      <c r="C20" s="242" t="s">
        <v>723</v>
      </c>
      <c r="D20" s="241" t="s">
        <v>696</v>
      </c>
      <c r="E20" s="243">
        <v>1.447916666666667</v>
      </c>
      <c r="F20" s="241" t="s">
        <v>51</v>
      </c>
      <c r="G20" s="244">
        <v>4</v>
      </c>
      <c r="H20" s="241" t="s">
        <v>630</v>
      </c>
    </row>
    <row r="21" spans="1:8" ht="18" x14ac:dyDescent="0.3">
      <c r="A21" s="255">
        <v>45989</v>
      </c>
      <c r="B21" s="103" t="s">
        <v>59</v>
      </c>
      <c r="C21" s="104" t="s">
        <v>714</v>
      </c>
      <c r="D21" s="103" t="s">
        <v>696</v>
      </c>
      <c r="E21" s="105">
        <v>1.381944444444444</v>
      </c>
      <c r="F21" s="103" t="s">
        <v>61</v>
      </c>
      <c r="G21" s="103"/>
      <c r="H21" s="256" t="s">
        <v>563</v>
      </c>
    </row>
    <row r="22" spans="1:8" ht="18" x14ac:dyDescent="0.3">
      <c r="A22" s="85">
        <v>45990</v>
      </c>
      <c r="B22" s="86" t="s">
        <v>246</v>
      </c>
      <c r="C22" s="87" t="s">
        <v>725</v>
      </c>
      <c r="D22" s="86" t="s">
        <v>696</v>
      </c>
      <c r="E22" s="88">
        <v>1.961805555555556</v>
      </c>
      <c r="F22" s="86" t="s">
        <v>191</v>
      </c>
      <c r="G22" s="89">
        <v>9</v>
      </c>
      <c r="H22" s="90" t="s">
        <v>726</v>
      </c>
    </row>
    <row r="23" spans="1:8" ht="18" x14ac:dyDescent="0.3">
      <c r="A23" s="97">
        <v>45990</v>
      </c>
      <c r="B23" s="98" t="s">
        <v>246</v>
      </c>
      <c r="C23" s="99" t="s">
        <v>697</v>
      </c>
      <c r="D23" s="98" t="s">
        <v>696</v>
      </c>
      <c r="E23" s="100">
        <v>1.694444444444444</v>
      </c>
      <c r="F23" s="98" t="s">
        <v>191</v>
      </c>
      <c r="G23" s="101">
        <v>8</v>
      </c>
      <c r="H23" s="98" t="s">
        <v>727</v>
      </c>
    </row>
    <row r="24" spans="1:8" ht="18" x14ac:dyDescent="0.3">
      <c r="A24" s="96">
        <v>45990</v>
      </c>
      <c r="B24" s="86" t="s">
        <v>25</v>
      </c>
      <c r="C24" s="87" t="s">
        <v>711</v>
      </c>
      <c r="D24" s="86" t="s">
        <v>696</v>
      </c>
      <c r="E24" s="88">
        <v>1.447916666666667</v>
      </c>
      <c r="F24" s="86" t="s">
        <v>27</v>
      </c>
      <c r="G24" s="89">
        <v>5</v>
      </c>
      <c r="H24" s="86" t="s">
        <v>728</v>
      </c>
    </row>
    <row r="25" spans="1:8" ht="18" x14ac:dyDescent="0.3">
      <c r="A25" s="91">
        <v>45990</v>
      </c>
      <c r="B25" s="92" t="s">
        <v>25</v>
      </c>
      <c r="C25" s="93" t="s">
        <v>711</v>
      </c>
      <c r="D25" s="92" t="s">
        <v>696</v>
      </c>
      <c r="E25" s="94">
        <v>1.447916666666667</v>
      </c>
      <c r="F25" s="92" t="s">
        <v>30</v>
      </c>
      <c r="G25" s="95">
        <v>5</v>
      </c>
      <c r="H25" s="92" t="s">
        <v>729</v>
      </c>
    </row>
    <row r="26" spans="1:8" ht="18" x14ac:dyDescent="0.3">
      <c r="A26" s="91">
        <v>45990</v>
      </c>
      <c r="B26" s="92" t="s">
        <v>25</v>
      </c>
      <c r="C26" s="93" t="s">
        <v>711</v>
      </c>
      <c r="D26" s="92" t="s">
        <v>696</v>
      </c>
      <c r="E26" s="94">
        <v>1.447916666666667</v>
      </c>
      <c r="F26" s="92" t="s">
        <v>33</v>
      </c>
      <c r="G26" s="95">
        <v>5</v>
      </c>
      <c r="H26" s="92" t="s">
        <v>730</v>
      </c>
    </row>
    <row r="27" spans="1:8" ht="18" x14ac:dyDescent="0.3">
      <c r="A27" s="96">
        <v>45990</v>
      </c>
      <c r="B27" s="86" t="s">
        <v>35</v>
      </c>
      <c r="C27" s="87" t="s">
        <v>706</v>
      </c>
      <c r="D27" s="86" t="s">
        <v>696</v>
      </c>
      <c r="E27" s="88">
        <v>1.336805555555556</v>
      </c>
      <c r="F27" s="86" t="s">
        <v>37</v>
      </c>
      <c r="G27" s="89">
        <v>5</v>
      </c>
      <c r="H27" s="86" t="s">
        <v>80</v>
      </c>
    </row>
    <row r="28" spans="1:8" ht="18" x14ac:dyDescent="0.3">
      <c r="A28" s="91">
        <v>45990</v>
      </c>
      <c r="B28" s="92" t="s">
        <v>35</v>
      </c>
      <c r="C28" s="93" t="s">
        <v>706</v>
      </c>
      <c r="D28" s="92" t="s">
        <v>696</v>
      </c>
      <c r="E28" s="94">
        <v>1.336805555555556</v>
      </c>
      <c r="F28" s="92" t="s">
        <v>40</v>
      </c>
      <c r="G28" s="95">
        <v>5</v>
      </c>
      <c r="H28" s="92" t="s">
        <v>295</v>
      </c>
    </row>
    <row r="29" spans="1:8" ht="18" x14ac:dyDescent="0.3">
      <c r="A29" s="91">
        <v>45990</v>
      </c>
      <c r="B29" s="92" t="s">
        <v>35</v>
      </c>
      <c r="C29" s="93" t="s">
        <v>706</v>
      </c>
      <c r="D29" s="92" t="s">
        <v>696</v>
      </c>
      <c r="E29" s="94">
        <v>1.336805555555556</v>
      </c>
      <c r="F29" s="92" t="s">
        <v>43</v>
      </c>
      <c r="G29" s="95">
        <v>5</v>
      </c>
      <c r="H29" s="92" t="s">
        <v>296</v>
      </c>
    </row>
    <row r="30" spans="1:8" ht="18" x14ac:dyDescent="0.3">
      <c r="A30" s="97">
        <v>45990</v>
      </c>
      <c r="B30" s="98" t="s">
        <v>35</v>
      </c>
      <c r="C30" s="99" t="s">
        <v>709</v>
      </c>
      <c r="D30" s="98" t="s">
        <v>696</v>
      </c>
      <c r="E30" s="100">
        <v>1.9722222222222221</v>
      </c>
      <c r="F30" s="98" t="s">
        <v>37</v>
      </c>
      <c r="G30" s="101">
        <v>6</v>
      </c>
      <c r="H30" s="98" t="s">
        <v>80</v>
      </c>
    </row>
    <row r="31" spans="1:8" ht="18" x14ac:dyDescent="0.3">
      <c r="A31" s="91">
        <v>45990</v>
      </c>
      <c r="B31" s="92" t="s">
        <v>35</v>
      </c>
      <c r="C31" s="93" t="s">
        <v>709</v>
      </c>
      <c r="D31" s="92" t="s">
        <v>696</v>
      </c>
      <c r="E31" s="94">
        <v>1.9722222222222221</v>
      </c>
      <c r="F31" s="92" t="s">
        <v>40</v>
      </c>
      <c r="G31" s="95">
        <v>6</v>
      </c>
      <c r="H31" s="92" t="s">
        <v>295</v>
      </c>
    </row>
    <row r="32" spans="1:8" ht="18" x14ac:dyDescent="0.3">
      <c r="A32" s="91">
        <v>45990</v>
      </c>
      <c r="B32" s="92" t="s">
        <v>35</v>
      </c>
      <c r="C32" s="93" t="s">
        <v>709</v>
      </c>
      <c r="D32" s="92" t="s">
        <v>696</v>
      </c>
      <c r="E32" s="94">
        <v>1.9722222222222221</v>
      </c>
      <c r="F32" s="92" t="s">
        <v>43</v>
      </c>
      <c r="G32" s="95">
        <v>6</v>
      </c>
      <c r="H32" s="92" t="s">
        <v>296</v>
      </c>
    </row>
    <row r="33" spans="1:8" ht="18" x14ac:dyDescent="0.3">
      <c r="A33" s="147">
        <v>45990</v>
      </c>
      <c r="B33" s="148" t="s">
        <v>59</v>
      </c>
      <c r="C33" s="149" t="s">
        <v>712</v>
      </c>
      <c r="D33" s="148" t="s">
        <v>696</v>
      </c>
      <c r="E33" s="150">
        <v>1.7222222222222221</v>
      </c>
      <c r="F33" s="148" t="s">
        <v>191</v>
      </c>
      <c r="G33" s="155">
        <v>6</v>
      </c>
      <c r="H33" s="148" t="s">
        <v>731</v>
      </c>
    </row>
    <row r="34" spans="1:8" ht="18" x14ac:dyDescent="0.3">
      <c r="A34" s="96">
        <v>45990</v>
      </c>
      <c r="B34" s="86" t="s">
        <v>283</v>
      </c>
      <c r="C34" s="87" t="s">
        <v>734</v>
      </c>
      <c r="D34" s="86" t="s">
        <v>696</v>
      </c>
      <c r="E34" s="88">
        <v>1.7465277777777779</v>
      </c>
      <c r="F34" s="86" t="s">
        <v>285</v>
      </c>
      <c r="G34" s="89">
        <v>9</v>
      </c>
      <c r="H34" s="86" t="s">
        <v>735</v>
      </c>
    </row>
    <row r="35" spans="1:8" ht="18" x14ac:dyDescent="0.3">
      <c r="A35" s="91">
        <v>45990</v>
      </c>
      <c r="B35" s="92" t="s">
        <v>283</v>
      </c>
      <c r="C35" s="93" t="s">
        <v>734</v>
      </c>
      <c r="D35" s="92" t="s">
        <v>696</v>
      </c>
      <c r="E35" s="94">
        <v>1.7465277777777779</v>
      </c>
      <c r="F35" s="92" t="s">
        <v>33</v>
      </c>
      <c r="G35" s="95">
        <v>9</v>
      </c>
      <c r="H35" s="92" t="s">
        <v>736</v>
      </c>
    </row>
    <row r="36" spans="1:8" ht="18" x14ac:dyDescent="0.3">
      <c r="A36" s="96">
        <v>45990</v>
      </c>
      <c r="B36" s="86" t="s">
        <v>49</v>
      </c>
      <c r="C36" s="87" t="s">
        <v>723</v>
      </c>
      <c r="D36" s="86" t="s">
        <v>696</v>
      </c>
      <c r="E36" s="88">
        <v>1.447916666666667</v>
      </c>
      <c r="F36" s="86" t="s">
        <v>51</v>
      </c>
      <c r="G36" s="89">
        <v>4</v>
      </c>
      <c r="H36" s="86" t="s">
        <v>737</v>
      </c>
    </row>
    <row r="37" spans="1:8" ht="18" x14ac:dyDescent="0.3">
      <c r="A37" s="254">
        <v>45990</v>
      </c>
      <c r="B37" s="241" t="s">
        <v>70</v>
      </c>
      <c r="C37" s="242" t="s">
        <v>719</v>
      </c>
      <c r="D37" s="241" t="s">
        <v>696</v>
      </c>
      <c r="E37" s="243">
        <v>1.6736111111111109</v>
      </c>
      <c r="F37" s="241" t="s">
        <v>72</v>
      </c>
      <c r="G37" s="244">
        <v>2</v>
      </c>
      <c r="H37" s="241" t="s">
        <v>722</v>
      </c>
    </row>
    <row r="38" spans="1:8" ht="18" x14ac:dyDescent="0.3">
      <c r="A38" s="85">
        <v>45991</v>
      </c>
      <c r="B38" s="86" t="s">
        <v>249</v>
      </c>
      <c r="C38" s="87" t="s">
        <v>703</v>
      </c>
      <c r="D38" s="86" t="s">
        <v>696</v>
      </c>
      <c r="E38" s="88">
        <v>1.006944444444444</v>
      </c>
      <c r="F38" s="86" t="s">
        <v>191</v>
      </c>
      <c r="G38" s="89">
        <v>1</v>
      </c>
      <c r="H38" s="90" t="s">
        <v>738</v>
      </c>
    </row>
    <row r="39" spans="1:8" ht="18" x14ac:dyDescent="0.3">
      <c r="A39" s="97">
        <v>45991</v>
      </c>
      <c r="B39" s="98" t="s">
        <v>249</v>
      </c>
      <c r="C39" s="99" t="s">
        <v>705</v>
      </c>
      <c r="D39" s="98" t="s">
        <v>696</v>
      </c>
      <c r="E39" s="100">
        <v>1.9201388888888891</v>
      </c>
      <c r="F39" s="98" t="s">
        <v>191</v>
      </c>
      <c r="G39" s="101">
        <v>2</v>
      </c>
      <c r="H39" s="98" t="s">
        <v>739</v>
      </c>
    </row>
    <row r="40" spans="1:8" ht="18" x14ac:dyDescent="0.3">
      <c r="A40" s="96">
        <v>45991</v>
      </c>
      <c r="B40" s="86" t="s">
        <v>246</v>
      </c>
      <c r="C40" s="87" t="s">
        <v>740</v>
      </c>
      <c r="D40" s="86" t="s">
        <v>696</v>
      </c>
      <c r="E40" s="88">
        <v>1.4826388888888891</v>
      </c>
      <c r="F40" s="86" t="s">
        <v>191</v>
      </c>
      <c r="G40" s="89">
        <v>8</v>
      </c>
      <c r="H40" s="86" t="s">
        <v>741</v>
      </c>
    </row>
    <row r="41" spans="1:8" ht="18" x14ac:dyDescent="0.3">
      <c r="A41" s="97">
        <v>45991</v>
      </c>
      <c r="B41" s="98" t="s">
        <v>246</v>
      </c>
      <c r="C41" s="99" t="s">
        <v>699</v>
      </c>
      <c r="D41" s="98" t="s">
        <v>696</v>
      </c>
      <c r="E41" s="100">
        <v>1.756944444444444</v>
      </c>
      <c r="F41" s="98" t="s">
        <v>191</v>
      </c>
      <c r="G41" s="101">
        <v>9</v>
      </c>
      <c r="H41" s="98" t="s">
        <v>726</v>
      </c>
    </row>
    <row r="42" spans="1:8" ht="18" x14ac:dyDescent="0.3">
      <c r="A42" s="96">
        <v>45991</v>
      </c>
      <c r="B42" s="86" t="s">
        <v>25</v>
      </c>
      <c r="C42" s="87" t="s">
        <v>711</v>
      </c>
      <c r="D42" s="86" t="s">
        <v>696</v>
      </c>
      <c r="E42" s="88">
        <v>1.447916666666667</v>
      </c>
      <c r="F42" s="86" t="s">
        <v>27</v>
      </c>
      <c r="G42" s="89">
        <v>2</v>
      </c>
      <c r="H42" s="86" t="s">
        <v>728</v>
      </c>
    </row>
    <row r="43" spans="1:8" ht="18" x14ac:dyDescent="0.3">
      <c r="A43" s="91">
        <v>45991</v>
      </c>
      <c r="B43" s="92" t="s">
        <v>25</v>
      </c>
      <c r="C43" s="93" t="s">
        <v>711</v>
      </c>
      <c r="D43" s="92" t="s">
        <v>696</v>
      </c>
      <c r="E43" s="94">
        <v>1.447916666666667</v>
      </c>
      <c r="F43" s="92" t="s">
        <v>30</v>
      </c>
      <c r="G43" s="95">
        <v>2</v>
      </c>
      <c r="H43" s="92" t="s">
        <v>729</v>
      </c>
    </row>
    <row r="44" spans="1:8" ht="18" x14ac:dyDescent="0.3">
      <c r="A44" s="91">
        <v>45991</v>
      </c>
      <c r="B44" s="92" t="s">
        <v>25</v>
      </c>
      <c r="C44" s="93" t="s">
        <v>711</v>
      </c>
      <c r="D44" s="92" t="s">
        <v>696</v>
      </c>
      <c r="E44" s="94">
        <v>1.447916666666667</v>
      </c>
      <c r="F44" s="92" t="s">
        <v>33</v>
      </c>
      <c r="G44" s="95">
        <v>2</v>
      </c>
      <c r="H44" s="92" t="s">
        <v>742</v>
      </c>
    </row>
    <row r="45" spans="1:8" ht="18" x14ac:dyDescent="0.3">
      <c r="A45" s="96">
        <v>45991</v>
      </c>
      <c r="B45" s="86" t="s">
        <v>35</v>
      </c>
      <c r="C45" s="87" t="s">
        <v>709</v>
      </c>
      <c r="D45" s="86" t="s">
        <v>696</v>
      </c>
      <c r="E45" s="88">
        <v>1.9722222222222221</v>
      </c>
      <c r="F45" s="86" t="s">
        <v>37</v>
      </c>
      <c r="G45" s="89">
        <v>9</v>
      </c>
      <c r="H45" s="86" t="s">
        <v>80</v>
      </c>
    </row>
    <row r="46" spans="1:8" ht="18" x14ac:dyDescent="0.3">
      <c r="A46" s="91">
        <v>45991</v>
      </c>
      <c r="B46" s="92" t="s">
        <v>35</v>
      </c>
      <c r="C46" s="93" t="s">
        <v>709</v>
      </c>
      <c r="D46" s="92" t="s">
        <v>696</v>
      </c>
      <c r="E46" s="94">
        <v>1.9722222222222221</v>
      </c>
      <c r="F46" s="92" t="s">
        <v>40</v>
      </c>
      <c r="G46" s="95">
        <v>9</v>
      </c>
      <c r="H46" s="92" t="s">
        <v>295</v>
      </c>
    </row>
    <row r="47" spans="1:8" ht="18" x14ac:dyDescent="0.3">
      <c r="A47" s="91">
        <v>45991</v>
      </c>
      <c r="B47" s="92" t="s">
        <v>35</v>
      </c>
      <c r="C47" s="93" t="s">
        <v>709</v>
      </c>
      <c r="D47" s="92" t="s">
        <v>696</v>
      </c>
      <c r="E47" s="94">
        <v>1.9722222222222221</v>
      </c>
      <c r="F47" s="92" t="s">
        <v>43</v>
      </c>
      <c r="G47" s="95">
        <v>9</v>
      </c>
      <c r="H47" s="92" t="s">
        <v>296</v>
      </c>
    </row>
    <row r="48" spans="1:8" ht="18" x14ac:dyDescent="0.3">
      <c r="A48" s="96">
        <v>45991</v>
      </c>
      <c r="B48" s="86" t="s">
        <v>49</v>
      </c>
      <c r="C48" s="87" t="s">
        <v>723</v>
      </c>
      <c r="D48" s="86" t="s">
        <v>696</v>
      </c>
      <c r="E48" s="88">
        <v>1.447916666666667</v>
      </c>
      <c r="F48" s="86" t="s">
        <v>51</v>
      </c>
      <c r="G48" s="89">
        <v>4</v>
      </c>
      <c r="H48" s="86" t="s">
        <v>737</v>
      </c>
    </row>
    <row r="49" spans="1:8" ht="18" x14ac:dyDescent="0.3">
      <c r="A49" s="96">
        <v>45991</v>
      </c>
      <c r="B49" s="86" t="s">
        <v>70</v>
      </c>
      <c r="C49" s="87" t="s">
        <v>721</v>
      </c>
      <c r="D49" s="86" t="s">
        <v>696</v>
      </c>
      <c r="E49" s="88">
        <v>1.979166666666667</v>
      </c>
      <c r="F49" s="86" t="s">
        <v>72</v>
      </c>
      <c r="G49" s="89">
        <v>8</v>
      </c>
      <c r="H49" s="86" t="s">
        <v>722</v>
      </c>
    </row>
    <row r="50" spans="1:8" ht="18" x14ac:dyDescent="0.3">
      <c r="A50" s="106">
        <v>45991</v>
      </c>
      <c r="B50" s="107" t="s">
        <v>70</v>
      </c>
      <c r="C50" s="108" t="s">
        <v>719</v>
      </c>
      <c r="D50" s="107" t="s">
        <v>696</v>
      </c>
      <c r="E50" s="109">
        <v>1.6736111111111109</v>
      </c>
      <c r="F50" s="107" t="s">
        <v>72</v>
      </c>
      <c r="G50" s="110">
        <v>4</v>
      </c>
      <c r="H50" s="107" t="s">
        <v>722</v>
      </c>
    </row>
  </sheetData>
  <dataValidations count="3">
    <dataValidation type="custom" allowBlank="1" showInputMessage="1" promptTitle="LOAD FACTOR ANALYSIS" prompt="SM-433_x000d__x000a_LF 93.9%_x000d__x000a_SOLD 169_x000d__x000a_LST-SOLD 25NOV_x000d__x000a_WEEKLY 43_x000d__x000a_TO-DAY NIL_x000d__x000a_Y-DAY 2_x000d__x000a_LOWEST AVAIL Q2_x000d__x000a_CAPACITY 180_x000d__x000a_CLASSES M1 &amp; H10 &amp; Q51 &amp; +11 more" sqref="A16 B16 C16 D16 E16 F16 G16 H16" xr:uid="{00000000-0002-0000-2700-000000000000}">
      <formula1>TRUE</formula1>
    </dataValidation>
    <dataValidation type="custom" allowBlank="1" showInputMessage="1" promptTitle="LOAD FACTOR ANALYSIS" prompt="SM433_x000d__x000a_LF 81.7%_x000d__x000a_SOLD 147_x000d__x000a_LST-SOLD 25NOV_x000d__x000a_WEEKLY 18_x000d__x000a_TO-DAY NIL_x000d__x000a_Y-DAY 1_x000d__x000a_LOWEST AVAIL H1_x000d__x000a_CAPACITY 180_x000d__x000a_CLASSES M8 &amp; H25 &amp; Q3 &amp; +11 more" sqref="A21 B21 C21 D21 E21 F21 G21 H21" xr:uid="{00000000-0002-0000-2700-000001000000}">
      <formula1>TRUE</formula1>
    </dataValidation>
    <dataValidation type="custom" allowBlank="1" showInputMessage="1" promptTitle="LOAD FACTOR ANALYSIS" prompt="SM-433_x000d__x000a_LF 75.0%_x000d__x000a_SOLD 135_x000d__x000a_LST-SOLD 25NOV_x000d__x000a_WEEKLY 14_x000d__x000a_TO-DAY NIL_x000d__x000a_Y-DAY 3_x000d__x000a_LOWEST AVAIL M6_x000d__x000a_CAPACITY 180_x000d__x000a_CLASSES B1 &amp; M31 &amp; H21 &amp; +11 more" sqref="A33 B33 C33 D33 E33 F33 G33 H33" xr:uid="{00000000-0002-0000-2700-000002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N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7.332031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94.3320312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761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45987.359194827273</v>
      </c>
      <c r="H2" s="279"/>
      <c r="I2" s="279"/>
      <c r="J2" s="279"/>
      <c r="K2" s="288">
        <v>45987.359194827914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2" t="s">
        <v>5</v>
      </c>
      <c r="B4" s="283"/>
      <c r="C4" s="283"/>
      <c r="D4" s="283"/>
      <c r="E4" s="283"/>
      <c r="F4" s="283"/>
      <c r="G4" s="5">
        <v>45989</v>
      </c>
      <c r="H4" s="294" t="s">
        <v>6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156" t="s">
        <v>59</v>
      </c>
      <c r="B6" s="156" t="s">
        <v>762</v>
      </c>
      <c r="C6" s="157">
        <v>7.2916666666666671E-2</v>
      </c>
      <c r="D6" s="156" t="s">
        <v>191</v>
      </c>
      <c r="E6" s="156" t="s">
        <v>159</v>
      </c>
      <c r="F6" s="156" t="s">
        <v>763</v>
      </c>
      <c r="G6" s="302"/>
      <c r="H6" s="47" t="s">
        <v>764</v>
      </c>
      <c r="I6" s="48">
        <v>0.97219999999999995</v>
      </c>
      <c r="J6" s="49">
        <v>175</v>
      </c>
      <c r="K6" s="50">
        <v>45986</v>
      </c>
      <c r="L6" s="49">
        <v>42</v>
      </c>
      <c r="M6" s="49">
        <v>0</v>
      </c>
      <c r="N6" s="49">
        <v>7</v>
      </c>
      <c r="O6" s="51" t="s">
        <v>765</v>
      </c>
      <c r="P6" s="52">
        <v>7.2916666666666671E-2</v>
      </c>
      <c r="Q6" s="49">
        <v>180</v>
      </c>
      <c r="R6" s="53" t="s">
        <v>766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4.4" customHeight="1" x14ac:dyDescent="0.3">
      <c r="A7" s="272"/>
      <c r="B7" s="273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</sheetData>
  <mergeCells count="13">
    <mergeCell ref="A2:F2"/>
    <mergeCell ref="A3:R3"/>
    <mergeCell ref="O1:Q1"/>
    <mergeCell ref="H4:R4"/>
    <mergeCell ref="A7:R7"/>
    <mergeCell ref="A1:C1"/>
    <mergeCell ref="G1:H1"/>
    <mergeCell ref="K2:R2"/>
    <mergeCell ref="G2:J2"/>
    <mergeCell ref="A4:F4"/>
    <mergeCell ref="D1:F1"/>
    <mergeCell ref="J1:M1"/>
    <mergeCell ref="G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I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9.77734375" bestFit="1" customWidth="1"/>
    <col min="3" max="3" width="9.33203125" bestFit="1" customWidth="1"/>
    <col min="4" max="4" width="8.77734375" bestFit="1" customWidth="1"/>
    <col min="5" max="5" width="12.7773437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  <row r="2" spans="1:35" ht="18" x14ac:dyDescent="0.3">
      <c r="A2" s="65" t="s">
        <v>346</v>
      </c>
      <c r="B2" s="66">
        <v>45989</v>
      </c>
      <c r="C2" s="67" t="s">
        <v>764</v>
      </c>
      <c r="D2" s="68">
        <v>7.2916666666666671E-2</v>
      </c>
      <c r="E2" s="67" t="s">
        <v>761</v>
      </c>
      <c r="F2" s="67" t="s">
        <v>134</v>
      </c>
      <c r="G2" s="69">
        <v>0.97219999999999995</v>
      </c>
      <c r="H2" s="70">
        <v>180</v>
      </c>
      <c r="I2" s="70">
        <v>175</v>
      </c>
      <c r="J2" s="70">
        <v>0</v>
      </c>
      <c r="K2" s="66">
        <v>45986</v>
      </c>
      <c r="L2" s="70">
        <v>0</v>
      </c>
      <c r="M2" s="70">
        <v>7</v>
      </c>
      <c r="N2" s="70">
        <v>42</v>
      </c>
      <c r="O2" s="67" t="s">
        <v>765</v>
      </c>
      <c r="P2" s="70" t="s">
        <v>520</v>
      </c>
      <c r="Q2" s="71"/>
      <c r="R2" s="70" t="s">
        <v>767</v>
      </c>
      <c r="S2" s="70" t="s">
        <v>580</v>
      </c>
      <c r="T2" s="70" t="s">
        <v>768</v>
      </c>
      <c r="U2" s="70" t="s">
        <v>370</v>
      </c>
      <c r="V2" s="70" t="s">
        <v>311</v>
      </c>
      <c r="W2" s="70" t="s">
        <v>391</v>
      </c>
      <c r="X2" s="70" t="s">
        <v>406</v>
      </c>
      <c r="Y2" s="70" t="s">
        <v>769</v>
      </c>
      <c r="Z2" s="70" t="s">
        <v>382</v>
      </c>
      <c r="AA2" s="70" t="s">
        <v>770</v>
      </c>
      <c r="AB2" s="70" t="s">
        <v>414</v>
      </c>
      <c r="AC2" s="70" t="s">
        <v>203</v>
      </c>
      <c r="AD2" s="70" t="s">
        <v>204</v>
      </c>
      <c r="AE2" s="70" t="s">
        <v>513</v>
      </c>
      <c r="AF2" s="71"/>
      <c r="AG2" s="71"/>
      <c r="AH2" s="71"/>
      <c r="AI2" s="71"/>
    </row>
    <row r="3" spans="1:35" ht="18" x14ac:dyDescent="0.3">
      <c r="A3" s="79" t="s">
        <v>151</v>
      </c>
      <c r="B3" s="80"/>
      <c r="C3" s="81">
        <f>COUNTA(C2:C2)</f>
        <v>1</v>
      </c>
      <c r="D3" s="80"/>
      <c r="E3" s="80"/>
      <c r="F3" s="80"/>
      <c r="G3" s="82">
        <f>AVERAGE(G2:G2)</f>
        <v>0.97219999999999995</v>
      </c>
      <c r="H3" s="83">
        <f>SUM(H2:H2)</f>
        <v>180</v>
      </c>
      <c r="I3" s="83">
        <f>SUM(I2:I2)</f>
        <v>175</v>
      </c>
      <c r="J3" s="83">
        <f>SUM(J2:J2)</f>
        <v>0</v>
      </c>
      <c r="K3" s="80"/>
      <c r="L3" s="83">
        <f>SUM(L2:L2)</f>
        <v>0</v>
      </c>
      <c r="M3" s="83">
        <f>SUM(M2:M2)</f>
        <v>7</v>
      </c>
      <c r="N3" s="83">
        <f>SUM(N2:N2)</f>
        <v>42</v>
      </c>
      <c r="O3" s="80"/>
      <c r="P3" s="83">
        <f t="shared" ref="P3:AI3" si="0">SUMPRODUCT(--IFERROR(VALUE(SUBSTITUTE(SUBSTITUTE(SUBSTITUTE(SUBSTITUTE(SUBSTITUTE(SUBSTITUTE(SUBSTITUTE(SUBSTITUTE(SUBSTITUTE(SUBSTITUTE(SUBSTITUTE(SUBSTITUTE(SUBSTITUTE(SUBSTITUTE(SUBSTITUTE(SUBSTITUTE(SUBSTITUTE(SUBSTITUTE(SUBSTITUTE(SUBSTITUTE(P2:P2,"Y",""),"B",""),"M",""),"H",""),"Q",""),"K",""),"V",""),"L",""),"G",""),"S",""),"W",""),"T",""),"X",""),"U",""),"O",""),"I",""),"E",""),"A",""),"P",""),"N","")),0))</f>
        <v>2</v>
      </c>
      <c r="Q3" s="83">
        <f t="shared" si="0"/>
        <v>0</v>
      </c>
      <c r="R3" s="83">
        <f t="shared" si="0"/>
        <v>2</v>
      </c>
      <c r="S3" s="83">
        <f t="shared" si="0"/>
        <v>9</v>
      </c>
      <c r="T3" s="83">
        <f t="shared" si="0"/>
        <v>7</v>
      </c>
      <c r="U3" s="83">
        <f t="shared" si="0"/>
        <v>15</v>
      </c>
      <c r="V3" s="83">
        <f t="shared" si="0"/>
        <v>10</v>
      </c>
      <c r="W3" s="83">
        <f t="shared" si="0"/>
        <v>15</v>
      </c>
      <c r="X3" s="83">
        <f t="shared" si="0"/>
        <v>31</v>
      </c>
      <c r="Y3" s="83">
        <f t="shared" si="0"/>
        <v>16</v>
      </c>
      <c r="Z3" s="83">
        <f t="shared" si="0"/>
        <v>19</v>
      </c>
      <c r="AA3" s="83">
        <f t="shared" si="0"/>
        <v>19</v>
      </c>
      <c r="AB3" s="83">
        <f t="shared" si="0"/>
        <v>20</v>
      </c>
      <c r="AC3" s="83">
        <f t="shared" si="0"/>
        <v>5</v>
      </c>
      <c r="AD3" s="83">
        <f t="shared" si="0"/>
        <v>4</v>
      </c>
      <c r="AE3" s="83">
        <f t="shared" si="0"/>
        <v>1</v>
      </c>
      <c r="AF3" s="83">
        <f t="shared" si="0"/>
        <v>0</v>
      </c>
      <c r="AG3" s="83">
        <f t="shared" si="0"/>
        <v>0</v>
      </c>
      <c r="AH3" s="83">
        <f t="shared" si="0"/>
        <v>0</v>
      </c>
      <c r="AI3" s="83">
        <f t="shared" si="0"/>
        <v>0</v>
      </c>
    </row>
  </sheetData>
  <autoFilter ref="A1:AI2" xr:uid="{00000000-0009-0000-0000-000029000000}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35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2.77734375" bestFit="1" customWidth="1"/>
    <col min="5" max="5" width="34.109375" bestFit="1" customWidth="1"/>
    <col min="6" max="6" width="37.109375" bestFit="1" customWidth="1"/>
    <col min="7" max="7" width="16.88671875" bestFit="1" customWidth="1"/>
    <col min="8" max="8" width="19.664062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  <row r="2" spans="1:8" ht="15.6" x14ac:dyDescent="0.3">
      <c r="A2" s="151"/>
      <c r="B2" s="151"/>
      <c r="C2" s="151"/>
      <c r="D2" s="151"/>
      <c r="E2" s="152" t="s">
        <v>771</v>
      </c>
      <c r="F2" s="151"/>
      <c r="G2" s="151"/>
      <c r="H2" s="3"/>
    </row>
    <row r="3" spans="1:8" ht="18" x14ac:dyDescent="0.3">
      <c r="A3" s="85">
        <v>45988</v>
      </c>
      <c r="B3" s="86" t="s">
        <v>246</v>
      </c>
      <c r="C3" s="87" t="s">
        <v>697</v>
      </c>
      <c r="D3" s="86" t="s">
        <v>696</v>
      </c>
      <c r="E3" s="88">
        <v>1.756944444444444</v>
      </c>
      <c r="F3" s="86" t="s">
        <v>191</v>
      </c>
      <c r="G3" s="89">
        <v>1</v>
      </c>
      <c r="H3" s="90" t="s">
        <v>698</v>
      </c>
    </row>
    <row r="4" spans="1:8" ht="18" x14ac:dyDescent="0.3">
      <c r="A4" s="97">
        <v>45988</v>
      </c>
      <c r="B4" s="98" t="s">
        <v>246</v>
      </c>
      <c r="C4" s="99" t="s">
        <v>699</v>
      </c>
      <c r="D4" s="98" t="s">
        <v>696</v>
      </c>
      <c r="E4" s="100">
        <v>1.3611111111111109</v>
      </c>
      <c r="F4" s="98" t="s">
        <v>191</v>
      </c>
      <c r="G4" s="101">
        <v>9</v>
      </c>
      <c r="H4" s="98" t="s">
        <v>700</v>
      </c>
    </row>
    <row r="5" spans="1:8" ht="18" x14ac:dyDescent="0.3">
      <c r="A5" s="96">
        <v>45988</v>
      </c>
      <c r="B5" s="86" t="s">
        <v>249</v>
      </c>
      <c r="C5" s="87" t="s">
        <v>701</v>
      </c>
      <c r="D5" s="86" t="s">
        <v>696</v>
      </c>
      <c r="E5" s="88">
        <v>1.680555555555556</v>
      </c>
      <c r="F5" s="86" t="s">
        <v>191</v>
      </c>
      <c r="G5" s="89">
        <v>1</v>
      </c>
      <c r="H5" s="86" t="s">
        <v>702</v>
      </c>
    </row>
    <row r="6" spans="1:8" ht="18" x14ac:dyDescent="0.3">
      <c r="A6" s="97">
        <v>45988</v>
      </c>
      <c r="B6" s="98" t="s">
        <v>249</v>
      </c>
      <c r="C6" s="99" t="s">
        <v>703</v>
      </c>
      <c r="D6" s="98" t="s">
        <v>696</v>
      </c>
      <c r="E6" s="100">
        <v>1.9652777777777779</v>
      </c>
      <c r="F6" s="98" t="s">
        <v>191</v>
      </c>
      <c r="G6" s="101">
        <v>1</v>
      </c>
      <c r="H6" s="98" t="s">
        <v>704</v>
      </c>
    </row>
    <row r="7" spans="1:8" ht="18" x14ac:dyDescent="0.3">
      <c r="A7" s="97">
        <v>45988</v>
      </c>
      <c r="B7" s="98" t="s">
        <v>249</v>
      </c>
      <c r="C7" s="99" t="s">
        <v>705</v>
      </c>
      <c r="D7" s="98" t="s">
        <v>696</v>
      </c>
      <c r="E7" s="100">
        <v>1.0763888888888891</v>
      </c>
      <c r="F7" s="98" t="s">
        <v>191</v>
      </c>
      <c r="G7" s="101">
        <v>8</v>
      </c>
      <c r="H7" s="98" t="s">
        <v>704</v>
      </c>
    </row>
    <row r="8" spans="1:8" ht="18" x14ac:dyDescent="0.3">
      <c r="A8" s="96">
        <v>45988</v>
      </c>
      <c r="B8" s="86" t="s">
        <v>35</v>
      </c>
      <c r="C8" s="87" t="s">
        <v>706</v>
      </c>
      <c r="D8" s="86" t="s">
        <v>696</v>
      </c>
      <c r="E8" s="88">
        <v>1.336805555555556</v>
      </c>
      <c r="F8" s="86" t="s">
        <v>37</v>
      </c>
      <c r="G8" s="89">
        <v>1</v>
      </c>
      <c r="H8" s="86" t="s">
        <v>707</v>
      </c>
    </row>
    <row r="9" spans="1:8" ht="18" x14ac:dyDescent="0.3">
      <c r="A9" s="91">
        <v>45988</v>
      </c>
      <c r="B9" s="92" t="s">
        <v>35</v>
      </c>
      <c r="C9" s="93" t="s">
        <v>706</v>
      </c>
      <c r="D9" s="92" t="s">
        <v>696</v>
      </c>
      <c r="E9" s="94">
        <v>1.336805555555556</v>
      </c>
      <c r="F9" s="92" t="s">
        <v>40</v>
      </c>
      <c r="G9" s="95">
        <v>1</v>
      </c>
      <c r="H9" s="92" t="s">
        <v>708</v>
      </c>
    </row>
    <row r="10" spans="1:8" ht="18" x14ac:dyDescent="0.3">
      <c r="A10" s="96">
        <v>45988</v>
      </c>
      <c r="B10" s="86" t="s">
        <v>25</v>
      </c>
      <c r="C10" s="87" t="s">
        <v>711</v>
      </c>
      <c r="D10" s="86" t="s">
        <v>696</v>
      </c>
      <c r="E10" s="88">
        <v>1.447916666666667</v>
      </c>
      <c r="F10" s="86" t="s">
        <v>27</v>
      </c>
      <c r="G10" s="89">
        <v>1</v>
      </c>
      <c r="H10" s="86" t="s">
        <v>224</v>
      </c>
    </row>
    <row r="11" spans="1:8" ht="18" x14ac:dyDescent="0.3">
      <c r="A11" s="91">
        <v>45988</v>
      </c>
      <c r="B11" s="92" t="s">
        <v>25</v>
      </c>
      <c r="C11" s="93" t="s">
        <v>711</v>
      </c>
      <c r="D11" s="92" t="s">
        <v>696</v>
      </c>
      <c r="E11" s="94">
        <v>1.447916666666667</v>
      </c>
      <c r="F11" s="92" t="s">
        <v>30</v>
      </c>
      <c r="G11" s="95">
        <v>1</v>
      </c>
      <c r="H11" s="92" t="s">
        <v>88</v>
      </c>
    </row>
    <row r="12" spans="1:8" ht="18" x14ac:dyDescent="0.3">
      <c r="A12" s="102">
        <v>45988</v>
      </c>
      <c r="B12" s="103" t="s">
        <v>59</v>
      </c>
      <c r="C12" s="104" t="s">
        <v>712</v>
      </c>
      <c r="D12" s="103" t="s">
        <v>696</v>
      </c>
      <c r="E12" s="105">
        <v>1.7222222222222221</v>
      </c>
      <c r="F12" s="103" t="s">
        <v>191</v>
      </c>
      <c r="G12" s="257">
        <v>2</v>
      </c>
      <c r="H12" s="103" t="s">
        <v>713</v>
      </c>
    </row>
    <row r="13" spans="1:8" ht="18" x14ac:dyDescent="0.3">
      <c r="A13" s="255">
        <v>45989</v>
      </c>
      <c r="B13" s="103" t="s">
        <v>59</v>
      </c>
      <c r="C13" s="104" t="s">
        <v>762</v>
      </c>
      <c r="D13" s="103" t="s">
        <v>761</v>
      </c>
      <c r="E13" s="105">
        <v>1.072916666666667</v>
      </c>
      <c r="F13" s="103" t="s">
        <v>191</v>
      </c>
      <c r="G13" s="257">
        <v>5</v>
      </c>
      <c r="H13" s="256" t="s">
        <v>763</v>
      </c>
    </row>
    <row r="14" spans="1:8" ht="15.6" x14ac:dyDescent="0.3">
      <c r="A14" s="151"/>
      <c r="B14" s="151"/>
      <c r="C14" s="151"/>
      <c r="D14" s="151"/>
      <c r="E14" s="152" t="s">
        <v>771</v>
      </c>
      <c r="F14" s="151"/>
      <c r="G14" s="151"/>
      <c r="H14" s="3"/>
    </row>
    <row r="15" spans="1:8" ht="18" x14ac:dyDescent="0.3">
      <c r="A15" s="85">
        <v>45990</v>
      </c>
      <c r="B15" s="86" t="s">
        <v>246</v>
      </c>
      <c r="C15" s="87" t="s">
        <v>725</v>
      </c>
      <c r="D15" s="86" t="s">
        <v>696</v>
      </c>
      <c r="E15" s="88">
        <v>1.961805555555556</v>
      </c>
      <c r="F15" s="86" t="s">
        <v>191</v>
      </c>
      <c r="G15" s="89">
        <v>9</v>
      </c>
      <c r="H15" s="90" t="s">
        <v>726</v>
      </c>
    </row>
    <row r="16" spans="1:8" ht="18" x14ac:dyDescent="0.3">
      <c r="A16" s="97">
        <v>45990</v>
      </c>
      <c r="B16" s="98" t="s">
        <v>246</v>
      </c>
      <c r="C16" s="99" t="s">
        <v>697</v>
      </c>
      <c r="D16" s="98" t="s">
        <v>696</v>
      </c>
      <c r="E16" s="100">
        <v>1.694444444444444</v>
      </c>
      <c r="F16" s="98" t="s">
        <v>191</v>
      </c>
      <c r="G16" s="101">
        <v>8</v>
      </c>
      <c r="H16" s="98" t="s">
        <v>727</v>
      </c>
    </row>
    <row r="17" spans="1:8" ht="18" x14ac:dyDescent="0.3">
      <c r="A17" s="96">
        <v>45990</v>
      </c>
      <c r="B17" s="86" t="s">
        <v>25</v>
      </c>
      <c r="C17" s="87" t="s">
        <v>711</v>
      </c>
      <c r="D17" s="86" t="s">
        <v>696</v>
      </c>
      <c r="E17" s="88">
        <v>1.447916666666667</v>
      </c>
      <c r="F17" s="86" t="s">
        <v>27</v>
      </c>
      <c r="G17" s="89">
        <v>5</v>
      </c>
      <c r="H17" s="86" t="s">
        <v>728</v>
      </c>
    </row>
    <row r="18" spans="1:8" ht="18" x14ac:dyDescent="0.3">
      <c r="A18" s="91">
        <v>45990</v>
      </c>
      <c r="B18" s="92" t="s">
        <v>25</v>
      </c>
      <c r="C18" s="93" t="s">
        <v>711</v>
      </c>
      <c r="D18" s="92" t="s">
        <v>696</v>
      </c>
      <c r="E18" s="94">
        <v>1.447916666666667</v>
      </c>
      <c r="F18" s="92" t="s">
        <v>30</v>
      </c>
      <c r="G18" s="95">
        <v>5</v>
      </c>
      <c r="H18" s="92" t="s">
        <v>729</v>
      </c>
    </row>
    <row r="19" spans="1:8" ht="18" x14ac:dyDescent="0.3">
      <c r="A19" s="96">
        <v>45990</v>
      </c>
      <c r="B19" s="86" t="s">
        <v>35</v>
      </c>
      <c r="C19" s="87" t="s">
        <v>706</v>
      </c>
      <c r="D19" s="86" t="s">
        <v>696</v>
      </c>
      <c r="E19" s="88">
        <v>1.336805555555556</v>
      </c>
      <c r="F19" s="86" t="s">
        <v>37</v>
      </c>
      <c r="G19" s="89">
        <v>5</v>
      </c>
      <c r="H19" s="86" t="s">
        <v>80</v>
      </c>
    </row>
    <row r="20" spans="1:8" ht="18" x14ac:dyDescent="0.3">
      <c r="A20" s="91">
        <v>45990</v>
      </c>
      <c r="B20" s="92" t="s">
        <v>35</v>
      </c>
      <c r="C20" s="93" t="s">
        <v>706</v>
      </c>
      <c r="D20" s="92" t="s">
        <v>696</v>
      </c>
      <c r="E20" s="94">
        <v>1.336805555555556</v>
      </c>
      <c r="F20" s="92" t="s">
        <v>40</v>
      </c>
      <c r="G20" s="95">
        <v>5</v>
      </c>
      <c r="H20" s="92" t="s">
        <v>295</v>
      </c>
    </row>
    <row r="21" spans="1:8" ht="18" x14ac:dyDescent="0.3">
      <c r="A21" s="97">
        <v>45990</v>
      </c>
      <c r="B21" s="98" t="s">
        <v>35</v>
      </c>
      <c r="C21" s="99" t="s">
        <v>709</v>
      </c>
      <c r="D21" s="98" t="s">
        <v>696</v>
      </c>
      <c r="E21" s="100">
        <v>1.9722222222222221</v>
      </c>
      <c r="F21" s="98" t="s">
        <v>37</v>
      </c>
      <c r="G21" s="101">
        <v>6</v>
      </c>
      <c r="H21" s="98" t="s">
        <v>80</v>
      </c>
    </row>
    <row r="22" spans="1:8" ht="18" x14ac:dyDescent="0.3">
      <c r="A22" s="91">
        <v>45990</v>
      </c>
      <c r="B22" s="92" t="s">
        <v>35</v>
      </c>
      <c r="C22" s="93" t="s">
        <v>709</v>
      </c>
      <c r="D22" s="92" t="s">
        <v>696</v>
      </c>
      <c r="E22" s="94">
        <v>1.9722222222222221</v>
      </c>
      <c r="F22" s="92" t="s">
        <v>40</v>
      </c>
      <c r="G22" s="95">
        <v>6</v>
      </c>
      <c r="H22" s="92" t="s">
        <v>295</v>
      </c>
    </row>
    <row r="23" spans="1:8" ht="18" x14ac:dyDescent="0.3">
      <c r="A23" s="147">
        <v>45990</v>
      </c>
      <c r="B23" s="148" t="s">
        <v>59</v>
      </c>
      <c r="C23" s="149" t="s">
        <v>712</v>
      </c>
      <c r="D23" s="148" t="s">
        <v>696</v>
      </c>
      <c r="E23" s="150">
        <v>1.7222222222222221</v>
      </c>
      <c r="F23" s="148" t="s">
        <v>191</v>
      </c>
      <c r="G23" s="155">
        <v>6</v>
      </c>
      <c r="H23" s="148" t="s">
        <v>731</v>
      </c>
    </row>
    <row r="24" spans="1:8" ht="18" x14ac:dyDescent="0.3">
      <c r="A24" s="254">
        <v>45990</v>
      </c>
      <c r="B24" s="241" t="s">
        <v>283</v>
      </c>
      <c r="C24" s="242" t="s">
        <v>734</v>
      </c>
      <c r="D24" s="241" t="s">
        <v>696</v>
      </c>
      <c r="E24" s="243">
        <v>1.7465277777777779</v>
      </c>
      <c r="F24" s="241" t="s">
        <v>285</v>
      </c>
      <c r="G24" s="244">
        <v>9</v>
      </c>
      <c r="H24" s="241" t="s">
        <v>735</v>
      </c>
    </row>
    <row r="25" spans="1:8" ht="15.6" x14ac:dyDescent="0.3">
      <c r="A25" s="151"/>
      <c r="B25" s="151"/>
      <c r="C25" s="151"/>
      <c r="D25" s="151"/>
      <c r="E25" s="152" t="s">
        <v>771</v>
      </c>
      <c r="F25" s="151"/>
      <c r="G25" s="151"/>
      <c r="H25" s="3"/>
    </row>
    <row r="26" spans="1:8" ht="18" x14ac:dyDescent="0.3">
      <c r="A26" s="85">
        <v>45991</v>
      </c>
      <c r="B26" s="86" t="s">
        <v>249</v>
      </c>
      <c r="C26" s="87" t="s">
        <v>703</v>
      </c>
      <c r="D26" s="86" t="s">
        <v>696</v>
      </c>
      <c r="E26" s="88">
        <v>1.006944444444444</v>
      </c>
      <c r="F26" s="86" t="s">
        <v>191</v>
      </c>
      <c r="G26" s="89">
        <v>1</v>
      </c>
      <c r="H26" s="90" t="s">
        <v>738</v>
      </c>
    </row>
    <row r="27" spans="1:8" ht="18" x14ac:dyDescent="0.3">
      <c r="A27" s="97">
        <v>45991</v>
      </c>
      <c r="B27" s="98" t="s">
        <v>249</v>
      </c>
      <c r="C27" s="99" t="s">
        <v>705</v>
      </c>
      <c r="D27" s="98" t="s">
        <v>696</v>
      </c>
      <c r="E27" s="100">
        <v>1.9201388888888891</v>
      </c>
      <c r="F27" s="98" t="s">
        <v>191</v>
      </c>
      <c r="G27" s="101">
        <v>2</v>
      </c>
      <c r="H27" s="98" t="s">
        <v>739</v>
      </c>
    </row>
    <row r="28" spans="1:8" ht="18" x14ac:dyDescent="0.3">
      <c r="A28" s="96">
        <v>45991</v>
      </c>
      <c r="B28" s="86" t="s">
        <v>246</v>
      </c>
      <c r="C28" s="87" t="s">
        <v>740</v>
      </c>
      <c r="D28" s="86" t="s">
        <v>696</v>
      </c>
      <c r="E28" s="88">
        <v>1.4826388888888891</v>
      </c>
      <c r="F28" s="86" t="s">
        <v>191</v>
      </c>
      <c r="G28" s="89">
        <v>8</v>
      </c>
      <c r="H28" s="86" t="s">
        <v>741</v>
      </c>
    </row>
    <row r="29" spans="1:8" ht="18" x14ac:dyDescent="0.3">
      <c r="A29" s="97">
        <v>45991</v>
      </c>
      <c r="B29" s="98" t="s">
        <v>246</v>
      </c>
      <c r="C29" s="99" t="s">
        <v>699</v>
      </c>
      <c r="D29" s="98" t="s">
        <v>696</v>
      </c>
      <c r="E29" s="100">
        <v>1.756944444444444</v>
      </c>
      <c r="F29" s="98" t="s">
        <v>191</v>
      </c>
      <c r="G29" s="101">
        <v>9</v>
      </c>
      <c r="H29" s="98" t="s">
        <v>726</v>
      </c>
    </row>
    <row r="30" spans="1:8" ht="18" x14ac:dyDescent="0.3">
      <c r="A30" s="96">
        <v>45991</v>
      </c>
      <c r="B30" s="86" t="s">
        <v>25</v>
      </c>
      <c r="C30" s="87" t="s">
        <v>711</v>
      </c>
      <c r="D30" s="86" t="s">
        <v>696</v>
      </c>
      <c r="E30" s="88">
        <v>1.447916666666667</v>
      </c>
      <c r="F30" s="86" t="s">
        <v>27</v>
      </c>
      <c r="G30" s="89">
        <v>2</v>
      </c>
      <c r="H30" s="86" t="s">
        <v>728</v>
      </c>
    </row>
    <row r="31" spans="1:8" ht="18" x14ac:dyDescent="0.3">
      <c r="A31" s="91">
        <v>45991</v>
      </c>
      <c r="B31" s="92" t="s">
        <v>25</v>
      </c>
      <c r="C31" s="93" t="s">
        <v>711</v>
      </c>
      <c r="D31" s="92" t="s">
        <v>696</v>
      </c>
      <c r="E31" s="94">
        <v>1.447916666666667</v>
      </c>
      <c r="F31" s="92" t="s">
        <v>30</v>
      </c>
      <c r="G31" s="95">
        <v>2</v>
      </c>
      <c r="H31" s="92" t="s">
        <v>729</v>
      </c>
    </row>
    <row r="32" spans="1:8" ht="18" x14ac:dyDescent="0.3">
      <c r="A32" s="96">
        <v>45991</v>
      </c>
      <c r="B32" s="86" t="s">
        <v>35</v>
      </c>
      <c r="C32" s="87" t="s">
        <v>709</v>
      </c>
      <c r="D32" s="86" t="s">
        <v>696</v>
      </c>
      <c r="E32" s="88">
        <v>1.9722222222222221</v>
      </c>
      <c r="F32" s="86" t="s">
        <v>37</v>
      </c>
      <c r="G32" s="89">
        <v>9</v>
      </c>
      <c r="H32" s="86" t="s">
        <v>80</v>
      </c>
    </row>
    <row r="33" spans="1:8" ht="18" x14ac:dyDescent="0.3">
      <c r="A33" s="91">
        <v>45991</v>
      </c>
      <c r="B33" s="92" t="s">
        <v>35</v>
      </c>
      <c r="C33" s="93" t="s">
        <v>709</v>
      </c>
      <c r="D33" s="92" t="s">
        <v>696</v>
      </c>
      <c r="E33" s="94">
        <v>1.9722222222222221</v>
      </c>
      <c r="F33" s="92" t="s">
        <v>40</v>
      </c>
      <c r="G33" s="95">
        <v>9</v>
      </c>
      <c r="H33" s="92" t="s">
        <v>295</v>
      </c>
    </row>
    <row r="34" spans="1:8" ht="18" x14ac:dyDescent="0.3">
      <c r="A34" s="91">
        <v>45991</v>
      </c>
      <c r="B34" s="92" t="s">
        <v>35</v>
      </c>
      <c r="C34" s="93" t="s">
        <v>709</v>
      </c>
      <c r="D34" s="92" t="s">
        <v>696</v>
      </c>
      <c r="E34" s="94">
        <v>1.9722222222222221</v>
      </c>
      <c r="F34" s="92" t="s">
        <v>43</v>
      </c>
      <c r="G34" s="95">
        <v>9</v>
      </c>
      <c r="H34" s="92" t="s">
        <v>296</v>
      </c>
    </row>
    <row r="35" spans="1:8" ht="18" x14ac:dyDescent="0.3">
      <c r="A35" s="254">
        <v>45991</v>
      </c>
      <c r="B35" s="241" t="s">
        <v>49</v>
      </c>
      <c r="C35" s="242" t="s">
        <v>723</v>
      </c>
      <c r="D35" s="241" t="s">
        <v>696</v>
      </c>
      <c r="E35" s="243">
        <v>1.447916666666667</v>
      </c>
      <c r="F35" s="241" t="s">
        <v>51</v>
      </c>
      <c r="G35" s="244">
        <v>4</v>
      </c>
      <c r="H35" s="241" t="s">
        <v>737</v>
      </c>
    </row>
  </sheetData>
  <dataValidations count="2">
    <dataValidation type="custom" allowBlank="1" showInputMessage="1" promptTitle="LOAD FACTOR ANALYSIS" prompt="SM-433_x000d__x000a_LF -_x000d__x000a_SOLD -_x000d__x000a_LST-SOLD -_x000d__x000a_WEEKLY -_x000d__x000a_TO-DAY -_x000d__x000a_Y-DAY -_x000d__x000a_LOWEST AVAIL -_x000d__x000a_CAPACITY -_x000d__x000a_CLASSES -" sqref="A12 A23 B12 B23 C12 C23 D12 D23 E12 E23 F12 F23 G12 G23 H12 H23" xr:uid="{00000000-0002-0000-2A00-000000000000}">
      <formula1>TRUE</formula1>
    </dataValidation>
    <dataValidation type="custom" allowBlank="1" showInputMessage="1" promptTitle="LOAD FACTOR ANALYSIS" prompt="SM-437_x000d__x000a_LF 97.2%_x000d__x000a_SOLD 175_x000d__x000a_LST-SOLD 25NOV_x000d__x000a_WEEKLY 42_x000d__x000a_TO-DAY NIL_x000d__x000a_Y-DAY 7_x000d__x000a_LOWEST AVAIL Y5_x000d__x000a_CAPACITY 180_x000d__x000a_CLASSES Y2 &amp; M2 &amp; H9 &amp; +12 more" sqref="A13 B13 C13 D13 E13 F13 G13 H13" xr:uid="{00000000-0002-0000-2A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N2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6.7773437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772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45987.359195776167</v>
      </c>
      <c r="H2" s="279"/>
      <c r="I2" s="279"/>
      <c r="J2" s="279"/>
      <c r="K2" s="288">
        <v>45987.359195776728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2" t="s">
        <v>5</v>
      </c>
      <c r="B4" s="283"/>
      <c r="C4" s="283"/>
      <c r="D4" s="283"/>
      <c r="E4" s="283"/>
      <c r="F4" s="283"/>
      <c r="G4" s="5">
        <v>45988</v>
      </c>
      <c r="H4" s="294" t="s">
        <v>6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137" t="s">
        <v>59</v>
      </c>
      <c r="B6" s="137" t="s">
        <v>773</v>
      </c>
      <c r="C6" s="138">
        <v>0.71180555555555547</v>
      </c>
      <c r="D6" s="137" t="s">
        <v>61</v>
      </c>
      <c r="E6" s="139"/>
      <c r="F6" s="137" t="s">
        <v>563</v>
      </c>
      <c r="G6" s="302"/>
      <c r="H6" s="230" t="s">
        <v>773</v>
      </c>
      <c r="I6" s="231">
        <v>0.61450000000000005</v>
      </c>
      <c r="J6" s="232">
        <v>110</v>
      </c>
      <c r="K6" s="233">
        <v>45986</v>
      </c>
      <c r="L6" s="232">
        <v>22</v>
      </c>
      <c r="M6" s="232">
        <v>0</v>
      </c>
      <c r="N6" s="232">
        <v>10</v>
      </c>
      <c r="O6" s="234" t="s">
        <v>407</v>
      </c>
      <c r="P6" s="235">
        <v>0.71180555555555547</v>
      </c>
      <c r="Q6" s="232">
        <v>179</v>
      </c>
      <c r="R6" s="236" t="s">
        <v>774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4.4" customHeight="1" x14ac:dyDescent="0.3">
      <c r="A7" s="272"/>
      <c r="B7" s="273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22.05" customHeight="1" x14ac:dyDescent="0.3">
      <c r="A8" s="280" t="s">
        <v>5</v>
      </c>
      <c r="B8" s="281"/>
      <c r="C8" s="281"/>
      <c r="D8" s="281"/>
      <c r="E8" s="281"/>
      <c r="F8" s="281"/>
      <c r="G8" s="5">
        <v>45990</v>
      </c>
      <c r="H8" s="290" t="s">
        <v>6</v>
      </c>
      <c r="I8" s="291"/>
      <c r="J8" s="291"/>
      <c r="K8" s="291"/>
      <c r="L8" s="291"/>
      <c r="M8" s="291"/>
      <c r="N8" s="291"/>
      <c r="O8" s="291"/>
      <c r="P8" s="291"/>
      <c r="Q8" s="291"/>
      <c r="R8" s="291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24" customHeight="1" x14ac:dyDescent="0.3">
      <c r="A9" s="31" t="s">
        <v>7</v>
      </c>
      <c r="B9" s="31" t="s">
        <v>8</v>
      </c>
      <c r="C9" s="32" t="s">
        <v>9</v>
      </c>
      <c r="D9" s="31" t="s">
        <v>10</v>
      </c>
      <c r="E9" s="31" t="s">
        <v>11</v>
      </c>
      <c r="F9" s="31" t="s">
        <v>12</v>
      </c>
      <c r="G9" s="33" t="s">
        <v>13</v>
      </c>
      <c r="H9" s="31" t="s">
        <v>14</v>
      </c>
      <c r="I9" s="34" t="s">
        <v>15</v>
      </c>
      <c r="J9" s="35" t="s">
        <v>16</v>
      </c>
      <c r="K9" s="36" t="s">
        <v>17</v>
      </c>
      <c r="L9" s="35" t="s">
        <v>18</v>
      </c>
      <c r="M9" s="35" t="s">
        <v>19</v>
      </c>
      <c r="N9" s="35" t="s">
        <v>20</v>
      </c>
      <c r="O9" s="31" t="s">
        <v>21</v>
      </c>
      <c r="P9" s="32" t="s">
        <v>22</v>
      </c>
      <c r="Q9" s="35" t="s">
        <v>23</v>
      </c>
      <c r="R9" s="31" t="s">
        <v>24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49.95" customHeight="1" x14ac:dyDescent="0.3">
      <c r="A10" s="8" t="s">
        <v>249</v>
      </c>
      <c r="B10" s="8" t="s">
        <v>775</v>
      </c>
      <c r="C10" s="9">
        <v>2.0833333333333329E-2</v>
      </c>
      <c r="D10" s="8" t="s">
        <v>191</v>
      </c>
      <c r="E10" s="8" t="s">
        <v>96</v>
      </c>
      <c r="F10" s="8" t="s">
        <v>776</v>
      </c>
      <c r="G10" s="275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49.95" customHeight="1" x14ac:dyDescent="0.3">
      <c r="A11" s="205" t="s">
        <v>59</v>
      </c>
      <c r="B11" s="205" t="s">
        <v>777</v>
      </c>
      <c r="C11" s="206">
        <v>0.83680555555555547</v>
      </c>
      <c r="D11" s="205" t="s">
        <v>191</v>
      </c>
      <c r="E11" s="205" t="s">
        <v>52</v>
      </c>
      <c r="F11" s="205" t="s">
        <v>778</v>
      </c>
      <c r="G11" s="276"/>
      <c r="H11" s="187" t="s">
        <v>773</v>
      </c>
      <c r="I11" s="227">
        <v>0.6704</v>
      </c>
      <c r="J11" s="189">
        <v>120</v>
      </c>
      <c r="K11" s="190">
        <v>45986</v>
      </c>
      <c r="L11" s="189">
        <v>13</v>
      </c>
      <c r="M11" s="189">
        <v>0</v>
      </c>
      <c r="N11" s="189">
        <v>5</v>
      </c>
      <c r="O11" s="191" t="s">
        <v>211</v>
      </c>
      <c r="P11" s="192">
        <v>0.83680555555555547</v>
      </c>
      <c r="Q11" s="189">
        <v>179</v>
      </c>
      <c r="R11" s="193" t="s">
        <v>779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49.95" customHeight="1" x14ac:dyDescent="0.3">
      <c r="A12" s="252" t="s">
        <v>246</v>
      </c>
      <c r="B12" s="252" t="s">
        <v>780</v>
      </c>
      <c r="C12" s="253">
        <v>0.75694444444444453</v>
      </c>
      <c r="D12" s="252" t="s">
        <v>191</v>
      </c>
      <c r="E12" s="252" t="s">
        <v>86</v>
      </c>
      <c r="F12" s="252" t="s">
        <v>781</v>
      </c>
      <c r="G12" s="277"/>
      <c r="H12" s="39"/>
      <c r="I12" s="40"/>
      <c r="J12" s="40"/>
      <c r="K12" s="40"/>
      <c r="L12" s="40"/>
      <c r="M12" s="40"/>
      <c r="N12" s="40"/>
      <c r="O12" s="41"/>
      <c r="P12" s="40"/>
      <c r="Q12" s="42"/>
      <c r="R12" s="4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4.4" customHeight="1" x14ac:dyDescent="0.3">
      <c r="A13" s="284"/>
      <c r="B13" s="285"/>
      <c r="C13" s="285"/>
      <c r="D13" s="285"/>
      <c r="E13" s="285"/>
      <c r="F13" s="285"/>
      <c r="G13" s="273"/>
      <c r="H13" s="286"/>
      <c r="I13" s="286"/>
      <c r="J13" s="286"/>
      <c r="K13" s="286"/>
      <c r="L13" s="286"/>
      <c r="M13" s="286"/>
      <c r="N13" s="286"/>
      <c r="O13" s="287"/>
      <c r="P13" s="286"/>
      <c r="Q13" s="273"/>
      <c r="R13" s="27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22.05" customHeight="1" x14ac:dyDescent="0.3">
      <c r="A14" s="280" t="s">
        <v>5</v>
      </c>
      <c r="B14" s="281"/>
      <c r="C14" s="281"/>
      <c r="D14" s="281"/>
      <c r="E14" s="281"/>
      <c r="F14" s="281"/>
      <c r="G14" s="5">
        <v>45991</v>
      </c>
      <c r="H14" s="290" t="s">
        <v>6</v>
      </c>
      <c r="I14" s="291"/>
      <c r="J14" s="291"/>
      <c r="K14" s="291"/>
      <c r="L14" s="291"/>
      <c r="M14" s="291"/>
      <c r="N14" s="291"/>
      <c r="O14" s="291"/>
      <c r="P14" s="291"/>
      <c r="Q14" s="291"/>
      <c r="R14" s="291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24" customHeight="1" x14ac:dyDescent="0.3">
      <c r="A15" s="31" t="s">
        <v>7</v>
      </c>
      <c r="B15" s="31" t="s">
        <v>8</v>
      </c>
      <c r="C15" s="32" t="s">
        <v>9</v>
      </c>
      <c r="D15" s="31" t="s">
        <v>10</v>
      </c>
      <c r="E15" s="31" t="s">
        <v>11</v>
      </c>
      <c r="F15" s="31" t="s">
        <v>12</v>
      </c>
      <c r="G15" s="33" t="s">
        <v>13</v>
      </c>
      <c r="H15" s="31" t="s">
        <v>14</v>
      </c>
      <c r="I15" s="34" t="s">
        <v>15</v>
      </c>
      <c r="J15" s="35" t="s">
        <v>16</v>
      </c>
      <c r="K15" s="36" t="s">
        <v>17</v>
      </c>
      <c r="L15" s="35" t="s">
        <v>18</v>
      </c>
      <c r="M15" s="35" t="s">
        <v>19</v>
      </c>
      <c r="N15" s="35" t="s">
        <v>20</v>
      </c>
      <c r="O15" s="31" t="s">
        <v>21</v>
      </c>
      <c r="P15" s="32" t="s">
        <v>22</v>
      </c>
      <c r="Q15" s="35" t="s">
        <v>23</v>
      </c>
      <c r="R15" s="31" t="s">
        <v>24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49.95" customHeight="1" x14ac:dyDescent="0.3">
      <c r="A16" s="8" t="s">
        <v>249</v>
      </c>
      <c r="B16" s="8" t="s">
        <v>775</v>
      </c>
      <c r="C16" s="9">
        <v>0.71527777777777779</v>
      </c>
      <c r="D16" s="8" t="s">
        <v>191</v>
      </c>
      <c r="E16" s="8" t="s">
        <v>28</v>
      </c>
      <c r="F16" s="8" t="s">
        <v>782</v>
      </c>
      <c r="G16" s="275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49.95" customHeight="1" x14ac:dyDescent="0.3">
      <c r="A17" s="17" t="s">
        <v>246</v>
      </c>
      <c r="B17" s="17" t="s">
        <v>783</v>
      </c>
      <c r="C17" s="18">
        <v>0.75694444444444453</v>
      </c>
      <c r="D17" s="17" t="s">
        <v>191</v>
      </c>
      <c r="E17" s="17" t="s">
        <v>73</v>
      </c>
      <c r="F17" s="17" t="s">
        <v>784</v>
      </c>
      <c r="G17" s="276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49.95" customHeight="1" x14ac:dyDescent="0.3">
      <c r="A18" s="17" t="s">
        <v>283</v>
      </c>
      <c r="B18" s="17" t="s">
        <v>785</v>
      </c>
      <c r="C18" s="18">
        <v>0.53819444444444442</v>
      </c>
      <c r="D18" s="17" t="s">
        <v>285</v>
      </c>
      <c r="E18" s="17" t="s">
        <v>38</v>
      </c>
      <c r="F18" s="17" t="s">
        <v>786</v>
      </c>
      <c r="G18" s="276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49.95" customHeight="1" x14ac:dyDescent="0.3">
      <c r="A19" s="258" t="s">
        <v>283</v>
      </c>
      <c r="B19" s="258" t="s">
        <v>785</v>
      </c>
      <c r="C19" s="259">
        <v>0.53819444444444442</v>
      </c>
      <c r="D19" s="258" t="s">
        <v>33</v>
      </c>
      <c r="E19" s="258" t="s">
        <v>41</v>
      </c>
      <c r="F19" s="258" t="s">
        <v>787</v>
      </c>
      <c r="G19" s="277"/>
      <c r="H19" s="39"/>
      <c r="I19" s="40"/>
      <c r="J19" s="40"/>
      <c r="K19" s="40"/>
      <c r="L19" s="40"/>
      <c r="M19" s="40"/>
      <c r="N19" s="40"/>
      <c r="O19" s="41"/>
      <c r="P19" s="40"/>
      <c r="Q19" s="42"/>
      <c r="R19" s="4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14.4" customHeight="1" x14ac:dyDescent="0.3">
      <c r="A20" s="272"/>
      <c r="B20" s="273"/>
      <c r="C20" s="273"/>
      <c r="D20" s="273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3"/>
      <c r="R20" s="274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</sheetData>
  <mergeCells count="21">
    <mergeCell ref="O1:Q1"/>
    <mergeCell ref="A7:R7"/>
    <mergeCell ref="H4:R4"/>
    <mergeCell ref="A2:F2"/>
    <mergeCell ref="A3:R3"/>
    <mergeCell ref="A20:R20"/>
    <mergeCell ref="A13:R13"/>
    <mergeCell ref="K2:R2"/>
    <mergeCell ref="D1:F1"/>
    <mergeCell ref="G6"/>
    <mergeCell ref="G10:G12"/>
    <mergeCell ref="A1:C1"/>
    <mergeCell ref="G1:H1"/>
    <mergeCell ref="G16:G19"/>
    <mergeCell ref="H14:R14"/>
    <mergeCell ref="A14:F14"/>
    <mergeCell ref="A8:F8"/>
    <mergeCell ref="G2:J2"/>
    <mergeCell ref="A4:F4"/>
    <mergeCell ref="J1:M1"/>
    <mergeCell ref="H8:R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I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  <row r="2" spans="1:35" ht="18" x14ac:dyDescent="0.3">
      <c r="A2" s="65" t="s">
        <v>133</v>
      </c>
      <c r="B2" s="66">
        <v>45988</v>
      </c>
      <c r="C2" s="67" t="s">
        <v>773</v>
      </c>
      <c r="D2" s="68">
        <v>0.71180555555555547</v>
      </c>
      <c r="E2" s="67" t="s">
        <v>772</v>
      </c>
      <c r="F2" s="67" t="s">
        <v>134</v>
      </c>
      <c r="G2" s="69">
        <v>0.61450000000000005</v>
      </c>
      <c r="H2" s="70">
        <v>179</v>
      </c>
      <c r="I2" s="70">
        <v>110</v>
      </c>
      <c r="J2" s="70">
        <v>0</v>
      </c>
      <c r="K2" s="66">
        <v>45986</v>
      </c>
      <c r="L2" s="70">
        <v>0</v>
      </c>
      <c r="M2" s="70">
        <v>10</v>
      </c>
      <c r="N2" s="70">
        <v>22</v>
      </c>
      <c r="O2" s="67" t="s">
        <v>407</v>
      </c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0" t="s">
        <v>320</v>
      </c>
      <c r="AB2" s="70" t="s">
        <v>788</v>
      </c>
      <c r="AC2" s="70" t="s">
        <v>635</v>
      </c>
      <c r="AD2" s="70" t="s">
        <v>409</v>
      </c>
      <c r="AE2" s="70" t="s">
        <v>789</v>
      </c>
      <c r="AF2" s="71"/>
      <c r="AG2" s="71"/>
      <c r="AH2" s="71"/>
      <c r="AI2" s="71"/>
    </row>
    <row r="3" spans="1:35" ht="18" x14ac:dyDescent="0.3">
      <c r="A3" s="72" t="s">
        <v>140</v>
      </c>
      <c r="B3" s="73">
        <v>45990</v>
      </c>
      <c r="C3" s="74" t="s">
        <v>773</v>
      </c>
      <c r="D3" s="75">
        <v>0.83680555555555547</v>
      </c>
      <c r="E3" s="74" t="s">
        <v>772</v>
      </c>
      <c r="F3" s="74" t="s">
        <v>134</v>
      </c>
      <c r="G3" s="76">
        <v>0.6704</v>
      </c>
      <c r="H3" s="77">
        <v>179</v>
      </c>
      <c r="I3" s="77">
        <v>120</v>
      </c>
      <c r="J3" s="77">
        <v>0</v>
      </c>
      <c r="K3" s="73">
        <v>45986</v>
      </c>
      <c r="L3" s="77">
        <v>0</v>
      </c>
      <c r="M3" s="77">
        <v>5</v>
      </c>
      <c r="N3" s="77">
        <v>13</v>
      </c>
      <c r="O3" s="74" t="s">
        <v>211</v>
      </c>
      <c r="P3" s="78"/>
      <c r="Q3" s="78"/>
      <c r="R3" s="78"/>
      <c r="S3" s="77" t="s">
        <v>691</v>
      </c>
      <c r="T3" s="77" t="s">
        <v>376</v>
      </c>
      <c r="U3" s="77" t="s">
        <v>693</v>
      </c>
      <c r="V3" s="77" t="s">
        <v>659</v>
      </c>
      <c r="W3" s="77" t="s">
        <v>400</v>
      </c>
      <c r="X3" s="77" t="s">
        <v>479</v>
      </c>
      <c r="Y3" s="78"/>
      <c r="Z3" s="78"/>
      <c r="AA3" s="77" t="s">
        <v>634</v>
      </c>
      <c r="AB3" s="77" t="s">
        <v>343</v>
      </c>
      <c r="AC3" s="77" t="s">
        <v>642</v>
      </c>
      <c r="AD3" s="77" t="s">
        <v>368</v>
      </c>
      <c r="AE3" s="77" t="s">
        <v>790</v>
      </c>
      <c r="AF3" s="78"/>
      <c r="AG3" s="78"/>
      <c r="AH3" s="78"/>
      <c r="AI3" s="78"/>
    </row>
    <row r="4" spans="1:35" ht="18" x14ac:dyDescent="0.3">
      <c r="A4" s="79" t="s">
        <v>151</v>
      </c>
      <c r="B4" s="80"/>
      <c r="C4" s="81">
        <f>COUNTA(C2:C3)</f>
        <v>2</v>
      </c>
      <c r="D4" s="80"/>
      <c r="E4" s="80"/>
      <c r="F4" s="80"/>
      <c r="G4" s="82">
        <f>AVERAGE(G2:G3)</f>
        <v>0.64244999999999997</v>
      </c>
      <c r="H4" s="83">
        <f>SUM(H2:H3)</f>
        <v>358</v>
      </c>
      <c r="I4" s="83">
        <f>SUM(I2:I3)</f>
        <v>230</v>
      </c>
      <c r="J4" s="83">
        <f>SUM(J2:J3)</f>
        <v>0</v>
      </c>
      <c r="K4" s="80"/>
      <c r="L4" s="83">
        <f>SUM(L2:L3)</f>
        <v>0</v>
      </c>
      <c r="M4" s="83">
        <f>SUM(M2:M3)</f>
        <v>15</v>
      </c>
      <c r="N4" s="83">
        <f>SUM(N2:N3)</f>
        <v>35</v>
      </c>
      <c r="O4" s="80"/>
      <c r="P4" s="83">
        <f t="shared" ref="P4:AI4" si="0">SUMPRODUCT(--IFERROR(VALUE(SUBSTITUTE(SUBSTITUTE(SUBSTITUTE(SUBSTITUTE(SUBSTITUTE(SUBSTITUTE(SUBSTITUTE(SUBSTITUTE(SUBSTITUTE(SUBSTITUTE(SUBSTITUTE(SUBSTITUTE(SUBSTITUTE(SUBSTITUTE(SUBSTITUTE(SUBSTITUTE(SUBSTITUTE(SUBSTITUTE(SUBSTITUTE(SUBSTITUTE(P2:P3,"Y",""),"B",""),"M",""),"H",""),"Q",""),"K",""),"V",""),"L",""),"G",""),"S",""),"W",""),"T",""),"X",""),"U",""),"O",""),"I",""),"E",""),"A",""),"P",""),"N","")),0))</f>
        <v>0</v>
      </c>
      <c r="Q4" s="83">
        <f t="shared" si="0"/>
        <v>0</v>
      </c>
      <c r="R4" s="83">
        <f t="shared" si="0"/>
        <v>0</v>
      </c>
      <c r="S4" s="83">
        <f t="shared" si="0"/>
        <v>0</v>
      </c>
      <c r="T4" s="83">
        <f t="shared" si="0"/>
        <v>0</v>
      </c>
      <c r="U4" s="83">
        <f t="shared" si="0"/>
        <v>0</v>
      </c>
      <c r="V4" s="83">
        <f t="shared" si="0"/>
        <v>0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</row>
  </sheetData>
  <autoFilter ref="A1:AI3" xr:uid="{00000000-0009-0000-0000-00002C000000}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9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7.77734375" bestFit="1" customWidth="1"/>
    <col min="7" max="7" width="16.88671875" bestFit="1" customWidth="1"/>
    <col min="8" max="8" width="20.8867187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  <row r="2" spans="1:8" ht="18" x14ac:dyDescent="0.3">
      <c r="A2" s="255">
        <v>45988</v>
      </c>
      <c r="B2" s="103" t="s">
        <v>59</v>
      </c>
      <c r="C2" s="104" t="s">
        <v>773</v>
      </c>
      <c r="D2" s="103" t="s">
        <v>772</v>
      </c>
      <c r="E2" s="105">
        <v>1.711805555555556</v>
      </c>
      <c r="F2" s="103" t="s">
        <v>61</v>
      </c>
      <c r="G2" s="103"/>
      <c r="H2" s="256" t="s">
        <v>563</v>
      </c>
    </row>
    <row r="3" spans="1:8" ht="18" x14ac:dyDescent="0.3">
      <c r="A3" s="85">
        <v>45990</v>
      </c>
      <c r="B3" s="86" t="s">
        <v>249</v>
      </c>
      <c r="C3" s="87" t="s">
        <v>775</v>
      </c>
      <c r="D3" s="86" t="s">
        <v>772</v>
      </c>
      <c r="E3" s="88">
        <v>1.020833333333333</v>
      </c>
      <c r="F3" s="86" t="s">
        <v>191</v>
      </c>
      <c r="G3" s="89">
        <v>3</v>
      </c>
      <c r="H3" s="90" t="s">
        <v>776</v>
      </c>
    </row>
    <row r="4" spans="1:8" ht="18" x14ac:dyDescent="0.3">
      <c r="A4" s="147">
        <v>45990</v>
      </c>
      <c r="B4" s="148" t="s">
        <v>59</v>
      </c>
      <c r="C4" s="149" t="s">
        <v>777</v>
      </c>
      <c r="D4" s="148" t="s">
        <v>772</v>
      </c>
      <c r="E4" s="150">
        <v>1.836805555555556</v>
      </c>
      <c r="F4" s="148" t="s">
        <v>191</v>
      </c>
      <c r="G4" s="155">
        <v>1</v>
      </c>
      <c r="H4" s="148" t="s">
        <v>778</v>
      </c>
    </row>
    <row r="5" spans="1:8" ht="18" x14ac:dyDescent="0.3">
      <c r="A5" s="254">
        <v>45990</v>
      </c>
      <c r="B5" s="241" t="s">
        <v>246</v>
      </c>
      <c r="C5" s="242" t="s">
        <v>780</v>
      </c>
      <c r="D5" s="241" t="s">
        <v>772</v>
      </c>
      <c r="E5" s="243">
        <v>1.756944444444444</v>
      </c>
      <c r="F5" s="241" t="s">
        <v>191</v>
      </c>
      <c r="G5" s="244">
        <v>7</v>
      </c>
      <c r="H5" s="241" t="s">
        <v>781</v>
      </c>
    </row>
    <row r="6" spans="1:8" ht="18" x14ac:dyDescent="0.3">
      <c r="A6" s="85">
        <v>45991</v>
      </c>
      <c r="B6" s="86" t="s">
        <v>249</v>
      </c>
      <c r="C6" s="87" t="s">
        <v>775</v>
      </c>
      <c r="D6" s="86" t="s">
        <v>772</v>
      </c>
      <c r="E6" s="88">
        <v>1.7152777777777779</v>
      </c>
      <c r="F6" s="86" t="s">
        <v>191</v>
      </c>
      <c r="G6" s="89">
        <v>2</v>
      </c>
      <c r="H6" s="90" t="s">
        <v>782</v>
      </c>
    </row>
    <row r="7" spans="1:8" ht="18" x14ac:dyDescent="0.3">
      <c r="A7" s="96">
        <v>45991</v>
      </c>
      <c r="B7" s="86" t="s">
        <v>246</v>
      </c>
      <c r="C7" s="87" t="s">
        <v>783</v>
      </c>
      <c r="D7" s="86" t="s">
        <v>772</v>
      </c>
      <c r="E7" s="88">
        <v>1.756944444444444</v>
      </c>
      <c r="F7" s="86" t="s">
        <v>191</v>
      </c>
      <c r="G7" s="89">
        <v>9</v>
      </c>
      <c r="H7" s="86" t="s">
        <v>784</v>
      </c>
    </row>
    <row r="8" spans="1:8" ht="18" x14ac:dyDescent="0.3">
      <c r="A8" s="96">
        <v>45991</v>
      </c>
      <c r="B8" s="86" t="s">
        <v>283</v>
      </c>
      <c r="C8" s="87" t="s">
        <v>785</v>
      </c>
      <c r="D8" s="86" t="s">
        <v>772</v>
      </c>
      <c r="E8" s="88">
        <v>1.538194444444444</v>
      </c>
      <c r="F8" s="86" t="s">
        <v>285</v>
      </c>
      <c r="G8" s="89">
        <v>9</v>
      </c>
      <c r="H8" s="86" t="s">
        <v>786</v>
      </c>
    </row>
    <row r="9" spans="1:8" ht="18" x14ac:dyDescent="0.3">
      <c r="A9" s="260">
        <v>45991</v>
      </c>
      <c r="B9" s="261" t="s">
        <v>283</v>
      </c>
      <c r="C9" s="262" t="s">
        <v>785</v>
      </c>
      <c r="D9" s="261" t="s">
        <v>772</v>
      </c>
      <c r="E9" s="263">
        <v>1.538194444444444</v>
      </c>
      <c r="F9" s="261" t="s">
        <v>33</v>
      </c>
      <c r="G9" s="264">
        <v>9</v>
      </c>
      <c r="H9" s="261" t="s">
        <v>787</v>
      </c>
    </row>
  </sheetData>
  <dataValidations count="2">
    <dataValidation type="custom" allowBlank="1" showInputMessage="1" promptTitle="LOAD FACTOR ANALYSIS" prompt="SM325_x000d__x000a_LF 61.5%_x000d__x000a_SOLD 110_x000d__x000a_LST-SOLD 25NOV_x000d__x000a_WEEKLY 22_x000d__x000a_TO-DAY NIL_x000d__x000a_Y-DAY 10_x000d__x000a_LOWEST AVAIL X4_x000d__x000a_CAPACITY 179_x000d__x000a_CLASSES T9 &amp; X31 &amp; U10 &amp; +2 more" sqref="A2 B2 C2 D2 E2 F2 G2 H2" xr:uid="{00000000-0002-0000-2D00-000000000000}">
      <formula1>TRUE</formula1>
    </dataValidation>
    <dataValidation type="custom" allowBlank="1" showInputMessage="1" promptTitle="LOAD FACTOR ANALYSIS" prompt="SM-325_x000d__x000a_LF 67.0%_x000d__x000a_SOLD 120_x000d__x000a_LST-SOLD 25NOV_x000d__x000a_WEEKLY 13_x000d__x000a_TO-DAY NIL_x000d__x000a_Y-DAY 5_x000d__x000a_LOWEST AVAIL V1_x000d__x000a_CAPACITY 179_x000d__x000a_CLASSES H1 &amp; Q1 &amp; K19 &amp; +8 more" sqref="A4 B4 C4 D4 E4 F4 G4 H4" xr:uid="{00000000-0002-0000-2D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N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9.10937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791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45987.359196878679</v>
      </c>
      <c r="H2" s="279"/>
      <c r="I2" s="279"/>
      <c r="J2" s="279"/>
      <c r="K2" s="288">
        <v>45987.359196879253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2" t="s">
        <v>5</v>
      </c>
      <c r="B4" s="283"/>
      <c r="C4" s="283"/>
      <c r="D4" s="283"/>
      <c r="E4" s="283"/>
      <c r="F4" s="283"/>
      <c r="G4" s="5">
        <v>45989</v>
      </c>
      <c r="H4" s="294" t="s">
        <v>6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156" t="s">
        <v>59</v>
      </c>
      <c r="B6" s="156" t="s">
        <v>792</v>
      </c>
      <c r="C6" s="157">
        <v>0.37847222222222232</v>
      </c>
      <c r="D6" s="156" t="s">
        <v>191</v>
      </c>
      <c r="E6" s="156" t="s">
        <v>73</v>
      </c>
      <c r="F6" s="156" t="s">
        <v>793</v>
      </c>
      <c r="G6" s="302"/>
      <c r="H6" s="47" t="s">
        <v>794</v>
      </c>
      <c r="I6" s="265">
        <v>0.64800000000000002</v>
      </c>
      <c r="J6" s="49">
        <v>116</v>
      </c>
      <c r="K6" s="50">
        <v>45986</v>
      </c>
      <c r="L6" s="49">
        <v>60</v>
      </c>
      <c r="M6" s="49">
        <v>0</v>
      </c>
      <c r="N6" s="49">
        <v>11</v>
      </c>
      <c r="O6" s="51" t="s">
        <v>642</v>
      </c>
      <c r="P6" s="52">
        <v>0.37847222222222232</v>
      </c>
      <c r="Q6" s="49">
        <v>179</v>
      </c>
      <c r="R6" s="53" t="s">
        <v>795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4.4" customHeight="1" x14ac:dyDescent="0.3">
      <c r="A7" s="272"/>
      <c r="B7" s="273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</sheetData>
  <mergeCells count="13">
    <mergeCell ref="A2:F2"/>
    <mergeCell ref="A3:R3"/>
    <mergeCell ref="O1:Q1"/>
    <mergeCell ref="H4:R4"/>
    <mergeCell ref="A7:R7"/>
    <mergeCell ref="A1:C1"/>
    <mergeCell ref="G1:H1"/>
    <mergeCell ref="K2:R2"/>
    <mergeCell ref="G2:J2"/>
    <mergeCell ref="A4:F4"/>
    <mergeCell ref="D1:F1"/>
    <mergeCell ref="J1:M1"/>
    <mergeCell ref="G6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I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  <row r="2" spans="1:35" ht="18" x14ac:dyDescent="0.3">
      <c r="A2" s="65" t="s">
        <v>346</v>
      </c>
      <c r="B2" s="66">
        <v>45989</v>
      </c>
      <c r="C2" s="67" t="s">
        <v>794</v>
      </c>
      <c r="D2" s="68">
        <v>0.37847222222222232</v>
      </c>
      <c r="E2" s="67" t="s">
        <v>791</v>
      </c>
      <c r="F2" s="67" t="s">
        <v>134</v>
      </c>
      <c r="G2" s="69">
        <v>0.64800000000000002</v>
      </c>
      <c r="H2" s="70">
        <v>179</v>
      </c>
      <c r="I2" s="70">
        <v>116</v>
      </c>
      <c r="J2" s="70">
        <v>0</v>
      </c>
      <c r="K2" s="66">
        <v>45986</v>
      </c>
      <c r="L2" s="70">
        <v>0</v>
      </c>
      <c r="M2" s="70">
        <v>11</v>
      </c>
      <c r="N2" s="70">
        <v>60</v>
      </c>
      <c r="O2" s="67" t="s">
        <v>642</v>
      </c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0" t="s">
        <v>796</v>
      </c>
      <c r="AD2" s="70" t="s">
        <v>797</v>
      </c>
      <c r="AE2" s="70" t="s">
        <v>798</v>
      </c>
      <c r="AF2" s="71"/>
      <c r="AG2" s="71"/>
      <c r="AH2" s="71"/>
      <c r="AI2" s="71"/>
    </row>
    <row r="3" spans="1:35" ht="18" x14ac:dyDescent="0.3">
      <c r="A3" s="79" t="s">
        <v>151</v>
      </c>
      <c r="B3" s="80"/>
      <c r="C3" s="81">
        <f>COUNTA(C2:C2)</f>
        <v>1</v>
      </c>
      <c r="D3" s="80"/>
      <c r="E3" s="80"/>
      <c r="F3" s="80"/>
      <c r="G3" s="82">
        <f>AVERAGE(G2:G2)</f>
        <v>0.64800000000000002</v>
      </c>
      <c r="H3" s="83">
        <f>SUM(H2:H2)</f>
        <v>179</v>
      </c>
      <c r="I3" s="83">
        <f>SUM(I2:I2)</f>
        <v>116</v>
      </c>
      <c r="J3" s="83">
        <f>SUM(J2:J2)</f>
        <v>0</v>
      </c>
      <c r="K3" s="80"/>
      <c r="L3" s="83">
        <f>SUM(L2:L2)</f>
        <v>0</v>
      </c>
      <c r="M3" s="83">
        <f>SUM(M2:M2)</f>
        <v>11</v>
      </c>
      <c r="N3" s="83">
        <f>SUM(N2:N2)</f>
        <v>60</v>
      </c>
      <c r="O3" s="80"/>
      <c r="P3" s="83">
        <f t="shared" ref="P3:AI3" si="0">SUMPRODUCT(--IFERROR(VALUE(SUBSTITUTE(SUBSTITUTE(SUBSTITUTE(SUBSTITUTE(SUBSTITUTE(SUBSTITUTE(SUBSTITUTE(SUBSTITUTE(SUBSTITUTE(SUBSTITUTE(SUBSTITUTE(SUBSTITUTE(SUBSTITUTE(SUBSTITUTE(SUBSTITUTE(SUBSTITUTE(SUBSTITUTE(SUBSTITUTE(SUBSTITUTE(SUBSTITUTE(P2:P2,"Y",""),"B",""),"M",""),"H",""),"Q",""),"K",""),"V",""),"L",""),"G",""),"S",""),"W",""),"T",""),"X",""),"U",""),"O",""),"I",""),"E",""),"A",""),"P",""),"N","")),0))</f>
        <v>0</v>
      </c>
      <c r="Q3" s="83">
        <f t="shared" si="0"/>
        <v>0</v>
      </c>
      <c r="R3" s="83">
        <f t="shared" si="0"/>
        <v>0</v>
      </c>
      <c r="S3" s="83">
        <f t="shared" si="0"/>
        <v>0</v>
      </c>
      <c r="T3" s="83">
        <f t="shared" si="0"/>
        <v>0</v>
      </c>
      <c r="U3" s="83">
        <f t="shared" si="0"/>
        <v>0</v>
      </c>
      <c r="V3" s="83">
        <f t="shared" si="0"/>
        <v>0</v>
      </c>
      <c r="W3" s="83">
        <f t="shared" si="0"/>
        <v>0</v>
      </c>
      <c r="X3" s="83">
        <f t="shared" si="0"/>
        <v>0</v>
      </c>
      <c r="Y3" s="83">
        <f t="shared" si="0"/>
        <v>0</v>
      </c>
      <c r="Z3" s="83">
        <f t="shared" si="0"/>
        <v>0</v>
      </c>
      <c r="AA3" s="83">
        <f t="shared" si="0"/>
        <v>0</v>
      </c>
      <c r="AB3" s="83">
        <f t="shared" si="0"/>
        <v>0</v>
      </c>
      <c r="AC3" s="83">
        <f t="shared" si="0"/>
        <v>16</v>
      </c>
      <c r="AD3" s="83">
        <f t="shared" si="0"/>
        <v>50</v>
      </c>
      <c r="AE3" s="83">
        <f t="shared" si="0"/>
        <v>50</v>
      </c>
      <c r="AF3" s="83">
        <f t="shared" si="0"/>
        <v>0</v>
      </c>
      <c r="AG3" s="83">
        <f t="shared" si="0"/>
        <v>0</v>
      </c>
      <c r="AH3" s="83">
        <f t="shared" si="0"/>
        <v>0</v>
      </c>
      <c r="AI3" s="83">
        <f t="shared" si="0"/>
        <v>0</v>
      </c>
    </row>
  </sheetData>
  <autoFilter ref="A1:AI2" xr:uid="{00000000-0009-0000-0000-00002F000000}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1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32.777343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  <row r="2" spans="1:8" ht="18" x14ac:dyDescent="0.3">
      <c r="A2" s="255">
        <v>45989</v>
      </c>
      <c r="B2" s="103" t="s">
        <v>59</v>
      </c>
      <c r="C2" s="104" t="s">
        <v>792</v>
      </c>
      <c r="D2" s="103" t="s">
        <v>791</v>
      </c>
      <c r="E2" s="105">
        <v>1.3784722222222221</v>
      </c>
      <c r="F2" s="103" t="s">
        <v>191</v>
      </c>
      <c r="G2" s="257">
        <v>9</v>
      </c>
      <c r="H2" s="256" t="s">
        <v>793</v>
      </c>
    </row>
    <row r="3" spans="1:8" ht="15.6" x14ac:dyDescent="0.3">
      <c r="A3" s="151"/>
      <c r="B3" s="151"/>
      <c r="C3" s="151"/>
      <c r="D3" s="151"/>
      <c r="E3" s="152" t="s">
        <v>799</v>
      </c>
      <c r="F3" s="151"/>
      <c r="G3" s="151"/>
      <c r="H3" s="3"/>
    </row>
    <row r="4" spans="1:8" ht="18" x14ac:dyDescent="0.3">
      <c r="A4" s="85">
        <v>45990</v>
      </c>
      <c r="B4" s="86" t="s">
        <v>249</v>
      </c>
      <c r="C4" s="87" t="s">
        <v>775</v>
      </c>
      <c r="D4" s="86" t="s">
        <v>772</v>
      </c>
      <c r="E4" s="88">
        <v>1.020833333333333</v>
      </c>
      <c r="F4" s="86" t="s">
        <v>191</v>
      </c>
      <c r="G4" s="89">
        <v>3</v>
      </c>
      <c r="H4" s="90" t="s">
        <v>776</v>
      </c>
    </row>
    <row r="5" spans="1:8" ht="18" x14ac:dyDescent="0.3">
      <c r="A5" s="147">
        <v>45990</v>
      </c>
      <c r="B5" s="148" t="s">
        <v>59</v>
      </c>
      <c r="C5" s="149" t="s">
        <v>777</v>
      </c>
      <c r="D5" s="148" t="s">
        <v>772</v>
      </c>
      <c r="E5" s="150">
        <v>1.836805555555556</v>
      </c>
      <c r="F5" s="148" t="s">
        <v>191</v>
      </c>
      <c r="G5" s="155">
        <v>1</v>
      </c>
      <c r="H5" s="148" t="s">
        <v>778</v>
      </c>
    </row>
    <row r="6" spans="1:8" ht="18" x14ac:dyDescent="0.3">
      <c r="A6" s="254">
        <v>45990</v>
      </c>
      <c r="B6" s="241" t="s">
        <v>246</v>
      </c>
      <c r="C6" s="242" t="s">
        <v>780</v>
      </c>
      <c r="D6" s="241" t="s">
        <v>772</v>
      </c>
      <c r="E6" s="243">
        <v>1.756944444444444</v>
      </c>
      <c r="F6" s="241" t="s">
        <v>191</v>
      </c>
      <c r="G6" s="244">
        <v>7</v>
      </c>
      <c r="H6" s="241" t="s">
        <v>781</v>
      </c>
    </row>
    <row r="7" spans="1:8" ht="15.6" x14ac:dyDescent="0.3">
      <c r="A7" s="151"/>
      <c r="B7" s="151"/>
      <c r="C7" s="151"/>
      <c r="D7" s="151"/>
      <c r="E7" s="152" t="s">
        <v>799</v>
      </c>
      <c r="F7" s="151"/>
      <c r="G7" s="151"/>
      <c r="H7" s="3"/>
    </row>
    <row r="8" spans="1:8" ht="18" x14ac:dyDescent="0.3">
      <c r="A8" s="85">
        <v>45991</v>
      </c>
      <c r="B8" s="86" t="s">
        <v>249</v>
      </c>
      <c r="C8" s="87" t="s">
        <v>775</v>
      </c>
      <c r="D8" s="86" t="s">
        <v>772</v>
      </c>
      <c r="E8" s="88">
        <v>1.7152777777777779</v>
      </c>
      <c r="F8" s="86" t="s">
        <v>191</v>
      </c>
      <c r="G8" s="89">
        <v>2</v>
      </c>
      <c r="H8" s="90" t="s">
        <v>782</v>
      </c>
    </row>
    <row r="9" spans="1:8" ht="18" x14ac:dyDescent="0.3">
      <c r="A9" s="96">
        <v>45991</v>
      </c>
      <c r="B9" s="86" t="s">
        <v>246</v>
      </c>
      <c r="C9" s="87" t="s">
        <v>783</v>
      </c>
      <c r="D9" s="86" t="s">
        <v>772</v>
      </c>
      <c r="E9" s="88">
        <v>1.756944444444444</v>
      </c>
      <c r="F9" s="86" t="s">
        <v>191</v>
      </c>
      <c r="G9" s="89">
        <v>9</v>
      </c>
      <c r="H9" s="86" t="s">
        <v>784</v>
      </c>
    </row>
    <row r="10" spans="1:8" ht="18" x14ac:dyDescent="0.3">
      <c r="A10" s="96">
        <v>45991</v>
      </c>
      <c r="B10" s="86" t="s">
        <v>283</v>
      </c>
      <c r="C10" s="87" t="s">
        <v>785</v>
      </c>
      <c r="D10" s="86" t="s">
        <v>772</v>
      </c>
      <c r="E10" s="88">
        <v>1.538194444444444</v>
      </c>
      <c r="F10" s="86" t="s">
        <v>285</v>
      </c>
      <c r="G10" s="89">
        <v>9</v>
      </c>
      <c r="H10" s="86" t="s">
        <v>786</v>
      </c>
    </row>
    <row r="11" spans="1:8" ht="18" x14ac:dyDescent="0.3">
      <c r="A11" s="260">
        <v>45991</v>
      </c>
      <c r="B11" s="261" t="s">
        <v>283</v>
      </c>
      <c r="C11" s="262" t="s">
        <v>785</v>
      </c>
      <c r="D11" s="261" t="s">
        <v>772</v>
      </c>
      <c r="E11" s="263">
        <v>1.538194444444444</v>
      </c>
      <c r="F11" s="261" t="s">
        <v>33</v>
      </c>
      <c r="G11" s="264">
        <v>9</v>
      </c>
      <c r="H11" s="261" t="s">
        <v>787</v>
      </c>
    </row>
  </sheetData>
  <dataValidations count="2">
    <dataValidation type="custom" allowBlank="1" showInputMessage="1" promptTitle="LOAD FACTOR ANALYSIS" prompt="SM-327_x000d__x000a_LF 64.8%_x000d__x000a_SOLD 116_x000d__x000a_LST-SOLD 25NOV_x000d__x000a_WEEKLY 60_x000d__x000a_TO-DAY NIL_x000d__x000a_Y-DAY 11_x000d__x000a_LOWEST AVAIL U9_x000d__x000a_CAPACITY 179_x000d__x000a_CLASSES U16 &amp; O50 &amp; I50" sqref="A2 B2 C2 D2 E2 F2 G2 H2" xr:uid="{00000000-0002-0000-3000-000000000000}">
      <formula1>TRUE</formula1>
    </dataValidation>
    <dataValidation type="custom" allowBlank="1" showInputMessage="1" promptTitle="LOAD FACTOR ANALYSIS" prompt="SM-325_x000d__x000a_LF -_x000d__x000a_SOLD -_x000d__x000a_LST-SOLD -_x000d__x000a_WEEKLY -_x000d__x000a_TO-DAY -_x000d__x000a_Y-DAY -_x000d__x000a_LOWEST AVAIL -_x000d__x000a_CAPACITY -_x000d__x000a_CLASSES -" sqref="A5 B5 C5 D5 E5 F5 G5 H5" xr:uid="{00000000-0002-0000-30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N1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7.3320312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87.664062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800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45987.359197492828</v>
      </c>
      <c r="H2" s="279"/>
      <c r="I2" s="279"/>
      <c r="J2" s="279"/>
      <c r="K2" s="288">
        <v>45987.359197493337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2" t="s">
        <v>5</v>
      </c>
      <c r="B4" s="283"/>
      <c r="C4" s="283"/>
      <c r="D4" s="283"/>
      <c r="E4" s="283"/>
      <c r="F4" s="283"/>
      <c r="G4" s="5">
        <v>45988</v>
      </c>
      <c r="H4" s="294" t="s">
        <v>6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137" t="s">
        <v>59</v>
      </c>
      <c r="B6" s="137" t="s">
        <v>801</v>
      </c>
      <c r="C6" s="138">
        <v>0.76736111111111116</v>
      </c>
      <c r="D6" s="137" t="s">
        <v>61</v>
      </c>
      <c r="E6" s="139"/>
      <c r="F6" s="137" t="s">
        <v>303</v>
      </c>
      <c r="G6" s="302"/>
      <c r="H6" s="230" t="s">
        <v>801</v>
      </c>
      <c r="I6" s="266">
        <v>0.96089999999999998</v>
      </c>
      <c r="J6" s="232">
        <v>172</v>
      </c>
      <c r="K6" s="233">
        <v>45986</v>
      </c>
      <c r="L6" s="232">
        <v>53</v>
      </c>
      <c r="M6" s="232">
        <v>0</v>
      </c>
      <c r="N6" s="232">
        <v>7</v>
      </c>
      <c r="O6" s="234" t="s">
        <v>802</v>
      </c>
      <c r="P6" s="235">
        <v>0.76736111111111116</v>
      </c>
      <c r="Q6" s="232">
        <v>179</v>
      </c>
      <c r="R6" s="236" t="s">
        <v>803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4.4" customHeight="1" x14ac:dyDescent="0.3">
      <c r="A7" s="272"/>
      <c r="B7" s="273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22.05" customHeight="1" x14ac:dyDescent="0.3">
      <c r="A8" s="280" t="s">
        <v>5</v>
      </c>
      <c r="B8" s="281"/>
      <c r="C8" s="281"/>
      <c r="D8" s="281"/>
      <c r="E8" s="281"/>
      <c r="F8" s="281"/>
      <c r="G8" s="5">
        <v>45989</v>
      </c>
      <c r="H8" s="290" t="s">
        <v>6</v>
      </c>
      <c r="I8" s="291"/>
      <c r="J8" s="291"/>
      <c r="K8" s="291"/>
      <c r="L8" s="291"/>
      <c r="M8" s="291"/>
      <c r="N8" s="291"/>
      <c r="O8" s="291"/>
      <c r="P8" s="291"/>
      <c r="Q8" s="291"/>
      <c r="R8" s="291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24" customHeight="1" x14ac:dyDescent="0.3">
      <c r="A9" s="31" t="s">
        <v>7</v>
      </c>
      <c r="B9" s="31" t="s">
        <v>8</v>
      </c>
      <c r="C9" s="32" t="s">
        <v>9</v>
      </c>
      <c r="D9" s="31" t="s">
        <v>10</v>
      </c>
      <c r="E9" s="31" t="s">
        <v>11</v>
      </c>
      <c r="F9" s="31" t="s">
        <v>12</v>
      </c>
      <c r="G9" s="33" t="s">
        <v>13</v>
      </c>
      <c r="H9" s="31" t="s">
        <v>14</v>
      </c>
      <c r="I9" s="34" t="s">
        <v>15</v>
      </c>
      <c r="J9" s="35" t="s">
        <v>16</v>
      </c>
      <c r="K9" s="36" t="s">
        <v>17</v>
      </c>
      <c r="L9" s="35" t="s">
        <v>18</v>
      </c>
      <c r="M9" s="35" t="s">
        <v>19</v>
      </c>
      <c r="N9" s="35" t="s">
        <v>20</v>
      </c>
      <c r="O9" s="31" t="s">
        <v>21</v>
      </c>
      <c r="P9" s="32" t="s">
        <v>22</v>
      </c>
      <c r="Q9" s="35" t="s">
        <v>23</v>
      </c>
      <c r="R9" s="31" t="s">
        <v>24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49.95" customHeight="1" x14ac:dyDescent="0.3">
      <c r="A10" s="238" t="s">
        <v>246</v>
      </c>
      <c r="B10" s="238" t="s">
        <v>804</v>
      </c>
      <c r="C10" s="239">
        <v>0.30902777777777779</v>
      </c>
      <c r="D10" s="238" t="s">
        <v>191</v>
      </c>
      <c r="E10" s="238" t="s">
        <v>455</v>
      </c>
      <c r="F10" s="238" t="s">
        <v>805</v>
      </c>
      <c r="G10" s="302"/>
      <c r="H10" s="39"/>
      <c r="I10" s="40"/>
      <c r="J10" s="40"/>
      <c r="K10" s="40"/>
      <c r="L10" s="40"/>
      <c r="M10" s="40"/>
      <c r="N10" s="40"/>
      <c r="O10" s="41"/>
      <c r="P10" s="40"/>
      <c r="Q10" s="42"/>
      <c r="R10" s="4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4.4" customHeight="1" x14ac:dyDescent="0.3">
      <c r="A11" s="284"/>
      <c r="B11" s="285"/>
      <c r="C11" s="285"/>
      <c r="D11" s="285"/>
      <c r="E11" s="285"/>
      <c r="F11" s="285"/>
      <c r="G11" s="273"/>
      <c r="H11" s="286"/>
      <c r="I11" s="286"/>
      <c r="J11" s="286"/>
      <c r="K11" s="286"/>
      <c r="L11" s="286"/>
      <c r="M11" s="286"/>
      <c r="N11" s="286"/>
      <c r="O11" s="287"/>
      <c r="P11" s="286"/>
      <c r="Q11" s="273"/>
      <c r="R11" s="27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22.05" customHeight="1" x14ac:dyDescent="0.3">
      <c r="A12" s="280" t="s">
        <v>5</v>
      </c>
      <c r="B12" s="281"/>
      <c r="C12" s="281"/>
      <c r="D12" s="281"/>
      <c r="E12" s="281"/>
      <c r="F12" s="281"/>
      <c r="G12" s="5">
        <v>45990</v>
      </c>
      <c r="H12" s="290" t="s">
        <v>6</v>
      </c>
      <c r="I12" s="291"/>
      <c r="J12" s="291"/>
      <c r="K12" s="291"/>
      <c r="L12" s="291"/>
      <c r="M12" s="291"/>
      <c r="N12" s="291"/>
      <c r="O12" s="291"/>
      <c r="P12" s="291"/>
      <c r="Q12" s="291"/>
      <c r="R12" s="291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24" customHeight="1" x14ac:dyDescent="0.3">
      <c r="A13" s="31" t="s">
        <v>7</v>
      </c>
      <c r="B13" s="31" t="s">
        <v>8</v>
      </c>
      <c r="C13" s="32" t="s">
        <v>9</v>
      </c>
      <c r="D13" s="31" t="s">
        <v>10</v>
      </c>
      <c r="E13" s="31" t="s">
        <v>11</v>
      </c>
      <c r="F13" s="31" t="s">
        <v>12</v>
      </c>
      <c r="G13" s="33" t="s">
        <v>13</v>
      </c>
      <c r="H13" s="31" t="s">
        <v>14</v>
      </c>
      <c r="I13" s="34" t="s">
        <v>15</v>
      </c>
      <c r="J13" s="35" t="s">
        <v>16</v>
      </c>
      <c r="K13" s="36" t="s">
        <v>17</v>
      </c>
      <c r="L13" s="35" t="s">
        <v>18</v>
      </c>
      <c r="M13" s="35" t="s">
        <v>19</v>
      </c>
      <c r="N13" s="35" t="s">
        <v>20</v>
      </c>
      <c r="O13" s="31" t="s">
        <v>21</v>
      </c>
      <c r="P13" s="32" t="s">
        <v>22</v>
      </c>
      <c r="Q13" s="35" t="s">
        <v>23</v>
      </c>
      <c r="R13" s="31" t="s">
        <v>24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49.95" customHeight="1" x14ac:dyDescent="0.3">
      <c r="A14" s="137" t="s">
        <v>59</v>
      </c>
      <c r="B14" s="137" t="s">
        <v>806</v>
      </c>
      <c r="C14" s="138">
        <v>0.71875</v>
      </c>
      <c r="D14" s="137" t="s">
        <v>191</v>
      </c>
      <c r="E14" s="137" t="s">
        <v>159</v>
      </c>
      <c r="F14" s="137" t="s">
        <v>807</v>
      </c>
      <c r="G14" s="302"/>
      <c r="H14" s="230" t="s">
        <v>801</v>
      </c>
      <c r="I14" s="266">
        <v>0.9385</v>
      </c>
      <c r="J14" s="232">
        <v>168</v>
      </c>
      <c r="K14" s="233">
        <v>45987</v>
      </c>
      <c r="L14" s="232">
        <v>40</v>
      </c>
      <c r="M14" s="232">
        <v>2</v>
      </c>
      <c r="N14" s="232">
        <v>8</v>
      </c>
      <c r="O14" s="234" t="s">
        <v>808</v>
      </c>
      <c r="P14" s="235">
        <v>0.71875</v>
      </c>
      <c r="Q14" s="232">
        <v>179</v>
      </c>
      <c r="R14" s="236" t="s">
        <v>809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4.4" customHeight="1" x14ac:dyDescent="0.3">
      <c r="A15" s="272"/>
      <c r="B15" s="273"/>
      <c r="C15" s="273"/>
      <c r="D15" s="273"/>
      <c r="E15" s="273"/>
      <c r="F15" s="273"/>
      <c r="G15" s="273"/>
      <c r="H15" s="273"/>
      <c r="I15" s="273"/>
      <c r="J15" s="273"/>
      <c r="K15" s="273"/>
      <c r="L15" s="273"/>
      <c r="M15" s="273"/>
      <c r="N15" s="273"/>
      <c r="O15" s="273"/>
      <c r="P15" s="273"/>
      <c r="Q15" s="273"/>
      <c r="R15" s="27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</sheetData>
  <mergeCells count="21">
    <mergeCell ref="J1:M1"/>
    <mergeCell ref="K2:R2"/>
    <mergeCell ref="G10"/>
    <mergeCell ref="D1:F1"/>
    <mergeCell ref="G6"/>
    <mergeCell ref="A15:R15"/>
    <mergeCell ref="A1:C1"/>
    <mergeCell ref="H12:R12"/>
    <mergeCell ref="G1:H1"/>
    <mergeCell ref="A11:R11"/>
    <mergeCell ref="G14"/>
    <mergeCell ref="H8:R8"/>
    <mergeCell ref="O1:Q1"/>
    <mergeCell ref="A7:R7"/>
    <mergeCell ref="A12:F12"/>
    <mergeCell ref="H4:R4"/>
    <mergeCell ref="A2:F2"/>
    <mergeCell ref="A3:R3"/>
    <mergeCell ref="A8:F8"/>
    <mergeCell ref="G2:J2"/>
    <mergeCell ref="A4:F4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I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  <row r="2" spans="1:35" ht="18" x14ac:dyDescent="0.3">
      <c r="A2" s="65" t="s">
        <v>133</v>
      </c>
      <c r="B2" s="66">
        <v>45988</v>
      </c>
      <c r="C2" s="67" t="s">
        <v>801</v>
      </c>
      <c r="D2" s="68">
        <v>0.76736111111111116</v>
      </c>
      <c r="E2" s="67" t="s">
        <v>800</v>
      </c>
      <c r="F2" s="67" t="s">
        <v>134</v>
      </c>
      <c r="G2" s="69">
        <v>0.96089999999999998</v>
      </c>
      <c r="H2" s="70">
        <v>179</v>
      </c>
      <c r="I2" s="70">
        <v>172</v>
      </c>
      <c r="J2" s="70">
        <v>0</v>
      </c>
      <c r="K2" s="66">
        <v>45986</v>
      </c>
      <c r="L2" s="70">
        <v>0</v>
      </c>
      <c r="M2" s="70">
        <v>7</v>
      </c>
      <c r="N2" s="70">
        <v>53</v>
      </c>
      <c r="O2" s="67" t="s">
        <v>802</v>
      </c>
      <c r="P2" s="71"/>
      <c r="Q2" s="71"/>
      <c r="R2" s="71"/>
      <c r="S2" s="71"/>
      <c r="T2" s="71"/>
      <c r="U2" s="70" t="s">
        <v>347</v>
      </c>
      <c r="V2" s="70" t="s">
        <v>339</v>
      </c>
      <c r="W2" s="70" t="s">
        <v>810</v>
      </c>
      <c r="X2" s="70" t="s">
        <v>318</v>
      </c>
      <c r="Y2" s="70" t="s">
        <v>811</v>
      </c>
      <c r="Z2" s="70" t="s">
        <v>812</v>
      </c>
      <c r="AA2" s="70" t="s">
        <v>511</v>
      </c>
      <c r="AB2" s="70" t="s">
        <v>813</v>
      </c>
      <c r="AC2" s="70" t="s">
        <v>367</v>
      </c>
      <c r="AD2" s="70" t="s">
        <v>204</v>
      </c>
      <c r="AE2" s="70" t="s">
        <v>814</v>
      </c>
      <c r="AF2" s="71"/>
      <c r="AG2" s="71"/>
      <c r="AH2" s="71"/>
      <c r="AI2" s="71"/>
    </row>
    <row r="3" spans="1:35" ht="18" x14ac:dyDescent="0.3">
      <c r="A3" s="72" t="s">
        <v>140</v>
      </c>
      <c r="B3" s="73">
        <v>45990</v>
      </c>
      <c r="C3" s="74" t="s">
        <v>801</v>
      </c>
      <c r="D3" s="75">
        <v>0.71875</v>
      </c>
      <c r="E3" s="74" t="s">
        <v>800</v>
      </c>
      <c r="F3" s="74" t="s">
        <v>134</v>
      </c>
      <c r="G3" s="76">
        <v>0.9385</v>
      </c>
      <c r="H3" s="77">
        <v>179</v>
      </c>
      <c r="I3" s="77">
        <v>168</v>
      </c>
      <c r="J3" s="77">
        <v>0</v>
      </c>
      <c r="K3" s="73">
        <v>45987</v>
      </c>
      <c r="L3" s="77">
        <v>2</v>
      </c>
      <c r="M3" s="77">
        <v>8</v>
      </c>
      <c r="N3" s="77">
        <v>40</v>
      </c>
      <c r="O3" s="74" t="s">
        <v>808</v>
      </c>
      <c r="P3" s="78"/>
      <c r="Q3" s="78"/>
      <c r="R3" s="77" t="s">
        <v>815</v>
      </c>
      <c r="S3" s="77" t="s">
        <v>816</v>
      </c>
      <c r="T3" s="77" t="s">
        <v>817</v>
      </c>
      <c r="U3" s="77" t="s">
        <v>658</v>
      </c>
      <c r="V3" s="77" t="s">
        <v>818</v>
      </c>
      <c r="W3" s="77" t="s">
        <v>819</v>
      </c>
      <c r="X3" s="77" t="s">
        <v>183</v>
      </c>
      <c r="Y3" s="77" t="s">
        <v>655</v>
      </c>
      <c r="Z3" s="77" t="s">
        <v>475</v>
      </c>
      <c r="AA3" s="77" t="s">
        <v>509</v>
      </c>
      <c r="AB3" s="77" t="s">
        <v>150</v>
      </c>
      <c r="AC3" s="77" t="s">
        <v>642</v>
      </c>
      <c r="AD3" s="77" t="s">
        <v>820</v>
      </c>
      <c r="AE3" s="77" t="s">
        <v>481</v>
      </c>
      <c r="AF3" s="78"/>
      <c r="AG3" s="78"/>
      <c r="AH3" s="78"/>
      <c r="AI3" s="78"/>
    </row>
    <row r="4" spans="1:35" ht="18" x14ac:dyDescent="0.3">
      <c r="A4" s="79" t="s">
        <v>151</v>
      </c>
      <c r="B4" s="80"/>
      <c r="C4" s="81">
        <f>COUNTA(C2:C3)</f>
        <v>2</v>
      </c>
      <c r="D4" s="80"/>
      <c r="E4" s="80"/>
      <c r="F4" s="80"/>
      <c r="G4" s="82">
        <f>AVERAGE(G2:G3)</f>
        <v>0.94969999999999999</v>
      </c>
      <c r="H4" s="83">
        <f>SUM(H2:H3)</f>
        <v>358</v>
      </c>
      <c r="I4" s="83">
        <f>SUM(I2:I3)</f>
        <v>340</v>
      </c>
      <c r="J4" s="83">
        <f>SUM(J2:J3)</f>
        <v>0</v>
      </c>
      <c r="K4" s="80"/>
      <c r="L4" s="83">
        <f>SUM(L2:L3)</f>
        <v>2</v>
      </c>
      <c r="M4" s="83">
        <f>SUM(M2:M3)</f>
        <v>15</v>
      </c>
      <c r="N4" s="83">
        <f>SUM(N2:N3)</f>
        <v>93</v>
      </c>
      <c r="O4" s="80"/>
      <c r="P4" s="83">
        <f t="shared" ref="P4:AI4" si="0">SUMPRODUCT(--IFERROR(VALUE(SUBSTITUTE(SUBSTITUTE(SUBSTITUTE(SUBSTITUTE(SUBSTITUTE(SUBSTITUTE(SUBSTITUTE(SUBSTITUTE(SUBSTITUTE(SUBSTITUTE(SUBSTITUTE(SUBSTITUTE(SUBSTITUTE(SUBSTITUTE(SUBSTITUTE(SUBSTITUTE(SUBSTITUTE(SUBSTITUTE(SUBSTITUTE(SUBSTITUTE(P2:P3,"Y",""),"B",""),"M",""),"H",""),"Q",""),"K",""),"V",""),"L",""),"G",""),"S",""),"W",""),"T",""),"X",""),"U",""),"O",""),"I",""),"E",""),"A",""),"P",""),"N","")),0))</f>
        <v>0</v>
      </c>
      <c r="Q4" s="83">
        <f t="shared" si="0"/>
        <v>0</v>
      </c>
      <c r="R4" s="83">
        <f t="shared" si="0"/>
        <v>0</v>
      </c>
      <c r="S4" s="83">
        <f t="shared" si="0"/>
        <v>0</v>
      </c>
      <c r="T4" s="83">
        <f t="shared" si="0"/>
        <v>0</v>
      </c>
      <c r="U4" s="83">
        <f t="shared" si="0"/>
        <v>0</v>
      </c>
      <c r="V4" s="83">
        <f t="shared" si="0"/>
        <v>0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</row>
  </sheetData>
  <autoFilter ref="A1:AI3" xr:uid="{00000000-0009-0000-0000-000032000000}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4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3.44140625" bestFit="1" customWidth="1"/>
    <col min="7" max="7" width="16.88671875" bestFit="1" customWidth="1"/>
    <col min="8" max="8" width="19.664062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  <row r="2" spans="1:8" ht="18" x14ac:dyDescent="0.3">
      <c r="A2" s="255">
        <v>45988</v>
      </c>
      <c r="B2" s="103" t="s">
        <v>59</v>
      </c>
      <c r="C2" s="104" t="s">
        <v>801</v>
      </c>
      <c r="D2" s="103" t="s">
        <v>800</v>
      </c>
      <c r="E2" s="105">
        <v>1.7673611111111109</v>
      </c>
      <c r="F2" s="103" t="s">
        <v>61</v>
      </c>
      <c r="G2" s="103"/>
      <c r="H2" s="256" t="s">
        <v>303</v>
      </c>
    </row>
    <row r="3" spans="1:8" ht="18" x14ac:dyDescent="0.3">
      <c r="A3" s="240">
        <v>45989</v>
      </c>
      <c r="B3" s="241" t="s">
        <v>246</v>
      </c>
      <c r="C3" s="242" t="s">
        <v>804</v>
      </c>
      <c r="D3" s="241" t="s">
        <v>800</v>
      </c>
      <c r="E3" s="243">
        <v>1.3090277777777779</v>
      </c>
      <c r="F3" s="241" t="s">
        <v>191</v>
      </c>
      <c r="G3" s="244">
        <v>6</v>
      </c>
      <c r="H3" s="245" t="s">
        <v>805</v>
      </c>
    </row>
    <row r="4" spans="1:8" ht="18" x14ac:dyDescent="0.3">
      <c r="A4" s="255">
        <v>45990</v>
      </c>
      <c r="B4" s="103" t="s">
        <v>59</v>
      </c>
      <c r="C4" s="104" t="s">
        <v>806</v>
      </c>
      <c r="D4" s="103" t="s">
        <v>800</v>
      </c>
      <c r="E4" s="105">
        <v>1.71875</v>
      </c>
      <c r="F4" s="103" t="s">
        <v>191</v>
      </c>
      <c r="G4" s="257">
        <v>5</v>
      </c>
      <c r="H4" s="256" t="s">
        <v>807</v>
      </c>
    </row>
  </sheetData>
  <dataValidations count="2">
    <dataValidation type="custom" allowBlank="1" showInputMessage="1" promptTitle="LOAD FACTOR ANALYSIS" prompt="SM321_x000d__x000a_LF 96.1%_x000d__x000a_SOLD 172_x000d__x000a_LST-SOLD 25NOV_x000d__x000a_WEEKLY 53_x000d__x000a_TO-DAY NIL_x000d__x000a_Y-DAY 7_x000d__x000a_LOWEST AVAIL K7_x000d__x000a_CAPACITY 179_x000d__x000a_CLASSES K9 &amp; V35 &amp; L21 &amp; +8 more" sqref="A2 B2 C2 D2 E2 F2 G2 H2" xr:uid="{00000000-0002-0000-3300-000000000000}">
      <formula1>TRUE</formula1>
    </dataValidation>
    <dataValidation type="custom" allowBlank="1" showInputMessage="1" promptTitle="LOAD FACTOR ANALYSIS" prompt="SM-321_x000d__x000a_LF 93.8%_x000d__x000a_SOLD 168_x000d__x000a_LST-SOLD 26NOV_x000d__x000a_WEEKLY 40_x000d__x000a_TO-DAY 2_x000d__x000a_Y-DAY 8_x000d__x000a_LOWEST AVAIL M5_x000d__x000a_CAPACITY 179_x000d__x000a_CLASSES M4 &amp; H7 &amp; Q26 &amp; +11 more" sqref="A4 B4 C4 D4 E4 F4 G4 H4" xr:uid="{00000000-0002-0000-33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N9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9.554687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7.8867187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821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45987.359198367347</v>
      </c>
      <c r="H2" s="279"/>
      <c r="I2" s="279"/>
      <c r="J2" s="279"/>
      <c r="K2" s="288">
        <v>45987.359198367849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2" t="s">
        <v>5</v>
      </c>
      <c r="B4" s="283"/>
      <c r="C4" s="283"/>
      <c r="D4" s="283"/>
      <c r="E4" s="283"/>
      <c r="F4" s="283"/>
      <c r="G4" s="5">
        <v>45989</v>
      </c>
      <c r="H4" s="294" t="s">
        <v>6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121" t="s">
        <v>59</v>
      </c>
      <c r="B6" s="121" t="s">
        <v>822</v>
      </c>
      <c r="C6" s="122">
        <v>0.47916666666666669</v>
      </c>
      <c r="D6" s="121" t="s">
        <v>191</v>
      </c>
      <c r="E6" s="121" t="s">
        <v>96</v>
      </c>
      <c r="F6" s="121" t="s">
        <v>823</v>
      </c>
      <c r="G6" s="275"/>
      <c r="H6" s="124" t="s">
        <v>824</v>
      </c>
      <c r="I6" s="125">
        <v>0.86029999999999995</v>
      </c>
      <c r="J6" s="126">
        <v>154</v>
      </c>
      <c r="K6" s="127">
        <v>45986</v>
      </c>
      <c r="L6" s="126">
        <v>80</v>
      </c>
      <c r="M6" s="126">
        <v>0</v>
      </c>
      <c r="N6" s="126">
        <v>9</v>
      </c>
      <c r="O6" s="128" t="s">
        <v>335</v>
      </c>
      <c r="P6" s="129">
        <v>0.47916666666666669</v>
      </c>
      <c r="Q6" s="126">
        <v>179</v>
      </c>
      <c r="R6" s="130" t="s">
        <v>825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8" x14ac:dyDescent="0.3">
      <c r="A7" s="300" t="s">
        <v>826</v>
      </c>
      <c r="B7" s="301"/>
      <c r="C7" s="301"/>
      <c r="D7" s="301"/>
      <c r="E7" s="301"/>
      <c r="F7" s="301"/>
      <c r="G7" s="276"/>
      <c r="H7" s="131"/>
      <c r="I7" s="131"/>
      <c r="J7" s="131"/>
      <c r="K7" s="131"/>
      <c r="L7" s="131"/>
      <c r="M7" s="131"/>
      <c r="N7" s="131"/>
      <c r="O7" s="132"/>
      <c r="P7" s="131"/>
      <c r="Q7" s="133"/>
      <c r="R7" s="13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49.95" customHeight="1" x14ac:dyDescent="0.3">
      <c r="A8" s="37" t="s">
        <v>246</v>
      </c>
      <c r="B8" s="37" t="s">
        <v>804</v>
      </c>
      <c r="C8" s="38" t="s">
        <v>827</v>
      </c>
      <c r="D8" s="37" t="s">
        <v>191</v>
      </c>
      <c r="E8" s="37" t="s">
        <v>683</v>
      </c>
      <c r="F8" s="37" t="s">
        <v>805</v>
      </c>
      <c r="G8" s="277"/>
      <c r="H8" s="134"/>
      <c r="I8" s="134"/>
      <c r="J8" s="134"/>
      <c r="K8" s="134"/>
      <c r="L8" s="134"/>
      <c r="M8" s="134"/>
      <c r="N8" s="134"/>
      <c r="O8" s="135"/>
      <c r="P8" s="134"/>
      <c r="Q8" s="136"/>
      <c r="R8" s="136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14.4" customHeight="1" x14ac:dyDescent="0.3">
      <c r="A9" s="272"/>
      <c r="B9" s="273"/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4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</sheetData>
  <mergeCells count="14">
    <mergeCell ref="G6:G8"/>
    <mergeCell ref="A4:F4"/>
    <mergeCell ref="A9:R9"/>
    <mergeCell ref="D1:F1"/>
    <mergeCell ref="J1:M1"/>
    <mergeCell ref="A7:F7"/>
    <mergeCell ref="A2:F2"/>
    <mergeCell ref="A3:R3"/>
    <mergeCell ref="O1:Q1"/>
    <mergeCell ref="H4:R4"/>
    <mergeCell ref="A1:C1"/>
    <mergeCell ref="G1:H1"/>
    <mergeCell ref="K2:R2"/>
    <mergeCell ref="G2:J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I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  <row r="2" spans="1:35" ht="18" x14ac:dyDescent="0.3">
      <c r="A2" s="65" t="s">
        <v>346</v>
      </c>
      <c r="B2" s="66">
        <v>45989</v>
      </c>
      <c r="C2" s="67" t="s">
        <v>824</v>
      </c>
      <c r="D2" s="68">
        <v>0.47916666666666669</v>
      </c>
      <c r="E2" s="67" t="s">
        <v>821</v>
      </c>
      <c r="F2" s="67" t="s">
        <v>134</v>
      </c>
      <c r="G2" s="69">
        <v>0.86029999999999995</v>
      </c>
      <c r="H2" s="70">
        <v>179</v>
      </c>
      <c r="I2" s="70">
        <v>154</v>
      </c>
      <c r="J2" s="70">
        <v>0</v>
      </c>
      <c r="K2" s="66">
        <v>45986</v>
      </c>
      <c r="L2" s="70">
        <v>0</v>
      </c>
      <c r="M2" s="70">
        <v>9</v>
      </c>
      <c r="N2" s="70">
        <v>80</v>
      </c>
      <c r="O2" s="67" t="s">
        <v>335</v>
      </c>
      <c r="P2" s="71"/>
      <c r="Q2" s="71"/>
      <c r="R2" s="71"/>
      <c r="S2" s="71"/>
      <c r="T2" s="71"/>
      <c r="U2" s="71"/>
      <c r="V2" s="71"/>
      <c r="W2" s="71"/>
      <c r="X2" s="71"/>
      <c r="Y2" s="71"/>
      <c r="Z2" s="70" t="s">
        <v>640</v>
      </c>
      <c r="AA2" s="70" t="s">
        <v>634</v>
      </c>
      <c r="AB2" s="70" t="s">
        <v>828</v>
      </c>
      <c r="AC2" s="70" t="s">
        <v>829</v>
      </c>
      <c r="AD2" s="70" t="s">
        <v>830</v>
      </c>
      <c r="AE2" s="70" t="s">
        <v>831</v>
      </c>
      <c r="AF2" s="71"/>
      <c r="AG2" s="71"/>
      <c r="AH2" s="71"/>
      <c r="AI2" s="71"/>
    </row>
    <row r="3" spans="1:35" ht="18" x14ac:dyDescent="0.3">
      <c r="A3" s="79" t="s">
        <v>151</v>
      </c>
      <c r="B3" s="80"/>
      <c r="C3" s="81">
        <f>COUNTA(C2:C2)</f>
        <v>1</v>
      </c>
      <c r="D3" s="80"/>
      <c r="E3" s="80"/>
      <c r="F3" s="80"/>
      <c r="G3" s="82">
        <f>AVERAGE(G2:G2)</f>
        <v>0.86029999999999995</v>
      </c>
      <c r="H3" s="83">
        <f>SUM(H2:H2)</f>
        <v>179</v>
      </c>
      <c r="I3" s="83">
        <f>SUM(I2:I2)</f>
        <v>154</v>
      </c>
      <c r="J3" s="83">
        <f>SUM(J2:J2)</f>
        <v>0</v>
      </c>
      <c r="K3" s="80"/>
      <c r="L3" s="83">
        <f>SUM(L2:L2)</f>
        <v>0</v>
      </c>
      <c r="M3" s="83">
        <f>SUM(M2:M2)</f>
        <v>9</v>
      </c>
      <c r="N3" s="83">
        <f>SUM(N2:N2)</f>
        <v>80</v>
      </c>
      <c r="O3" s="80"/>
      <c r="P3" s="83">
        <f t="shared" ref="P3:AI3" si="0">SUMPRODUCT(--IFERROR(VALUE(SUBSTITUTE(SUBSTITUTE(SUBSTITUTE(SUBSTITUTE(SUBSTITUTE(SUBSTITUTE(SUBSTITUTE(SUBSTITUTE(SUBSTITUTE(SUBSTITUTE(SUBSTITUTE(SUBSTITUTE(SUBSTITUTE(SUBSTITUTE(SUBSTITUTE(SUBSTITUTE(SUBSTITUTE(SUBSTITUTE(SUBSTITUTE(SUBSTITUTE(P2:P2,"Y",""),"B",""),"M",""),"H",""),"Q",""),"K",""),"V",""),"L",""),"G",""),"S",""),"W",""),"T",""),"X",""),"U",""),"O",""),"I",""),"E",""),"A",""),"P",""),"N","")),0))</f>
        <v>0</v>
      </c>
      <c r="Q3" s="83">
        <f t="shared" si="0"/>
        <v>0</v>
      </c>
      <c r="R3" s="83">
        <f t="shared" si="0"/>
        <v>0</v>
      </c>
      <c r="S3" s="83">
        <f t="shared" si="0"/>
        <v>0</v>
      </c>
      <c r="T3" s="83">
        <f t="shared" si="0"/>
        <v>0</v>
      </c>
      <c r="U3" s="83">
        <f t="shared" si="0"/>
        <v>0</v>
      </c>
      <c r="V3" s="83">
        <f t="shared" si="0"/>
        <v>0</v>
      </c>
      <c r="W3" s="83">
        <f t="shared" si="0"/>
        <v>0</v>
      </c>
      <c r="X3" s="83">
        <f t="shared" si="0"/>
        <v>0</v>
      </c>
      <c r="Y3" s="83">
        <f t="shared" si="0"/>
        <v>0</v>
      </c>
      <c r="Z3" s="83">
        <f t="shared" si="0"/>
        <v>8</v>
      </c>
      <c r="AA3" s="83">
        <f t="shared" si="0"/>
        <v>7</v>
      </c>
      <c r="AB3" s="83">
        <f t="shared" si="0"/>
        <v>62</v>
      </c>
      <c r="AC3" s="83">
        <f t="shared" si="0"/>
        <v>14</v>
      </c>
      <c r="AD3" s="83">
        <f t="shared" si="0"/>
        <v>19</v>
      </c>
      <c r="AE3" s="83">
        <f t="shared" si="0"/>
        <v>44</v>
      </c>
      <c r="AF3" s="83">
        <f t="shared" si="0"/>
        <v>0</v>
      </c>
      <c r="AG3" s="83">
        <f t="shared" si="0"/>
        <v>0</v>
      </c>
      <c r="AH3" s="83">
        <f t="shared" si="0"/>
        <v>0</v>
      </c>
      <c r="AI3" s="83">
        <f t="shared" si="0"/>
        <v>0</v>
      </c>
    </row>
  </sheetData>
  <autoFilter ref="A1:AI2" xr:uid="{00000000-0009-0000-0000-000035000000}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6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21875" bestFit="1" customWidth="1"/>
    <col min="5" max="5" width="31.88671875" bestFit="1" customWidth="1"/>
    <col min="6" max="6" width="33.44140625" bestFit="1" customWidth="1"/>
    <col min="7" max="7" width="16.88671875" bestFit="1" customWidth="1"/>
    <col min="8" max="8" width="19.664062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  <row r="2" spans="1:8" ht="18" x14ac:dyDescent="0.3">
      <c r="A2" s="153">
        <v>45989</v>
      </c>
      <c r="B2" s="148" t="s">
        <v>59</v>
      </c>
      <c r="C2" s="149" t="s">
        <v>822</v>
      </c>
      <c r="D2" s="148" t="s">
        <v>821</v>
      </c>
      <c r="E2" s="150">
        <v>1.479166666666667</v>
      </c>
      <c r="F2" s="148" t="s">
        <v>191</v>
      </c>
      <c r="G2" s="155">
        <v>3</v>
      </c>
      <c r="H2" s="154" t="s">
        <v>823</v>
      </c>
    </row>
    <row r="3" spans="1:8" ht="15.6" x14ac:dyDescent="0.3">
      <c r="A3" s="151"/>
      <c r="B3" s="151"/>
      <c r="C3" s="151"/>
      <c r="D3" s="151"/>
      <c r="E3" s="152" t="s">
        <v>832</v>
      </c>
      <c r="F3" s="151"/>
      <c r="G3" s="151"/>
      <c r="H3" s="3"/>
    </row>
    <row r="4" spans="1:8" ht="18" x14ac:dyDescent="0.3">
      <c r="A4" s="254">
        <v>45989</v>
      </c>
      <c r="B4" s="241" t="s">
        <v>246</v>
      </c>
      <c r="C4" s="242" t="s">
        <v>804</v>
      </c>
      <c r="D4" s="241" t="s">
        <v>800</v>
      </c>
      <c r="E4" s="243">
        <v>1.3090277777777779</v>
      </c>
      <c r="F4" s="241" t="s">
        <v>191</v>
      </c>
      <c r="G4" s="244">
        <v>6</v>
      </c>
      <c r="H4" s="241" t="s">
        <v>805</v>
      </c>
    </row>
    <row r="5" spans="1:8" ht="15.6" x14ac:dyDescent="0.3">
      <c r="A5" s="151"/>
      <c r="B5" s="151"/>
      <c r="C5" s="151"/>
      <c r="D5" s="151"/>
      <c r="E5" s="152" t="s">
        <v>832</v>
      </c>
      <c r="F5" s="151"/>
      <c r="G5" s="151"/>
      <c r="H5" s="3"/>
    </row>
    <row r="6" spans="1:8" ht="18" x14ac:dyDescent="0.3">
      <c r="A6" s="255">
        <v>45990</v>
      </c>
      <c r="B6" s="103" t="s">
        <v>59</v>
      </c>
      <c r="C6" s="104" t="s">
        <v>806</v>
      </c>
      <c r="D6" s="103" t="s">
        <v>800</v>
      </c>
      <c r="E6" s="105">
        <v>1.71875</v>
      </c>
      <c r="F6" s="103" t="s">
        <v>191</v>
      </c>
      <c r="G6" s="257">
        <v>5</v>
      </c>
      <c r="H6" s="256" t="s">
        <v>807</v>
      </c>
    </row>
  </sheetData>
  <dataValidations count="2">
    <dataValidation type="custom" allowBlank="1" showInputMessage="1" promptTitle="LOAD FACTOR ANALYSIS" prompt="SM-323_x000d__x000a_LF 86.0%_x000d__x000a_SOLD 154_x000d__x000a_LST-SOLD 25NOV_x000d__x000a_WEEKLY 80_x000d__x000a_TO-DAY NIL_x000d__x000a_Y-DAY 9_x000d__x000a_LOWEST AVAIL T3_x000d__x000a_CAPACITY 179_x000d__x000a_CLASSES W8 &amp; T7 &amp; X62 &amp; +3 more" sqref="A2 B2 C2 D2 E2 F2 G2 H2" xr:uid="{00000000-0002-0000-3600-000000000000}">
      <formula1>TRUE</formula1>
    </dataValidation>
    <dataValidation type="custom" allowBlank="1" showInputMessage="1" promptTitle="LOAD FACTOR ANALYSIS" prompt="SM-321_x000d__x000a_LF -_x000d__x000a_SOLD -_x000d__x000a_LST-SOLD -_x000d__x000a_WEEKLY -_x000d__x000a_TO-DAY -_x000d__x000a_Y-DAY -_x000d__x000a_LOWEST AVAIL -_x000d__x000a_CAPACITY -_x000d__x000a_CLASSES -" sqref="A6 B6 C6 D6 E6 F6 G6 H6" xr:uid="{00000000-0002-0000-36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N19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7.33203125" bestFit="1" customWidth="1"/>
    <col min="6" max="6" width="20.5546875" bestFit="1" customWidth="1"/>
    <col min="7" max="7" width="46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88.8867187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833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45987.359199020742</v>
      </c>
      <c r="H2" s="279"/>
      <c r="I2" s="279"/>
      <c r="J2" s="279"/>
      <c r="K2" s="288">
        <v>45987.359199021332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2" t="s">
        <v>5</v>
      </c>
      <c r="B4" s="283"/>
      <c r="C4" s="283"/>
      <c r="D4" s="283"/>
      <c r="E4" s="283"/>
      <c r="F4" s="283"/>
      <c r="G4" s="5">
        <v>45988</v>
      </c>
      <c r="H4" s="294" t="s">
        <v>6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156" t="s">
        <v>59</v>
      </c>
      <c r="B6" s="156" t="s">
        <v>834</v>
      </c>
      <c r="C6" s="157">
        <v>0.4375</v>
      </c>
      <c r="D6" s="156" t="s">
        <v>61</v>
      </c>
      <c r="E6" s="194"/>
      <c r="F6" s="156" t="s">
        <v>62</v>
      </c>
      <c r="G6" s="302"/>
      <c r="H6" s="47" t="s">
        <v>834</v>
      </c>
      <c r="I6" s="48">
        <v>1</v>
      </c>
      <c r="J6" s="49">
        <v>179</v>
      </c>
      <c r="K6" s="50">
        <v>45975</v>
      </c>
      <c r="L6" s="49">
        <v>0</v>
      </c>
      <c r="M6" s="49">
        <v>0</v>
      </c>
      <c r="N6" s="49">
        <v>0</v>
      </c>
      <c r="O6" s="51" t="s">
        <v>63</v>
      </c>
      <c r="P6" s="52">
        <v>0.4375</v>
      </c>
      <c r="Q6" s="49">
        <v>179</v>
      </c>
      <c r="R6" s="53" t="s">
        <v>835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4.4" customHeight="1" x14ac:dyDescent="0.3">
      <c r="A7" s="272"/>
      <c r="B7" s="273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22.05" customHeight="1" x14ac:dyDescent="0.3">
      <c r="A8" s="280" t="s">
        <v>5</v>
      </c>
      <c r="B8" s="281"/>
      <c r="C8" s="281"/>
      <c r="D8" s="281"/>
      <c r="E8" s="281"/>
      <c r="F8" s="281"/>
      <c r="G8" s="5">
        <v>45989</v>
      </c>
      <c r="H8" s="290" t="s">
        <v>6</v>
      </c>
      <c r="I8" s="291"/>
      <c r="J8" s="291"/>
      <c r="K8" s="291"/>
      <c r="L8" s="291"/>
      <c r="M8" s="291"/>
      <c r="N8" s="291"/>
      <c r="O8" s="291"/>
      <c r="P8" s="291"/>
      <c r="Q8" s="291"/>
      <c r="R8" s="291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24" customHeight="1" x14ac:dyDescent="0.3">
      <c r="A9" s="31" t="s">
        <v>7</v>
      </c>
      <c r="B9" s="31" t="s">
        <v>8</v>
      </c>
      <c r="C9" s="32" t="s">
        <v>9</v>
      </c>
      <c r="D9" s="31" t="s">
        <v>10</v>
      </c>
      <c r="E9" s="31" t="s">
        <v>11</v>
      </c>
      <c r="F9" s="31" t="s">
        <v>12</v>
      </c>
      <c r="G9" s="33" t="s">
        <v>13</v>
      </c>
      <c r="H9" s="31" t="s">
        <v>14</v>
      </c>
      <c r="I9" s="34" t="s">
        <v>15</v>
      </c>
      <c r="J9" s="35" t="s">
        <v>16</v>
      </c>
      <c r="K9" s="36" t="s">
        <v>17</v>
      </c>
      <c r="L9" s="35" t="s">
        <v>18</v>
      </c>
      <c r="M9" s="35" t="s">
        <v>19</v>
      </c>
      <c r="N9" s="35" t="s">
        <v>20</v>
      </c>
      <c r="O9" s="31" t="s">
        <v>21</v>
      </c>
      <c r="P9" s="32" t="s">
        <v>22</v>
      </c>
      <c r="Q9" s="35" t="s">
        <v>23</v>
      </c>
      <c r="R9" s="31" t="s">
        <v>24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49.95" customHeight="1" x14ac:dyDescent="0.3">
      <c r="A10" s="223" t="s">
        <v>59</v>
      </c>
      <c r="B10" s="223" t="s">
        <v>834</v>
      </c>
      <c r="C10" s="224">
        <v>0.16666666666666671</v>
      </c>
      <c r="D10" s="223" t="s">
        <v>61</v>
      </c>
      <c r="E10" s="225"/>
      <c r="F10" s="223" t="s">
        <v>62</v>
      </c>
      <c r="G10" s="302"/>
      <c r="H10" s="57" t="s">
        <v>834</v>
      </c>
      <c r="I10" s="58">
        <v>1</v>
      </c>
      <c r="J10" s="59">
        <v>179</v>
      </c>
      <c r="K10" s="60">
        <v>45986</v>
      </c>
      <c r="L10" s="59">
        <v>9</v>
      </c>
      <c r="M10" s="59">
        <v>0</v>
      </c>
      <c r="N10" s="59">
        <v>1</v>
      </c>
      <c r="O10" s="61" t="s">
        <v>63</v>
      </c>
      <c r="P10" s="62">
        <v>0.16666666666666671</v>
      </c>
      <c r="Q10" s="59">
        <v>179</v>
      </c>
      <c r="R10" s="63" t="s">
        <v>836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14.4" customHeight="1" x14ac:dyDescent="0.3">
      <c r="A11" s="284"/>
      <c r="B11" s="285"/>
      <c r="C11" s="285"/>
      <c r="D11" s="285"/>
      <c r="E11" s="285"/>
      <c r="F11" s="285"/>
      <c r="G11" s="273"/>
      <c r="H11" s="286"/>
      <c r="I11" s="286"/>
      <c r="J11" s="286"/>
      <c r="K11" s="286"/>
      <c r="L11" s="286"/>
      <c r="M11" s="286"/>
      <c r="N11" s="286"/>
      <c r="O11" s="287"/>
      <c r="P11" s="286"/>
      <c r="Q11" s="273"/>
      <c r="R11" s="274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22.05" customHeight="1" x14ac:dyDescent="0.3">
      <c r="A12" s="280" t="s">
        <v>5</v>
      </c>
      <c r="B12" s="281"/>
      <c r="C12" s="281"/>
      <c r="D12" s="281"/>
      <c r="E12" s="281"/>
      <c r="F12" s="281"/>
      <c r="G12" s="5">
        <v>45990</v>
      </c>
      <c r="H12" s="290" t="s">
        <v>6</v>
      </c>
      <c r="I12" s="291"/>
      <c r="J12" s="291"/>
      <c r="K12" s="291"/>
      <c r="L12" s="291"/>
      <c r="M12" s="291"/>
      <c r="N12" s="291"/>
      <c r="O12" s="291"/>
      <c r="P12" s="291"/>
      <c r="Q12" s="291"/>
      <c r="R12" s="291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24" customHeight="1" x14ac:dyDescent="0.3">
      <c r="A13" s="31" t="s">
        <v>7</v>
      </c>
      <c r="B13" s="31" t="s">
        <v>8</v>
      </c>
      <c r="C13" s="32" t="s">
        <v>9</v>
      </c>
      <c r="D13" s="31" t="s">
        <v>10</v>
      </c>
      <c r="E13" s="31" t="s">
        <v>11</v>
      </c>
      <c r="F13" s="31" t="s">
        <v>12</v>
      </c>
      <c r="G13" s="33" t="s">
        <v>13</v>
      </c>
      <c r="H13" s="31" t="s">
        <v>14</v>
      </c>
      <c r="I13" s="34" t="s">
        <v>15</v>
      </c>
      <c r="J13" s="35" t="s">
        <v>16</v>
      </c>
      <c r="K13" s="36" t="s">
        <v>17</v>
      </c>
      <c r="L13" s="35" t="s">
        <v>18</v>
      </c>
      <c r="M13" s="35" t="s">
        <v>19</v>
      </c>
      <c r="N13" s="35" t="s">
        <v>20</v>
      </c>
      <c r="O13" s="31" t="s">
        <v>21</v>
      </c>
      <c r="P13" s="32" t="s">
        <v>22</v>
      </c>
      <c r="Q13" s="35" t="s">
        <v>23</v>
      </c>
      <c r="R13" s="31" t="s">
        <v>24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49.95" customHeight="1" x14ac:dyDescent="0.3">
      <c r="A14" s="121" t="s">
        <v>59</v>
      </c>
      <c r="B14" s="121" t="s">
        <v>837</v>
      </c>
      <c r="C14" s="122">
        <v>0.125</v>
      </c>
      <c r="D14" s="121" t="s">
        <v>191</v>
      </c>
      <c r="E14" s="121" t="s">
        <v>84</v>
      </c>
      <c r="F14" s="121" t="s">
        <v>838</v>
      </c>
      <c r="G14" s="302"/>
      <c r="H14" s="198" t="s">
        <v>834</v>
      </c>
      <c r="I14" s="199">
        <v>0.97770000000000001</v>
      </c>
      <c r="J14" s="200">
        <v>175</v>
      </c>
      <c r="K14" s="201">
        <v>45986</v>
      </c>
      <c r="L14" s="200">
        <v>15</v>
      </c>
      <c r="M14" s="200">
        <v>0</v>
      </c>
      <c r="N14" s="200">
        <v>2</v>
      </c>
      <c r="O14" s="202" t="s">
        <v>839</v>
      </c>
      <c r="P14" s="203">
        <v>0.125</v>
      </c>
      <c r="Q14" s="200">
        <v>179</v>
      </c>
      <c r="R14" s="204" t="s">
        <v>840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14.4" customHeight="1" x14ac:dyDescent="0.3">
      <c r="A15" s="284"/>
      <c r="B15" s="285"/>
      <c r="C15" s="285"/>
      <c r="D15" s="285"/>
      <c r="E15" s="285"/>
      <c r="F15" s="285"/>
      <c r="G15" s="273"/>
      <c r="H15" s="286"/>
      <c r="I15" s="286"/>
      <c r="J15" s="286"/>
      <c r="K15" s="286"/>
      <c r="L15" s="286"/>
      <c r="M15" s="286"/>
      <c r="N15" s="286"/>
      <c r="O15" s="287"/>
      <c r="P15" s="286"/>
      <c r="Q15" s="273"/>
      <c r="R15" s="27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22.05" customHeight="1" x14ac:dyDescent="0.3">
      <c r="A16" s="280" t="s">
        <v>5</v>
      </c>
      <c r="B16" s="281"/>
      <c r="C16" s="281"/>
      <c r="D16" s="281"/>
      <c r="E16" s="281"/>
      <c r="F16" s="281"/>
      <c r="G16" s="5">
        <v>45991</v>
      </c>
      <c r="H16" s="290" t="s">
        <v>6</v>
      </c>
      <c r="I16" s="291"/>
      <c r="J16" s="291"/>
      <c r="K16" s="291"/>
      <c r="L16" s="291"/>
      <c r="M16" s="291"/>
      <c r="N16" s="291"/>
      <c r="O16" s="291"/>
      <c r="P16" s="291"/>
      <c r="Q16" s="291"/>
      <c r="R16" s="291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24" customHeight="1" x14ac:dyDescent="0.3">
      <c r="A17" s="31" t="s">
        <v>7</v>
      </c>
      <c r="B17" s="31" t="s">
        <v>8</v>
      </c>
      <c r="C17" s="32" t="s">
        <v>9</v>
      </c>
      <c r="D17" s="31" t="s">
        <v>10</v>
      </c>
      <c r="E17" s="31" t="s">
        <v>11</v>
      </c>
      <c r="F17" s="31" t="s">
        <v>12</v>
      </c>
      <c r="G17" s="33" t="s">
        <v>13</v>
      </c>
      <c r="H17" s="31" t="s">
        <v>14</v>
      </c>
      <c r="I17" s="34" t="s">
        <v>15</v>
      </c>
      <c r="J17" s="35" t="s">
        <v>16</v>
      </c>
      <c r="K17" s="36" t="s">
        <v>17</v>
      </c>
      <c r="L17" s="35" t="s">
        <v>18</v>
      </c>
      <c r="M17" s="35" t="s">
        <v>19</v>
      </c>
      <c r="N17" s="35" t="s">
        <v>20</v>
      </c>
      <c r="O17" s="31" t="s">
        <v>21</v>
      </c>
      <c r="P17" s="32" t="s">
        <v>22</v>
      </c>
      <c r="Q17" s="35" t="s">
        <v>23</v>
      </c>
      <c r="R17" s="31" t="s">
        <v>24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49.95" customHeight="1" x14ac:dyDescent="0.3">
      <c r="A18" s="205" t="s">
        <v>59</v>
      </c>
      <c r="B18" s="205" t="s">
        <v>834</v>
      </c>
      <c r="C18" s="206">
        <v>0.21527777777777779</v>
      </c>
      <c r="D18" s="205" t="s">
        <v>61</v>
      </c>
      <c r="E18" s="207"/>
      <c r="F18" s="205" t="s">
        <v>62</v>
      </c>
      <c r="G18" s="302"/>
      <c r="H18" s="24" t="s">
        <v>834</v>
      </c>
      <c r="I18" s="25">
        <v>1</v>
      </c>
      <c r="J18" s="26">
        <v>179</v>
      </c>
      <c r="K18" s="27">
        <v>45986</v>
      </c>
      <c r="L18" s="26">
        <v>4</v>
      </c>
      <c r="M18" s="26">
        <v>0</v>
      </c>
      <c r="N18" s="26">
        <v>1</v>
      </c>
      <c r="O18" s="28" t="s">
        <v>63</v>
      </c>
      <c r="P18" s="29">
        <v>0.21527777777777779</v>
      </c>
      <c r="Q18" s="26">
        <v>179</v>
      </c>
      <c r="R18" s="30" t="s">
        <v>841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14.4" customHeight="1" x14ac:dyDescent="0.3">
      <c r="A19" s="272"/>
      <c r="B19" s="273"/>
      <c r="C19" s="273"/>
      <c r="D19" s="273"/>
      <c r="E19" s="273"/>
      <c r="F19" s="273"/>
      <c r="G19" s="273"/>
      <c r="H19" s="273"/>
      <c r="I19" s="273"/>
      <c r="J19" s="273"/>
      <c r="K19" s="273"/>
      <c r="L19" s="273"/>
      <c r="M19" s="273"/>
      <c r="N19" s="273"/>
      <c r="O19" s="273"/>
      <c r="P19" s="273"/>
      <c r="Q19" s="273"/>
      <c r="R19" s="274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</sheetData>
  <mergeCells count="25">
    <mergeCell ref="J1:M1"/>
    <mergeCell ref="A7:R7"/>
    <mergeCell ref="A12:F12"/>
    <mergeCell ref="H4:R4"/>
    <mergeCell ref="A2:F2"/>
    <mergeCell ref="A3:R3"/>
    <mergeCell ref="A8:F8"/>
    <mergeCell ref="G2:J2"/>
    <mergeCell ref="A4:F4"/>
    <mergeCell ref="A19:R19"/>
    <mergeCell ref="H16:R16"/>
    <mergeCell ref="K2:R2"/>
    <mergeCell ref="G10"/>
    <mergeCell ref="D1:F1"/>
    <mergeCell ref="G6"/>
    <mergeCell ref="G18"/>
    <mergeCell ref="A15:R15"/>
    <mergeCell ref="A1:C1"/>
    <mergeCell ref="H12:R12"/>
    <mergeCell ref="G1:H1"/>
    <mergeCell ref="A11:R11"/>
    <mergeCell ref="G14"/>
    <mergeCell ref="A16:F16"/>
    <mergeCell ref="H8:R8"/>
    <mergeCell ref="O1:Q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I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9.7773437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7.21875" bestFit="1" customWidth="1"/>
    <col min="35" max="35" width="6.7773437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  <row r="2" spans="1:35" ht="18" x14ac:dyDescent="0.3">
      <c r="A2" s="65" t="s">
        <v>133</v>
      </c>
      <c r="B2" s="66">
        <v>45988</v>
      </c>
      <c r="C2" s="67" t="s">
        <v>834</v>
      </c>
      <c r="D2" s="68">
        <v>0.4375</v>
      </c>
      <c r="E2" s="67" t="s">
        <v>833</v>
      </c>
      <c r="F2" s="67" t="s">
        <v>134</v>
      </c>
      <c r="G2" s="69">
        <v>1</v>
      </c>
      <c r="H2" s="70">
        <v>179</v>
      </c>
      <c r="I2" s="70">
        <v>179</v>
      </c>
      <c r="J2" s="70">
        <v>135</v>
      </c>
      <c r="K2" s="66">
        <v>45975</v>
      </c>
      <c r="L2" s="70">
        <v>0</v>
      </c>
      <c r="M2" s="70">
        <v>0</v>
      </c>
      <c r="N2" s="70">
        <v>0</v>
      </c>
      <c r="O2" s="67" t="s">
        <v>63</v>
      </c>
      <c r="P2" s="71"/>
      <c r="Q2" s="71"/>
      <c r="R2" s="71"/>
      <c r="S2" s="71"/>
      <c r="T2" s="70" t="s">
        <v>376</v>
      </c>
      <c r="U2" s="71"/>
      <c r="V2" s="70" t="s">
        <v>211</v>
      </c>
      <c r="W2" s="70" t="s">
        <v>842</v>
      </c>
      <c r="X2" s="70" t="s">
        <v>843</v>
      </c>
      <c r="Y2" s="70" t="s">
        <v>358</v>
      </c>
      <c r="Z2" s="70" t="s">
        <v>334</v>
      </c>
      <c r="AA2" s="70" t="s">
        <v>844</v>
      </c>
      <c r="AB2" s="70" t="s">
        <v>760</v>
      </c>
      <c r="AC2" s="71"/>
      <c r="AD2" s="71"/>
      <c r="AE2" s="71"/>
      <c r="AF2" s="71"/>
      <c r="AG2" s="71"/>
      <c r="AH2" s="70" t="s">
        <v>146</v>
      </c>
      <c r="AI2" s="71"/>
    </row>
    <row r="3" spans="1:35" ht="18" x14ac:dyDescent="0.3">
      <c r="A3" s="72" t="s">
        <v>346</v>
      </c>
      <c r="B3" s="73">
        <v>45989</v>
      </c>
      <c r="C3" s="74" t="s">
        <v>834</v>
      </c>
      <c r="D3" s="75">
        <v>0.16666666666666671</v>
      </c>
      <c r="E3" s="74" t="s">
        <v>833</v>
      </c>
      <c r="F3" s="74" t="s">
        <v>134</v>
      </c>
      <c r="G3" s="76">
        <v>1</v>
      </c>
      <c r="H3" s="77">
        <v>179</v>
      </c>
      <c r="I3" s="77">
        <v>179</v>
      </c>
      <c r="J3" s="77">
        <v>80</v>
      </c>
      <c r="K3" s="73">
        <v>45986</v>
      </c>
      <c r="L3" s="77">
        <v>0</v>
      </c>
      <c r="M3" s="77">
        <v>1</v>
      </c>
      <c r="N3" s="77">
        <v>9</v>
      </c>
      <c r="O3" s="74" t="s">
        <v>63</v>
      </c>
      <c r="P3" s="78"/>
      <c r="Q3" s="78"/>
      <c r="R3" s="77" t="s">
        <v>395</v>
      </c>
      <c r="S3" s="78"/>
      <c r="T3" s="77" t="s">
        <v>715</v>
      </c>
      <c r="U3" s="77" t="s">
        <v>845</v>
      </c>
      <c r="V3" s="77" t="s">
        <v>758</v>
      </c>
      <c r="W3" s="77" t="s">
        <v>400</v>
      </c>
      <c r="X3" s="77" t="s">
        <v>843</v>
      </c>
      <c r="Y3" s="77" t="s">
        <v>846</v>
      </c>
      <c r="Z3" s="77" t="s">
        <v>812</v>
      </c>
      <c r="AA3" s="77" t="s">
        <v>844</v>
      </c>
      <c r="AB3" s="77" t="s">
        <v>760</v>
      </c>
      <c r="AC3" s="78"/>
      <c r="AD3" s="78"/>
      <c r="AE3" s="78"/>
      <c r="AF3" s="78"/>
      <c r="AG3" s="78"/>
      <c r="AH3" s="77" t="s">
        <v>847</v>
      </c>
      <c r="AI3" s="78"/>
    </row>
    <row r="4" spans="1:35" ht="18" x14ac:dyDescent="0.3">
      <c r="A4" s="65" t="s">
        <v>140</v>
      </c>
      <c r="B4" s="66">
        <v>45990</v>
      </c>
      <c r="C4" s="67" t="s">
        <v>834</v>
      </c>
      <c r="D4" s="68">
        <v>0.125</v>
      </c>
      <c r="E4" s="67" t="s">
        <v>833</v>
      </c>
      <c r="F4" s="67" t="s">
        <v>134</v>
      </c>
      <c r="G4" s="69">
        <v>0.97770000000000001</v>
      </c>
      <c r="H4" s="70">
        <v>179</v>
      </c>
      <c r="I4" s="70">
        <v>175</v>
      </c>
      <c r="J4" s="70">
        <v>44</v>
      </c>
      <c r="K4" s="66">
        <v>45986</v>
      </c>
      <c r="L4" s="70">
        <v>0</v>
      </c>
      <c r="M4" s="70">
        <v>2</v>
      </c>
      <c r="N4" s="70">
        <v>15</v>
      </c>
      <c r="O4" s="67" t="s">
        <v>839</v>
      </c>
      <c r="P4" s="70" t="s">
        <v>198</v>
      </c>
      <c r="Q4" s="70" t="s">
        <v>848</v>
      </c>
      <c r="R4" s="70" t="s">
        <v>395</v>
      </c>
      <c r="S4" s="70" t="s">
        <v>849</v>
      </c>
      <c r="T4" s="70" t="s">
        <v>850</v>
      </c>
      <c r="U4" s="70" t="s">
        <v>750</v>
      </c>
      <c r="V4" s="70" t="s">
        <v>851</v>
      </c>
      <c r="W4" s="70" t="s">
        <v>852</v>
      </c>
      <c r="X4" s="70" t="s">
        <v>843</v>
      </c>
      <c r="Y4" s="70" t="s">
        <v>365</v>
      </c>
      <c r="Z4" s="70" t="s">
        <v>812</v>
      </c>
      <c r="AA4" s="70" t="s">
        <v>844</v>
      </c>
      <c r="AB4" s="70" t="s">
        <v>331</v>
      </c>
      <c r="AC4" s="71"/>
      <c r="AD4" s="71"/>
      <c r="AE4" s="71"/>
      <c r="AF4" s="71"/>
      <c r="AG4" s="71"/>
      <c r="AH4" s="70" t="s">
        <v>853</v>
      </c>
      <c r="AI4" s="71"/>
    </row>
    <row r="5" spans="1:35" ht="18" x14ac:dyDescent="0.3">
      <c r="A5" s="72" t="s">
        <v>148</v>
      </c>
      <c r="B5" s="73">
        <v>45991</v>
      </c>
      <c r="C5" s="74" t="s">
        <v>834</v>
      </c>
      <c r="D5" s="75">
        <v>0.21527777777777779</v>
      </c>
      <c r="E5" s="74" t="s">
        <v>833</v>
      </c>
      <c r="F5" s="74" t="s">
        <v>134</v>
      </c>
      <c r="G5" s="76">
        <v>1</v>
      </c>
      <c r="H5" s="77">
        <v>179</v>
      </c>
      <c r="I5" s="77">
        <v>179</v>
      </c>
      <c r="J5" s="77">
        <v>90</v>
      </c>
      <c r="K5" s="73">
        <v>45986</v>
      </c>
      <c r="L5" s="77">
        <v>0</v>
      </c>
      <c r="M5" s="77">
        <v>1</v>
      </c>
      <c r="N5" s="77">
        <v>4</v>
      </c>
      <c r="O5" s="74" t="s">
        <v>63</v>
      </c>
      <c r="P5" s="78"/>
      <c r="Q5" s="78"/>
      <c r="R5" s="78"/>
      <c r="S5" s="78"/>
      <c r="T5" s="78"/>
      <c r="U5" s="78"/>
      <c r="V5" s="77" t="s">
        <v>348</v>
      </c>
      <c r="W5" s="77" t="s">
        <v>759</v>
      </c>
      <c r="X5" s="77" t="s">
        <v>854</v>
      </c>
      <c r="Y5" s="77" t="s">
        <v>855</v>
      </c>
      <c r="Z5" s="77" t="s">
        <v>382</v>
      </c>
      <c r="AA5" s="77" t="s">
        <v>844</v>
      </c>
      <c r="AB5" s="77" t="s">
        <v>760</v>
      </c>
      <c r="AC5" s="78"/>
      <c r="AD5" s="78"/>
      <c r="AE5" s="78"/>
      <c r="AF5" s="78"/>
      <c r="AG5" s="78"/>
      <c r="AH5" s="77" t="s">
        <v>394</v>
      </c>
      <c r="AI5" s="78"/>
    </row>
    <row r="6" spans="1:35" ht="18" x14ac:dyDescent="0.3">
      <c r="A6" s="79" t="s">
        <v>151</v>
      </c>
      <c r="B6" s="80"/>
      <c r="C6" s="81">
        <f>COUNTA(C2:C5)</f>
        <v>4</v>
      </c>
      <c r="D6" s="80"/>
      <c r="E6" s="80"/>
      <c r="F6" s="80"/>
      <c r="G6" s="82">
        <f>AVERAGE(G2:G5)</f>
        <v>0.994425</v>
      </c>
      <c r="H6" s="83">
        <f>SUM(H2:H5)</f>
        <v>716</v>
      </c>
      <c r="I6" s="83">
        <f>SUM(I2:I5)</f>
        <v>712</v>
      </c>
      <c r="J6" s="83">
        <f>SUM(J2:J5)</f>
        <v>349</v>
      </c>
      <c r="K6" s="80"/>
      <c r="L6" s="83">
        <f>SUM(L2:L5)</f>
        <v>0</v>
      </c>
      <c r="M6" s="83">
        <f>SUM(M2:M5)</f>
        <v>4</v>
      </c>
      <c r="N6" s="83">
        <f>SUM(N2:N5)</f>
        <v>28</v>
      </c>
      <c r="O6" s="80"/>
      <c r="P6" s="83">
        <f t="shared" ref="P6:AI6" si="0">SUMPRODUCT(--IFERROR(VALUE(SUBSTITUTE(SUBSTITUTE(SUBSTITUTE(SUBSTITUTE(SUBSTITUTE(SUBSTITUTE(SUBSTITUTE(SUBSTITUTE(SUBSTITUTE(SUBSTITUTE(SUBSTITUTE(SUBSTITUTE(SUBSTITUTE(SUBSTITUTE(SUBSTITUTE(SUBSTITUTE(SUBSTITUTE(SUBSTITUTE(SUBSTITUTE(SUBSTITUTE(P2:P5,"Y",""),"B",""),"M",""),"H",""),"Q",""),"K",""),"V",""),"L",""),"G",""),"S",""),"W",""),"T",""),"X",""),"U",""),"O",""),"I",""),"E",""),"A",""),"P",""),"N","")),0))</f>
        <v>0</v>
      </c>
      <c r="Q6" s="83">
        <f t="shared" si="0"/>
        <v>0</v>
      </c>
      <c r="R6" s="83">
        <f t="shared" si="0"/>
        <v>0</v>
      </c>
      <c r="S6" s="83">
        <f t="shared" si="0"/>
        <v>0</v>
      </c>
      <c r="T6" s="83">
        <f t="shared" si="0"/>
        <v>0</v>
      </c>
      <c r="U6" s="83">
        <f t="shared" si="0"/>
        <v>0</v>
      </c>
      <c r="V6" s="83">
        <f t="shared" si="0"/>
        <v>0</v>
      </c>
      <c r="W6" s="83">
        <f t="shared" si="0"/>
        <v>0</v>
      </c>
      <c r="X6" s="83">
        <f t="shared" si="0"/>
        <v>0</v>
      </c>
      <c r="Y6" s="83">
        <f t="shared" si="0"/>
        <v>0</v>
      </c>
      <c r="Z6" s="83">
        <f t="shared" si="0"/>
        <v>0</v>
      </c>
      <c r="AA6" s="83">
        <f t="shared" si="0"/>
        <v>0</v>
      </c>
      <c r="AB6" s="83">
        <f t="shared" si="0"/>
        <v>0</v>
      </c>
      <c r="AC6" s="83">
        <f t="shared" si="0"/>
        <v>0</v>
      </c>
      <c r="AD6" s="83">
        <f t="shared" si="0"/>
        <v>0</v>
      </c>
      <c r="AE6" s="83">
        <f t="shared" si="0"/>
        <v>0</v>
      </c>
      <c r="AF6" s="83">
        <f t="shared" si="0"/>
        <v>0</v>
      </c>
      <c r="AG6" s="83">
        <f t="shared" si="0"/>
        <v>0</v>
      </c>
      <c r="AH6" s="83">
        <f t="shared" si="0"/>
        <v>0</v>
      </c>
      <c r="AI6" s="83">
        <f t="shared" si="0"/>
        <v>0</v>
      </c>
    </row>
  </sheetData>
  <autoFilter ref="A1:AI5" xr:uid="{00000000-0009-0000-0000-000038000000}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5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3.44140625" bestFit="1" customWidth="1"/>
    <col min="7" max="7" width="16.88671875" bestFit="1" customWidth="1"/>
    <col min="8" max="8" width="19.664062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  <row r="2" spans="1:8" ht="18" x14ac:dyDescent="0.3">
      <c r="A2" s="255">
        <v>45988</v>
      </c>
      <c r="B2" s="103" t="s">
        <v>59</v>
      </c>
      <c r="C2" s="104" t="s">
        <v>834</v>
      </c>
      <c r="D2" s="103" t="s">
        <v>833</v>
      </c>
      <c r="E2" s="105">
        <v>1.4375</v>
      </c>
      <c r="F2" s="103" t="s">
        <v>61</v>
      </c>
      <c r="G2" s="103"/>
      <c r="H2" s="256" t="s">
        <v>62</v>
      </c>
    </row>
    <row r="3" spans="1:8" ht="18" x14ac:dyDescent="0.3">
      <c r="A3" s="255">
        <v>45989</v>
      </c>
      <c r="B3" s="103" t="s">
        <v>59</v>
      </c>
      <c r="C3" s="104" t="s">
        <v>834</v>
      </c>
      <c r="D3" s="103" t="s">
        <v>833</v>
      </c>
      <c r="E3" s="105">
        <v>1.166666666666667</v>
      </c>
      <c r="F3" s="103" t="s">
        <v>61</v>
      </c>
      <c r="G3" s="103"/>
      <c r="H3" s="256" t="s">
        <v>62</v>
      </c>
    </row>
    <row r="4" spans="1:8" ht="18" x14ac:dyDescent="0.3">
      <c r="A4" s="255">
        <v>45990</v>
      </c>
      <c r="B4" s="103" t="s">
        <v>59</v>
      </c>
      <c r="C4" s="104" t="s">
        <v>837</v>
      </c>
      <c r="D4" s="103" t="s">
        <v>833</v>
      </c>
      <c r="E4" s="105">
        <v>1.125</v>
      </c>
      <c r="F4" s="103" t="s">
        <v>191</v>
      </c>
      <c r="G4" s="257">
        <v>4</v>
      </c>
      <c r="H4" s="256" t="s">
        <v>838</v>
      </c>
    </row>
    <row r="5" spans="1:8" ht="18" x14ac:dyDescent="0.3">
      <c r="A5" s="255">
        <v>45991</v>
      </c>
      <c r="B5" s="103" t="s">
        <v>59</v>
      </c>
      <c r="C5" s="104" t="s">
        <v>834</v>
      </c>
      <c r="D5" s="103" t="s">
        <v>833</v>
      </c>
      <c r="E5" s="105">
        <v>1.2152777777777779</v>
      </c>
      <c r="F5" s="103" t="s">
        <v>61</v>
      </c>
      <c r="G5" s="103"/>
      <c r="H5" s="256" t="s">
        <v>62</v>
      </c>
    </row>
  </sheetData>
  <dataValidations count="4">
    <dataValidation type="custom" allowBlank="1" showInputMessage="1" promptTitle="LOAD FACTOR ANALYSIS" prompt="SM441_x000d__x000a_LF 1.0%_x000d__x000a_SOLD 179_x000d__x000a_LST-SOLD 14NOV_x000d__x000a_WEEKLY NIL_x000d__x000a_TO-DAY NIL_x000d__x000a_Y-DAY NIL_x000d__x000a_LOWEST AVAIL CLOSED_x000d__x000a_CAPACITY 179_x000d__x000a_CLASSES Q1 &amp; V1 &amp; L6 &amp; +6 more" sqref="A2 B2 C2 D2 E2 F2 G2 H2" xr:uid="{00000000-0002-0000-3900-000000000000}">
      <formula1>TRUE</formula1>
    </dataValidation>
    <dataValidation type="custom" allowBlank="1" showInputMessage="1" promptTitle="LOAD FACTOR ANALYSIS" prompt="SM441_x000d__x000a_LF 1.0%_x000d__x000a_SOLD 179_x000d__x000a_LST-SOLD 25NOV_x000d__x000a_WEEKLY 9_x000d__x000a_TO-DAY NIL_x000d__x000a_Y-DAY 1_x000d__x000a_LOWEST AVAIL CLOSED_x000d__x000a_CAPACITY 179_x000d__x000a_CLASSES M1 &amp; Q2 &amp; K10 &amp; +8 more" sqref="A3 B3 C3 D3 E3 F3 G3 H3" xr:uid="{00000000-0002-0000-3900-000001000000}">
      <formula1>TRUE</formula1>
    </dataValidation>
    <dataValidation type="custom" allowBlank="1" showInputMessage="1" promptTitle="LOAD FACTOR ANALYSIS" prompt="SM-441_x000d__x000a_LF 97.8%_x000d__x000a_SOLD 175_x000d__x000a_LST-SOLD 25NOV_x000d__x000a_WEEKLY 15_x000d__x000a_TO-DAY NIL_x000d__x000a_Y-DAY 2_x000d__x000a_LOWEST AVAIL Y4_x000d__x000a_CAPACITY 179_x000d__x000a_CLASSES Y1 &amp; B16 &amp; M1 &amp; +11 more" sqref="A4 B4 C4 D4 E4 F4 G4 H4" xr:uid="{00000000-0002-0000-3900-000002000000}">
      <formula1>TRUE</formula1>
    </dataValidation>
    <dataValidation type="custom" allowBlank="1" showInputMessage="1" promptTitle="LOAD FACTOR ANALYSIS" prompt="SM441_x000d__x000a_LF 1.0%_x000d__x000a_SOLD 179_x000d__x000a_LST-SOLD 25NOV_x000d__x000a_WEEKLY 4_x000d__x000a_TO-DAY NIL_x000d__x000a_Y-DAY 1_x000d__x000a_LOWEST AVAIL CLOSED_x000d__x000a_CAPACITY 179_x000d__x000a_CLASSES V9 &amp; L12 &amp; G20 &amp; +5 more" sqref="A5 B5 C5 D5 E5 F5 G5 H5" xr:uid="{00000000-0002-0000-3900-000003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N2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89.4414062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856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45987.359200111241</v>
      </c>
      <c r="H2" s="279"/>
      <c r="I2" s="279"/>
      <c r="J2" s="279"/>
      <c r="K2" s="288">
        <v>45987.359200111743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2" t="s">
        <v>5</v>
      </c>
      <c r="B4" s="283"/>
      <c r="C4" s="283"/>
      <c r="D4" s="283"/>
      <c r="E4" s="283"/>
      <c r="F4" s="283"/>
      <c r="G4" s="5">
        <v>45988</v>
      </c>
      <c r="H4" s="294" t="s">
        <v>6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137" t="s">
        <v>59</v>
      </c>
      <c r="B6" s="137" t="s">
        <v>857</v>
      </c>
      <c r="C6" s="138">
        <v>0.80208333333333337</v>
      </c>
      <c r="D6" s="137" t="s">
        <v>61</v>
      </c>
      <c r="E6" s="139"/>
      <c r="F6" s="137" t="s">
        <v>563</v>
      </c>
      <c r="G6" s="302"/>
      <c r="H6" s="230" t="s">
        <v>857</v>
      </c>
      <c r="I6" s="231">
        <v>0.79330000000000001</v>
      </c>
      <c r="J6" s="232">
        <v>142</v>
      </c>
      <c r="K6" s="233">
        <v>45986</v>
      </c>
      <c r="L6" s="232">
        <v>9</v>
      </c>
      <c r="M6" s="232">
        <v>0</v>
      </c>
      <c r="N6" s="232">
        <v>6</v>
      </c>
      <c r="O6" s="234" t="s">
        <v>858</v>
      </c>
      <c r="P6" s="235">
        <v>0.80208333333333337</v>
      </c>
      <c r="Q6" s="232">
        <v>179</v>
      </c>
      <c r="R6" s="236" t="s">
        <v>859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4.4" customHeight="1" x14ac:dyDescent="0.3">
      <c r="A7" s="272"/>
      <c r="B7" s="273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22.05" customHeight="1" x14ac:dyDescent="0.3">
      <c r="A8" s="280" t="s">
        <v>5</v>
      </c>
      <c r="B8" s="281"/>
      <c r="C8" s="281"/>
      <c r="D8" s="281"/>
      <c r="E8" s="281"/>
      <c r="F8" s="281"/>
      <c r="G8" s="5">
        <v>45989</v>
      </c>
      <c r="H8" s="290" t="s">
        <v>6</v>
      </c>
      <c r="I8" s="291"/>
      <c r="J8" s="291"/>
      <c r="K8" s="291"/>
      <c r="L8" s="291"/>
      <c r="M8" s="291"/>
      <c r="N8" s="291"/>
      <c r="O8" s="291"/>
      <c r="P8" s="291"/>
      <c r="Q8" s="291"/>
      <c r="R8" s="291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24" customHeight="1" x14ac:dyDescent="0.3">
      <c r="A9" s="31" t="s">
        <v>7</v>
      </c>
      <c r="B9" s="31" t="s">
        <v>8</v>
      </c>
      <c r="C9" s="32" t="s">
        <v>9</v>
      </c>
      <c r="D9" s="31" t="s">
        <v>10</v>
      </c>
      <c r="E9" s="31" t="s">
        <v>11</v>
      </c>
      <c r="F9" s="31" t="s">
        <v>12</v>
      </c>
      <c r="G9" s="33" t="s">
        <v>13</v>
      </c>
      <c r="H9" s="31" t="s">
        <v>14</v>
      </c>
      <c r="I9" s="34" t="s">
        <v>15</v>
      </c>
      <c r="J9" s="35" t="s">
        <v>16</v>
      </c>
      <c r="K9" s="36" t="s">
        <v>17</v>
      </c>
      <c r="L9" s="35" t="s">
        <v>18</v>
      </c>
      <c r="M9" s="35" t="s">
        <v>19</v>
      </c>
      <c r="N9" s="35" t="s">
        <v>20</v>
      </c>
      <c r="O9" s="31" t="s">
        <v>21</v>
      </c>
      <c r="P9" s="32" t="s">
        <v>22</v>
      </c>
      <c r="Q9" s="35" t="s">
        <v>23</v>
      </c>
      <c r="R9" s="31" t="s">
        <v>24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49.95" customHeight="1" x14ac:dyDescent="0.3">
      <c r="A10" s="8" t="s">
        <v>283</v>
      </c>
      <c r="B10" s="8" t="s">
        <v>860</v>
      </c>
      <c r="C10" s="9">
        <v>0.72569444444444453</v>
      </c>
      <c r="D10" s="8" t="s">
        <v>285</v>
      </c>
      <c r="E10" s="8" t="s">
        <v>38</v>
      </c>
      <c r="F10" s="8" t="s">
        <v>861</v>
      </c>
      <c r="G10" s="275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49.95" customHeight="1" x14ac:dyDescent="0.3">
      <c r="A11" s="258" t="s">
        <v>283</v>
      </c>
      <c r="B11" s="258" t="s">
        <v>860</v>
      </c>
      <c r="C11" s="259">
        <v>0.72569444444444453</v>
      </c>
      <c r="D11" s="258" t="s">
        <v>33</v>
      </c>
      <c r="E11" s="258" t="s">
        <v>41</v>
      </c>
      <c r="F11" s="258" t="s">
        <v>862</v>
      </c>
      <c r="G11" s="277"/>
      <c r="H11" s="39"/>
      <c r="I11" s="40"/>
      <c r="J11" s="40"/>
      <c r="K11" s="40"/>
      <c r="L11" s="40"/>
      <c r="M11" s="40"/>
      <c r="N11" s="40"/>
      <c r="O11" s="41"/>
      <c r="P11" s="40"/>
      <c r="Q11" s="42"/>
      <c r="R11" s="4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14.4" customHeight="1" x14ac:dyDescent="0.3">
      <c r="A12" s="272"/>
      <c r="B12" s="273"/>
      <c r="C12" s="273"/>
      <c r="D12" s="273"/>
      <c r="E12" s="273"/>
      <c r="F12" s="273"/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3"/>
      <c r="R12" s="274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22.05" customHeight="1" x14ac:dyDescent="0.3">
      <c r="A13" s="280" t="s">
        <v>5</v>
      </c>
      <c r="B13" s="281"/>
      <c r="C13" s="281"/>
      <c r="D13" s="281"/>
      <c r="E13" s="281"/>
      <c r="F13" s="281"/>
      <c r="G13" s="5">
        <v>45990</v>
      </c>
      <c r="H13" s="290" t="s">
        <v>6</v>
      </c>
      <c r="I13" s="291"/>
      <c r="J13" s="291"/>
      <c r="K13" s="291"/>
      <c r="L13" s="291"/>
      <c r="M13" s="291"/>
      <c r="N13" s="291"/>
      <c r="O13" s="291"/>
      <c r="P13" s="291"/>
      <c r="Q13" s="291"/>
      <c r="R13" s="291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24" customHeight="1" x14ac:dyDescent="0.3">
      <c r="A14" s="31" t="s">
        <v>7</v>
      </c>
      <c r="B14" s="31" t="s">
        <v>8</v>
      </c>
      <c r="C14" s="32" t="s">
        <v>9</v>
      </c>
      <c r="D14" s="31" t="s">
        <v>10</v>
      </c>
      <c r="E14" s="31" t="s">
        <v>11</v>
      </c>
      <c r="F14" s="31" t="s">
        <v>12</v>
      </c>
      <c r="G14" s="33" t="s">
        <v>13</v>
      </c>
      <c r="H14" s="31" t="s">
        <v>14</v>
      </c>
      <c r="I14" s="34" t="s">
        <v>15</v>
      </c>
      <c r="J14" s="35" t="s">
        <v>16</v>
      </c>
      <c r="K14" s="36" t="s">
        <v>17</v>
      </c>
      <c r="L14" s="35" t="s">
        <v>18</v>
      </c>
      <c r="M14" s="35" t="s">
        <v>19</v>
      </c>
      <c r="N14" s="35" t="s">
        <v>20</v>
      </c>
      <c r="O14" s="31" t="s">
        <v>21</v>
      </c>
      <c r="P14" s="32" t="s">
        <v>22</v>
      </c>
      <c r="Q14" s="35" t="s">
        <v>23</v>
      </c>
      <c r="R14" s="31" t="s">
        <v>24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49.95" customHeight="1" x14ac:dyDescent="0.3">
      <c r="A15" s="8" t="s">
        <v>246</v>
      </c>
      <c r="B15" s="8" t="s">
        <v>863</v>
      </c>
      <c r="C15" s="9">
        <v>3.472222222222222E-3</v>
      </c>
      <c r="D15" s="8" t="s">
        <v>191</v>
      </c>
      <c r="E15" s="8" t="s">
        <v>73</v>
      </c>
      <c r="F15" s="8" t="s">
        <v>864</v>
      </c>
      <c r="G15" s="275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49.95" customHeight="1" x14ac:dyDescent="0.3">
      <c r="A16" s="267" t="s">
        <v>59</v>
      </c>
      <c r="B16" s="267" t="s">
        <v>865</v>
      </c>
      <c r="C16" s="268">
        <v>0.80208333333333337</v>
      </c>
      <c r="D16" s="267" t="s">
        <v>191</v>
      </c>
      <c r="E16" s="267" t="s">
        <v>73</v>
      </c>
      <c r="F16" s="267" t="s">
        <v>866</v>
      </c>
      <c r="G16" s="277"/>
      <c r="H16" s="198" t="s">
        <v>857</v>
      </c>
      <c r="I16" s="269">
        <v>0.71509999999999996</v>
      </c>
      <c r="J16" s="200">
        <v>128</v>
      </c>
      <c r="K16" s="201">
        <v>45987</v>
      </c>
      <c r="L16" s="200">
        <v>13</v>
      </c>
      <c r="M16" s="200">
        <v>1</v>
      </c>
      <c r="N16" s="200">
        <v>6</v>
      </c>
      <c r="O16" s="202" t="s">
        <v>867</v>
      </c>
      <c r="P16" s="203">
        <v>0.80208333333333337</v>
      </c>
      <c r="Q16" s="200">
        <v>179</v>
      </c>
      <c r="R16" s="204" t="s">
        <v>868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14.4" customHeight="1" x14ac:dyDescent="0.3">
      <c r="A17" s="284"/>
      <c r="B17" s="285"/>
      <c r="C17" s="285"/>
      <c r="D17" s="285"/>
      <c r="E17" s="285"/>
      <c r="F17" s="285"/>
      <c r="G17" s="273"/>
      <c r="H17" s="286"/>
      <c r="I17" s="286"/>
      <c r="J17" s="286"/>
      <c r="K17" s="286"/>
      <c r="L17" s="286"/>
      <c r="M17" s="286"/>
      <c r="N17" s="286"/>
      <c r="O17" s="287"/>
      <c r="P17" s="286"/>
      <c r="Q17" s="273"/>
      <c r="R17" s="274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22.05" customHeight="1" x14ac:dyDescent="0.3">
      <c r="A18" s="280" t="s">
        <v>5</v>
      </c>
      <c r="B18" s="281"/>
      <c r="C18" s="281"/>
      <c r="D18" s="281"/>
      <c r="E18" s="281"/>
      <c r="F18" s="281"/>
      <c r="G18" s="5">
        <v>45991</v>
      </c>
      <c r="H18" s="290" t="s">
        <v>6</v>
      </c>
      <c r="I18" s="291"/>
      <c r="J18" s="291"/>
      <c r="K18" s="291"/>
      <c r="L18" s="291"/>
      <c r="M18" s="291"/>
      <c r="N18" s="291"/>
      <c r="O18" s="291"/>
      <c r="P18" s="291"/>
      <c r="Q18" s="291"/>
      <c r="R18" s="291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  <row r="19" spans="1:92" ht="24" customHeight="1" x14ac:dyDescent="0.3">
      <c r="A19" s="31" t="s">
        <v>7</v>
      </c>
      <c r="B19" s="31" t="s">
        <v>8</v>
      </c>
      <c r="C19" s="32" t="s">
        <v>9</v>
      </c>
      <c r="D19" s="31" t="s">
        <v>10</v>
      </c>
      <c r="E19" s="31" t="s">
        <v>11</v>
      </c>
      <c r="F19" s="31" t="s">
        <v>12</v>
      </c>
      <c r="G19" s="33" t="s">
        <v>13</v>
      </c>
      <c r="H19" s="31" t="s">
        <v>14</v>
      </c>
      <c r="I19" s="34" t="s">
        <v>15</v>
      </c>
      <c r="J19" s="35" t="s">
        <v>16</v>
      </c>
      <c r="K19" s="36" t="s">
        <v>17</v>
      </c>
      <c r="L19" s="35" t="s">
        <v>18</v>
      </c>
      <c r="M19" s="35" t="s">
        <v>19</v>
      </c>
      <c r="N19" s="35" t="s">
        <v>20</v>
      </c>
      <c r="O19" s="31" t="s">
        <v>21</v>
      </c>
      <c r="P19" s="32" t="s">
        <v>22</v>
      </c>
      <c r="Q19" s="35" t="s">
        <v>23</v>
      </c>
      <c r="R19" s="31" t="s">
        <v>24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</row>
    <row r="20" spans="1:92" ht="49.95" customHeight="1" x14ac:dyDescent="0.3">
      <c r="A20" s="238" t="s">
        <v>246</v>
      </c>
      <c r="B20" s="238" t="s">
        <v>869</v>
      </c>
      <c r="C20" s="239">
        <v>0.71875</v>
      </c>
      <c r="D20" s="238" t="s">
        <v>191</v>
      </c>
      <c r="E20" s="238" t="s">
        <v>65</v>
      </c>
      <c r="F20" s="238" t="s">
        <v>870</v>
      </c>
      <c r="G20" s="302"/>
      <c r="H20" s="39"/>
      <c r="I20" s="40"/>
      <c r="J20" s="40"/>
      <c r="K20" s="40"/>
      <c r="L20" s="40"/>
      <c r="M20" s="40"/>
      <c r="N20" s="40"/>
      <c r="O20" s="41"/>
      <c r="P20" s="40"/>
      <c r="Q20" s="42"/>
      <c r="R20" s="4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</row>
    <row r="21" spans="1:92" ht="14.4" customHeight="1" x14ac:dyDescent="0.3">
      <c r="A21" s="272"/>
      <c r="B21" s="273"/>
      <c r="C21" s="273"/>
      <c r="D21" s="273"/>
      <c r="E21" s="273"/>
      <c r="F21" s="273"/>
      <c r="G21" s="273"/>
      <c r="H21" s="273"/>
      <c r="I21" s="273"/>
      <c r="J21" s="273"/>
      <c r="K21" s="273"/>
      <c r="L21" s="273"/>
      <c r="M21" s="273"/>
      <c r="N21" s="273"/>
      <c r="O21" s="273"/>
      <c r="P21" s="273"/>
      <c r="Q21" s="273"/>
      <c r="R21" s="274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</row>
  </sheetData>
  <mergeCells count="25">
    <mergeCell ref="O1:Q1"/>
    <mergeCell ref="A7:R7"/>
    <mergeCell ref="G20"/>
    <mergeCell ref="A18:F18"/>
    <mergeCell ref="H4:R4"/>
    <mergeCell ref="G10:G11"/>
    <mergeCell ref="A12:R12"/>
    <mergeCell ref="A2:F2"/>
    <mergeCell ref="A3:R3"/>
    <mergeCell ref="J1:M1"/>
    <mergeCell ref="D1:F1"/>
    <mergeCell ref="A1:C1"/>
    <mergeCell ref="G1:H1"/>
    <mergeCell ref="A21:R21"/>
    <mergeCell ref="A8:F8"/>
    <mergeCell ref="G2:J2"/>
    <mergeCell ref="G15:G16"/>
    <mergeCell ref="A4:F4"/>
    <mergeCell ref="A17:R17"/>
    <mergeCell ref="A13:F13"/>
    <mergeCell ref="K2:R2"/>
    <mergeCell ref="G6"/>
    <mergeCell ref="H13:R13"/>
    <mergeCell ref="H18:R18"/>
    <mergeCell ref="H8:R8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I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  <row r="2" spans="1:35" ht="18" x14ac:dyDescent="0.3">
      <c r="A2" s="65" t="s">
        <v>133</v>
      </c>
      <c r="B2" s="66">
        <v>45988</v>
      </c>
      <c r="C2" s="67" t="s">
        <v>857</v>
      </c>
      <c r="D2" s="68">
        <v>0.80208333333333337</v>
      </c>
      <c r="E2" s="67" t="s">
        <v>856</v>
      </c>
      <c r="F2" s="67" t="s">
        <v>134</v>
      </c>
      <c r="G2" s="69">
        <v>0.79330000000000001</v>
      </c>
      <c r="H2" s="70">
        <v>179</v>
      </c>
      <c r="I2" s="70">
        <v>142</v>
      </c>
      <c r="J2" s="70">
        <v>0</v>
      </c>
      <c r="K2" s="66">
        <v>45986</v>
      </c>
      <c r="L2" s="70">
        <v>0</v>
      </c>
      <c r="M2" s="70">
        <v>6</v>
      </c>
      <c r="N2" s="70">
        <v>9</v>
      </c>
      <c r="O2" s="67" t="s">
        <v>858</v>
      </c>
      <c r="P2" s="71"/>
      <c r="Q2" s="70" t="s">
        <v>871</v>
      </c>
      <c r="R2" s="70" t="s">
        <v>872</v>
      </c>
      <c r="S2" s="70" t="s">
        <v>748</v>
      </c>
      <c r="T2" s="70" t="s">
        <v>873</v>
      </c>
      <c r="U2" s="70" t="s">
        <v>347</v>
      </c>
      <c r="V2" s="70" t="s">
        <v>874</v>
      </c>
      <c r="W2" s="70" t="s">
        <v>312</v>
      </c>
      <c r="X2" s="70" t="s">
        <v>392</v>
      </c>
      <c r="Y2" s="70" t="s">
        <v>199</v>
      </c>
      <c r="Z2" s="70" t="s">
        <v>647</v>
      </c>
      <c r="AA2" s="70" t="s">
        <v>320</v>
      </c>
      <c r="AB2" s="70" t="s">
        <v>150</v>
      </c>
      <c r="AC2" s="70" t="s">
        <v>337</v>
      </c>
      <c r="AD2" s="70" t="s">
        <v>636</v>
      </c>
      <c r="AE2" s="70" t="s">
        <v>528</v>
      </c>
      <c r="AF2" s="71"/>
      <c r="AG2" s="71"/>
      <c r="AH2" s="71"/>
      <c r="AI2" s="71"/>
    </row>
    <row r="3" spans="1:35" ht="18" x14ac:dyDescent="0.3">
      <c r="A3" s="72" t="s">
        <v>140</v>
      </c>
      <c r="B3" s="73">
        <v>45990</v>
      </c>
      <c r="C3" s="74" t="s">
        <v>857</v>
      </c>
      <c r="D3" s="75">
        <v>0.80208333333333337</v>
      </c>
      <c r="E3" s="74" t="s">
        <v>856</v>
      </c>
      <c r="F3" s="74" t="s">
        <v>134</v>
      </c>
      <c r="G3" s="76">
        <v>0.71509999999999996</v>
      </c>
      <c r="H3" s="77">
        <v>179</v>
      </c>
      <c r="I3" s="77">
        <v>128</v>
      </c>
      <c r="J3" s="77">
        <v>0</v>
      </c>
      <c r="K3" s="73">
        <v>45987</v>
      </c>
      <c r="L3" s="77">
        <v>1</v>
      </c>
      <c r="M3" s="77">
        <v>6</v>
      </c>
      <c r="N3" s="77">
        <v>13</v>
      </c>
      <c r="O3" s="74" t="s">
        <v>867</v>
      </c>
      <c r="P3" s="77" t="s">
        <v>875</v>
      </c>
      <c r="Q3" s="77" t="s">
        <v>304</v>
      </c>
      <c r="R3" s="77" t="s">
        <v>876</v>
      </c>
      <c r="S3" s="77" t="s">
        <v>816</v>
      </c>
      <c r="T3" s="77" t="s">
        <v>877</v>
      </c>
      <c r="U3" s="78"/>
      <c r="V3" s="78"/>
      <c r="W3" s="77" t="s">
        <v>312</v>
      </c>
      <c r="X3" s="77" t="s">
        <v>183</v>
      </c>
      <c r="Y3" s="77" t="s">
        <v>358</v>
      </c>
      <c r="Z3" s="77" t="s">
        <v>640</v>
      </c>
      <c r="AA3" s="77" t="s">
        <v>320</v>
      </c>
      <c r="AB3" s="77" t="s">
        <v>142</v>
      </c>
      <c r="AC3" s="77" t="s">
        <v>203</v>
      </c>
      <c r="AD3" s="77" t="s">
        <v>649</v>
      </c>
      <c r="AE3" s="77" t="s">
        <v>643</v>
      </c>
      <c r="AF3" s="78"/>
      <c r="AG3" s="78"/>
      <c r="AH3" s="78"/>
      <c r="AI3" s="78"/>
    </row>
    <row r="4" spans="1:35" ht="18" x14ac:dyDescent="0.3">
      <c r="A4" s="79" t="s">
        <v>151</v>
      </c>
      <c r="B4" s="80"/>
      <c r="C4" s="81">
        <f>COUNTA(C2:C3)</f>
        <v>2</v>
      </c>
      <c r="D4" s="80"/>
      <c r="E4" s="80"/>
      <c r="F4" s="80"/>
      <c r="G4" s="82">
        <f>AVERAGE(G2:G3)</f>
        <v>0.75419999999999998</v>
      </c>
      <c r="H4" s="83">
        <f>SUM(H2:H3)</f>
        <v>358</v>
      </c>
      <c r="I4" s="83">
        <f>SUM(I2:I3)</f>
        <v>270</v>
      </c>
      <c r="J4" s="83">
        <f>SUM(J2:J3)</f>
        <v>0</v>
      </c>
      <c r="K4" s="80"/>
      <c r="L4" s="83">
        <f>SUM(L2:L3)</f>
        <v>1</v>
      </c>
      <c r="M4" s="83">
        <f>SUM(M2:M3)</f>
        <v>12</v>
      </c>
      <c r="N4" s="83">
        <f>SUM(N2:N3)</f>
        <v>22</v>
      </c>
      <c r="O4" s="80"/>
      <c r="P4" s="83">
        <f t="shared" ref="P4:AI4" si="0">SUMPRODUCT(--IFERROR(VALUE(SUBSTITUTE(SUBSTITUTE(SUBSTITUTE(SUBSTITUTE(SUBSTITUTE(SUBSTITUTE(SUBSTITUTE(SUBSTITUTE(SUBSTITUTE(SUBSTITUTE(SUBSTITUTE(SUBSTITUTE(SUBSTITUTE(SUBSTITUTE(SUBSTITUTE(SUBSTITUTE(SUBSTITUTE(SUBSTITUTE(SUBSTITUTE(SUBSTITUTE(P2:P3,"Y",""),"B",""),"M",""),"H",""),"Q",""),"K",""),"V",""),"L",""),"G",""),"S",""),"W",""),"T",""),"X",""),"U",""),"O",""),"I",""),"E",""),"A",""),"P",""),"N","")),0))</f>
        <v>0</v>
      </c>
      <c r="Q4" s="83">
        <f t="shared" si="0"/>
        <v>0</v>
      </c>
      <c r="R4" s="83">
        <f t="shared" si="0"/>
        <v>0</v>
      </c>
      <c r="S4" s="83">
        <f t="shared" si="0"/>
        <v>0</v>
      </c>
      <c r="T4" s="83">
        <f t="shared" si="0"/>
        <v>0</v>
      </c>
      <c r="U4" s="83">
        <f t="shared" si="0"/>
        <v>0</v>
      </c>
      <c r="V4" s="83">
        <f t="shared" si="0"/>
        <v>0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</row>
  </sheetData>
  <autoFilter ref="A1:AI3" xr:uid="{00000000-0009-0000-0000-00003B000000}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7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7.77734375" bestFit="1" customWidth="1"/>
    <col min="7" max="7" width="16.88671875" bestFit="1" customWidth="1"/>
    <col min="8" max="8" width="20.8867187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  <row r="2" spans="1:8" ht="18" x14ac:dyDescent="0.3">
      <c r="A2" s="255">
        <v>45988</v>
      </c>
      <c r="B2" s="103" t="s">
        <v>59</v>
      </c>
      <c r="C2" s="104" t="s">
        <v>857</v>
      </c>
      <c r="D2" s="103" t="s">
        <v>856</v>
      </c>
      <c r="E2" s="105">
        <v>1.802083333333333</v>
      </c>
      <c r="F2" s="103" t="s">
        <v>61</v>
      </c>
      <c r="G2" s="103"/>
      <c r="H2" s="256" t="s">
        <v>563</v>
      </c>
    </row>
    <row r="3" spans="1:8" ht="18" x14ac:dyDescent="0.3">
      <c r="A3" s="85">
        <v>45989</v>
      </c>
      <c r="B3" s="86" t="s">
        <v>283</v>
      </c>
      <c r="C3" s="87" t="s">
        <v>860</v>
      </c>
      <c r="D3" s="86" t="s">
        <v>856</v>
      </c>
      <c r="E3" s="88">
        <v>1.725694444444444</v>
      </c>
      <c r="F3" s="86" t="s">
        <v>285</v>
      </c>
      <c r="G3" s="89">
        <v>9</v>
      </c>
      <c r="H3" s="90" t="s">
        <v>861</v>
      </c>
    </row>
    <row r="4" spans="1:8" ht="18" x14ac:dyDescent="0.3">
      <c r="A4" s="260">
        <v>45989</v>
      </c>
      <c r="B4" s="261" t="s">
        <v>283</v>
      </c>
      <c r="C4" s="262" t="s">
        <v>860</v>
      </c>
      <c r="D4" s="261" t="s">
        <v>856</v>
      </c>
      <c r="E4" s="263">
        <v>1.725694444444444</v>
      </c>
      <c r="F4" s="261" t="s">
        <v>33</v>
      </c>
      <c r="G4" s="264">
        <v>9</v>
      </c>
      <c r="H4" s="261" t="s">
        <v>862</v>
      </c>
    </row>
    <row r="5" spans="1:8" ht="18" x14ac:dyDescent="0.3">
      <c r="A5" s="85">
        <v>45990</v>
      </c>
      <c r="B5" s="86" t="s">
        <v>246</v>
      </c>
      <c r="C5" s="87" t="s">
        <v>863</v>
      </c>
      <c r="D5" s="86" t="s">
        <v>856</v>
      </c>
      <c r="E5" s="88">
        <v>1.0034722222222221</v>
      </c>
      <c r="F5" s="86" t="s">
        <v>191</v>
      </c>
      <c r="G5" s="89">
        <v>9</v>
      </c>
      <c r="H5" s="90" t="s">
        <v>864</v>
      </c>
    </row>
    <row r="6" spans="1:8" ht="18" x14ac:dyDescent="0.3">
      <c r="A6" s="102">
        <v>45990</v>
      </c>
      <c r="B6" s="103" t="s">
        <v>59</v>
      </c>
      <c r="C6" s="104" t="s">
        <v>865</v>
      </c>
      <c r="D6" s="103" t="s">
        <v>856</v>
      </c>
      <c r="E6" s="105">
        <v>1.802083333333333</v>
      </c>
      <c r="F6" s="103" t="s">
        <v>191</v>
      </c>
      <c r="G6" s="257">
        <v>9</v>
      </c>
      <c r="H6" s="103" t="s">
        <v>866</v>
      </c>
    </row>
    <row r="7" spans="1:8" ht="18" x14ac:dyDescent="0.3">
      <c r="A7" s="240">
        <v>45991</v>
      </c>
      <c r="B7" s="241" t="s">
        <v>246</v>
      </c>
      <c r="C7" s="242" t="s">
        <v>869</v>
      </c>
      <c r="D7" s="241" t="s">
        <v>856</v>
      </c>
      <c r="E7" s="243">
        <v>1.71875</v>
      </c>
      <c r="F7" s="241" t="s">
        <v>191</v>
      </c>
      <c r="G7" s="244">
        <v>8</v>
      </c>
      <c r="H7" s="245" t="s">
        <v>870</v>
      </c>
    </row>
  </sheetData>
  <dataValidations count="2">
    <dataValidation type="custom" allowBlank="1" showInputMessage="1" promptTitle="LOAD FACTOR ANALYSIS" prompt="SM443_x000d__x000a_LF 79.3%_x000d__x000a_SOLD 142_x000d__x000a_LST-SOLD 25NOV_x000d__x000a_WEEKLY 9_x000d__x000a_TO-DAY NIL_x000d__x000a_Y-DAY 6_x000d__x000a_LOWEST AVAIL B9_x000d__x000a_CAPACITY 179_x000d__x000a_CLASSES B2 &amp; M15 &amp; H25 &amp; +12 more" sqref="A2 B2 C2 D2 E2 F2 G2 H2" xr:uid="{00000000-0002-0000-3C00-000000000000}">
      <formula1>TRUE</formula1>
    </dataValidation>
    <dataValidation type="custom" allowBlank="1" showInputMessage="1" promptTitle="LOAD FACTOR ANALYSIS" prompt="SM-443_x000d__x000a_LF 71.5%_x000d__x000a_SOLD 128_x000d__x000a_LST-SOLD 26NOV_x000d__x000a_WEEKLY 13_x000d__x000a_TO-DAY 1_x000d__x000a_Y-DAY 6_x000d__x000a_LOWEST AVAIL Y9_x000d__x000a_CAPACITY 179_x000d__x000a_CLASSES Y23 &amp; B5 &amp; M9 &amp; +11 more" sqref="A6 B6 C6 D6 E6 F6 G6 H6" xr:uid="{00000000-0002-0000-3C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N1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3.2187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878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45987.359201247629</v>
      </c>
      <c r="H2" s="279"/>
      <c r="I2" s="279"/>
      <c r="J2" s="279"/>
      <c r="K2" s="288">
        <v>45987.359201248277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2" t="s">
        <v>5</v>
      </c>
      <c r="B4" s="283"/>
      <c r="C4" s="283"/>
      <c r="D4" s="283"/>
      <c r="E4" s="283"/>
      <c r="F4" s="283"/>
      <c r="G4" s="5">
        <v>45989</v>
      </c>
      <c r="H4" s="294" t="s">
        <v>6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156" t="s">
        <v>59</v>
      </c>
      <c r="B6" s="156" t="s">
        <v>879</v>
      </c>
      <c r="C6" s="157">
        <v>0.58333333333333337</v>
      </c>
      <c r="D6" s="156" t="s">
        <v>61</v>
      </c>
      <c r="E6" s="194"/>
      <c r="F6" s="156" t="s">
        <v>62</v>
      </c>
      <c r="G6" s="275"/>
      <c r="H6" s="158" t="s">
        <v>879</v>
      </c>
      <c r="I6" s="159">
        <v>1</v>
      </c>
      <c r="J6" s="160">
        <v>179</v>
      </c>
      <c r="K6" s="161">
        <v>45987</v>
      </c>
      <c r="L6" s="160">
        <v>34</v>
      </c>
      <c r="M6" s="160">
        <v>1</v>
      </c>
      <c r="N6" s="160">
        <v>5</v>
      </c>
      <c r="O6" s="162" t="s">
        <v>63</v>
      </c>
      <c r="P6" s="163">
        <v>0.58333333333333337</v>
      </c>
      <c r="Q6" s="160">
        <v>179</v>
      </c>
      <c r="R6" s="164" t="s">
        <v>880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8" x14ac:dyDescent="0.3">
      <c r="A7" s="300" t="s">
        <v>881</v>
      </c>
      <c r="B7" s="301"/>
      <c r="C7" s="301"/>
      <c r="D7" s="301"/>
      <c r="E7" s="301"/>
      <c r="F7" s="301"/>
      <c r="G7" s="276"/>
      <c r="H7" s="131"/>
      <c r="I7" s="131"/>
      <c r="J7" s="131"/>
      <c r="K7" s="131"/>
      <c r="L7" s="131"/>
      <c r="M7" s="131"/>
      <c r="N7" s="131"/>
      <c r="O7" s="132"/>
      <c r="P7" s="131"/>
      <c r="Q7" s="133"/>
      <c r="R7" s="13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49.95" customHeight="1" x14ac:dyDescent="0.3">
      <c r="A8" s="19" t="s">
        <v>283</v>
      </c>
      <c r="B8" s="19" t="s">
        <v>860</v>
      </c>
      <c r="C8" s="20" t="s">
        <v>882</v>
      </c>
      <c r="D8" s="19" t="s">
        <v>285</v>
      </c>
      <c r="E8" s="19" t="s">
        <v>167</v>
      </c>
      <c r="F8" s="19" t="s">
        <v>861</v>
      </c>
      <c r="G8" s="276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49.95" customHeight="1" x14ac:dyDescent="0.3">
      <c r="A9" s="37" t="s">
        <v>283</v>
      </c>
      <c r="B9" s="37" t="s">
        <v>860</v>
      </c>
      <c r="C9" s="38" t="s">
        <v>882</v>
      </c>
      <c r="D9" s="37" t="s">
        <v>33</v>
      </c>
      <c r="E9" s="37" t="s">
        <v>167</v>
      </c>
      <c r="F9" s="37" t="s">
        <v>862</v>
      </c>
      <c r="G9" s="277"/>
      <c r="H9" s="134"/>
      <c r="I9" s="134"/>
      <c r="J9" s="134"/>
      <c r="K9" s="134"/>
      <c r="L9" s="134"/>
      <c r="M9" s="134"/>
      <c r="N9" s="134"/>
      <c r="O9" s="135"/>
      <c r="P9" s="134"/>
      <c r="Q9" s="136"/>
      <c r="R9" s="136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4.4" customHeight="1" x14ac:dyDescent="0.3">
      <c r="A10" s="272"/>
      <c r="B10" s="273"/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3"/>
      <c r="Q10" s="273"/>
      <c r="R10" s="27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</sheetData>
  <mergeCells count="14">
    <mergeCell ref="O1:Q1"/>
    <mergeCell ref="H4:R4"/>
    <mergeCell ref="A1:C1"/>
    <mergeCell ref="G1:H1"/>
    <mergeCell ref="D1:F1"/>
    <mergeCell ref="J1:M1"/>
    <mergeCell ref="A10:R10"/>
    <mergeCell ref="K2:R2"/>
    <mergeCell ref="G2:J2"/>
    <mergeCell ref="A4:F4"/>
    <mergeCell ref="G6:G9"/>
    <mergeCell ref="A7:F7"/>
    <mergeCell ref="A2:F2"/>
    <mergeCell ref="A3:R3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I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9.7773437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  <row r="2" spans="1:35" ht="18" x14ac:dyDescent="0.3">
      <c r="A2" s="65" t="s">
        <v>346</v>
      </c>
      <c r="B2" s="66">
        <v>45989</v>
      </c>
      <c r="C2" s="67" t="s">
        <v>879</v>
      </c>
      <c r="D2" s="68">
        <v>0.58333333333333337</v>
      </c>
      <c r="E2" s="67" t="s">
        <v>878</v>
      </c>
      <c r="F2" s="67" t="s">
        <v>134</v>
      </c>
      <c r="G2" s="69">
        <v>1</v>
      </c>
      <c r="H2" s="70">
        <v>179</v>
      </c>
      <c r="I2" s="70">
        <v>179</v>
      </c>
      <c r="J2" s="70">
        <v>0</v>
      </c>
      <c r="K2" s="66">
        <v>45987</v>
      </c>
      <c r="L2" s="70">
        <v>1</v>
      </c>
      <c r="M2" s="70">
        <v>5</v>
      </c>
      <c r="N2" s="70">
        <v>34</v>
      </c>
      <c r="O2" s="67" t="s">
        <v>63</v>
      </c>
      <c r="P2" s="71"/>
      <c r="Q2" s="71"/>
      <c r="R2" s="71"/>
      <c r="S2" s="71"/>
      <c r="T2" s="71"/>
      <c r="U2" s="71"/>
      <c r="V2" s="71"/>
      <c r="W2" s="70" t="s">
        <v>312</v>
      </c>
      <c r="X2" s="70" t="s">
        <v>854</v>
      </c>
      <c r="Y2" s="70" t="s">
        <v>465</v>
      </c>
      <c r="Z2" s="70" t="s">
        <v>385</v>
      </c>
      <c r="AA2" s="70" t="s">
        <v>883</v>
      </c>
      <c r="AB2" s="70" t="s">
        <v>483</v>
      </c>
      <c r="AC2" s="70" t="s">
        <v>884</v>
      </c>
      <c r="AD2" s="70" t="s">
        <v>885</v>
      </c>
      <c r="AE2" s="71"/>
      <c r="AF2" s="71"/>
      <c r="AG2" s="71"/>
      <c r="AH2" s="71"/>
      <c r="AI2" s="71"/>
    </row>
    <row r="3" spans="1:35" ht="18" x14ac:dyDescent="0.3">
      <c r="A3" s="79" t="s">
        <v>151</v>
      </c>
      <c r="B3" s="80"/>
      <c r="C3" s="81">
        <f>COUNTA(C2:C2)</f>
        <v>1</v>
      </c>
      <c r="D3" s="80"/>
      <c r="E3" s="80"/>
      <c r="F3" s="80"/>
      <c r="G3" s="82">
        <f>AVERAGE(G2:G2)</f>
        <v>1</v>
      </c>
      <c r="H3" s="83">
        <f>SUM(H2:H2)</f>
        <v>179</v>
      </c>
      <c r="I3" s="83">
        <f>SUM(I2:I2)</f>
        <v>179</v>
      </c>
      <c r="J3" s="83">
        <f>SUM(J2:J2)</f>
        <v>0</v>
      </c>
      <c r="K3" s="80"/>
      <c r="L3" s="83">
        <f>SUM(L2:L2)</f>
        <v>1</v>
      </c>
      <c r="M3" s="83">
        <f>SUM(M2:M2)</f>
        <v>5</v>
      </c>
      <c r="N3" s="83">
        <f>SUM(N2:N2)</f>
        <v>34</v>
      </c>
      <c r="O3" s="80"/>
      <c r="P3" s="83">
        <f t="shared" ref="P3:AI3" si="0">SUMPRODUCT(--IFERROR(VALUE(SUBSTITUTE(SUBSTITUTE(SUBSTITUTE(SUBSTITUTE(SUBSTITUTE(SUBSTITUTE(SUBSTITUTE(SUBSTITUTE(SUBSTITUTE(SUBSTITUTE(SUBSTITUTE(SUBSTITUTE(SUBSTITUTE(SUBSTITUTE(SUBSTITUTE(SUBSTITUTE(SUBSTITUTE(SUBSTITUTE(SUBSTITUTE(SUBSTITUTE(P2:P2,"Y",""),"B",""),"M",""),"H",""),"Q",""),"K",""),"V",""),"L",""),"G",""),"S",""),"W",""),"T",""),"X",""),"U",""),"O",""),"I",""),"E",""),"A",""),"P",""),"N","")),0))</f>
        <v>0</v>
      </c>
      <c r="Q3" s="83">
        <f t="shared" si="0"/>
        <v>0</v>
      </c>
      <c r="R3" s="83">
        <f t="shared" si="0"/>
        <v>0</v>
      </c>
      <c r="S3" s="83">
        <f t="shared" si="0"/>
        <v>0</v>
      </c>
      <c r="T3" s="83">
        <f t="shared" si="0"/>
        <v>0</v>
      </c>
      <c r="U3" s="83">
        <f t="shared" si="0"/>
        <v>0</v>
      </c>
      <c r="V3" s="83">
        <f t="shared" si="0"/>
        <v>0</v>
      </c>
      <c r="W3" s="83">
        <f t="shared" si="0"/>
        <v>9</v>
      </c>
      <c r="X3" s="83">
        <f t="shared" si="0"/>
        <v>20</v>
      </c>
      <c r="Y3" s="83">
        <f t="shared" si="0"/>
        <v>20</v>
      </c>
      <c r="Z3" s="83">
        <f t="shared" si="0"/>
        <v>20</v>
      </c>
      <c r="AA3" s="83">
        <f t="shared" si="0"/>
        <v>40</v>
      </c>
      <c r="AB3" s="83">
        <f t="shared" si="0"/>
        <v>17</v>
      </c>
      <c r="AC3" s="83">
        <f t="shared" si="0"/>
        <v>26</v>
      </c>
      <c r="AD3" s="83">
        <f t="shared" si="0"/>
        <v>27</v>
      </c>
      <c r="AE3" s="83">
        <f t="shared" si="0"/>
        <v>0</v>
      </c>
      <c r="AF3" s="83">
        <f t="shared" si="0"/>
        <v>0</v>
      </c>
      <c r="AG3" s="83">
        <f t="shared" si="0"/>
        <v>0</v>
      </c>
      <c r="AH3" s="83">
        <f t="shared" si="0"/>
        <v>0</v>
      </c>
      <c r="AI3" s="83">
        <f t="shared" si="0"/>
        <v>0</v>
      </c>
    </row>
  </sheetData>
  <autoFilter ref="A1:AI2" xr:uid="{00000000-0009-0000-0000-00003E000000}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10"/>
  <sheetViews>
    <sheetView workbookViewId="0"/>
  </sheetViews>
  <sheetFormatPr defaultRowHeight="14.4" x14ac:dyDescent="0.3"/>
  <cols>
    <col min="1" max="1" width="13" bestFit="1" customWidth="1"/>
    <col min="2" max="2" width="19.44140625" bestFit="1" customWidth="1"/>
    <col min="3" max="3" width="16.109375" bestFit="1" customWidth="1"/>
    <col min="4" max="4" width="11.33203125" bestFit="1" customWidth="1"/>
    <col min="5" max="5" width="32.77734375" bestFit="1" customWidth="1"/>
    <col min="6" max="6" width="37.77734375" bestFit="1" customWidth="1"/>
    <col min="7" max="7" width="16.88671875" bestFit="1" customWidth="1"/>
    <col min="8" max="8" width="19.664062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  <row r="2" spans="1:8" ht="18" x14ac:dyDescent="0.3">
      <c r="A2" s="153">
        <v>45989</v>
      </c>
      <c r="B2" s="148" t="s">
        <v>59</v>
      </c>
      <c r="C2" s="149" t="s">
        <v>879</v>
      </c>
      <c r="D2" s="148" t="s">
        <v>878</v>
      </c>
      <c r="E2" s="150">
        <v>1.583333333333333</v>
      </c>
      <c r="F2" s="148" t="s">
        <v>61</v>
      </c>
      <c r="G2" s="148"/>
      <c r="H2" s="154" t="s">
        <v>62</v>
      </c>
    </row>
    <row r="3" spans="1:8" ht="15.6" x14ac:dyDescent="0.3">
      <c r="A3" s="151"/>
      <c r="B3" s="151"/>
      <c r="C3" s="151"/>
      <c r="D3" s="151"/>
      <c r="E3" s="152" t="s">
        <v>886</v>
      </c>
      <c r="F3" s="151"/>
      <c r="G3" s="151"/>
      <c r="H3" s="3"/>
    </row>
    <row r="4" spans="1:8" ht="18" x14ac:dyDescent="0.3">
      <c r="A4" s="96">
        <v>45989</v>
      </c>
      <c r="B4" s="86" t="s">
        <v>283</v>
      </c>
      <c r="C4" s="87" t="s">
        <v>860</v>
      </c>
      <c r="D4" s="86" t="s">
        <v>856</v>
      </c>
      <c r="E4" s="88">
        <v>1.725694444444444</v>
      </c>
      <c r="F4" s="86" t="s">
        <v>285</v>
      </c>
      <c r="G4" s="89">
        <v>9</v>
      </c>
      <c r="H4" s="86" t="s">
        <v>861</v>
      </c>
    </row>
    <row r="5" spans="1:8" ht="18" x14ac:dyDescent="0.3">
      <c r="A5" s="260">
        <v>45989</v>
      </c>
      <c r="B5" s="261" t="s">
        <v>283</v>
      </c>
      <c r="C5" s="262" t="s">
        <v>860</v>
      </c>
      <c r="D5" s="261" t="s">
        <v>856</v>
      </c>
      <c r="E5" s="263">
        <v>1.725694444444444</v>
      </c>
      <c r="F5" s="261" t="s">
        <v>33</v>
      </c>
      <c r="G5" s="264">
        <v>9</v>
      </c>
      <c r="H5" s="261" t="s">
        <v>862</v>
      </c>
    </row>
    <row r="6" spans="1:8" ht="15.6" x14ac:dyDescent="0.3">
      <c r="A6" s="151"/>
      <c r="B6" s="151"/>
      <c r="C6" s="151"/>
      <c r="D6" s="151"/>
      <c r="E6" s="152" t="s">
        <v>886</v>
      </c>
      <c r="F6" s="151"/>
      <c r="G6" s="151"/>
      <c r="H6" s="3"/>
    </row>
    <row r="7" spans="1:8" ht="18" x14ac:dyDescent="0.3">
      <c r="A7" s="85">
        <v>45990</v>
      </c>
      <c r="B7" s="86" t="s">
        <v>246</v>
      </c>
      <c r="C7" s="87" t="s">
        <v>863</v>
      </c>
      <c r="D7" s="86" t="s">
        <v>856</v>
      </c>
      <c r="E7" s="88">
        <v>1.0034722222222221</v>
      </c>
      <c r="F7" s="86" t="s">
        <v>191</v>
      </c>
      <c r="G7" s="89">
        <v>9</v>
      </c>
      <c r="H7" s="90" t="s">
        <v>864</v>
      </c>
    </row>
    <row r="8" spans="1:8" ht="18" x14ac:dyDescent="0.3">
      <c r="A8" s="102">
        <v>45990</v>
      </c>
      <c r="B8" s="103" t="s">
        <v>59</v>
      </c>
      <c r="C8" s="104" t="s">
        <v>865</v>
      </c>
      <c r="D8" s="103" t="s">
        <v>856</v>
      </c>
      <c r="E8" s="105">
        <v>1.802083333333333</v>
      </c>
      <c r="F8" s="103" t="s">
        <v>191</v>
      </c>
      <c r="G8" s="257">
        <v>9</v>
      </c>
      <c r="H8" s="103" t="s">
        <v>866</v>
      </c>
    </row>
    <row r="9" spans="1:8" ht="15.6" x14ac:dyDescent="0.3">
      <c r="A9" s="151"/>
      <c r="B9" s="151"/>
      <c r="C9" s="151"/>
      <c r="D9" s="151"/>
      <c r="E9" s="152" t="s">
        <v>886</v>
      </c>
      <c r="F9" s="151"/>
      <c r="G9" s="151"/>
      <c r="H9" s="3"/>
    </row>
    <row r="10" spans="1:8" ht="18" x14ac:dyDescent="0.3">
      <c r="A10" s="240">
        <v>45991</v>
      </c>
      <c r="B10" s="241" t="s">
        <v>246</v>
      </c>
      <c r="C10" s="242" t="s">
        <v>869</v>
      </c>
      <c r="D10" s="241" t="s">
        <v>856</v>
      </c>
      <c r="E10" s="243">
        <v>1.71875</v>
      </c>
      <c r="F10" s="241" t="s">
        <v>191</v>
      </c>
      <c r="G10" s="244">
        <v>8</v>
      </c>
      <c r="H10" s="245" t="s">
        <v>870</v>
      </c>
    </row>
  </sheetData>
  <dataValidations count="2">
    <dataValidation type="custom" allowBlank="1" showInputMessage="1" promptTitle="LOAD FACTOR ANALYSIS" prompt="SM445_x000d__x000a_LF 1.0%_x000d__x000a_SOLD 179_x000d__x000a_LST-SOLD 26NOV_x000d__x000a_WEEKLY 34_x000d__x000a_TO-DAY 1_x000d__x000a_Y-DAY 5_x000d__x000a_LOWEST AVAIL CLOSED_x000d__x000a_CAPACITY 179_x000d__x000a_CLASSES L9 &amp; G20 &amp; S20 &amp; +5 more" sqref="A2 B2 C2 D2 E2 F2 G2 H2" xr:uid="{00000000-0002-0000-3F00-000000000000}">
      <formula1>TRUE</formula1>
    </dataValidation>
    <dataValidation type="custom" allowBlank="1" showInputMessage="1" promptTitle="LOAD FACTOR ANALYSIS" prompt="SM-443_x000d__x000a_LF -_x000d__x000a_SOLD -_x000d__x000a_LST-SOLD -_x000d__x000a_WEEKLY -_x000d__x000a_TO-DAY -_x000d__x000a_Y-DAY -_x000d__x000a_LOWEST AVAIL -_x000d__x000a_CAPACITY -_x000d__x000a_CLASSES -" sqref="A8 B8 C8 D8 E8 F8 G8 H8" xr:uid="{00000000-0002-0000-3F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N1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18.664062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85.7773437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887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45987.359202010397</v>
      </c>
      <c r="H2" s="279"/>
      <c r="I2" s="279"/>
      <c r="J2" s="279"/>
      <c r="K2" s="288">
        <v>45987.35920201095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2" t="s">
        <v>5</v>
      </c>
      <c r="B4" s="283"/>
      <c r="C4" s="283"/>
      <c r="D4" s="283"/>
      <c r="E4" s="283"/>
      <c r="F4" s="283"/>
      <c r="G4" s="5">
        <v>45988</v>
      </c>
      <c r="H4" s="294" t="s">
        <v>6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8" t="s">
        <v>246</v>
      </c>
      <c r="B6" s="8" t="s">
        <v>888</v>
      </c>
      <c r="C6" s="9">
        <v>0.48958333333333331</v>
      </c>
      <c r="D6" s="8" t="s">
        <v>191</v>
      </c>
      <c r="E6" s="8" t="s">
        <v>96</v>
      </c>
      <c r="F6" s="8" t="s">
        <v>889</v>
      </c>
      <c r="G6" s="275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49.95" customHeight="1" x14ac:dyDescent="0.3">
      <c r="A7" s="17" t="s">
        <v>249</v>
      </c>
      <c r="B7" s="17" t="s">
        <v>890</v>
      </c>
      <c r="C7" s="18">
        <v>0.4548611111111111</v>
      </c>
      <c r="D7" s="17" t="s">
        <v>191</v>
      </c>
      <c r="E7" s="17" t="s">
        <v>159</v>
      </c>
      <c r="F7" s="17" t="s">
        <v>891</v>
      </c>
      <c r="G7" s="276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49.95" customHeight="1" x14ac:dyDescent="0.3">
      <c r="A8" s="137" t="s">
        <v>59</v>
      </c>
      <c r="B8" s="137" t="s">
        <v>892</v>
      </c>
      <c r="C8" s="138">
        <v>0.63194444444444442</v>
      </c>
      <c r="D8" s="137" t="s">
        <v>191</v>
      </c>
      <c r="E8" s="137" t="s">
        <v>73</v>
      </c>
      <c r="F8" s="137" t="s">
        <v>893</v>
      </c>
      <c r="G8" s="276"/>
      <c r="H8" s="140" t="s">
        <v>894</v>
      </c>
      <c r="I8" s="226">
        <v>0.81010000000000004</v>
      </c>
      <c r="J8" s="142">
        <v>145</v>
      </c>
      <c r="K8" s="143">
        <v>45986</v>
      </c>
      <c r="L8" s="142">
        <v>44</v>
      </c>
      <c r="M8" s="142">
        <v>0</v>
      </c>
      <c r="N8" s="142">
        <v>11</v>
      </c>
      <c r="O8" s="144" t="s">
        <v>757</v>
      </c>
      <c r="P8" s="145">
        <v>0.63194444444444442</v>
      </c>
      <c r="Q8" s="142">
        <v>179</v>
      </c>
      <c r="R8" s="146" t="s">
        <v>895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49.95" customHeight="1" x14ac:dyDescent="0.3">
      <c r="A9" s="252" t="s">
        <v>70</v>
      </c>
      <c r="B9" s="252" t="s">
        <v>896</v>
      </c>
      <c r="C9" s="253">
        <v>0.87152777777777779</v>
      </c>
      <c r="D9" s="252" t="s">
        <v>72</v>
      </c>
      <c r="E9" s="252" t="s">
        <v>73</v>
      </c>
      <c r="F9" s="252" t="s">
        <v>897</v>
      </c>
      <c r="G9" s="277"/>
      <c r="H9" s="39"/>
      <c r="I9" s="40"/>
      <c r="J9" s="40"/>
      <c r="K9" s="40"/>
      <c r="L9" s="40"/>
      <c r="M9" s="40"/>
      <c r="N9" s="40"/>
      <c r="O9" s="41"/>
      <c r="P9" s="40"/>
      <c r="Q9" s="42"/>
      <c r="R9" s="4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14.4" customHeight="1" x14ac:dyDescent="0.3">
      <c r="A10" s="284"/>
      <c r="B10" s="285"/>
      <c r="C10" s="285"/>
      <c r="D10" s="285"/>
      <c r="E10" s="285"/>
      <c r="F10" s="285"/>
      <c r="G10" s="273"/>
      <c r="H10" s="286"/>
      <c r="I10" s="286"/>
      <c r="J10" s="286"/>
      <c r="K10" s="286"/>
      <c r="L10" s="286"/>
      <c r="M10" s="286"/>
      <c r="N10" s="286"/>
      <c r="O10" s="287"/>
      <c r="P10" s="286"/>
      <c r="Q10" s="273"/>
      <c r="R10" s="27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22.05" customHeight="1" x14ac:dyDescent="0.3">
      <c r="A11" s="280" t="s">
        <v>5</v>
      </c>
      <c r="B11" s="281"/>
      <c r="C11" s="281"/>
      <c r="D11" s="281"/>
      <c r="E11" s="281"/>
      <c r="F11" s="281"/>
      <c r="G11" s="5">
        <v>45989</v>
      </c>
      <c r="H11" s="290" t="s">
        <v>6</v>
      </c>
      <c r="I11" s="291"/>
      <c r="J11" s="291"/>
      <c r="K11" s="291"/>
      <c r="L11" s="291"/>
      <c r="M11" s="291"/>
      <c r="N11" s="291"/>
      <c r="O11" s="291"/>
      <c r="P11" s="291"/>
      <c r="Q11" s="291"/>
      <c r="R11" s="291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24" customHeight="1" x14ac:dyDescent="0.3">
      <c r="A12" s="31" t="s">
        <v>7</v>
      </c>
      <c r="B12" s="31" t="s">
        <v>8</v>
      </c>
      <c r="C12" s="32" t="s">
        <v>9</v>
      </c>
      <c r="D12" s="31" t="s">
        <v>10</v>
      </c>
      <c r="E12" s="31" t="s">
        <v>11</v>
      </c>
      <c r="F12" s="31" t="s">
        <v>12</v>
      </c>
      <c r="G12" s="33" t="s">
        <v>13</v>
      </c>
      <c r="H12" s="31" t="s">
        <v>14</v>
      </c>
      <c r="I12" s="34" t="s">
        <v>15</v>
      </c>
      <c r="J12" s="35" t="s">
        <v>16</v>
      </c>
      <c r="K12" s="36" t="s">
        <v>17</v>
      </c>
      <c r="L12" s="35" t="s">
        <v>18</v>
      </c>
      <c r="M12" s="35" t="s">
        <v>19</v>
      </c>
      <c r="N12" s="35" t="s">
        <v>20</v>
      </c>
      <c r="O12" s="31" t="s">
        <v>21</v>
      </c>
      <c r="P12" s="32" t="s">
        <v>22</v>
      </c>
      <c r="Q12" s="35" t="s">
        <v>23</v>
      </c>
      <c r="R12" s="31" t="s">
        <v>24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49.95" customHeight="1" x14ac:dyDescent="0.3">
      <c r="A13" s="121" t="s">
        <v>59</v>
      </c>
      <c r="B13" s="121" t="s">
        <v>894</v>
      </c>
      <c r="C13" s="122">
        <v>0.82986111111111116</v>
      </c>
      <c r="D13" s="121" t="s">
        <v>61</v>
      </c>
      <c r="E13" s="123"/>
      <c r="F13" s="121" t="s">
        <v>563</v>
      </c>
      <c r="G13" s="302"/>
      <c r="H13" s="198" t="s">
        <v>894</v>
      </c>
      <c r="I13" s="269">
        <v>0.78210000000000002</v>
      </c>
      <c r="J13" s="200">
        <v>140</v>
      </c>
      <c r="K13" s="201">
        <v>45986</v>
      </c>
      <c r="L13" s="200">
        <v>21</v>
      </c>
      <c r="M13" s="200">
        <v>0</v>
      </c>
      <c r="N13" s="200">
        <v>2</v>
      </c>
      <c r="O13" s="202" t="s">
        <v>580</v>
      </c>
      <c r="P13" s="203">
        <v>0.82986111111111116</v>
      </c>
      <c r="Q13" s="200">
        <v>179</v>
      </c>
      <c r="R13" s="204" t="s">
        <v>898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  <row r="14" spans="1:92" ht="14.4" customHeight="1" x14ac:dyDescent="0.3">
      <c r="A14" s="284"/>
      <c r="B14" s="285"/>
      <c r="C14" s="285"/>
      <c r="D14" s="285"/>
      <c r="E14" s="285"/>
      <c r="F14" s="285"/>
      <c r="G14" s="273"/>
      <c r="H14" s="286"/>
      <c r="I14" s="286"/>
      <c r="J14" s="286"/>
      <c r="K14" s="286"/>
      <c r="L14" s="286"/>
      <c r="M14" s="286"/>
      <c r="N14" s="286"/>
      <c r="O14" s="287"/>
      <c r="P14" s="286"/>
      <c r="Q14" s="273"/>
      <c r="R14" s="274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</row>
    <row r="15" spans="1:92" ht="22.05" customHeight="1" x14ac:dyDescent="0.3">
      <c r="A15" s="280" t="s">
        <v>5</v>
      </c>
      <c r="B15" s="281"/>
      <c r="C15" s="281"/>
      <c r="D15" s="281"/>
      <c r="E15" s="281"/>
      <c r="F15" s="281"/>
      <c r="G15" s="5">
        <v>45991</v>
      </c>
      <c r="H15" s="290" t="s">
        <v>6</v>
      </c>
      <c r="I15" s="291"/>
      <c r="J15" s="291"/>
      <c r="K15" s="291"/>
      <c r="L15" s="291"/>
      <c r="M15" s="291"/>
      <c r="N15" s="291"/>
      <c r="O15" s="291"/>
      <c r="P15" s="291"/>
      <c r="Q15" s="291"/>
      <c r="R15" s="291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</row>
    <row r="16" spans="1:92" ht="24" customHeight="1" x14ac:dyDescent="0.3">
      <c r="A16" s="31" t="s">
        <v>7</v>
      </c>
      <c r="B16" s="31" t="s">
        <v>8</v>
      </c>
      <c r="C16" s="32" t="s">
        <v>9</v>
      </c>
      <c r="D16" s="31" t="s">
        <v>10</v>
      </c>
      <c r="E16" s="31" t="s">
        <v>11</v>
      </c>
      <c r="F16" s="31" t="s">
        <v>12</v>
      </c>
      <c r="G16" s="33" t="s">
        <v>13</v>
      </c>
      <c r="H16" s="31" t="s">
        <v>14</v>
      </c>
      <c r="I16" s="34" t="s">
        <v>15</v>
      </c>
      <c r="J16" s="35" t="s">
        <v>16</v>
      </c>
      <c r="K16" s="36" t="s">
        <v>17</v>
      </c>
      <c r="L16" s="35" t="s">
        <v>18</v>
      </c>
      <c r="M16" s="35" t="s">
        <v>19</v>
      </c>
      <c r="N16" s="35" t="s">
        <v>20</v>
      </c>
      <c r="O16" s="31" t="s">
        <v>21</v>
      </c>
      <c r="P16" s="32" t="s">
        <v>22</v>
      </c>
      <c r="Q16" s="35" t="s">
        <v>23</v>
      </c>
      <c r="R16" s="31" t="s">
        <v>24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</row>
    <row r="17" spans="1:92" ht="49.95" customHeight="1" x14ac:dyDescent="0.3">
      <c r="A17" s="137" t="s">
        <v>59</v>
      </c>
      <c r="B17" s="137" t="s">
        <v>894</v>
      </c>
      <c r="C17" s="138">
        <v>0.63194444444444442</v>
      </c>
      <c r="D17" s="137" t="s">
        <v>61</v>
      </c>
      <c r="E17" s="139"/>
      <c r="F17" s="137" t="s">
        <v>899</v>
      </c>
      <c r="G17" s="302"/>
      <c r="H17" s="230" t="s">
        <v>894</v>
      </c>
      <c r="I17" s="266">
        <v>0.90500000000000003</v>
      </c>
      <c r="J17" s="232">
        <v>162</v>
      </c>
      <c r="K17" s="233">
        <v>45986</v>
      </c>
      <c r="L17" s="232">
        <v>54</v>
      </c>
      <c r="M17" s="232">
        <v>0</v>
      </c>
      <c r="N17" s="232">
        <v>4</v>
      </c>
      <c r="O17" s="234" t="s">
        <v>476</v>
      </c>
      <c r="P17" s="235">
        <v>0.63194444444444442</v>
      </c>
      <c r="Q17" s="232">
        <v>179</v>
      </c>
      <c r="R17" s="236" t="s">
        <v>900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</row>
    <row r="18" spans="1:92" ht="14.4" customHeight="1" x14ac:dyDescent="0.3">
      <c r="A18" s="272"/>
      <c r="B18" s="273"/>
      <c r="C18" s="273"/>
      <c r="D18" s="273"/>
      <c r="E18" s="273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273"/>
      <c r="Q18" s="273"/>
      <c r="R18" s="274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</row>
  </sheetData>
  <mergeCells count="21">
    <mergeCell ref="A18:R18"/>
    <mergeCell ref="A2:F2"/>
    <mergeCell ref="A3:R3"/>
    <mergeCell ref="A14:R14"/>
    <mergeCell ref="G2:J2"/>
    <mergeCell ref="A4:F4"/>
    <mergeCell ref="G6:G9"/>
    <mergeCell ref="G17"/>
    <mergeCell ref="H11:R11"/>
    <mergeCell ref="A10:R10"/>
    <mergeCell ref="K2:R2"/>
    <mergeCell ref="A15:F15"/>
    <mergeCell ref="G13"/>
    <mergeCell ref="A11:F11"/>
    <mergeCell ref="A1:C1"/>
    <mergeCell ref="G1:H1"/>
    <mergeCell ref="H15:R15"/>
    <mergeCell ref="O1:Q1"/>
    <mergeCell ref="H4:R4"/>
    <mergeCell ref="J1:M1"/>
    <mergeCell ref="D1:F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I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  <row r="2" spans="1:35" ht="18" x14ac:dyDescent="0.3">
      <c r="A2" s="65" t="s">
        <v>133</v>
      </c>
      <c r="B2" s="66">
        <v>45988</v>
      </c>
      <c r="C2" s="67" t="s">
        <v>894</v>
      </c>
      <c r="D2" s="68">
        <v>0.63194444444444442</v>
      </c>
      <c r="E2" s="67" t="s">
        <v>887</v>
      </c>
      <c r="F2" s="67" t="s">
        <v>134</v>
      </c>
      <c r="G2" s="69">
        <v>0.81010000000000004</v>
      </c>
      <c r="H2" s="70">
        <v>179</v>
      </c>
      <c r="I2" s="70">
        <v>145</v>
      </c>
      <c r="J2" s="70">
        <v>0</v>
      </c>
      <c r="K2" s="66">
        <v>45986</v>
      </c>
      <c r="L2" s="70">
        <v>0</v>
      </c>
      <c r="M2" s="70">
        <v>11</v>
      </c>
      <c r="N2" s="70">
        <v>44</v>
      </c>
      <c r="O2" s="67" t="s">
        <v>757</v>
      </c>
      <c r="P2" s="71"/>
      <c r="Q2" s="71"/>
      <c r="R2" s="71"/>
      <c r="S2" s="71"/>
      <c r="T2" s="70" t="s">
        <v>901</v>
      </c>
      <c r="U2" s="70" t="s">
        <v>653</v>
      </c>
      <c r="V2" s="70" t="s">
        <v>311</v>
      </c>
      <c r="W2" s="70" t="s">
        <v>312</v>
      </c>
      <c r="X2" s="70" t="s">
        <v>902</v>
      </c>
      <c r="Y2" s="70" t="s">
        <v>358</v>
      </c>
      <c r="Z2" s="70" t="s">
        <v>412</v>
      </c>
      <c r="AA2" s="70" t="s">
        <v>903</v>
      </c>
      <c r="AB2" s="70" t="s">
        <v>526</v>
      </c>
      <c r="AC2" s="70" t="s">
        <v>753</v>
      </c>
      <c r="AD2" s="70" t="s">
        <v>636</v>
      </c>
      <c r="AE2" s="70" t="s">
        <v>137</v>
      </c>
      <c r="AF2" s="71"/>
      <c r="AG2" s="71"/>
      <c r="AH2" s="71"/>
      <c r="AI2" s="71"/>
    </row>
    <row r="3" spans="1:35" ht="18" x14ac:dyDescent="0.3">
      <c r="A3" s="72" t="s">
        <v>346</v>
      </c>
      <c r="B3" s="73">
        <v>45989</v>
      </c>
      <c r="C3" s="74" t="s">
        <v>894</v>
      </c>
      <c r="D3" s="75">
        <v>0.82986111111111116</v>
      </c>
      <c r="E3" s="74" t="s">
        <v>887</v>
      </c>
      <c r="F3" s="74" t="s">
        <v>134</v>
      </c>
      <c r="G3" s="76">
        <v>0.78210000000000002</v>
      </c>
      <c r="H3" s="77">
        <v>179</v>
      </c>
      <c r="I3" s="77">
        <v>140</v>
      </c>
      <c r="J3" s="77">
        <v>0</v>
      </c>
      <c r="K3" s="73">
        <v>45986</v>
      </c>
      <c r="L3" s="77">
        <v>0</v>
      </c>
      <c r="M3" s="77">
        <v>2</v>
      </c>
      <c r="N3" s="77">
        <v>21</v>
      </c>
      <c r="O3" s="74" t="s">
        <v>580</v>
      </c>
      <c r="P3" s="78"/>
      <c r="Q3" s="78"/>
      <c r="R3" s="77" t="s">
        <v>872</v>
      </c>
      <c r="S3" s="77" t="s">
        <v>904</v>
      </c>
      <c r="T3" s="78"/>
      <c r="U3" s="77" t="s">
        <v>347</v>
      </c>
      <c r="V3" s="77" t="s">
        <v>638</v>
      </c>
      <c r="W3" s="77" t="s">
        <v>312</v>
      </c>
      <c r="X3" s="77" t="s">
        <v>380</v>
      </c>
      <c r="Y3" s="77" t="s">
        <v>199</v>
      </c>
      <c r="Z3" s="77" t="s">
        <v>905</v>
      </c>
      <c r="AA3" s="77" t="s">
        <v>641</v>
      </c>
      <c r="AB3" s="77" t="s">
        <v>142</v>
      </c>
      <c r="AC3" s="77" t="s">
        <v>367</v>
      </c>
      <c r="AD3" s="77" t="s">
        <v>144</v>
      </c>
      <c r="AE3" s="78"/>
      <c r="AF3" s="78"/>
      <c r="AG3" s="78"/>
      <c r="AH3" s="78"/>
      <c r="AI3" s="78"/>
    </row>
    <row r="4" spans="1:35" ht="18" x14ac:dyDescent="0.3">
      <c r="A4" s="65" t="s">
        <v>148</v>
      </c>
      <c r="B4" s="66">
        <v>45991</v>
      </c>
      <c r="C4" s="67" t="s">
        <v>894</v>
      </c>
      <c r="D4" s="68">
        <v>0.63194444444444442</v>
      </c>
      <c r="E4" s="67" t="s">
        <v>887</v>
      </c>
      <c r="F4" s="67" t="s">
        <v>134</v>
      </c>
      <c r="G4" s="69">
        <v>0.90500000000000003</v>
      </c>
      <c r="H4" s="70">
        <v>179</v>
      </c>
      <c r="I4" s="70">
        <v>162</v>
      </c>
      <c r="J4" s="70">
        <v>0</v>
      </c>
      <c r="K4" s="66">
        <v>45986</v>
      </c>
      <c r="L4" s="70">
        <v>0</v>
      </c>
      <c r="M4" s="70">
        <v>4</v>
      </c>
      <c r="N4" s="70">
        <v>54</v>
      </c>
      <c r="O4" s="67" t="s">
        <v>476</v>
      </c>
      <c r="P4" s="71"/>
      <c r="Q4" s="71"/>
      <c r="R4" s="71"/>
      <c r="S4" s="70" t="s">
        <v>906</v>
      </c>
      <c r="T4" s="70" t="s">
        <v>749</v>
      </c>
      <c r="U4" s="70" t="s">
        <v>802</v>
      </c>
      <c r="V4" s="70" t="s">
        <v>907</v>
      </c>
      <c r="W4" s="70" t="s">
        <v>312</v>
      </c>
      <c r="X4" s="70" t="s">
        <v>380</v>
      </c>
      <c r="Y4" s="70" t="s">
        <v>639</v>
      </c>
      <c r="Z4" s="70" t="s">
        <v>351</v>
      </c>
      <c r="AA4" s="70" t="s">
        <v>374</v>
      </c>
      <c r="AB4" s="70" t="s">
        <v>343</v>
      </c>
      <c r="AC4" s="70" t="s">
        <v>203</v>
      </c>
      <c r="AD4" s="70" t="s">
        <v>368</v>
      </c>
      <c r="AE4" s="70" t="s">
        <v>481</v>
      </c>
      <c r="AF4" s="71"/>
      <c r="AG4" s="71"/>
      <c r="AH4" s="71"/>
      <c r="AI4" s="70" t="s">
        <v>139</v>
      </c>
    </row>
    <row r="5" spans="1:35" ht="18" x14ac:dyDescent="0.3">
      <c r="A5" s="79" t="s">
        <v>151</v>
      </c>
      <c r="B5" s="80"/>
      <c r="C5" s="81">
        <f>COUNTA(C2:C4)</f>
        <v>3</v>
      </c>
      <c r="D5" s="80"/>
      <c r="E5" s="80"/>
      <c r="F5" s="80"/>
      <c r="G5" s="82">
        <f>AVERAGE(G2:G4)</f>
        <v>0.83240000000000014</v>
      </c>
      <c r="H5" s="83">
        <f>SUM(H2:H4)</f>
        <v>537</v>
      </c>
      <c r="I5" s="83">
        <f>SUM(I2:I4)</f>
        <v>447</v>
      </c>
      <c r="J5" s="83">
        <f>SUM(J2:J4)</f>
        <v>0</v>
      </c>
      <c r="K5" s="80"/>
      <c r="L5" s="83">
        <f>SUM(L2:L4)</f>
        <v>0</v>
      </c>
      <c r="M5" s="83">
        <f>SUM(M2:M4)</f>
        <v>17</v>
      </c>
      <c r="N5" s="83">
        <f>SUM(N2:N4)</f>
        <v>119</v>
      </c>
      <c r="O5" s="80"/>
      <c r="P5" s="83">
        <f t="shared" ref="P5:AI5" si="0">SUMPRODUCT(--IFERROR(VALUE(SUBSTITUTE(SUBSTITUTE(SUBSTITUTE(SUBSTITUTE(SUBSTITUTE(SUBSTITUTE(SUBSTITUTE(SUBSTITUTE(SUBSTITUTE(SUBSTITUTE(SUBSTITUTE(SUBSTITUTE(SUBSTITUTE(SUBSTITUTE(SUBSTITUTE(SUBSTITUTE(SUBSTITUTE(SUBSTITUTE(SUBSTITUTE(SUBSTITUTE(P2:P4,"Y",""),"B",""),"M",""),"H",""),"Q",""),"K",""),"V",""),"L",""),"G",""),"S",""),"W",""),"T",""),"X",""),"U",""),"O",""),"I",""),"E",""),"A",""),"P",""),"N","")),0))</f>
        <v>0</v>
      </c>
      <c r="Q5" s="83">
        <f t="shared" si="0"/>
        <v>0</v>
      </c>
      <c r="R5" s="83">
        <f t="shared" si="0"/>
        <v>0</v>
      </c>
      <c r="S5" s="83">
        <f t="shared" si="0"/>
        <v>0</v>
      </c>
      <c r="T5" s="83">
        <f t="shared" si="0"/>
        <v>0</v>
      </c>
      <c r="U5" s="83">
        <f t="shared" si="0"/>
        <v>0</v>
      </c>
      <c r="V5" s="83">
        <f t="shared" si="0"/>
        <v>0</v>
      </c>
      <c r="W5" s="83">
        <f t="shared" si="0"/>
        <v>0</v>
      </c>
      <c r="X5" s="83">
        <f t="shared" si="0"/>
        <v>0</v>
      </c>
      <c r="Y5" s="83">
        <f t="shared" si="0"/>
        <v>0</v>
      </c>
      <c r="Z5" s="83">
        <f t="shared" si="0"/>
        <v>0</v>
      </c>
      <c r="AA5" s="83">
        <f t="shared" si="0"/>
        <v>0</v>
      </c>
      <c r="AB5" s="83">
        <f t="shared" si="0"/>
        <v>0</v>
      </c>
      <c r="AC5" s="83">
        <f t="shared" si="0"/>
        <v>0</v>
      </c>
      <c r="AD5" s="83">
        <f t="shared" si="0"/>
        <v>0</v>
      </c>
      <c r="AE5" s="83">
        <f t="shared" si="0"/>
        <v>0</v>
      </c>
      <c r="AF5" s="83">
        <f t="shared" si="0"/>
        <v>0</v>
      </c>
      <c r="AG5" s="83">
        <f t="shared" si="0"/>
        <v>0</v>
      </c>
      <c r="AH5" s="83">
        <f t="shared" si="0"/>
        <v>0</v>
      </c>
      <c r="AI5" s="83">
        <f t="shared" si="0"/>
        <v>0</v>
      </c>
    </row>
  </sheetData>
  <autoFilter ref="A1:AI4" xr:uid="{00000000-0009-0000-0000-000041000000}"/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7"/>
  <sheetViews>
    <sheetView workbookViewId="0"/>
  </sheetViews>
  <sheetFormatPr defaultRowHeight="14.4" x14ac:dyDescent="0.3"/>
  <cols>
    <col min="1" max="1" width="13" bestFit="1" customWidth="1"/>
    <col min="2" max="2" width="17.8867187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4.88671875" bestFit="1" customWidth="1"/>
    <col min="7" max="7" width="16.88671875" bestFit="1" customWidth="1"/>
    <col min="8" max="8" width="20.8867187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  <row r="2" spans="1:8" ht="18" x14ac:dyDescent="0.3">
      <c r="A2" s="85">
        <v>45988</v>
      </c>
      <c r="B2" s="86" t="s">
        <v>246</v>
      </c>
      <c r="C2" s="87" t="s">
        <v>888</v>
      </c>
      <c r="D2" s="86" t="s">
        <v>887</v>
      </c>
      <c r="E2" s="88">
        <v>1.489583333333333</v>
      </c>
      <c r="F2" s="86" t="s">
        <v>191</v>
      </c>
      <c r="G2" s="89">
        <v>3</v>
      </c>
      <c r="H2" s="90" t="s">
        <v>889</v>
      </c>
    </row>
    <row r="3" spans="1:8" ht="18" x14ac:dyDescent="0.3">
      <c r="A3" s="96">
        <v>45988</v>
      </c>
      <c r="B3" s="86" t="s">
        <v>249</v>
      </c>
      <c r="C3" s="87" t="s">
        <v>890</v>
      </c>
      <c r="D3" s="86" t="s">
        <v>887</v>
      </c>
      <c r="E3" s="88">
        <v>1.4548611111111109</v>
      </c>
      <c r="F3" s="86" t="s">
        <v>191</v>
      </c>
      <c r="G3" s="89">
        <v>5</v>
      </c>
      <c r="H3" s="86" t="s">
        <v>891</v>
      </c>
    </row>
    <row r="4" spans="1:8" ht="18" x14ac:dyDescent="0.3">
      <c r="A4" s="147">
        <v>45988</v>
      </c>
      <c r="B4" s="148" t="s">
        <v>59</v>
      </c>
      <c r="C4" s="149" t="s">
        <v>892</v>
      </c>
      <c r="D4" s="148" t="s">
        <v>887</v>
      </c>
      <c r="E4" s="150">
        <v>1.631944444444444</v>
      </c>
      <c r="F4" s="148" t="s">
        <v>191</v>
      </c>
      <c r="G4" s="155">
        <v>9</v>
      </c>
      <c r="H4" s="148" t="s">
        <v>893</v>
      </c>
    </row>
    <row r="5" spans="1:8" ht="18" x14ac:dyDescent="0.3">
      <c r="A5" s="254">
        <v>45988</v>
      </c>
      <c r="B5" s="241" t="s">
        <v>70</v>
      </c>
      <c r="C5" s="242" t="s">
        <v>896</v>
      </c>
      <c r="D5" s="241" t="s">
        <v>887</v>
      </c>
      <c r="E5" s="243">
        <v>1.8715277777777779</v>
      </c>
      <c r="F5" s="241" t="s">
        <v>72</v>
      </c>
      <c r="G5" s="244">
        <v>9</v>
      </c>
      <c r="H5" s="241" t="s">
        <v>897</v>
      </c>
    </row>
    <row r="6" spans="1:8" ht="18" x14ac:dyDescent="0.3">
      <c r="A6" s="255">
        <v>45989</v>
      </c>
      <c r="B6" s="103" t="s">
        <v>59</v>
      </c>
      <c r="C6" s="104" t="s">
        <v>894</v>
      </c>
      <c r="D6" s="103" t="s">
        <v>887</v>
      </c>
      <c r="E6" s="105">
        <v>1.8298611111111109</v>
      </c>
      <c r="F6" s="103" t="s">
        <v>61</v>
      </c>
      <c r="G6" s="103"/>
      <c r="H6" s="256" t="s">
        <v>563</v>
      </c>
    </row>
    <row r="7" spans="1:8" ht="18" x14ac:dyDescent="0.3">
      <c r="A7" s="255">
        <v>45991</v>
      </c>
      <c r="B7" s="103" t="s">
        <v>59</v>
      </c>
      <c r="C7" s="104" t="s">
        <v>894</v>
      </c>
      <c r="D7" s="103" t="s">
        <v>887</v>
      </c>
      <c r="E7" s="105">
        <v>1.631944444444444</v>
      </c>
      <c r="F7" s="103" t="s">
        <v>61</v>
      </c>
      <c r="G7" s="103"/>
      <c r="H7" s="256" t="s">
        <v>899</v>
      </c>
    </row>
  </sheetData>
  <dataValidations count="3">
    <dataValidation type="custom" allowBlank="1" showInputMessage="1" promptTitle="LOAD FACTOR ANALYSIS" prompt="SM-427_x000d__x000a_LF 81.0%_x000d__x000a_SOLD 145_x000d__x000a_LST-SOLD 25NOV_x000d__x000a_WEEKLY 44_x000d__x000a_TO-DAY NIL_x000d__x000a_Y-DAY 11_x000d__x000a_LOWEST AVAIL Q9_x000d__x000a_CAPACITY 179_x000d__x000a_CLASSES Q23 &amp; K12 &amp; V10 &amp; +9 more" sqref="A4 B4 C4 D4 E4 F4 G4 H4" xr:uid="{00000000-0002-0000-4200-000000000000}">
      <formula1>TRUE</formula1>
    </dataValidation>
    <dataValidation type="custom" allowBlank="1" showInputMessage="1" promptTitle="LOAD FACTOR ANALYSIS" prompt="SM427_x000d__x000a_LF 78.2%_x000d__x000a_SOLD 140_x000d__x000a_LST-SOLD 25NOV_x000d__x000a_WEEKLY 21_x000d__x000a_TO-DAY NIL_x000d__x000a_Y-DAY 2_x000d__x000a_LOWEST AVAIL H9_x000d__x000a_CAPACITY 179_x000d__x000a_CLASSES M15 &amp; H45 &amp; K9 &amp; +9 more" sqref="A6 B6 C6 D6 E6 F6 G6 H6" xr:uid="{00000000-0002-0000-4200-000001000000}">
      <formula1>TRUE</formula1>
    </dataValidation>
    <dataValidation type="custom" allowBlank="1" showInputMessage="1" promptTitle="LOAD FACTOR ANALYSIS" prompt="SM427_x000d__x000a_LF 90.5%_x000d__x000a_SOLD 162_x000d__x000a_LST-SOLD 25NOV_x000d__x000a_WEEKLY 54_x000d__x000a_TO-DAY NIL_x000d__x000a_Y-DAY 4_x000d__x000a_LOWEST AVAIL K4_x000d__x000a_CAPACITY 179_x000d__x000a_CLASSES H2 &amp; Q3 &amp; K7 &amp; +11 more" sqref="A7 B7 C7 D7 E7 F7 G7 H7" xr:uid="{00000000-0002-0000-4200-000002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CN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7.33203125" bestFit="1" customWidth="1"/>
    <col min="6" max="6" width="20.5546875" bestFit="1" customWidth="1"/>
    <col min="7" max="7" width="45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7.664062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908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45987.359203101238</v>
      </c>
      <c r="H2" s="279"/>
      <c r="I2" s="279"/>
      <c r="J2" s="279"/>
      <c r="K2" s="288">
        <v>45987.359203101762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2" t="s">
        <v>5</v>
      </c>
      <c r="B4" s="283"/>
      <c r="C4" s="283"/>
      <c r="D4" s="283"/>
      <c r="E4" s="283"/>
      <c r="F4" s="283"/>
      <c r="G4" s="5">
        <v>45990</v>
      </c>
      <c r="H4" s="294" t="s">
        <v>6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121" t="s">
        <v>59</v>
      </c>
      <c r="B6" s="121" t="s">
        <v>909</v>
      </c>
      <c r="C6" s="122">
        <v>0.69097222222222221</v>
      </c>
      <c r="D6" s="121" t="s">
        <v>191</v>
      </c>
      <c r="E6" s="121" t="s">
        <v>65</v>
      </c>
      <c r="F6" s="121" t="s">
        <v>910</v>
      </c>
      <c r="G6" s="302"/>
      <c r="H6" s="198" t="s">
        <v>911</v>
      </c>
      <c r="I6" s="269">
        <v>0.5978</v>
      </c>
      <c r="J6" s="200">
        <v>107</v>
      </c>
      <c r="K6" s="201">
        <v>45987</v>
      </c>
      <c r="L6" s="200">
        <v>44</v>
      </c>
      <c r="M6" s="200">
        <v>1</v>
      </c>
      <c r="N6" s="200">
        <v>6</v>
      </c>
      <c r="O6" s="202" t="s">
        <v>640</v>
      </c>
      <c r="P6" s="203">
        <v>0.69097222222222221</v>
      </c>
      <c r="Q6" s="200">
        <v>179</v>
      </c>
      <c r="R6" s="204" t="s">
        <v>912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14.4" customHeight="1" x14ac:dyDescent="0.3">
      <c r="A7" s="272"/>
      <c r="B7" s="273"/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3"/>
      <c r="R7" s="274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</sheetData>
  <mergeCells count="13">
    <mergeCell ref="A2:F2"/>
    <mergeCell ref="A3:R3"/>
    <mergeCell ref="O1:Q1"/>
    <mergeCell ref="H4:R4"/>
    <mergeCell ref="A7:R7"/>
    <mergeCell ref="A1:C1"/>
    <mergeCell ref="G1:H1"/>
    <mergeCell ref="K2:R2"/>
    <mergeCell ref="G2:J2"/>
    <mergeCell ref="A4:F4"/>
    <mergeCell ref="D1:F1"/>
    <mergeCell ref="J1:M1"/>
    <mergeCell ref="G6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I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  <row r="2" spans="1:35" ht="18" x14ac:dyDescent="0.3">
      <c r="A2" s="65" t="s">
        <v>140</v>
      </c>
      <c r="B2" s="66">
        <v>45990</v>
      </c>
      <c r="C2" s="67" t="s">
        <v>911</v>
      </c>
      <c r="D2" s="68">
        <v>0.69097222222222221</v>
      </c>
      <c r="E2" s="67" t="s">
        <v>908</v>
      </c>
      <c r="F2" s="67" t="s">
        <v>134</v>
      </c>
      <c r="G2" s="69">
        <v>0.5978</v>
      </c>
      <c r="H2" s="70">
        <v>179</v>
      </c>
      <c r="I2" s="70">
        <v>107</v>
      </c>
      <c r="J2" s="70">
        <v>0</v>
      </c>
      <c r="K2" s="66">
        <v>45987</v>
      </c>
      <c r="L2" s="70">
        <v>1</v>
      </c>
      <c r="M2" s="70">
        <v>6</v>
      </c>
      <c r="N2" s="70">
        <v>44</v>
      </c>
      <c r="O2" s="67" t="s">
        <v>640</v>
      </c>
      <c r="P2" s="71"/>
      <c r="Q2" s="71"/>
      <c r="R2" s="71"/>
      <c r="S2" s="71"/>
      <c r="T2" s="71"/>
      <c r="U2" s="71"/>
      <c r="V2" s="70" t="s">
        <v>311</v>
      </c>
      <c r="W2" s="70" t="s">
        <v>632</v>
      </c>
      <c r="X2" s="70" t="s">
        <v>384</v>
      </c>
      <c r="Y2" s="70" t="s">
        <v>769</v>
      </c>
      <c r="Z2" s="70" t="s">
        <v>385</v>
      </c>
      <c r="AA2" s="70" t="s">
        <v>359</v>
      </c>
      <c r="AB2" s="70" t="s">
        <v>142</v>
      </c>
      <c r="AC2" s="70" t="s">
        <v>642</v>
      </c>
      <c r="AD2" s="70" t="s">
        <v>323</v>
      </c>
      <c r="AE2" s="71"/>
      <c r="AF2" s="71"/>
      <c r="AG2" s="71"/>
      <c r="AH2" s="71"/>
      <c r="AI2" s="71"/>
    </row>
    <row r="3" spans="1:35" ht="18" x14ac:dyDescent="0.3">
      <c r="A3" s="79" t="s">
        <v>151</v>
      </c>
      <c r="B3" s="80"/>
      <c r="C3" s="81">
        <f>COUNTA(C2:C2)</f>
        <v>1</v>
      </c>
      <c r="D3" s="80"/>
      <c r="E3" s="80"/>
      <c r="F3" s="80"/>
      <c r="G3" s="82">
        <f>AVERAGE(G2:G2)</f>
        <v>0.5978</v>
      </c>
      <c r="H3" s="83">
        <f>SUM(H2:H2)</f>
        <v>179</v>
      </c>
      <c r="I3" s="83">
        <f>SUM(I2:I2)</f>
        <v>107</v>
      </c>
      <c r="J3" s="83">
        <f>SUM(J2:J2)</f>
        <v>0</v>
      </c>
      <c r="K3" s="80"/>
      <c r="L3" s="83">
        <f>SUM(L2:L2)</f>
        <v>1</v>
      </c>
      <c r="M3" s="83">
        <f>SUM(M2:M2)</f>
        <v>6</v>
      </c>
      <c r="N3" s="83">
        <f>SUM(N2:N2)</f>
        <v>44</v>
      </c>
      <c r="O3" s="80"/>
      <c r="P3" s="83">
        <f t="shared" ref="P3:AI3" si="0">SUMPRODUCT(--IFERROR(VALUE(SUBSTITUTE(SUBSTITUTE(SUBSTITUTE(SUBSTITUTE(SUBSTITUTE(SUBSTITUTE(SUBSTITUTE(SUBSTITUTE(SUBSTITUTE(SUBSTITUTE(SUBSTITUTE(SUBSTITUTE(SUBSTITUTE(SUBSTITUTE(SUBSTITUTE(SUBSTITUTE(SUBSTITUTE(SUBSTITUTE(SUBSTITUTE(SUBSTITUTE(P2:P2,"Y",""),"B",""),"M",""),"H",""),"Q",""),"K",""),"V",""),"L",""),"G",""),"S",""),"W",""),"T",""),"X",""),"U",""),"O",""),"I",""),"E",""),"A",""),"P",""),"N","")),0))</f>
        <v>0</v>
      </c>
      <c r="Q3" s="83">
        <f t="shared" si="0"/>
        <v>0</v>
      </c>
      <c r="R3" s="83">
        <f t="shared" si="0"/>
        <v>0</v>
      </c>
      <c r="S3" s="83">
        <f t="shared" si="0"/>
        <v>0</v>
      </c>
      <c r="T3" s="83">
        <f t="shared" si="0"/>
        <v>0</v>
      </c>
      <c r="U3" s="83">
        <f t="shared" si="0"/>
        <v>0</v>
      </c>
      <c r="V3" s="83">
        <f t="shared" si="0"/>
        <v>10</v>
      </c>
      <c r="W3" s="83">
        <f t="shared" si="0"/>
        <v>14</v>
      </c>
      <c r="X3" s="83">
        <f t="shared" si="0"/>
        <v>15</v>
      </c>
      <c r="Y3" s="83">
        <f t="shared" si="0"/>
        <v>16</v>
      </c>
      <c r="Z3" s="83">
        <f t="shared" si="0"/>
        <v>20</v>
      </c>
      <c r="AA3" s="83">
        <f t="shared" si="0"/>
        <v>11</v>
      </c>
      <c r="AB3" s="83">
        <f t="shared" si="0"/>
        <v>7</v>
      </c>
      <c r="AC3" s="83">
        <f t="shared" si="0"/>
        <v>9</v>
      </c>
      <c r="AD3" s="83">
        <f t="shared" si="0"/>
        <v>5</v>
      </c>
      <c r="AE3" s="83">
        <f t="shared" si="0"/>
        <v>0</v>
      </c>
      <c r="AF3" s="83">
        <f t="shared" si="0"/>
        <v>0</v>
      </c>
      <c r="AG3" s="83">
        <f t="shared" si="0"/>
        <v>0</v>
      </c>
      <c r="AH3" s="83">
        <f t="shared" si="0"/>
        <v>0</v>
      </c>
      <c r="AI3" s="83">
        <f t="shared" si="0"/>
        <v>0</v>
      </c>
    </row>
  </sheetData>
  <autoFilter ref="A1:AI2" xr:uid="{00000000-0009-0000-0000-000044000000}"/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7"/>
  <sheetViews>
    <sheetView workbookViewId="0"/>
  </sheetViews>
  <sheetFormatPr defaultRowHeight="14.4" x14ac:dyDescent="0.3"/>
  <cols>
    <col min="1" max="1" width="13" bestFit="1" customWidth="1"/>
    <col min="2" max="2" width="17.88671875" bestFit="1" customWidth="1"/>
    <col min="3" max="3" width="16.109375" bestFit="1" customWidth="1"/>
    <col min="4" max="4" width="11.21875" bestFit="1" customWidth="1"/>
    <col min="5" max="5" width="32.33203125" bestFit="1" customWidth="1"/>
    <col min="6" max="6" width="34.88671875" bestFit="1" customWidth="1"/>
    <col min="7" max="7" width="16.88671875" bestFit="1" customWidth="1"/>
    <col min="8" max="8" width="19.664062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  <row r="2" spans="1:8" ht="15.6" x14ac:dyDescent="0.3">
      <c r="A2" s="151"/>
      <c r="B2" s="151"/>
      <c r="C2" s="151"/>
      <c r="D2" s="151"/>
      <c r="E2" s="152" t="s">
        <v>913</v>
      </c>
      <c r="F2" s="151"/>
      <c r="G2" s="151"/>
      <c r="H2" s="3"/>
    </row>
    <row r="3" spans="1:8" ht="18" x14ac:dyDescent="0.3">
      <c r="A3" s="85">
        <v>45988</v>
      </c>
      <c r="B3" s="86" t="s">
        <v>246</v>
      </c>
      <c r="C3" s="87" t="s">
        <v>888</v>
      </c>
      <c r="D3" s="86" t="s">
        <v>887</v>
      </c>
      <c r="E3" s="88">
        <v>1.489583333333333</v>
      </c>
      <c r="F3" s="86" t="s">
        <v>191</v>
      </c>
      <c r="G3" s="89">
        <v>3</v>
      </c>
      <c r="H3" s="90" t="s">
        <v>889</v>
      </c>
    </row>
    <row r="4" spans="1:8" ht="18" x14ac:dyDescent="0.3">
      <c r="A4" s="96">
        <v>45988</v>
      </c>
      <c r="B4" s="86" t="s">
        <v>249</v>
      </c>
      <c r="C4" s="87" t="s">
        <v>890</v>
      </c>
      <c r="D4" s="86" t="s">
        <v>887</v>
      </c>
      <c r="E4" s="88">
        <v>1.4548611111111109</v>
      </c>
      <c r="F4" s="86" t="s">
        <v>191</v>
      </c>
      <c r="G4" s="89">
        <v>5</v>
      </c>
      <c r="H4" s="86" t="s">
        <v>891</v>
      </c>
    </row>
    <row r="5" spans="1:8" ht="18" x14ac:dyDescent="0.3">
      <c r="A5" s="147">
        <v>45988</v>
      </c>
      <c r="B5" s="148" t="s">
        <v>59</v>
      </c>
      <c r="C5" s="149" t="s">
        <v>892</v>
      </c>
      <c r="D5" s="148" t="s">
        <v>887</v>
      </c>
      <c r="E5" s="150">
        <v>1.631944444444444</v>
      </c>
      <c r="F5" s="148" t="s">
        <v>191</v>
      </c>
      <c r="G5" s="155">
        <v>9</v>
      </c>
      <c r="H5" s="148" t="s">
        <v>893</v>
      </c>
    </row>
    <row r="6" spans="1:8" ht="18" x14ac:dyDescent="0.3">
      <c r="A6" s="254">
        <v>45988</v>
      </c>
      <c r="B6" s="241" t="s">
        <v>70</v>
      </c>
      <c r="C6" s="242" t="s">
        <v>896</v>
      </c>
      <c r="D6" s="241" t="s">
        <v>887</v>
      </c>
      <c r="E6" s="243">
        <v>1.8715277777777779</v>
      </c>
      <c r="F6" s="241" t="s">
        <v>72</v>
      </c>
      <c r="G6" s="244">
        <v>9</v>
      </c>
      <c r="H6" s="241" t="s">
        <v>897</v>
      </c>
    </row>
    <row r="7" spans="1:8" ht="18" x14ac:dyDescent="0.3">
      <c r="A7" s="255">
        <v>45990</v>
      </c>
      <c r="B7" s="103" t="s">
        <v>59</v>
      </c>
      <c r="C7" s="104" t="s">
        <v>909</v>
      </c>
      <c r="D7" s="103" t="s">
        <v>908</v>
      </c>
      <c r="E7" s="105">
        <v>1.6909722222222221</v>
      </c>
      <c r="F7" s="103" t="s">
        <v>191</v>
      </c>
      <c r="G7" s="257">
        <v>8</v>
      </c>
      <c r="H7" s="256" t="s">
        <v>910</v>
      </c>
    </row>
  </sheetData>
  <dataValidations count="2">
    <dataValidation type="custom" allowBlank="1" showInputMessage="1" promptTitle="LOAD FACTOR ANALYSIS" prompt="SM-427_x000d__x000a_LF -_x000d__x000a_SOLD -_x000d__x000a_LST-SOLD -_x000d__x000a_WEEKLY -_x000d__x000a_TO-DAY -_x000d__x000a_Y-DAY -_x000d__x000a_LOWEST AVAIL -_x000d__x000a_CAPACITY -_x000d__x000a_CLASSES -" sqref="A5 B5 C5 D5 E5 F5 G5 H5" xr:uid="{00000000-0002-0000-4500-000000000000}">
      <formula1>TRUE</formula1>
    </dataValidation>
    <dataValidation type="custom" allowBlank="1" showInputMessage="1" promptTitle="LOAD FACTOR ANALYSIS" prompt="SM-435_x000d__x000a_LF 59.8%_x000d__x000a_SOLD 107_x000d__x000a_LST-SOLD 26NOV_x000d__x000a_WEEKLY 44_x000d__x000a_TO-DAY 1_x000d__x000a_Y-DAY 6_x000d__x000a_LOWEST AVAIL W8_x000d__x000a_CAPACITY 179_x000d__x000a_CLASSES V10 &amp; L14 &amp; G15 &amp; +6 more" sqref="A7 B7 C7 D7 E7 F7 G7 H7" xr:uid="{00000000-0002-0000-45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N1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83.88671875" bestFit="1" customWidth="1"/>
  </cols>
  <sheetData>
    <row r="1" spans="1:92" ht="28.8" customHeight="1" x14ac:dyDescent="0.3">
      <c r="A1" s="299" t="s">
        <v>0</v>
      </c>
      <c r="B1" s="293"/>
      <c r="C1" s="293"/>
      <c r="D1" s="299" t="s">
        <v>914</v>
      </c>
      <c r="E1" s="293"/>
      <c r="F1" s="293"/>
      <c r="G1" s="299" t="s">
        <v>2</v>
      </c>
      <c r="H1" s="293"/>
      <c r="I1" s="2"/>
      <c r="J1" s="298">
        <v>45988</v>
      </c>
      <c r="K1" s="293"/>
      <c r="L1" s="293"/>
      <c r="M1" s="293"/>
      <c r="N1" s="1" t="s">
        <v>3</v>
      </c>
      <c r="O1" s="292">
        <v>45991</v>
      </c>
      <c r="P1" s="293"/>
      <c r="Q1" s="293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ht="23.4" customHeight="1" x14ac:dyDescent="0.3">
      <c r="A2" s="295" t="s">
        <v>4</v>
      </c>
      <c r="B2" s="279"/>
      <c r="C2" s="279"/>
      <c r="D2" s="279"/>
      <c r="E2" s="279"/>
      <c r="F2" s="279"/>
      <c r="G2" s="278">
        <v>45987.359203733336</v>
      </c>
      <c r="H2" s="279"/>
      <c r="I2" s="279"/>
      <c r="J2" s="279"/>
      <c r="K2" s="288">
        <v>45987.359203733889</v>
      </c>
      <c r="L2" s="279"/>
      <c r="M2" s="279"/>
      <c r="N2" s="279"/>
      <c r="O2" s="279"/>
      <c r="P2" s="279"/>
      <c r="Q2" s="289"/>
      <c r="R2" s="28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15" customHeigh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282" t="s">
        <v>5</v>
      </c>
      <c r="B4" s="283"/>
      <c r="C4" s="283"/>
      <c r="D4" s="283"/>
      <c r="E4" s="283"/>
      <c r="F4" s="283"/>
      <c r="G4" s="5">
        <v>45988</v>
      </c>
      <c r="H4" s="294" t="s">
        <v>6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7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8" t="s">
        <v>246</v>
      </c>
      <c r="B6" s="8" t="s">
        <v>915</v>
      </c>
      <c r="C6" s="9">
        <v>0.33680555555555558</v>
      </c>
      <c r="D6" s="8" t="s">
        <v>191</v>
      </c>
      <c r="E6" s="8" t="s">
        <v>52</v>
      </c>
      <c r="F6" s="8" t="s">
        <v>916</v>
      </c>
      <c r="G6" s="275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</row>
    <row r="7" spans="1:92" ht="49.95" customHeight="1" x14ac:dyDescent="0.3">
      <c r="A7" s="270" t="s">
        <v>59</v>
      </c>
      <c r="B7" s="270" t="s">
        <v>917</v>
      </c>
      <c r="C7" s="271">
        <v>0.8125</v>
      </c>
      <c r="D7" s="270" t="s">
        <v>191</v>
      </c>
      <c r="E7" s="270" t="s">
        <v>65</v>
      </c>
      <c r="F7" s="270" t="s">
        <v>918</v>
      </c>
      <c r="G7" s="277"/>
      <c r="H7" s="230" t="s">
        <v>919</v>
      </c>
      <c r="I7" s="266">
        <v>0.87709999999999999</v>
      </c>
      <c r="J7" s="232">
        <v>157</v>
      </c>
      <c r="K7" s="233">
        <v>45986</v>
      </c>
      <c r="L7" s="232">
        <v>45</v>
      </c>
      <c r="M7" s="232">
        <v>0</v>
      </c>
      <c r="N7" s="232">
        <v>13</v>
      </c>
      <c r="O7" s="234" t="s">
        <v>920</v>
      </c>
      <c r="P7" s="235">
        <v>0.8125</v>
      </c>
      <c r="Q7" s="232">
        <v>179</v>
      </c>
      <c r="R7" s="236" t="s">
        <v>921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</row>
    <row r="8" spans="1:92" ht="14.4" customHeight="1" x14ac:dyDescent="0.3">
      <c r="A8" s="284"/>
      <c r="B8" s="285"/>
      <c r="C8" s="285"/>
      <c r="D8" s="285"/>
      <c r="E8" s="285"/>
      <c r="F8" s="285"/>
      <c r="G8" s="273"/>
      <c r="H8" s="286"/>
      <c r="I8" s="286"/>
      <c r="J8" s="286"/>
      <c r="K8" s="286"/>
      <c r="L8" s="286"/>
      <c r="M8" s="286"/>
      <c r="N8" s="286"/>
      <c r="O8" s="287"/>
      <c r="P8" s="286"/>
      <c r="Q8" s="273"/>
      <c r="R8" s="274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</row>
    <row r="9" spans="1:92" ht="22.05" customHeight="1" x14ac:dyDescent="0.3">
      <c r="A9" s="280" t="s">
        <v>5</v>
      </c>
      <c r="B9" s="281"/>
      <c r="C9" s="281"/>
      <c r="D9" s="281"/>
      <c r="E9" s="281"/>
      <c r="F9" s="281"/>
      <c r="G9" s="5">
        <v>45990</v>
      </c>
      <c r="H9" s="290" t="s">
        <v>6</v>
      </c>
      <c r="I9" s="291"/>
      <c r="J9" s="291"/>
      <c r="K9" s="291"/>
      <c r="L9" s="291"/>
      <c r="M9" s="291"/>
      <c r="N9" s="291"/>
      <c r="O9" s="291"/>
      <c r="P9" s="291"/>
      <c r="Q9" s="291"/>
      <c r="R9" s="291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</row>
    <row r="10" spans="1:92" ht="24" customHeight="1" x14ac:dyDescent="0.3">
      <c r="A10" s="31" t="s">
        <v>7</v>
      </c>
      <c r="B10" s="31" t="s">
        <v>8</v>
      </c>
      <c r="C10" s="32" t="s">
        <v>9</v>
      </c>
      <c r="D10" s="31" t="s">
        <v>10</v>
      </c>
      <c r="E10" s="31" t="s">
        <v>11</v>
      </c>
      <c r="F10" s="31" t="s">
        <v>12</v>
      </c>
      <c r="G10" s="33" t="s">
        <v>13</v>
      </c>
      <c r="H10" s="31" t="s">
        <v>14</v>
      </c>
      <c r="I10" s="34" t="s">
        <v>15</v>
      </c>
      <c r="J10" s="35" t="s">
        <v>16</v>
      </c>
      <c r="K10" s="36" t="s">
        <v>17</v>
      </c>
      <c r="L10" s="35" t="s">
        <v>18</v>
      </c>
      <c r="M10" s="35" t="s">
        <v>19</v>
      </c>
      <c r="N10" s="35" t="s">
        <v>20</v>
      </c>
      <c r="O10" s="31" t="s">
        <v>21</v>
      </c>
      <c r="P10" s="32" t="s">
        <v>22</v>
      </c>
      <c r="Q10" s="35" t="s">
        <v>23</v>
      </c>
      <c r="R10" s="31" t="s">
        <v>24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</row>
    <row r="11" spans="1:92" ht="49.95" customHeight="1" x14ac:dyDescent="0.3">
      <c r="A11" s="137" t="s">
        <v>59</v>
      </c>
      <c r="B11" s="137" t="s">
        <v>917</v>
      </c>
      <c r="C11" s="138">
        <v>0.8125</v>
      </c>
      <c r="D11" s="137" t="s">
        <v>191</v>
      </c>
      <c r="E11" s="137" t="s">
        <v>84</v>
      </c>
      <c r="F11" s="137" t="s">
        <v>922</v>
      </c>
      <c r="G11" s="275"/>
      <c r="H11" s="140" t="s">
        <v>919</v>
      </c>
      <c r="I11" s="226">
        <v>0.75980000000000003</v>
      </c>
      <c r="J11" s="142">
        <v>136</v>
      </c>
      <c r="K11" s="143">
        <v>45987</v>
      </c>
      <c r="L11" s="142">
        <v>20</v>
      </c>
      <c r="M11" s="142">
        <v>1</v>
      </c>
      <c r="N11" s="142">
        <v>8</v>
      </c>
      <c r="O11" s="144" t="s">
        <v>815</v>
      </c>
      <c r="P11" s="145">
        <v>0.8125</v>
      </c>
      <c r="Q11" s="142">
        <v>179</v>
      </c>
      <c r="R11" s="146" t="s">
        <v>923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</row>
    <row r="12" spans="1:92" ht="49.95" customHeight="1" x14ac:dyDescent="0.3">
      <c r="A12" s="252" t="s">
        <v>246</v>
      </c>
      <c r="B12" s="252" t="s">
        <v>915</v>
      </c>
      <c r="C12" s="253">
        <v>0.33680555555555558</v>
      </c>
      <c r="D12" s="252" t="s">
        <v>191</v>
      </c>
      <c r="E12" s="252" t="s">
        <v>73</v>
      </c>
      <c r="F12" s="252" t="s">
        <v>924</v>
      </c>
      <c r="G12" s="277"/>
      <c r="H12" s="39"/>
      <c r="I12" s="40"/>
      <c r="J12" s="40"/>
      <c r="K12" s="40"/>
      <c r="L12" s="40"/>
      <c r="M12" s="40"/>
      <c r="N12" s="40"/>
      <c r="O12" s="41"/>
      <c r="P12" s="40"/>
      <c r="Q12" s="42"/>
      <c r="R12" s="4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</row>
    <row r="13" spans="1:92" ht="14.4" customHeight="1" x14ac:dyDescent="0.3">
      <c r="A13" s="272"/>
      <c r="B13" s="273"/>
      <c r="C13" s="273"/>
      <c r="D13" s="273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P13" s="273"/>
      <c r="Q13" s="273"/>
      <c r="R13" s="274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</row>
  </sheetData>
  <mergeCells count="17">
    <mergeCell ref="O1:Q1"/>
    <mergeCell ref="H4:R4"/>
    <mergeCell ref="A1:C1"/>
    <mergeCell ref="G1:H1"/>
    <mergeCell ref="A9:F9"/>
    <mergeCell ref="G6:G7"/>
    <mergeCell ref="D1:F1"/>
    <mergeCell ref="J1:M1"/>
    <mergeCell ref="A13:R13"/>
    <mergeCell ref="K2:R2"/>
    <mergeCell ref="G2:J2"/>
    <mergeCell ref="A4:F4"/>
    <mergeCell ref="G11:G12"/>
    <mergeCell ref="A8:R8"/>
    <mergeCell ref="A2:F2"/>
    <mergeCell ref="A3:R3"/>
    <mergeCell ref="H9:R9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I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1.6640625" bestFit="1" customWidth="1"/>
    <col min="6" max="6" width="8.6640625" bestFit="1" customWidth="1"/>
    <col min="7" max="7" width="8.4414062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64" t="s">
        <v>104</v>
      </c>
      <c r="B1" s="64" t="s">
        <v>105</v>
      </c>
      <c r="C1" s="64" t="s">
        <v>106</v>
      </c>
      <c r="D1" s="64" t="s">
        <v>22</v>
      </c>
      <c r="E1" s="64" t="s">
        <v>107</v>
      </c>
      <c r="F1" s="64" t="s">
        <v>108</v>
      </c>
      <c r="G1" s="64" t="s">
        <v>109</v>
      </c>
      <c r="H1" s="64" t="s">
        <v>110</v>
      </c>
      <c r="I1" s="64" t="s">
        <v>111</v>
      </c>
      <c r="J1" s="64" t="s">
        <v>112</v>
      </c>
      <c r="K1" s="64" t="s">
        <v>17</v>
      </c>
      <c r="L1" s="64" t="s">
        <v>19</v>
      </c>
      <c r="M1" s="64" t="s">
        <v>20</v>
      </c>
      <c r="N1" s="64" t="s">
        <v>18</v>
      </c>
      <c r="O1" s="64" t="s">
        <v>21</v>
      </c>
      <c r="P1" s="64" t="s">
        <v>113</v>
      </c>
      <c r="Q1" s="64" t="s">
        <v>114</v>
      </c>
      <c r="R1" s="64" t="s">
        <v>115</v>
      </c>
      <c r="S1" s="64" t="s">
        <v>116</v>
      </c>
      <c r="T1" s="64" t="s">
        <v>117</v>
      </c>
      <c r="U1" s="64" t="s">
        <v>118</v>
      </c>
      <c r="V1" s="64" t="s">
        <v>119</v>
      </c>
      <c r="W1" s="64" t="s">
        <v>120</v>
      </c>
      <c r="X1" s="64" t="s">
        <v>121</v>
      </c>
      <c r="Y1" s="64" t="s">
        <v>122</v>
      </c>
      <c r="Z1" s="64" t="s">
        <v>123</v>
      </c>
      <c r="AA1" s="64" t="s">
        <v>124</v>
      </c>
      <c r="AB1" s="64" t="s">
        <v>125</v>
      </c>
      <c r="AC1" s="64" t="s">
        <v>126</v>
      </c>
      <c r="AD1" s="64" t="s">
        <v>127</v>
      </c>
      <c r="AE1" s="64" t="s">
        <v>128</v>
      </c>
      <c r="AF1" s="64" t="s">
        <v>129</v>
      </c>
      <c r="AG1" s="64" t="s">
        <v>130</v>
      </c>
      <c r="AH1" s="64" t="s">
        <v>131</v>
      </c>
      <c r="AI1" s="64" t="s">
        <v>132</v>
      </c>
    </row>
    <row r="2" spans="1:35" ht="18" x14ac:dyDescent="0.3">
      <c r="A2" s="65" t="s">
        <v>133</v>
      </c>
      <c r="B2" s="66">
        <v>45988</v>
      </c>
      <c r="C2" s="67" t="s">
        <v>919</v>
      </c>
      <c r="D2" s="68">
        <v>0.8125</v>
      </c>
      <c r="E2" s="67" t="s">
        <v>914</v>
      </c>
      <c r="F2" s="67" t="s">
        <v>134</v>
      </c>
      <c r="G2" s="69">
        <v>0.87709999999999999</v>
      </c>
      <c r="H2" s="70">
        <v>179</v>
      </c>
      <c r="I2" s="70">
        <v>157</v>
      </c>
      <c r="J2" s="70">
        <v>0</v>
      </c>
      <c r="K2" s="66">
        <v>45986</v>
      </c>
      <c r="L2" s="70">
        <v>0</v>
      </c>
      <c r="M2" s="70">
        <v>13</v>
      </c>
      <c r="N2" s="70">
        <v>45</v>
      </c>
      <c r="O2" s="67" t="s">
        <v>920</v>
      </c>
      <c r="P2" s="71"/>
      <c r="Q2" s="71"/>
      <c r="R2" s="71"/>
      <c r="S2" s="70" t="s">
        <v>816</v>
      </c>
      <c r="T2" s="70" t="s">
        <v>877</v>
      </c>
      <c r="U2" s="70" t="s">
        <v>925</v>
      </c>
      <c r="V2" s="70" t="s">
        <v>399</v>
      </c>
      <c r="W2" s="70" t="s">
        <v>410</v>
      </c>
      <c r="X2" s="70" t="s">
        <v>469</v>
      </c>
      <c r="Y2" s="70" t="s">
        <v>365</v>
      </c>
      <c r="Z2" s="70" t="s">
        <v>200</v>
      </c>
      <c r="AA2" s="70" t="s">
        <v>374</v>
      </c>
      <c r="AB2" s="70" t="s">
        <v>926</v>
      </c>
      <c r="AC2" s="70" t="s">
        <v>367</v>
      </c>
      <c r="AD2" s="70" t="s">
        <v>656</v>
      </c>
      <c r="AE2" s="70" t="s">
        <v>481</v>
      </c>
      <c r="AF2" s="71"/>
      <c r="AG2" s="71"/>
      <c r="AH2" s="71"/>
      <c r="AI2" s="71"/>
    </row>
    <row r="3" spans="1:35" ht="18" x14ac:dyDescent="0.3">
      <c r="A3" s="72" t="s">
        <v>140</v>
      </c>
      <c r="B3" s="73">
        <v>45990</v>
      </c>
      <c r="C3" s="74" t="s">
        <v>919</v>
      </c>
      <c r="D3" s="75">
        <v>0.8125</v>
      </c>
      <c r="E3" s="74" t="s">
        <v>914</v>
      </c>
      <c r="F3" s="74" t="s">
        <v>134</v>
      </c>
      <c r="G3" s="76">
        <v>0.75980000000000003</v>
      </c>
      <c r="H3" s="77">
        <v>179</v>
      </c>
      <c r="I3" s="77">
        <v>136</v>
      </c>
      <c r="J3" s="77">
        <v>0</v>
      </c>
      <c r="K3" s="73">
        <v>45987</v>
      </c>
      <c r="L3" s="77">
        <v>1</v>
      </c>
      <c r="M3" s="77">
        <v>8</v>
      </c>
      <c r="N3" s="77">
        <v>20</v>
      </c>
      <c r="O3" s="74" t="s">
        <v>815</v>
      </c>
      <c r="P3" s="78"/>
      <c r="Q3" s="78"/>
      <c r="R3" s="77" t="s">
        <v>927</v>
      </c>
      <c r="S3" s="77" t="s">
        <v>756</v>
      </c>
      <c r="T3" s="77" t="s">
        <v>928</v>
      </c>
      <c r="U3" s="77" t="s">
        <v>390</v>
      </c>
      <c r="V3" s="77" t="s">
        <v>415</v>
      </c>
      <c r="W3" s="77" t="s">
        <v>312</v>
      </c>
      <c r="X3" s="77" t="s">
        <v>469</v>
      </c>
      <c r="Y3" s="77" t="s">
        <v>365</v>
      </c>
      <c r="Z3" s="77" t="s">
        <v>417</v>
      </c>
      <c r="AA3" s="77" t="s">
        <v>374</v>
      </c>
      <c r="AB3" s="77" t="s">
        <v>366</v>
      </c>
      <c r="AC3" s="77" t="s">
        <v>642</v>
      </c>
      <c r="AD3" s="77" t="s">
        <v>656</v>
      </c>
      <c r="AE3" s="77" t="s">
        <v>473</v>
      </c>
      <c r="AF3" s="78"/>
      <c r="AG3" s="78"/>
      <c r="AH3" s="78"/>
      <c r="AI3" s="78"/>
    </row>
    <row r="4" spans="1:35" ht="18" x14ac:dyDescent="0.3">
      <c r="A4" s="79" t="s">
        <v>151</v>
      </c>
      <c r="B4" s="80"/>
      <c r="C4" s="81">
        <f>COUNTA(C2:C3)</f>
        <v>2</v>
      </c>
      <c r="D4" s="80"/>
      <c r="E4" s="80"/>
      <c r="F4" s="80"/>
      <c r="G4" s="82">
        <f>AVERAGE(G2:G3)</f>
        <v>0.81845000000000001</v>
      </c>
      <c r="H4" s="83">
        <f>SUM(H2:H3)</f>
        <v>358</v>
      </c>
      <c r="I4" s="83">
        <f>SUM(I2:I3)</f>
        <v>293</v>
      </c>
      <c r="J4" s="83">
        <f>SUM(J2:J3)</f>
        <v>0</v>
      </c>
      <c r="K4" s="80"/>
      <c r="L4" s="83">
        <f>SUM(L2:L3)</f>
        <v>1</v>
      </c>
      <c r="M4" s="83">
        <f>SUM(M2:M3)</f>
        <v>21</v>
      </c>
      <c r="N4" s="83">
        <f>SUM(N2:N3)</f>
        <v>65</v>
      </c>
      <c r="O4" s="80"/>
      <c r="P4" s="83">
        <f t="shared" ref="P4:AI4" si="0">SUMPRODUCT(--IFERROR(VALUE(SUBSTITUTE(SUBSTITUTE(SUBSTITUTE(SUBSTITUTE(SUBSTITUTE(SUBSTITUTE(SUBSTITUTE(SUBSTITUTE(SUBSTITUTE(SUBSTITUTE(SUBSTITUTE(SUBSTITUTE(SUBSTITUTE(SUBSTITUTE(SUBSTITUTE(SUBSTITUTE(SUBSTITUTE(SUBSTITUTE(SUBSTITUTE(SUBSTITUTE(P2:P3,"Y",""),"B",""),"M",""),"H",""),"Q",""),"K",""),"V",""),"L",""),"G",""),"S",""),"W",""),"T",""),"X",""),"U",""),"O",""),"I",""),"E",""),"A",""),"P",""),"N","")),0))</f>
        <v>0</v>
      </c>
      <c r="Q4" s="83">
        <f t="shared" si="0"/>
        <v>0</v>
      </c>
      <c r="R4" s="83">
        <f t="shared" si="0"/>
        <v>0</v>
      </c>
      <c r="S4" s="83">
        <f t="shared" si="0"/>
        <v>0</v>
      </c>
      <c r="T4" s="83">
        <f t="shared" si="0"/>
        <v>0</v>
      </c>
      <c r="U4" s="83">
        <f t="shared" si="0"/>
        <v>0</v>
      </c>
      <c r="V4" s="83">
        <f t="shared" si="0"/>
        <v>0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</row>
  </sheetData>
  <autoFilter ref="A1:AI3" xr:uid="{00000000-0009-0000-0000-000047000000}"/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5"/>
  <sheetViews>
    <sheetView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6.109375" bestFit="1" customWidth="1"/>
    <col min="4" max="4" width="11.21875" bestFit="1" customWidth="1"/>
    <col min="5" max="5" width="15.5546875" bestFit="1" customWidth="1"/>
    <col min="6" max="6" width="33.44140625" bestFit="1" customWidth="1"/>
    <col min="7" max="7" width="16.88671875" bestFit="1" customWidth="1"/>
    <col min="8" max="8" width="19.6640625" bestFit="1" customWidth="1"/>
  </cols>
  <sheetData>
    <row r="1" spans="1:8" x14ac:dyDescent="0.3">
      <c r="A1" s="84" t="s">
        <v>152</v>
      </c>
      <c r="B1" s="84" t="s">
        <v>7</v>
      </c>
      <c r="C1" s="84" t="s">
        <v>8</v>
      </c>
      <c r="D1" s="84" t="s">
        <v>153</v>
      </c>
      <c r="E1" s="84" t="s">
        <v>9</v>
      </c>
      <c r="F1" s="84" t="s">
        <v>10</v>
      </c>
      <c r="G1" s="84" t="s">
        <v>11</v>
      </c>
      <c r="H1" s="84" t="s">
        <v>12</v>
      </c>
    </row>
    <row r="2" spans="1:8" ht="18" x14ac:dyDescent="0.3">
      <c r="A2" s="85">
        <v>45988</v>
      </c>
      <c r="B2" s="86" t="s">
        <v>246</v>
      </c>
      <c r="C2" s="87" t="s">
        <v>915</v>
      </c>
      <c r="D2" s="86" t="s">
        <v>914</v>
      </c>
      <c r="E2" s="88">
        <v>1.336805555555556</v>
      </c>
      <c r="F2" s="86" t="s">
        <v>191</v>
      </c>
      <c r="G2" s="89">
        <v>1</v>
      </c>
      <c r="H2" s="90" t="s">
        <v>916</v>
      </c>
    </row>
    <row r="3" spans="1:8" ht="18" x14ac:dyDescent="0.3">
      <c r="A3" s="102">
        <v>45988</v>
      </c>
      <c r="B3" s="103" t="s">
        <v>59</v>
      </c>
      <c r="C3" s="104" t="s">
        <v>917</v>
      </c>
      <c r="D3" s="103" t="s">
        <v>914</v>
      </c>
      <c r="E3" s="105">
        <v>1.8125</v>
      </c>
      <c r="F3" s="103" t="s">
        <v>191</v>
      </c>
      <c r="G3" s="257">
        <v>8</v>
      </c>
      <c r="H3" s="103" t="s">
        <v>918</v>
      </c>
    </row>
    <row r="4" spans="1:8" ht="18" x14ac:dyDescent="0.3">
      <c r="A4" s="153">
        <v>45990</v>
      </c>
      <c r="B4" s="148" t="s">
        <v>59</v>
      </c>
      <c r="C4" s="149" t="s">
        <v>917</v>
      </c>
      <c r="D4" s="148" t="s">
        <v>914</v>
      </c>
      <c r="E4" s="150">
        <v>1.8125</v>
      </c>
      <c r="F4" s="148" t="s">
        <v>191</v>
      </c>
      <c r="G4" s="155">
        <v>4</v>
      </c>
      <c r="H4" s="154" t="s">
        <v>922</v>
      </c>
    </row>
    <row r="5" spans="1:8" ht="18" x14ac:dyDescent="0.3">
      <c r="A5" s="254">
        <v>45990</v>
      </c>
      <c r="B5" s="241" t="s">
        <v>246</v>
      </c>
      <c r="C5" s="242" t="s">
        <v>915</v>
      </c>
      <c r="D5" s="241" t="s">
        <v>914</v>
      </c>
      <c r="E5" s="243">
        <v>1.336805555555556</v>
      </c>
      <c r="F5" s="241" t="s">
        <v>191</v>
      </c>
      <c r="G5" s="244">
        <v>9</v>
      </c>
      <c r="H5" s="241" t="s">
        <v>924</v>
      </c>
    </row>
  </sheetData>
  <dataValidations count="2">
    <dataValidation type="custom" allowBlank="1" showInputMessage="1" promptTitle="LOAD FACTOR ANALYSIS" prompt="SM-329_x000d__x000a_LF 87.7%_x000d__x000a_SOLD 157_x000d__x000a_LST-SOLD 25NOV_x000d__x000a_WEEKLY 45_x000d__x000a_TO-DAY NIL_x000d__x000a_Y-DAY 13_x000d__x000a_LOWEST AVAIL H8_x000d__x000a_CAPACITY 179_x000d__x000a_CLASSES H7 &amp; Q20 &amp; K40 &amp; +10 more" sqref="A3 B3 C3 D3 E3 F3 G3 H3" xr:uid="{00000000-0002-0000-4800-000000000000}">
      <formula1>TRUE</formula1>
    </dataValidation>
    <dataValidation type="custom" allowBlank="1" showInputMessage="1" promptTitle="LOAD FACTOR ANALYSIS" prompt="SM-329_x000d__x000a_LF 76.0%_x000d__x000a_SOLD 136_x000d__x000a_LST-SOLD 26NOV_x000d__x000a_WEEKLY 20_x000d__x000a_TO-DAY 1_x000d__x000a_Y-DAY 8_x000d__x000a_LOWEST AVAIL M4_x000d__x000a_CAPACITY 179_x000d__x000a_CLASSES M16 &amp; H21 &amp; Q15 &amp; +11 more" sqref="A4 B4 C4 D4 E4 F4 G4 H4" xr:uid="{00000000-0002-0000-48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I70"/>
  <sheetViews>
    <sheetView tabSelected="1" workbookViewId="0">
      <pane ySplit="1" topLeftCell="A5" activePane="bottomLeft" state="frozen"/>
      <selection pane="bottomLeft" activeCell="H54" sqref="H54"/>
    </sheetView>
  </sheetViews>
  <sheetFormatPr defaultRowHeight="14.4" x14ac:dyDescent="0.3"/>
  <cols>
    <col min="1" max="1" width="8.6640625" bestFit="1" customWidth="1"/>
    <col min="2" max="2" width="9.77734375" bestFit="1" customWidth="1"/>
    <col min="3" max="3" width="9.33203125" bestFit="1" customWidth="1"/>
    <col min="4" max="4" width="8.77734375" bestFit="1" customWidth="1"/>
    <col min="5" max="5" width="12.77734375" bestFit="1" customWidth="1"/>
    <col min="6" max="6" width="8.6640625" bestFit="1" customWidth="1"/>
    <col min="7" max="7" width="9.77734375" bestFit="1" customWidth="1"/>
    <col min="9" max="10" width="11.21875" bestFit="1" customWidth="1"/>
    <col min="11" max="11" width="13.44140625" bestFit="1" customWidth="1"/>
    <col min="12" max="12" width="11.88671875" bestFit="1" customWidth="1"/>
    <col min="13" max="13" width="10.5546875" bestFit="1" customWidth="1"/>
    <col min="14" max="14" width="12.21875" bestFit="1" customWidth="1"/>
    <col min="15" max="15" width="18.109375" bestFit="1" customWidth="1"/>
    <col min="16" max="16" width="6.44140625" bestFit="1" customWidth="1"/>
    <col min="17" max="17" width="6.5546875" bestFit="1" customWidth="1"/>
    <col min="18" max="18" width="7.21875" bestFit="1" customWidth="1"/>
    <col min="19" max="19" width="6.6640625" bestFit="1" customWidth="1"/>
    <col min="20" max="20" width="6.77734375" bestFit="1" customWidth="1"/>
    <col min="21" max="21" width="6.5546875" bestFit="1" customWidth="1"/>
    <col min="22" max="22" width="6.6640625" bestFit="1" customWidth="1"/>
    <col min="23" max="23" width="6.33203125" bestFit="1" customWidth="1"/>
    <col min="24" max="24" width="6.6640625" bestFit="1" customWidth="1"/>
    <col min="25" max="25" width="6.44140625" bestFit="1" customWidth="1"/>
    <col min="26" max="26" width="7.21875" bestFit="1" customWidth="1"/>
    <col min="27" max="27" width="6.44140625" bestFit="1" customWidth="1"/>
    <col min="28" max="28" width="6.5546875" bestFit="1" customWidth="1"/>
    <col min="29" max="30" width="6.77734375" bestFit="1" customWidth="1"/>
    <col min="31" max="31" width="6" bestFit="1" customWidth="1"/>
    <col min="32" max="32" width="6.44140625" bestFit="1" customWidth="1"/>
    <col min="33" max="33" width="6.6640625" bestFit="1" customWidth="1"/>
    <col min="34" max="34" width="6.5546875" bestFit="1" customWidth="1"/>
    <col min="35" max="35" width="6.77734375" bestFit="1" customWidth="1"/>
  </cols>
  <sheetData>
    <row r="1" spans="1:35" x14ac:dyDescent="0.3">
      <c r="A1" s="111" t="s">
        <v>104</v>
      </c>
      <c r="B1" s="111" t="s">
        <v>105</v>
      </c>
      <c r="C1" s="111" t="s">
        <v>106</v>
      </c>
      <c r="D1" s="111" t="s">
        <v>22</v>
      </c>
      <c r="E1" s="111" t="s">
        <v>107</v>
      </c>
      <c r="F1" s="111" t="s">
        <v>108</v>
      </c>
      <c r="G1" s="111" t="s">
        <v>15</v>
      </c>
      <c r="H1" s="111" t="s">
        <v>110</v>
      </c>
      <c r="I1" s="111" t="s">
        <v>111</v>
      </c>
      <c r="J1" s="111" t="s">
        <v>112</v>
      </c>
      <c r="K1" s="111" t="s">
        <v>17</v>
      </c>
      <c r="L1" s="111" t="s">
        <v>19</v>
      </c>
      <c r="M1" s="111" t="s">
        <v>20</v>
      </c>
      <c r="N1" s="111" t="s">
        <v>18</v>
      </c>
      <c r="O1" s="111" t="s">
        <v>21</v>
      </c>
      <c r="P1" s="111" t="s">
        <v>113</v>
      </c>
      <c r="Q1" s="111" t="s">
        <v>114</v>
      </c>
      <c r="R1" s="111" t="s">
        <v>115</v>
      </c>
      <c r="S1" s="111" t="s">
        <v>116</v>
      </c>
      <c r="T1" s="111" t="s">
        <v>117</v>
      </c>
      <c r="U1" s="111" t="s">
        <v>118</v>
      </c>
      <c r="V1" s="111" t="s">
        <v>119</v>
      </c>
      <c r="W1" s="111" t="s">
        <v>120</v>
      </c>
      <c r="X1" s="111" t="s">
        <v>121</v>
      </c>
      <c r="Y1" s="111" t="s">
        <v>122</v>
      </c>
      <c r="Z1" s="111" t="s">
        <v>123</v>
      </c>
      <c r="AA1" s="111" t="s">
        <v>124</v>
      </c>
      <c r="AB1" s="111" t="s">
        <v>125</v>
      </c>
      <c r="AC1" s="111" t="s">
        <v>126</v>
      </c>
      <c r="AD1" s="111" t="s">
        <v>127</v>
      </c>
      <c r="AE1" s="111" t="s">
        <v>128</v>
      </c>
      <c r="AF1" s="111" t="s">
        <v>129</v>
      </c>
      <c r="AG1" s="111" t="s">
        <v>130</v>
      </c>
      <c r="AH1" s="111" t="s">
        <v>131</v>
      </c>
      <c r="AI1" s="111" t="s">
        <v>132</v>
      </c>
    </row>
    <row r="2" spans="1:35" ht="18" x14ac:dyDescent="0.3">
      <c r="A2" s="112" t="s">
        <v>154</v>
      </c>
      <c r="B2" s="113">
        <v>45988</v>
      </c>
      <c r="C2" s="99" t="s">
        <v>773</v>
      </c>
      <c r="D2" s="114">
        <v>0.71180555555555547</v>
      </c>
      <c r="E2" s="99" t="s">
        <v>772</v>
      </c>
      <c r="F2" s="99" t="s">
        <v>134</v>
      </c>
      <c r="G2" s="115">
        <v>0.61450000000000005</v>
      </c>
      <c r="H2" s="101">
        <v>179</v>
      </c>
      <c r="I2" s="101">
        <v>110</v>
      </c>
      <c r="J2" s="101">
        <v>0</v>
      </c>
      <c r="K2" s="113">
        <v>45986</v>
      </c>
      <c r="L2" s="101">
        <v>0</v>
      </c>
      <c r="M2" s="101">
        <v>10</v>
      </c>
      <c r="N2" s="101">
        <v>22</v>
      </c>
      <c r="O2" s="99" t="s">
        <v>407</v>
      </c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101">
        <v>9</v>
      </c>
      <c r="AB2" s="101">
        <v>31</v>
      </c>
      <c r="AC2" s="101">
        <v>10</v>
      </c>
      <c r="AD2" s="101">
        <v>20</v>
      </c>
      <c r="AE2" s="101">
        <v>40</v>
      </c>
      <c r="AF2" s="98"/>
      <c r="AG2" s="98"/>
      <c r="AH2" s="98"/>
      <c r="AI2" s="98"/>
    </row>
    <row r="3" spans="1:35" ht="18" x14ac:dyDescent="0.3">
      <c r="A3" s="112" t="s">
        <v>155</v>
      </c>
      <c r="B3" s="113">
        <v>45990</v>
      </c>
      <c r="C3" s="99" t="s">
        <v>773</v>
      </c>
      <c r="D3" s="114">
        <v>0.83680555555555547</v>
      </c>
      <c r="E3" s="99" t="s">
        <v>772</v>
      </c>
      <c r="F3" s="99" t="s">
        <v>134</v>
      </c>
      <c r="G3" s="115">
        <v>0.6704</v>
      </c>
      <c r="H3" s="101">
        <v>179</v>
      </c>
      <c r="I3" s="101">
        <v>120</v>
      </c>
      <c r="J3" s="101">
        <v>0</v>
      </c>
      <c r="K3" s="113">
        <v>45986</v>
      </c>
      <c r="L3" s="101">
        <v>0</v>
      </c>
      <c r="M3" s="101">
        <v>5</v>
      </c>
      <c r="N3" s="101">
        <v>13</v>
      </c>
      <c r="O3" s="99" t="s">
        <v>211</v>
      </c>
      <c r="P3" s="98"/>
      <c r="Q3" s="98"/>
      <c r="R3" s="98"/>
      <c r="S3" s="101">
        <v>1</v>
      </c>
      <c r="T3" s="101">
        <v>1</v>
      </c>
      <c r="U3" s="101">
        <v>19</v>
      </c>
      <c r="V3" s="101">
        <v>22</v>
      </c>
      <c r="W3" s="101">
        <v>18</v>
      </c>
      <c r="X3" s="101">
        <v>5</v>
      </c>
      <c r="Y3" s="98"/>
      <c r="Z3" s="98"/>
      <c r="AA3" s="101">
        <v>7</v>
      </c>
      <c r="AB3" s="101">
        <v>12</v>
      </c>
      <c r="AC3" s="101">
        <v>9</v>
      </c>
      <c r="AD3" s="101">
        <v>8</v>
      </c>
      <c r="AE3" s="101">
        <v>18</v>
      </c>
      <c r="AF3" s="98"/>
      <c r="AG3" s="98"/>
      <c r="AH3" s="98"/>
      <c r="AI3" s="98"/>
    </row>
    <row r="4" spans="1:35" ht="18" x14ac:dyDescent="0.3">
      <c r="A4" s="112" t="s">
        <v>929</v>
      </c>
      <c r="B4" s="113">
        <v>45989</v>
      </c>
      <c r="C4" s="99" t="s">
        <v>794</v>
      </c>
      <c r="D4" s="114">
        <v>0.37847222222222232</v>
      </c>
      <c r="E4" s="99" t="s">
        <v>791</v>
      </c>
      <c r="F4" s="99" t="s">
        <v>134</v>
      </c>
      <c r="G4" s="115">
        <v>0.64800000000000002</v>
      </c>
      <c r="H4" s="101">
        <v>179</v>
      </c>
      <c r="I4" s="101">
        <v>116</v>
      </c>
      <c r="J4" s="101">
        <v>0</v>
      </c>
      <c r="K4" s="113">
        <v>45986</v>
      </c>
      <c r="L4" s="101">
        <v>0</v>
      </c>
      <c r="M4" s="101">
        <v>11</v>
      </c>
      <c r="N4" s="101">
        <v>60</v>
      </c>
      <c r="O4" s="99" t="s">
        <v>642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101">
        <v>16</v>
      </c>
      <c r="AD4" s="101">
        <v>50</v>
      </c>
      <c r="AE4" s="101">
        <v>50</v>
      </c>
      <c r="AF4" s="98"/>
      <c r="AG4" s="98"/>
      <c r="AH4" s="98"/>
      <c r="AI4" s="98"/>
    </row>
    <row r="5" spans="1:35" ht="18" x14ac:dyDescent="0.3">
      <c r="A5" s="112" t="s">
        <v>154</v>
      </c>
      <c r="B5" s="113">
        <v>45988</v>
      </c>
      <c r="C5" s="99" t="s">
        <v>919</v>
      </c>
      <c r="D5" s="114">
        <v>0.8125</v>
      </c>
      <c r="E5" s="99" t="s">
        <v>914</v>
      </c>
      <c r="F5" s="99" t="s">
        <v>134</v>
      </c>
      <c r="G5" s="115">
        <v>0.87709999999999999</v>
      </c>
      <c r="H5" s="101">
        <v>179</v>
      </c>
      <c r="I5" s="101">
        <v>157</v>
      </c>
      <c r="J5" s="101">
        <v>0</v>
      </c>
      <c r="K5" s="113">
        <v>45986</v>
      </c>
      <c r="L5" s="101">
        <v>0</v>
      </c>
      <c r="M5" s="101">
        <v>13</v>
      </c>
      <c r="N5" s="101">
        <v>45</v>
      </c>
      <c r="O5" s="99" t="s">
        <v>920</v>
      </c>
      <c r="P5" s="98"/>
      <c r="Q5" s="98"/>
      <c r="R5" s="98"/>
      <c r="S5" s="101">
        <v>7</v>
      </c>
      <c r="T5" s="101">
        <v>20</v>
      </c>
      <c r="U5" s="101">
        <v>40</v>
      </c>
      <c r="V5" s="101">
        <v>20</v>
      </c>
      <c r="W5" s="101">
        <v>8</v>
      </c>
      <c r="X5" s="101">
        <v>7</v>
      </c>
      <c r="Y5" s="101">
        <v>9</v>
      </c>
      <c r="Z5" s="101">
        <v>9</v>
      </c>
      <c r="AA5" s="101">
        <v>10</v>
      </c>
      <c r="AB5" s="101">
        <v>6</v>
      </c>
      <c r="AC5" s="101">
        <v>8</v>
      </c>
      <c r="AD5" s="101">
        <v>9</v>
      </c>
      <c r="AE5" s="101">
        <v>4</v>
      </c>
      <c r="AF5" s="98"/>
      <c r="AG5" s="98"/>
      <c r="AH5" s="98"/>
      <c r="AI5" s="98"/>
    </row>
    <row r="6" spans="1:35" ht="18" x14ac:dyDescent="0.3">
      <c r="A6" s="112" t="s">
        <v>155</v>
      </c>
      <c r="B6" s="113">
        <v>45990</v>
      </c>
      <c r="C6" s="99" t="s">
        <v>919</v>
      </c>
      <c r="D6" s="114">
        <v>0.8125</v>
      </c>
      <c r="E6" s="99" t="s">
        <v>914</v>
      </c>
      <c r="F6" s="99" t="s">
        <v>134</v>
      </c>
      <c r="G6" s="115">
        <v>0.75980000000000003</v>
      </c>
      <c r="H6" s="101">
        <v>179</v>
      </c>
      <c r="I6" s="101">
        <v>136</v>
      </c>
      <c r="J6" s="101">
        <v>0</v>
      </c>
      <c r="K6" s="113">
        <v>45987</v>
      </c>
      <c r="L6" s="101">
        <v>1</v>
      </c>
      <c r="M6" s="101">
        <v>8</v>
      </c>
      <c r="N6" s="101">
        <v>20</v>
      </c>
      <c r="O6" s="99" t="s">
        <v>815</v>
      </c>
      <c r="P6" s="98"/>
      <c r="Q6" s="98"/>
      <c r="R6" s="101">
        <v>16</v>
      </c>
      <c r="S6" s="101">
        <v>21</v>
      </c>
      <c r="T6" s="101">
        <v>15</v>
      </c>
      <c r="U6" s="101">
        <v>8</v>
      </c>
      <c r="V6" s="101">
        <v>5</v>
      </c>
      <c r="W6" s="101">
        <v>9</v>
      </c>
      <c r="X6" s="101">
        <v>7</v>
      </c>
      <c r="Y6" s="101">
        <v>9</v>
      </c>
      <c r="Z6" s="101">
        <v>7</v>
      </c>
      <c r="AA6" s="101">
        <v>10</v>
      </c>
      <c r="AB6" s="101">
        <v>9</v>
      </c>
      <c r="AC6" s="101">
        <v>9</v>
      </c>
      <c r="AD6" s="101">
        <v>9</v>
      </c>
      <c r="AE6" s="101">
        <v>2</v>
      </c>
      <c r="AF6" s="98"/>
      <c r="AG6" s="98"/>
      <c r="AH6" s="98"/>
      <c r="AI6" s="98"/>
    </row>
    <row r="7" spans="1:35" ht="18" x14ac:dyDescent="0.3">
      <c r="A7" s="112" t="s">
        <v>154</v>
      </c>
      <c r="B7" s="113">
        <v>45988</v>
      </c>
      <c r="C7" s="99" t="s">
        <v>210</v>
      </c>
      <c r="D7" s="114">
        <v>0.9375</v>
      </c>
      <c r="E7" s="99" t="s">
        <v>207</v>
      </c>
      <c r="F7" s="99" t="s">
        <v>134</v>
      </c>
      <c r="G7" s="115">
        <v>0.9889</v>
      </c>
      <c r="H7" s="101">
        <v>180</v>
      </c>
      <c r="I7" s="101">
        <v>178</v>
      </c>
      <c r="J7" s="101">
        <v>0</v>
      </c>
      <c r="K7" s="113">
        <v>45986</v>
      </c>
      <c r="L7" s="101">
        <v>0</v>
      </c>
      <c r="M7" s="101">
        <v>1</v>
      </c>
      <c r="N7" s="101">
        <v>32</v>
      </c>
      <c r="O7" s="99" t="s">
        <v>211</v>
      </c>
      <c r="P7" s="98"/>
      <c r="Q7" s="98"/>
      <c r="R7" s="98"/>
      <c r="S7" s="98"/>
      <c r="T7" s="98"/>
      <c r="U7" s="101">
        <v>6</v>
      </c>
      <c r="V7" s="101">
        <v>35</v>
      </c>
      <c r="W7" s="101">
        <v>25</v>
      </c>
      <c r="X7" s="101">
        <v>11</v>
      </c>
      <c r="Y7" s="101">
        <v>22</v>
      </c>
      <c r="Z7" s="101">
        <v>12</v>
      </c>
      <c r="AA7" s="101">
        <v>9</v>
      </c>
      <c r="AB7" s="101">
        <v>12</v>
      </c>
      <c r="AC7" s="101">
        <v>21</v>
      </c>
      <c r="AD7" s="101">
        <v>11</v>
      </c>
      <c r="AE7" s="101">
        <v>10</v>
      </c>
      <c r="AF7" s="98"/>
      <c r="AG7" s="98"/>
      <c r="AH7" s="98"/>
      <c r="AI7" s="101">
        <v>4</v>
      </c>
    </row>
    <row r="8" spans="1:35" ht="18" x14ac:dyDescent="0.3">
      <c r="A8" s="112" t="s">
        <v>155</v>
      </c>
      <c r="B8" s="113">
        <v>45990</v>
      </c>
      <c r="C8" s="99" t="s">
        <v>210</v>
      </c>
      <c r="D8" s="114">
        <v>0.90625</v>
      </c>
      <c r="E8" s="99" t="s">
        <v>207</v>
      </c>
      <c r="F8" s="99" t="s">
        <v>134</v>
      </c>
      <c r="G8" s="115">
        <v>0.9667</v>
      </c>
      <c r="H8" s="101">
        <v>180</v>
      </c>
      <c r="I8" s="101">
        <v>174</v>
      </c>
      <c r="J8" s="101">
        <v>1</v>
      </c>
      <c r="K8" s="113">
        <v>45985</v>
      </c>
      <c r="L8" s="101">
        <v>0</v>
      </c>
      <c r="M8" s="101">
        <v>0</v>
      </c>
      <c r="N8" s="101">
        <v>16</v>
      </c>
      <c r="O8" s="99" t="s">
        <v>304</v>
      </c>
      <c r="P8" s="98"/>
      <c r="Q8" s="98"/>
      <c r="R8" s="101">
        <v>1</v>
      </c>
      <c r="S8" s="101">
        <v>4</v>
      </c>
      <c r="T8" s="101">
        <v>10</v>
      </c>
      <c r="U8" s="101">
        <v>13</v>
      </c>
      <c r="V8" s="101">
        <v>20</v>
      </c>
      <c r="W8" s="101">
        <v>18</v>
      </c>
      <c r="X8" s="101">
        <v>16</v>
      </c>
      <c r="Y8" s="101">
        <v>21</v>
      </c>
      <c r="Z8" s="101">
        <v>12</v>
      </c>
      <c r="AA8" s="101">
        <v>11</v>
      </c>
      <c r="AB8" s="101">
        <v>11</v>
      </c>
      <c r="AC8" s="101">
        <v>12</v>
      </c>
      <c r="AD8" s="101">
        <v>11</v>
      </c>
      <c r="AE8" s="101">
        <v>10</v>
      </c>
      <c r="AF8" s="98"/>
      <c r="AG8" s="98"/>
      <c r="AH8" s="101">
        <v>1</v>
      </c>
      <c r="AI8" s="101">
        <v>3</v>
      </c>
    </row>
    <row r="9" spans="1:35" ht="18" x14ac:dyDescent="0.3">
      <c r="A9" s="112" t="s">
        <v>154</v>
      </c>
      <c r="B9" s="113">
        <v>45988</v>
      </c>
      <c r="C9" s="99" t="s">
        <v>894</v>
      </c>
      <c r="D9" s="114">
        <v>0.63194444444444442</v>
      </c>
      <c r="E9" s="99" t="s">
        <v>887</v>
      </c>
      <c r="F9" s="99" t="s">
        <v>134</v>
      </c>
      <c r="G9" s="115">
        <v>0.81010000000000004</v>
      </c>
      <c r="H9" s="101">
        <v>179</v>
      </c>
      <c r="I9" s="101">
        <v>145</v>
      </c>
      <c r="J9" s="101">
        <v>0</v>
      </c>
      <c r="K9" s="113">
        <v>45986</v>
      </c>
      <c r="L9" s="101">
        <v>0</v>
      </c>
      <c r="M9" s="101">
        <v>11</v>
      </c>
      <c r="N9" s="101">
        <v>44</v>
      </c>
      <c r="O9" s="99" t="s">
        <v>757</v>
      </c>
      <c r="P9" s="98"/>
      <c r="Q9" s="98"/>
      <c r="R9" s="98"/>
      <c r="S9" s="98"/>
      <c r="T9" s="101">
        <v>23</v>
      </c>
      <c r="U9" s="101">
        <v>12</v>
      </c>
      <c r="V9" s="101">
        <v>10</v>
      </c>
      <c r="W9" s="101">
        <v>9</v>
      </c>
      <c r="X9" s="101">
        <v>17</v>
      </c>
      <c r="Y9" s="101">
        <v>10</v>
      </c>
      <c r="Z9" s="101">
        <v>10</v>
      </c>
      <c r="AA9" s="101">
        <v>21</v>
      </c>
      <c r="AB9" s="101">
        <v>16</v>
      </c>
      <c r="AC9" s="101">
        <v>3</v>
      </c>
      <c r="AD9" s="101">
        <v>6</v>
      </c>
      <c r="AE9" s="101">
        <v>8</v>
      </c>
      <c r="AF9" s="98"/>
      <c r="AG9" s="98"/>
      <c r="AH9" s="98"/>
      <c r="AI9" s="98"/>
    </row>
    <row r="10" spans="1:35" ht="18" x14ac:dyDescent="0.3">
      <c r="A10" s="112" t="s">
        <v>929</v>
      </c>
      <c r="B10" s="113">
        <v>45989</v>
      </c>
      <c r="C10" s="99" t="s">
        <v>894</v>
      </c>
      <c r="D10" s="114">
        <v>0.82986111111111116</v>
      </c>
      <c r="E10" s="99" t="s">
        <v>887</v>
      </c>
      <c r="F10" s="99" t="s">
        <v>134</v>
      </c>
      <c r="G10" s="115">
        <v>0.78210000000000002</v>
      </c>
      <c r="H10" s="101">
        <v>179</v>
      </c>
      <c r="I10" s="101">
        <v>140</v>
      </c>
      <c r="J10" s="101">
        <v>0</v>
      </c>
      <c r="K10" s="113">
        <v>45986</v>
      </c>
      <c r="L10" s="101">
        <v>0</v>
      </c>
      <c r="M10" s="101">
        <v>2</v>
      </c>
      <c r="N10" s="101">
        <v>21</v>
      </c>
      <c r="O10" s="99" t="s">
        <v>580</v>
      </c>
      <c r="P10" s="98"/>
      <c r="Q10" s="98"/>
      <c r="R10" s="101">
        <v>15</v>
      </c>
      <c r="S10" s="101">
        <v>45</v>
      </c>
      <c r="T10" s="98"/>
      <c r="U10" s="101">
        <v>9</v>
      </c>
      <c r="V10" s="101">
        <v>7</v>
      </c>
      <c r="W10" s="101">
        <v>9</v>
      </c>
      <c r="X10" s="101">
        <v>10</v>
      </c>
      <c r="Y10" s="101">
        <v>8</v>
      </c>
      <c r="Z10" s="101">
        <v>5</v>
      </c>
      <c r="AA10" s="101">
        <v>6</v>
      </c>
      <c r="AB10" s="101">
        <v>7</v>
      </c>
      <c r="AC10" s="101">
        <v>8</v>
      </c>
      <c r="AD10" s="101">
        <v>11</v>
      </c>
      <c r="AE10" s="98"/>
      <c r="AF10" s="98"/>
      <c r="AG10" s="98"/>
      <c r="AH10" s="98"/>
      <c r="AI10" s="98"/>
    </row>
    <row r="11" spans="1:35" ht="18" x14ac:dyDescent="0.3">
      <c r="A11" s="112" t="s">
        <v>156</v>
      </c>
      <c r="B11" s="113">
        <v>45991</v>
      </c>
      <c r="C11" s="99" t="s">
        <v>894</v>
      </c>
      <c r="D11" s="114">
        <v>0.63194444444444442</v>
      </c>
      <c r="E11" s="99" t="s">
        <v>887</v>
      </c>
      <c r="F11" s="99" t="s">
        <v>134</v>
      </c>
      <c r="G11" s="115">
        <v>0.90500000000000003</v>
      </c>
      <c r="H11" s="101">
        <v>179</v>
      </c>
      <c r="I11" s="101">
        <v>162</v>
      </c>
      <c r="J11" s="101">
        <v>0</v>
      </c>
      <c r="K11" s="113">
        <v>45986</v>
      </c>
      <c r="L11" s="101">
        <v>0</v>
      </c>
      <c r="M11" s="101">
        <v>4</v>
      </c>
      <c r="N11" s="101">
        <v>54</v>
      </c>
      <c r="O11" s="99" t="s">
        <v>476</v>
      </c>
      <c r="P11" s="98"/>
      <c r="Q11" s="98"/>
      <c r="R11" s="98"/>
      <c r="S11" s="101">
        <v>2</v>
      </c>
      <c r="T11" s="101">
        <v>3</v>
      </c>
      <c r="U11" s="101">
        <v>7</v>
      </c>
      <c r="V11" s="101">
        <v>64</v>
      </c>
      <c r="W11" s="101">
        <v>9</v>
      </c>
      <c r="X11" s="101">
        <v>10</v>
      </c>
      <c r="Y11" s="101">
        <v>15</v>
      </c>
      <c r="Z11" s="101">
        <v>11</v>
      </c>
      <c r="AA11" s="101">
        <v>10</v>
      </c>
      <c r="AB11" s="101">
        <v>12</v>
      </c>
      <c r="AC11" s="101">
        <v>5</v>
      </c>
      <c r="AD11" s="101">
        <v>8</v>
      </c>
      <c r="AE11" s="101">
        <v>4</v>
      </c>
      <c r="AF11" s="98"/>
      <c r="AG11" s="98"/>
      <c r="AH11" s="98"/>
      <c r="AI11" s="101">
        <v>2</v>
      </c>
    </row>
    <row r="12" spans="1:35" ht="18" x14ac:dyDescent="0.3">
      <c r="A12" s="112" t="s">
        <v>154</v>
      </c>
      <c r="B12" s="113">
        <v>45988</v>
      </c>
      <c r="C12" s="99" t="s">
        <v>217</v>
      </c>
      <c r="D12" s="114">
        <v>0.1875</v>
      </c>
      <c r="E12" s="99" t="s">
        <v>207</v>
      </c>
      <c r="F12" s="99" t="s">
        <v>134</v>
      </c>
      <c r="G12" s="115">
        <v>0.99439999999999995</v>
      </c>
      <c r="H12" s="101">
        <v>180</v>
      </c>
      <c r="I12" s="101">
        <v>179</v>
      </c>
      <c r="J12" s="101">
        <v>45</v>
      </c>
      <c r="K12" s="113">
        <v>45985</v>
      </c>
      <c r="L12" s="101">
        <v>0</v>
      </c>
      <c r="M12" s="101">
        <v>0</v>
      </c>
      <c r="N12" s="101">
        <v>49</v>
      </c>
      <c r="O12" s="99" t="s">
        <v>63</v>
      </c>
      <c r="P12" s="98"/>
      <c r="Q12" s="98"/>
      <c r="R12" s="98"/>
      <c r="S12" s="98"/>
      <c r="T12" s="98"/>
      <c r="U12" s="98"/>
      <c r="V12" s="101">
        <v>4</v>
      </c>
      <c r="W12" s="101">
        <v>10</v>
      </c>
      <c r="X12" s="101">
        <v>25</v>
      </c>
      <c r="Y12" s="101">
        <v>46</v>
      </c>
      <c r="Z12" s="101">
        <v>9</v>
      </c>
      <c r="AA12" s="101">
        <v>20</v>
      </c>
      <c r="AB12" s="101">
        <v>5</v>
      </c>
      <c r="AC12" s="101">
        <v>5</v>
      </c>
      <c r="AD12" s="101">
        <v>5</v>
      </c>
      <c r="AE12" s="101">
        <v>5</v>
      </c>
      <c r="AF12" s="98"/>
      <c r="AG12" s="98"/>
      <c r="AH12" s="101">
        <v>45</v>
      </c>
      <c r="AI12" s="98"/>
    </row>
    <row r="13" spans="1:35" ht="18" x14ac:dyDescent="0.3">
      <c r="A13" s="112" t="s">
        <v>156</v>
      </c>
      <c r="B13" s="113">
        <v>45991</v>
      </c>
      <c r="C13" s="99" t="s">
        <v>217</v>
      </c>
      <c r="D13" s="114">
        <v>0.15625</v>
      </c>
      <c r="E13" s="99" t="s">
        <v>207</v>
      </c>
      <c r="F13" s="99" t="s">
        <v>134</v>
      </c>
      <c r="G13" s="115">
        <v>1</v>
      </c>
      <c r="H13" s="101">
        <v>180</v>
      </c>
      <c r="I13" s="101">
        <v>180</v>
      </c>
      <c r="J13" s="101">
        <v>85</v>
      </c>
      <c r="K13" s="113">
        <v>45986</v>
      </c>
      <c r="L13" s="101">
        <v>0</v>
      </c>
      <c r="M13" s="101">
        <v>1</v>
      </c>
      <c r="N13" s="101">
        <v>18</v>
      </c>
      <c r="O13" s="99" t="s">
        <v>63</v>
      </c>
      <c r="P13" s="98"/>
      <c r="Q13" s="98"/>
      <c r="R13" s="98"/>
      <c r="S13" s="98"/>
      <c r="T13" s="98"/>
      <c r="U13" s="98"/>
      <c r="V13" s="101">
        <v>4</v>
      </c>
      <c r="W13" s="101">
        <v>11</v>
      </c>
      <c r="X13" s="101">
        <v>31</v>
      </c>
      <c r="Y13" s="101">
        <v>12</v>
      </c>
      <c r="Z13" s="101">
        <v>9</v>
      </c>
      <c r="AA13" s="101">
        <v>9</v>
      </c>
      <c r="AB13" s="101">
        <v>4</v>
      </c>
      <c r="AC13" s="101">
        <v>5</v>
      </c>
      <c r="AD13" s="101">
        <v>5</v>
      </c>
      <c r="AE13" s="101">
        <v>5</v>
      </c>
      <c r="AF13" s="101">
        <v>40</v>
      </c>
      <c r="AG13" s="98"/>
      <c r="AH13" s="101">
        <v>45</v>
      </c>
      <c r="AI13" s="98"/>
    </row>
    <row r="14" spans="1:35" ht="18" x14ac:dyDescent="0.3">
      <c r="A14" s="112" t="s">
        <v>154</v>
      </c>
      <c r="B14" s="113">
        <v>45988</v>
      </c>
      <c r="C14" s="99" t="s">
        <v>714</v>
      </c>
      <c r="D14" s="114">
        <v>0.72222222222222221</v>
      </c>
      <c r="E14" s="99" t="s">
        <v>696</v>
      </c>
      <c r="F14" s="99" t="s">
        <v>134</v>
      </c>
      <c r="G14" s="115">
        <v>0.93889999999999996</v>
      </c>
      <c r="H14" s="101">
        <v>180</v>
      </c>
      <c r="I14" s="101">
        <v>169</v>
      </c>
      <c r="J14" s="101">
        <v>0</v>
      </c>
      <c r="K14" s="113">
        <v>45986</v>
      </c>
      <c r="L14" s="101">
        <v>0</v>
      </c>
      <c r="M14" s="101">
        <v>2</v>
      </c>
      <c r="N14" s="101">
        <v>43</v>
      </c>
      <c r="O14" s="99" t="s">
        <v>715</v>
      </c>
      <c r="P14" s="98"/>
      <c r="Q14" s="98"/>
      <c r="R14" s="101">
        <v>1</v>
      </c>
      <c r="S14" s="101">
        <v>10</v>
      </c>
      <c r="T14" s="101">
        <v>51</v>
      </c>
      <c r="U14" s="101">
        <v>18</v>
      </c>
      <c r="V14" s="101">
        <v>7</v>
      </c>
      <c r="W14" s="101">
        <v>10</v>
      </c>
      <c r="X14" s="101">
        <v>8</v>
      </c>
      <c r="Y14" s="101">
        <v>8</v>
      </c>
      <c r="Z14" s="101">
        <v>17</v>
      </c>
      <c r="AA14" s="101">
        <v>9</v>
      </c>
      <c r="AB14" s="101">
        <v>7</v>
      </c>
      <c r="AC14" s="101">
        <v>9</v>
      </c>
      <c r="AD14" s="101">
        <v>7</v>
      </c>
      <c r="AE14" s="101">
        <v>7</v>
      </c>
      <c r="AF14" s="98"/>
      <c r="AG14" s="98"/>
      <c r="AH14" s="98"/>
      <c r="AI14" s="98"/>
    </row>
    <row r="15" spans="1:35" ht="18" x14ac:dyDescent="0.3">
      <c r="A15" s="112" t="s">
        <v>929</v>
      </c>
      <c r="B15" s="113">
        <v>45989</v>
      </c>
      <c r="C15" s="99" t="s">
        <v>714</v>
      </c>
      <c r="D15" s="114">
        <v>0.38194444444444442</v>
      </c>
      <c r="E15" s="99" t="s">
        <v>696</v>
      </c>
      <c r="F15" s="99" t="s">
        <v>134</v>
      </c>
      <c r="G15" s="115">
        <v>0.81669999999999998</v>
      </c>
      <c r="H15" s="101">
        <v>180</v>
      </c>
      <c r="I15" s="101">
        <v>147</v>
      </c>
      <c r="J15" s="101">
        <v>0</v>
      </c>
      <c r="K15" s="113">
        <v>45986</v>
      </c>
      <c r="L15" s="101">
        <v>0</v>
      </c>
      <c r="M15" s="101">
        <v>1</v>
      </c>
      <c r="N15" s="101">
        <v>18</v>
      </c>
      <c r="O15" s="99" t="s">
        <v>691</v>
      </c>
      <c r="P15" s="98"/>
      <c r="Q15" s="98"/>
      <c r="R15" s="101">
        <v>8</v>
      </c>
      <c r="S15" s="101">
        <v>25</v>
      </c>
      <c r="T15" s="101">
        <v>3</v>
      </c>
      <c r="U15" s="101">
        <v>16</v>
      </c>
      <c r="V15" s="101">
        <v>7</v>
      </c>
      <c r="W15" s="101">
        <v>11</v>
      </c>
      <c r="X15" s="101">
        <v>27</v>
      </c>
      <c r="Y15" s="101">
        <v>13</v>
      </c>
      <c r="Z15" s="101">
        <v>12</v>
      </c>
      <c r="AA15" s="101">
        <v>8</v>
      </c>
      <c r="AB15" s="101">
        <v>5</v>
      </c>
      <c r="AC15" s="101">
        <v>3</v>
      </c>
      <c r="AD15" s="101">
        <v>5</v>
      </c>
      <c r="AE15" s="101">
        <v>4</v>
      </c>
      <c r="AF15" s="98"/>
      <c r="AG15" s="98"/>
      <c r="AH15" s="98"/>
      <c r="AI15" s="98"/>
    </row>
    <row r="16" spans="1:35" ht="18" x14ac:dyDescent="0.3">
      <c r="A16" s="112" t="s">
        <v>155</v>
      </c>
      <c r="B16" s="113">
        <v>45990</v>
      </c>
      <c r="C16" s="99" t="s">
        <v>714</v>
      </c>
      <c r="D16" s="114">
        <v>0.72222222222222221</v>
      </c>
      <c r="E16" s="99" t="s">
        <v>696</v>
      </c>
      <c r="F16" s="99" t="s">
        <v>134</v>
      </c>
      <c r="G16" s="115">
        <v>0.75</v>
      </c>
      <c r="H16" s="101">
        <v>180</v>
      </c>
      <c r="I16" s="101">
        <v>135</v>
      </c>
      <c r="J16" s="101">
        <v>0</v>
      </c>
      <c r="K16" s="113">
        <v>45986</v>
      </c>
      <c r="L16" s="101">
        <v>0</v>
      </c>
      <c r="M16" s="101">
        <v>3</v>
      </c>
      <c r="N16" s="101">
        <v>14</v>
      </c>
      <c r="O16" s="99" t="s">
        <v>732</v>
      </c>
      <c r="P16" s="98"/>
      <c r="Q16" s="101">
        <v>1</v>
      </c>
      <c r="R16" s="101">
        <v>31</v>
      </c>
      <c r="S16" s="101">
        <v>21</v>
      </c>
      <c r="T16" s="101">
        <v>9</v>
      </c>
      <c r="U16" s="98"/>
      <c r="V16" s="101">
        <v>12</v>
      </c>
      <c r="W16" s="101">
        <v>12</v>
      </c>
      <c r="X16" s="101">
        <v>8</v>
      </c>
      <c r="Y16" s="101">
        <v>6</v>
      </c>
      <c r="Z16" s="101">
        <v>9</v>
      </c>
      <c r="AA16" s="101">
        <v>10</v>
      </c>
      <c r="AB16" s="101">
        <v>2</v>
      </c>
      <c r="AC16" s="101">
        <v>4</v>
      </c>
      <c r="AD16" s="101">
        <v>7</v>
      </c>
      <c r="AE16" s="101">
        <v>3</v>
      </c>
      <c r="AF16" s="98"/>
      <c r="AG16" s="98"/>
      <c r="AH16" s="98"/>
      <c r="AI16" s="98"/>
    </row>
    <row r="17" spans="1:35" ht="18" x14ac:dyDescent="0.3">
      <c r="A17" s="112" t="s">
        <v>155</v>
      </c>
      <c r="B17" s="113">
        <v>45990</v>
      </c>
      <c r="C17" s="99" t="s">
        <v>911</v>
      </c>
      <c r="D17" s="114">
        <v>0.69097222222222221</v>
      </c>
      <c r="E17" s="99" t="s">
        <v>908</v>
      </c>
      <c r="F17" s="99" t="s">
        <v>134</v>
      </c>
      <c r="G17" s="115">
        <v>0.5978</v>
      </c>
      <c r="H17" s="101">
        <v>179</v>
      </c>
      <c r="I17" s="101">
        <v>107</v>
      </c>
      <c r="J17" s="101">
        <v>0</v>
      </c>
      <c r="K17" s="113">
        <v>45987</v>
      </c>
      <c r="L17" s="101">
        <v>1</v>
      </c>
      <c r="M17" s="101">
        <v>6</v>
      </c>
      <c r="N17" s="101">
        <v>44</v>
      </c>
      <c r="O17" s="99" t="s">
        <v>640</v>
      </c>
      <c r="P17" s="98"/>
      <c r="Q17" s="98"/>
      <c r="R17" s="98"/>
      <c r="S17" s="98"/>
      <c r="T17" s="98"/>
      <c r="U17" s="98"/>
      <c r="V17" s="101">
        <v>10</v>
      </c>
      <c r="W17" s="101">
        <v>14</v>
      </c>
      <c r="X17" s="101">
        <v>15</v>
      </c>
      <c r="Y17" s="101">
        <v>16</v>
      </c>
      <c r="Z17" s="101">
        <v>20</v>
      </c>
      <c r="AA17" s="101">
        <v>11</v>
      </c>
      <c r="AB17" s="101">
        <v>7</v>
      </c>
      <c r="AC17" s="101">
        <v>9</v>
      </c>
      <c r="AD17" s="101">
        <v>5</v>
      </c>
      <c r="AE17" s="98"/>
      <c r="AF17" s="98"/>
      <c r="AG17" s="98"/>
      <c r="AH17" s="98"/>
      <c r="AI17" s="98"/>
    </row>
    <row r="18" spans="1:35" ht="18" x14ac:dyDescent="0.3">
      <c r="A18" s="112" t="s">
        <v>929</v>
      </c>
      <c r="B18" s="113">
        <v>45989</v>
      </c>
      <c r="C18" s="99" t="s">
        <v>764</v>
      </c>
      <c r="D18" s="114">
        <v>7.2916666666666671E-2</v>
      </c>
      <c r="E18" s="99" t="s">
        <v>761</v>
      </c>
      <c r="F18" s="99" t="s">
        <v>134</v>
      </c>
      <c r="G18" s="115">
        <v>0.97219999999999995</v>
      </c>
      <c r="H18" s="101">
        <v>180</v>
      </c>
      <c r="I18" s="101">
        <v>175</v>
      </c>
      <c r="J18" s="101">
        <v>0</v>
      </c>
      <c r="K18" s="113">
        <v>45986</v>
      </c>
      <c r="L18" s="101">
        <v>0</v>
      </c>
      <c r="M18" s="101">
        <v>7</v>
      </c>
      <c r="N18" s="101">
        <v>42</v>
      </c>
      <c r="O18" s="99" t="s">
        <v>765</v>
      </c>
      <c r="P18" s="101">
        <v>2</v>
      </c>
      <c r="Q18" s="98"/>
      <c r="R18" s="101">
        <v>2</v>
      </c>
      <c r="S18" s="101">
        <v>9</v>
      </c>
      <c r="T18" s="101">
        <v>7</v>
      </c>
      <c r="U18" s="101">
        <v>15</v>
      </c>
      <c r="V18" s="101">
        <v>10</v>
      </c>
      <c r="W18" s="101">
        <v>15</v>
      </c>
      <c r="X18" s="101">
        <v>31</v>
      </c>
      <c r="Y18" s="101">
        <v>16</v>
      </c>
      <c r="Z18" s="101">
        <v>19</v>
      </c>
      <c r="AA18" s="101">
        <v>19</v>
      </c>
      <c r="AB18" s="101">
        <v>20</v>
      </c>
      <c r="AC18" s="101">
        <v>5</v>
      </c>
      <c r="AD18" s="101">
        <v>4</v>
      </c>
      <c r="AE18" s="101">
        <v>1</v>
      </c>
      <c r="AF18" s="98"/>
      <c r="AG18" s="98"/>
      <c r="AH18" s="98"/>
      <c r="AI18" s="98"/>
    </row>
    <row r="19" spans="1:35" ht="18" x14ac:dyDescent="0.3">
      <c r="A19" s="112" t="s">
        <v>154</v>
      </c>
      <c r="B19" s="113">
        <v>45988</v>
      </c>
      <c r="C19" s="99" t="s">
        <v>834</v>
      </c>
      <c r="D19" s="114">
        <v>0.4375</v>
      </c>
      <c r="E19" s="99" t="s">
        <v>833</v>
      </c>
      <c r="F19" s="99" t="s">
        <v>134</v>
      </c>
      <c r="G19" s="115">
        <v>1</v>
      </c>
      <c r="H19" s="101">
        <v>179</v>
      </c>
      <c r="I19" s="101">
        <v>179</v>
      </c>
      <c r="J19" s="101">
        <v>135</v>
      </c>
      <c r="K19" s="113">
        <v>45975</v>
      </c>
      <c r="L19" s="101">
        <v>0</v>
      </c>
      <c r="M19" s="101">
        <v>0</v>
      </c>
      <c r="N19" s="101">
        <v>0</v>
      </c>
      <c r="O19" s="99" t="s">
        <v>63</v>
      </c>
      <c r="P19" s="98"/>
      <c r="Q19" s="98"/>
      <c r="R19" s="98"/>
      <c r="S19" s="98"/>
      <c r="T19" s="101">
        <v>1</v>
      </c>
      <c r="U19" s="98"/>
      <c r="V19" s="101">
        <v>1</v>
      </c>
      <c r="W19" s="101">
        <v>6</v>
      </c>
      <c r="X19" s="101">
        <v>18</v>
      </c>
      <c r="Y19" s="101">
        <v>10</v>
      </c>
      <c r="Z19" s="101">
        <v>2</v>
      </c>
      <c r="AA19" s="101">
        <v>4</v>
      </c>
      <c r="AB19" s="101">
        <v>2</v>
      </c>
      <c r="AC19" s="98"/>
      <c r="AD19" s="98"/>
      <c r="AE19" s="98"/>
      <c r="AF19" s="98"/>
      <c r="AG19" s="98"/>
      <c r="AH19" s="101">
        <v>135</v>
      </c>
      <c r="AI19" s="98"/>
    </row>
    <row r="20" spans="1:35" ht="18" x14ac:dyDescent="0.3">
      <c r="A20" s="112" t="s">
        <v>929</v>
      </c>
      <c r="B20" s="113">
        <v>45989</v>
      </c>
      <c r="C20" s="99" t="s">
        <v>834</v>
      </c>
      <c r="D20" s="114">
        <v>0.16666666666666671</v>
      </c>
      <c r="E20" s="99" t="s">
        <v>833</v>
      </c>
      <c r="F20" s="99" t="s">
        <v>134</v>
      </c>
      <c r="G20" s="115">
        <v>1</v>
      </c>
      <c r="H20" s="101">
        <v>179</v>
      </c>
      <c r="I20" s="101">
        <v>179</v>
      </c>
      <c r="J20" s="101">
        <v>80</v>
      </c>
      <c r="K20" s="113">
        <v>45986</v>
      </c>
      <c r="L20" s="101">
        <v>0</v>
      </c>
      <c r="M20" s="101">
        <v>1</v>
      </c>
      <c r="N20" s="101">
        <v>9</v>
      </c>
      <c r="O20" s="99" t="s">
        <v>63</v>
      </c>
      <c r="P20" s="98"/>
      <c r="Q20" s="98"/>
      <c r="R20" s="101">
        <v>1</v>
      </c>
      <c r="S20" s="98"/>
      <c r="T20" s="101">
        <v>2</v>
      </c>
      <c r="U20" s="101">
        <v>10</v>
      </c>
      <c r="V20" s="101">
        <v>12</v>
      </c>
      <c r="W20" s="101">
        <v>18</v>
      </c>
      <c r="X20" s="101">
        <v>18</v>
      </c>
      <c r="Y20" s="101">
        <v>29</v>
      </c>
      <c r="Z20" s="101">
        <v>3</v>
      </c>
      <c r="AA20" s="101">
        <v>4</v>
      </c>
      <c r="AB20" s="101">
        <v>2</v>
      </c>
      <c r="AC20" s="98"/>
      <c r="AD20" s="98"/>
      <c r="AE20" s="98"/>
      <c r="AF20" s="98"/>
      <c r="AG20" s="98"/>
      <c r="AH20" s="101">
        <v>80</v>
      </c>
      <c r="AI20" s="98"/>
    </row>
    <row r="21" spans="1:35" ht="18" x14ac:dyDescent="0.3">
      <c r="A21" s="112" t="s">
        <v>155</v>
      </c>
      <c r="B21" s="113">
        <v>45990</v>
      </c>
      <c r="C21" s="99" t="s">
        <v>834</v>
      </c>
      <c r="D21" s="114">
        <v>0.125</v>
      </c>
      <c r="E21" s="99" t="s">
        <v>833</v>
      </c>
      <c r="F21" s="99" t="s">
        <v>134</v>
      </c>
      <c r="G21" s="115">
        <v>0.97770000000000001</v>
      </c>
      <c r="H21" s="101">
        <v>179</v>
      </c>
      <c r="I21" s="101">
        <v>175</v>
      </c>
      <c r="J21" s="101">
        <v>44</v>
      </c>
      <c r="K21" s="113">
        <v>45986</v>
      </c>
      <c r="L21" s="101">
        <v>0</v>
      </c>
      <c r="M21" s="101">
        <v>2</v>
      </c>
      <c r="N21" s="101">
        <v>15</v>
      </c>
      <c r="O21" s="99" t="s">
        <v>839</v>
      </c>
      <c r="P21" s="101">
        <v>1</v>
      </c>
      <c r="Q21" s="101">
        <v>16</v>
      </c>
      <c r="R21" s="101">
        <v>1</v>
      </c>
      <c r="S21" s="101">
        <v>11</v>
      </c>
      <c r="T21" s="101">
        <v>16</v>
      </c>
      <c r="U21" s="101">
        <v>16</v>
      </c>
      <c r="V21" s="101">
        <v>18</v>
      </c>
      <c r="W21" s="101">
        <v>17</v>
      </c>
      <c r="X21" s="101">
        <v>18</v>
      </c>
      <c r="Y21" s="101">
        <v>9</v>
      </c>
      <c r="Z21" s="101">
        <v>3</v>
      </c>
      <c r="AA21" s="101">
        <v>4</v>
      </c>
      <c r="AB21" s="101">
        <v>1</v>
      </c>
      <c r="AC21" s="98"/>
      <c r="AD21" s="98"/>
      <c r="AE21" s="98"/>
      <c r="AF21" s="98"/>
      <c r="AG21" s="98"/>
      <c r="AH21" s="101">
        <v>44</v>
      </c>
      <c r="AI21" s="98"/>
    </row>
    <row r="22" spans="1:35" ht="18" x14ac:dyDescent="0.3">
      <c r="A22" s="112" t="s">
        <v>156</v>
      </c>
      <c r="B22" s="113">
        <v>45991</v>
      </c>
      <c r="C22" s="99" t="s">
        <v>834</v>
      </c>
      <c r="D22" s="114">
        <v>0.21527777777777779</v>
      </c>
      <c r="E22" s="99" t="s">
        <v>833</v>
      </c>
      <c r="F22" s="99" t="s">
        <v>134</v>
      </c>
      <c r="G22" s="115">
        <v>1</v>
      </c>
      <c r="H22" s="101">
        <v>179</v>
      </c>
      <c r="I22" s="101">
        <v>179</v>
      </c>
      <c r="J22" s="101">
        <v>90</v>
      </c>
      <c r="K22" s="113">
        <v>45986</v>
      </c>
      <c r="L22" s="101">
        <v>0</v>
      </c>
      <c r="M22" s="101">
        <v>1</v>
      </c>
      <c r="N22" s="101">
        <v>4</v>
      </c>
      <c r="O22" s="99" t="s">
        <v>63</v>
      </c>
      <c r="P22" s="98"/>
      <c r="Q22" s="98"/>
      <c r="R22" s="98"/>
      <c r="S22" s="98"/>
      <c r="T22" s="98"/>
      <c r="U22" s="98"/>
      <c r="V22" s="101">
        <v>9</v>
      </c>
      <c r="W22" s="101">
        <v>12</v>
      </c>
      <c r="X22" s="101">
        <v>20</v>
      </c>
      <c r="Y22" s="101">
        <v>23</v>
      </c>
      <c r="Z22" s="101">
        <v>19</v>
      </c>
      <c r="AA22" s="101">
        <v>4</v>
      </c>
      <c r="AB22" s="101">
        <v>2</v>
      </c>
      <c r="AC22" s="98"/>
      <c r="AD22" s="98"/>
      <c r="AE22" s="98"/>
      <c r="AF22" s="98"/>
      <c r="AG22" s="98"/>
      <c r="AH22" s="101">
        <v>90</v>
      </c>
      <c r="AI22" s="98"/>
    </row>
    <row r="23" spans="1:35" ht="18" x14ac:dyDescent="0.3">
      <c r="A23" s="112" t="s">
        <v>154</v>
      </c>
      <c r="B23" s="113">
        <v>45988</v>
      </c>
      <c r="C23" s="99" t="s">
        <v>857</v>
      </c>
      <c r="D23" s="114">
        <v>0.80208333333333337</v>
      </c>
      <c r="E23" s="99" t="s">
        <v>856</v>
      </c>
      <c r="F23" s="99" t="s">
        <v>134</v>
      </c>
      <c r="G23" s="115">
        <v>0.79330000000000001</v>
      </c>
      <c r="H23" s="101">
        <v>179</v>
      </c>
      <c r="I23" s="101">
        <v>142</v>
      </c>
      <c r="J23" s="101">
        <v>0</v>
      </c>
      <c r="K23" s="113">
        <v>45986</v>
      </c>
      <c r="L23" s="101">
        <v>0</v>
      </c>
      <c r="M23" s="101">
        <v>6</v>
      </c>
      <c r="N23" s="101">
        <v>9</v>
      </c>
      <c r="O23" s="99" t="s">
        <v>858</v>
      </c>
      <c r="P23" s="98"/>
      <c r="Q23" s="101">
        <v>2</v>
      </c>
      <c r="R23" s="101">
        <v>15</v>
      </c>
      <c r="S23" s="101">
        <v>25</v>
      </c>
      <c r="T23" s="101">
        <v>12</v>
      </c>
      <c r="U23" s="101">
        <v>9</v>
      </c>
      <c r="V23" s="101">
        <v>8</v>
      </c>
      <c r="W23" s="101">
        <v>9</v>
      </c>
      <c r="X23" s="101">
        <v>9</v>
      </c>
      <c r="Y23" s="101">
        <v>8</v>
      </c>
      <c r="Z23" s="101">
        <v>13</v>
      </c>
      <c r="AA23" s="101">
        <v>9</v>
      </c>
      <c r="AB23" s="101">
        <v>8</v>
      </c>
      <c r="AC23" s="101">
        <v>6</v>
      </c>
      <c r="AD23" s="101">
        <v>6</v>
      </c>
      <c r="AE23" s="101">
        <v>3</v>
      </c>
      <c r="AF23" s="98"/>
      <c r="AG23" s="98"/>
      <c r="AH23" s="98"/>
      <c r="AI23" s="98"/>
    </row>
    <row r="24" spans="1:35" ht="18" x14ac:dyDescent="0.3">
      <c r="A24" s="112" t="s">
        <v>155</v>
      </c>
      <c r="B24" s="113">
        <v>45990</v>
      </c>
      <c r="C24" s="99" t="s">
        <v>857</v>
      </c>
      <c r="D24" s="114">
        <v>0.80208333333333337</v>
      </c>
      <c r="E24" s="99" t="s">
        <v>856</v>
      </c>
      <c r="F24" s="99" t="s">
        <v>134</v>
      </c>
      <c r="G24" s="115">
        <v>0.71509999999999996</v>
      </c>
      <c r="H24" s="101">
        <v>179</v>
      </c>
      <c r="I24" s="101">
        <v>128</v>
      </c>
      <c r="J24" s="101">
        <v>0</v>
      </c>
      <c r="K24" s="113">
        <v>45987</v>
      </c>
      <c r="L24" s="101">
        <v>1</v>
      </c>
      <c r="M24" s="101">
        <v>6</v>
      </c>
      <c r="N24" s="101">
        <v>13</v>
      </c>
      <c r="O24" s="99" t="s">
        <v>867</v>
      </c>
      <c r="P24" s="101">
        <v>23</v>
      </c>
      <c r="Q24" s="101">
        <v>5</v>
      </c>
      <c r="R24" s="101">
        <v>9</v>
      </c>
      <c r="S24" s="101">
        <v>7</v>
      </c>
      <c r="T24" s="101">
        <v>20</v>
      </c>
      <c r="U24" s="98"/>
      <c r="V24" s="98"/>
      <c r="W24" s="101">
        <v>9</v>
      </c>
      <c r="X24" s="101">
        <v>3</v>
      </c>
      <c r="Y24" s="101">
        <v>10</v>
      </c>
      <c r="Z24" s="101">
        <v>8</v>
      </c>
      <c r="AA24" s="101">
        <v>9</v>
      </c>
      <c r="AB24" s="101">
        <v>7</v>
      </c>
      <c r="AC24" s="101">
        <v>5</v>
      </c>
      <c r="AD24" s="101">
        <v>7</v>
      </c>
      <c r="AE24" s="101">
        <v>6</v>
      </c>
      <c r="AF24" s="98"/>
      <c r="AG24" s="98"/>
      <c r="AH24" s="98"/>
      <c r="AI24" s="98"/>
    </row>
    <row r="25" spans="1:35" ht="18" x14ac:dyDescent="0.3">
      <c r="A25" s="112" t="s">
        <v>929</v>
      </c>
      <c r="B25" s="113">
        <v>45989</v>
      </c>
      <c r="C25" s="99" t="s">
        <v>879</v>
      </c>
      <c r="D25" s="114">
        <v>0.58333333333333337</v>
      </c>
      <c r="E25" s="99" t="s">
        <v>878</v>
      </c>
      <c r="F25" s="99" t="s">
        <v>134</v>
      </c>
      <c r="G25" s="115">
        <v>1</v>
      </c>
      <c r="H25" s="101">
        <v>179</v>
      </c>
      <c r="I25" s="101">
        <v>179</v>
      </c>
      <c r="J25" s="101">
        <v>0</v>
      </c>
      <c r="K25" s="113">
        <v>45987</v>
      </c>
      <c r="L25" s="101">
        <v>1</v>
      </c>
      <c r="M25" s="101">
        <v>5</v>
      </c>
      <c r="N25" s="101">
        <v>34</v>
      </c>
      <c r="O25" s="99" t="s">
        <v>63</v>
      </c>
      <c r="P25" s="98"/>
      <c r="Q25" s="98"/>
      <c r="R25" s="98"/>
      <c r="S25" s="98"/>
      <c r="T25" s="98"/>
      <c r="U25" s="98"/>
      <c r="V25" s="98"/>
      <c r="W25" s="101">
        <v>9</v>
      </c>
      <c r="X25" s="101">
        <v>20</v>
      </c>
      <c r="Y25" s="101">
        <v>20</v>
      </c>
      <c r="Z25" s="101">
        <v>20</v>
      </c>
      <c r="AA25" s="101">
        <v>40</v>
      </c>
      <c r="AB25" s="101">
        <v>17</v>
      </c>
      <c r="AC25" s="101">
        <v>26</v>
      </c>
      <c r="AD25" s="101">
        <v>27</v>
      </c>
      <c r="AE25" s="98"/>
      <c r="AF25" s="98"/>
      <c r="AG25" s="98"/>
      <c r="AH25" s="98"/>
      <c r="AI25" s="98"/>
    </row>
    <row r="26" spans="1:35" ht="18" x14ac:dyDescent="0.3">
      <c r="A26" s="112" t="s">
        <v>154</v>
      </c>
      <c r="B26" s="113">
        <v>45988</v>
      </c>
      <c r="C26" s="99" t="s">
        <v>213</v>
      </c>
      <c r="D26" s="114">
        <v>6.5972222222222224E-2</v>
      </c>
      <c r="E26" s="99" t="s">
        <v>207</v>
      </c>
      <c r="F26" s="99" t="s">
        <v>134</v>
      </c>
      <c r="G26" s="115">
        <v>0.99439999999999995</v>
      </c>
      <c r="H26" s="101">
        <v>180</v>
      </c>
      <c r="I26" s="101">
        <v>179</v>
      </c>
      <c r="J26" s="101">
        <v>0</v>
      </c>
      <c r="K26" s="113">
        <v>45987</v>
      </c>
      <c r="L26" s="101">
        <v>1</v>
      </c>
      <c r="M26" s="101">
        <v>1</v>
      </c>
      <c r="N26" s="101">
        <v>57</v>
      </c>
      <c r="O26" s="99" t="s">
        <v>63</v>
      </c>
      <c r="P26" s="98"/>
      <c r="Q26" s="98"/>
      <c r="R26" s="98"/>
      <c r="S26" s="98"/>
      <c r="T26" s="98"/>
      <c r="U26" s="98"/>
      <c r="V26" s="101">
        <v>10</v>
      </c>
      <c r="W26" s="101">
        <v>9</v>
      </c>
      <c r="X26" s="101">
        <v>25</v>
      </c>
      <c r="Y26" s="101">
        <v>32</v>
      </c>
      <c r="Z26" s="101">
        <v>21</v>
      </c>
      <c r="AA26" s="101">
        <v>20</v>
      </c>
      <c r="AB26" s="101">
        <v>19</v>
      </c>
      <c r="AC26" s="101">
        <v>11</v>
      </c>
      <c r="AD26" s="101">
        <v>11</v>
      </c>
      <c r="AE26" s="101">
        <v>21</v>
      </c>
      <c r="AF26" s="98"/>
      <c r="AG26" s="98"/>
      <c r="AH26" s="98"/>
      <c r="AI26" s="98"/>
    </row>
    <row r="27" spans="1:35" ht="18" x14ac:dyDescent="0.3">
      <c r="A27" s="112" t="s">
        <v>155</v>
      </c>
      <c r="B27" s="113">
        <v>45990</v>
      </c>
      <c r="C27" s="99" t="s">
        <v>213</v>
      </c>
      <c r="D27" s="114">
        <v>4.8611111111111112E-2</v>
      </c>
      <c r="E27" s="99" t="s">
        <v>207</v>
      </c>
      <c r="F27" s="99" t="s">
        <v>134</v>
      </c>
      <c r="G27" s="115">
        <v>1.0333000000000001</v>
      </c>
      <c r="H27" s="101">
        <v>180</v>
      </c>
      <c r="I27" s="101">
        <v>186</v>
      </c>
      <c r="J27" s="101">
        <v>45</v>
      </c>
      <c r="K27" s="113">
        <v>45974</v>
      </c>
      <c r="L27" s="101">
        <v>0</v>
      </c>
      <c r="M27" s="101">
        <v>0</v>
      </c>
      <c r="N27" s="101">
        <v>0</v>
      </c>
      <c r="O27" s="99" t="s">
        <v>63</v>
      </c>
      <c r="P27" s="98"/>
      <c r="Q27" s="98"/>
      <c r="R27" s="98"/>
      <c r="S27" s="98"/>
      <c r="T27" s="98"/>
      <c r="U27" s="98"/>
      <c r="V27" s="101">
        <v>1</v>
      </c>
      <c r="W27" s="98"/>
      <c r="X27" s="101">
        <v>15</v>
      </c>
      <c r="Y27" s="101">
        <v>21</v>
      </c>
      <c r="Z27" s="101">
        <v>20</v>
      </c>
      <c r="AA27" s="101">
        <v>42</v>
      </c>
      <c r="AB27" s="101">
        <v>9</v>
      </c>
      <c r="AC27" s="101">
        <v>12</v>
      </c>
      <c r="AD27" s="101">
        <v>11</v>
      </c>
      <c r="AE27" s="101">
        <v>10</v>
      </c>
      <c r="AF27" s="98"/>
      <c r="AG27" s="98"/>
      <c r="AH27" s="101">
        <v>45</v>
      </c>
      <c r="AI27" s="98"/>
    </row>
    <row r="28" spans="1:35" ht="18" x14ac:dyDescent="0.3">
      <c r="A28" s="112" t="s">
        <v>154</v>
      </c>
      <c r="B28" s="113">
        <v>45988</v>
      </c>
      <c r="C28" s="99" t="s">
        <v>421</v>
      </c>
      <c r="D28" s="114">
        <v>8.6805555555555566E-2</v>
      </c>
      <c r="E28" s="99" t="s">
        <v>418</v>
      </c>
      <c r="F28" s="99" t="s">
        <v>134</v>
      </c>
      <c r="G28" s="115">
        <v>0.99439999999999995</v>
      </c>
      <c r="H28" s="101">
        <v>180</v>
      </c>
      <c r="I28" s="101">
        <v>179</v>
      </c>
      <c r="J28" s="101">
        <v>119</v>
      </c>
      <c r="K28" s="113">
        <v>45985</v>
      </c>
      <c r="L28" s="101">
        <v>0</v>
      </c>
      <c r="M28" s="101">
        <v>0</v>
      </c>
      <c r="N28" s="101">
        <v>9</v>
      </c>
      <c r="O28" s="99" t="s">
        <v>63</v>
      </c>
      <c r="P28" s="98"/>
      <c r="Q28" s="98"/>
      <c r="R28" s="98"/>
      <c r="S28" s="98"/>
      <c r="T28" s="98"/>
      <c r="U28" s="98"/>
      <c r="V28" s="98"/>
      <c r="W28" s="98"/>
      <c r="X28" s="98"/>
      <c r="Y28" s="101">
        <v>20</v>
      </c>
      <c r="Z28" s="101">
        <v>10</v>
      </c>
      <c r="AA28" s="101">
        <v>5</v>
      </c>
      <c r="AB28" s="101">
        <v>5</v>
      </c>
      <c r="AC28" s="101">
        <v>5</v>
      </c>
      <c r="AD28" s="101">
        <v>5</v>
      </c>
      <c r="AE28" s="101">
        <v>5</v>
      </c>
      <c r="AF28" s="98"/>
      <c r="AG28" s="98"/>
      <c r="AH28" s="101">
        <v>119</v>
      </c>
      <c r="AI28" s="101">
        <v>5</v>
      </c>
    </row>
    <row r="29" spans="1:35" ht="18" x14ac:dyDescent="0.3">
      <c r="A29" s="112" t="s">
        <v>929</v>
      </c>
      <c r="B29" s="113">
        <v>45989</v>
      </c>
      <c r="C29" s="99" t="s">
        <v>421</v>
      </c>
      <c r="D29" s="114">
        <v>0.22916666666666671</v>
      </c>
      <c r="E29" s="99" t="s">
        <v>418</v>
      </c>
      <c r="F29" s="99" t="s">
        <v>134</v>
      </c>
      <c r="G29" s="115">
        <v>1</v>
      </c>
      <c r="H29" s="101">
        <v>180</v>
      </c>
      <c r="I29" s="101">
        <v>180</v>
      </c>
      <c r="J29" s="101">
        <v>50</v>
      </c>
      <c r="K29" s="113">
        <v>45984</v>
      </c>
      <c r="L29" s="101">
        <v>0</v>
      </c>
      <c r="M29" s="101">
        <v>0</v>
      </c>
      <c r="N29" s="101">
        <v>98</v>
      </c>
      <c r="O29" s="99" t="s">
        <v>63</v>
      </c>
      <c r="P29" s="98"/>
      <c r="Q29" s="98"/>
      <c r="R29" s="98"/>
      <c r="S29" s="98"/>
      <c r="T29" s="98"/>
      <c r="U29" s="98"/>
      <c r="V29" s="98"/>
      <c r="W29" s="98"/>
      <c r="X29" s="101">
        <v>7</v>
      </c>
      <c r="Y29" s="101">
        <v>40</v>
      </c>
      <c r="Z29" s="101">
        <v>28</v>
      </c>
      <c r="AA29" s="101">
        <v>33</v>
      </c>
      <c r="AB29" s="101">
        <v>18</v>
      </c>
      <c r="AC29" s="98"/>
      <c r="AD29" s="98"/>
      <c r="AE29" s="101">
        <v>2</v>
      </c>
      <c r="AF29" s="98"/>
      <c r="AG29" s="98"/>
      <c r="AH29" s="101">
        <v>50</v>
      </c>
      <c r="AI29" s="101">
        <v>2</v>
      </c>
    </row>
    <row r="30" spans="1:35" ht="18" x14ac:dyDescent="0.3">
      <c r="A30" s="112" t="s">
        <v>155</v>
      </c>
      <c r="B30" s="113">
        <v>45990</v>
      </c>
      <c r="C30" s="99" t="s">
        <v>421</v>
      </c>
      <c r="D30" s="114">
        <v>0.60416666666666663</v>
      </c>
      <c r="E30" s="99" t="s">
        <v>418</v>
      </c>
      <c r="F30" s="99" t="s">
        <v>134</v>
      </c>
      <c r="G30" s="115">
        <v>1</v>
      </c>
      <c r="H30" s="101">
        <v>180</v>
      </c>
      <c r="I30" s="101">
        <v>180</v>
      </c>
      <c r="J30" s="101">
        <v>95</v>
      </c>
      <c r="K30" s="113">
        <v>45984</v>
      </c>
      <c r="L30" s="101">
        <v>0</v>
      </c>
      <c r="M30" s="101">
        <v>0</v>
      </c>
      <c r="N30" s="101">
        <v>10</v>
      </c>
      <c r="O30" s="99" t="s">
        <v>63</v>
      </c>
      <c r="P30" s="98"/>
      <c r="Q30" s="98"/>
      <c r="R30" s="98"/>
      <c r="S30" s="98"/>
      <c r="T30" s="98"/>
      <c r="U30" s="101">
        <v>4</v>
      </c>
      <c r="V30" s="101">
        <v>9</v>
      </c>
      <c r="W30" s="101">
        <v>11</v>
      </c>
      <c r="X30" s="101">
        <v>7</v>
      </c>
      <c r="Y30" s="101">
        <v>18</v>
      </c>
      <c r="Z30" s="101">
        <v>18</v>
      </c>
      <c r="AA30" s="101">
        <v>9</v>
      </c>
      <c r="AB30" s="101">
        <v>9</v>
      </c>
      <c r="AC30" s="98"/>
      <c r="AD30" s="98"/>
      <c r="AE30" s="98"/>
      <c r="AF30" s="98"/>
      <c r="AG30" s="98"/>
      <c r="AH30" s="101">
        <v>95</v>
      </c>
      <c r="AI30" s="98"/>
    </row>
    <row r="31" spans="1:35" ht="18" x14ac:dyDescent="0.3">
      <c r="A31" s="112" t="s">
        <v>156</v>
      </c>
      <c r="B31" s="113">
        <v>45991</v>
      </c>
      <c r="C31" s="99" t="s">
        <v>421</v>
      </c>
      <c r="D31" s="114">
        <v>0.49652777777777768</v>
      </c>
      <c r="E31" s="99" t="s">
        <v>418</v>
      </c>
      <c r="F31" s="99" t="s">
        <v>134</v>
      </c>
      <c r="G31" s="115">
        <v>1</v>
      </c>
      <c r="H31" s="101">
        <v>180</v>
      </c>
      <c r="I31" s="101">
        <v>180</v>
      </c>
      <c r="J31" s="101">
        <v>135</v>
      </c>
      <c r="K31" s="113">
        <v>45986</v>
      </c>
      <c r="L31" s="101">
        <v>0</v>
      </c>
      <c r="M31" s="101">
        <v>1</v>
      </c>
      <c r="N31" s="101">
        <v>5</v>
      </c>
      <c r="O31" s="99" t="s">
        <v>63</v>
      </c>
      <c r="P31" s="98"/>
      <c r="Q31" s="98"/>
      <c r="R31" s="98"/>
      <c r="S31" s="98"/>
      <c r="T31" s="98"/>
      <c r="U31" s="98"/>
      <c r="V31" s="98"/>
      <c r="W31" s="98"/>
      <c r="X31" s="101">
        <v>5</v>
      </c>
      <c r="Y31" s="101">
        <v>11</v>
      </c>
      <c r="Z31" s="101">
        <v>4</v>
      </c>
      <c r="AA31" s="101">
        <v>5</v>
      </c>
      <c r="AB31" s="101">
        <v>5</v>
      </c>
      <c r="AC31" s="101">
        <v>5</v>
      </c>
      <c r="AD31" s="101">
        <v>5</v>
      </c>
      <c r="AE31" s="101">
        <v>4</v>
      </c>
      <c r="AF31" s="98"/>
      <c r="AG31" s="98"/>
      <c r="AH31" s="101">
        <v>135</v>
      </c>
      <c r="AI31" s="101">
        <v>1</v>
      </c>
    </row>
    <row r="32" spans="1:35" ht="18" x14ac:dyDescent="0.3">
      <c r="A32" s="112" t="s">
        <v>154</v>
      </c>
      <c r="B32" s="113">
        <v>45988</v>
      </c>
      <c r="C32" s="99" t="s">
        <v>490</v>
      </c>
      <c r="D32" s="114">
        <v>0.3298611111111111</v>
      </c>
      <c r="E32" s="99" t="s">
        <v>485</v>
      </c>
      <c r="F32" s="99" t="s">
        <v>134</v>
      </c>
      <c r="G32" s="115">
        <v>1</v>
      </c>
      <c r="H32" s="101">
        <v>180</v>
      </c>
      <c r="I32" s="101">
        <v>180</v>
      </c>
      <c r="J32" s="101">
        <v>132</v>
      </c>
      <c r="K32" s="113">
        <v>45987</v>
      </c>
      <c r="L32" s="101">
        <v>2</v>
      </c>
      <c r="M32" s="101">
        <v>5</v>
      </c>
      <c r="N32" s="101">
        <v>13</v>
      </c>
      <c r="O32" s="99" t="s">
        <v>63</v>
      </c>
      <c r="P32" s="98"/>
      <c r="Q32" s="98"/>
      <c r="R32" s="98"/>
      <c r="S32" s="98"/>
      <c r="T32" s="98"/>
      <c r="U32" s="98"/>
      <c r="V32" s="98"/>
      <c r="W32" s="98"/>
      <c r="X32" s="98"/>
      <c r="Y32" s="101">
        <v>2</v>
      </c>
      <c r="Z32" s="101">
        <v>1</v>
      </c>
      <c r="AA32" s="101">
        <v>12</v>
      </c>
      <c r="AB32" s="101">
        <v>23</v>
      </c>
      <c r="AC32" s="101">
        <v>5</v>
      </c>
      <c r="AD32" s="101">
        <v>3</v>
      </c>
      <c r="AE32" s="101">
        <v>2</v>
      </c>
      <c r="AF32" s="98"/>
      <c r="AG32" s="98"/>
      <c r="AH32" s="101">
        <v>132</v>
      </c>
      <c r="AI32" s="98"/>
    </row>
    <row r="33" spans="1:35" ht="18" x14ac:dyDescent="0.3">
      <c r="A33" s="112" t="s">
        <v>154</v>
      </c>
      <c r="B33" s="113">
        <v>45988</v>
      </c>
      <c r="C33" s="99" t="s">
        <v>488</v>
      </c>
      <c r="D33" s="114">
        <v>0.54861111111111105</v>
      </c>
      <c r="E33" s="99" t="s">
        <v>485</v>
      </c>
      <c r="F33" s="99" t="s">
        <v>134</v>
      </c>
      <c r="G33" s="115">
        <v>0.99439999999999995</v>
      </c>
      <c r="H33" s="101">
        <v>180</v>
      </c>
      <c r="I33" s="101">
        <v>179</v>
      </c>
      <c r="J33" s="101">
        <v>95</v>
      </c>
      <c r="K33" s="113">
        <v>45986</v>
      </c>
      <c r="L33" s="101">
        <v>0</v>
      </c>
      <c r="M33" s="101">
        <v>1</v>
      </c>
      <c r="N33" s="101">
        <v>53</v>
      </c>
      <c r="O33" s="99" t="s">
        <v>194</v>
      </c>
      <c r="P33" s="98"/>
      <c r="Q33" s="98"/>
      <c r="R33" s="98"/>
      <c r="S33" s="98"/>
      <c r="T33" s="98"/>
      <c r="U33" s="98"/>
      <c r="V33" s="98"/>
      <c r="W33" s="98"/>
      <c r="X33" s="98"/>
      <c r="Y33" s="101">
        <v>14</v>
      </c>
      <c r="Z33" s="101">
        <v>29</v>
      </c>
      <c r="AA33" s="101">
        <v>15</v>
      </c>
      <c r="AB33" s="101">
        <v>23</v>
      </c>
      <c r="AC33" s="98"/>
      <c r="AD33" s="101">
        <v>2</v>
      </c>
      <c r="AE33" s="101">
        <v>1</v>
      </c>
      <c r="AF33" s="98"/>
      <c r="AG33" s="98"/>
      <c r="AH33" s="101">
        <v>95</v>
      </c>
      <c r="AI33" s="98"/>
    </row>
    <row r="34" spans="1:35" ht="18" x14ac:dyDescent="0.3">
      <c r="A34" s="112" t="s">
        <v>155</v>
      </c>
      <c r="B34" s="113">
        <v>45990</v>
      </c>
      <c r="C34" s="99" t="s">
        <v>488</v>
      </c>
      <c r="D34" s="114">
        <v>0.52777777777777779</v>
      </c>
      <c r="E34" s="99" t="s">
        <v>485</v>
      </c>
      <c r="F34" s="99" t="s">
        <v>134</v>
      </c>
      <c r="G34" s="115">
        <v>1</v>
      </c>
      <c r="H34" s="101">
        <v>180</v>
      </c>
      <c r="I34" s="101">
        <v>180</v>
      </c>
      <c r="J34" s="101">
        <v>95</v>
      </c>
      <c r="K34" s="113">
        <v>45986</v>
      </c>
      <c r="L34" s="101">
        <v>0</v>
      </c>
      <c r="M34" s="101">
        <v>1</v>
      </c>
      <c r="N34" s="101">
        <v>20</v>
      </c>
      <c r="O34" s="99" t="s">
        <v>63</v>
      </c>
      <c r="P34" s="101">
        <v>2</v>
      </c>
      <c r="Q34" s="98"/>
      <c r="R34" s="98"/>
      <c r="S34" s="98"/>
      <c r="T34" s="98"/>
      <c r="U34" s="98"/>
      <c r="V34" s="98"/>
      <c r="W34" s="101">
        <v>3</v>
      </c>
      <c r="X34" s="101">
        <v>23</v>
      </c>
      <c r="Y34" s="101">
        <v>19</v>
      </c>
      <c r="Z34" s="101">
        <v>25</v>
      </c>
      <c r="AA34" s="101">
        <v>2</v>
      </c>
      <c r="AB34" s="101">
        <v>11</v>
      </c>
      <c r="AC34" s="98"/>
      <c r="AD34" s="98"/>
      <c r="AE34" s="98"/>
      <c r="AF34" s="98"/>
      <c r="AG34" s="98"/>
      <c r="AH34" s="101">
        <v>95</v>
      </c>
      <c r="AI34" s="98"/>
    </row>
    <row r="35" spans="1:35" ht="18" x14ac:dyDescent="0.3">
      <c r="A35" s="112" t="s">
        <v>156</v>
      </c>
      <c r="B35" s="113">
        <v>45991</v>
      </c>
      <c r="C35" s="99" t="s">
        <v>488</v>
      </c>
      <c r="D35" s="114">
        <v>0.69097222222222221</v>
      </c>
      <c r="E35" s="99" t="s">
        <v>485</v>
      </c>
      <c r="F35" s="99" t="s">
        <v>134</v>
      </c>
      <c r="G35" s="115">
        <v>0.7833</v>
      </c>
      <c r="H35" s="101">
        <v>180</v>
      </c>
      <c r="I35" s="101">
        <v>141</v>
      </c>
      <c r="J35" s="101">
        <v>45</v>
      </c>
      <c r="K35" s="113">
        <v>45986</v>
      </c>
      <c r="L35" s="101">
        <v>0</v>
      </c>
      <c r="M35" s="101">
        <v>7</v>
      </c>
      <c r="N35" s="101">
        <v>58</v>
      </c>
      <c r="O35" s="99" t="s">
        <v>392</v>
      </c>
      <c r="P35" s="101">
        <v>1</v>
      </c>
      <c r="Q35" s="98"/>
      <c r="R35" s="98"/>
      <c r="S35" s="98"/>
      <c r="T35" s="98"/>
      <c r="U35" s="98"/>
      <c r="V35" s="98"/>
      <c r="W35" s="98"/>
      <c r="X35" s="101">
        <v>6</v>
      </c>
      <c r="Y35" s="101">
        <v>14</v>
      </c>
      <c r="Z35" s="101">
        <v>20</v>
      </c>
      <c r="AA35" s="101">
        <v>23</v>
      </c>
      <c r="AB35" s="101">
        <v>12</v>
      </c>
      <c r="AC35" s="101">
        <v>20</v>
      </c>
      <c r="AD35" s="98"/>
      <c r="AE35" s="98"/>
      <c r="AF35" s="98"/>
      <c r="AG35" s="98"/>
      <c r="AH35" s="101">
        <v>45</v>
      </c>
      <c r="AI35" s="98"/>
    </row>
    <row r="36" spans="1:35" ht="18" x14ac:dyDescent="0.3">
      <c r="A36" s="112" t="s">
        <v>155</v>
      </c>
      <c r="B36" s="113">
        <v>45990</v>
      </c>
      <c r="C36" s="99" t="s">
        <v>456</v>
      </c>
      <c r="D36" s="114">
        <v>0.27083333333333331</v>
      </c>
      <c r="E36" s="99" t="s">
        <v>418</v>
      </c>
      <c r="F36" s="99" t="s">
        <v>134</v>
      </c>
      <c r="G36" s="115">
        <v>1</v>
      </c>
      <c r="H36" s="101">
        <v>180</v>
      </c>
      <c r="I36" s="101">
        <v>180</v>
      </c>
      <c r="J36" s="101">
        <v>135</v>
      </c>
      <c r="K36" s="113">
        <v>45986</v>
      </c>
      <c r="L36" s="101">
        <v>0</v>
      </c>
      <c r="M36" s="101">
        <v>1</v>
      </c>
      <c r="N36" s="101">
        <v>1</v>
      </c>
      <c r="O36" s="99" t="s">
        <v>63</v>
      </c>
      <c r="P36" s="98"/>
      <c r="Q36" s="98"/>
      <c r="R36" s="98"/>
      <c r="S36" s="98"/>
      <c r="T36" s="98"/>
      <c r="U36" s="98"/>
      <c r="V36" s="98"/>
      <c r="W36" s="101">
        <v>3</v>
      </c>
      <c r="X36" s="98"/>
      <c r="Y36" s="101">
        <v>8</v>
      </c>
      <c r="Z36" s="101">
        <v>16</v>
      </c>
      <c r="AA36" s="101">
        <v>9</v>
      </c>
      <c r="AB36" s="101">
        <v>9</v>
      </c>
      <c r="AC36" s="98"/>
      <c r="AD36" s="98"/>
      <c r="AE36" s="98"/>
      <c r="AF36" s="98"/>
      <c r="AG36" s="98"/>
      <c r="AH36" s="101">
        <v>135</v>
      </c>
      <c r="AI36" s="98"/>
    </row>
    <row r="37" spans="1:35" ht="18" x14ac:dyDescent="0.3">
      <c r="A37" s="112" t="s">
        <v>156</v>
      </c>
      <c r="B37" s="113">
        <v>45991</v>
      </c>
      <c r="C37" s="99" t="s">
        <v>456</v>
      </c>
      <c r="D37" s="114">
        <v>0.57986111111111105</v>
      </c>
      <c r="E37" s="99" t="s">
        <v>418</v>
      </c>
      <c r="F37" s="99" t="s">
        <v>134</v>
      </c>
      <c r="G37" s="115">
        <v>1</v>
      </c>
      <c r="H37" s="101">
        <v>180</v>
      </c>
      <c r="I37" s="101">
        <v>180</v>
      </c>
      <c r="J37" s="101">
        <v>135</v>
      </c>
      <c r="K37" s="113">
        <v>45986</v>
      </c>
      <c r="L37" s="101">
        <v>0</v>
      </c>
      <c r="M37" s="101">
        <v>1</v>
      </c>
      <c r="N37" s="101">
        <v>2</v>
      </c>
      <c r="O37" s="99" t="s">
        <v>63</v>
      </c>
      <c r="P37" s="98"/>
      <c r="Q37" s="98"/>
      <c r="R37" s="98"/>
      <c r="S37" s="98"/>
      <c r="T37" s="98"/>
      <c r="U37" s="98"/>
      <c r="V37" s="98"/>
      <c r="W37" s="98"/>
      <c r="X37" s="101">
        <v>7</v>
      </c>
      <c r="Y37" s="101">
        <v>3</v>
      </c>
      <c r="Z37" s="101">
        <v>1</v>
      </c>
      <c r="AA37" s="101">
        <v>17</v>
      </c>
      <c r="AB37" s="101">
        <v>17</v>
      </c>
      <c r="AC37" s="98"/>
      <c r="AD37" s="98"/>
      <c r="AE37" s="98"/>
      <c r="AF37" s="98"/>
      <c r="AG37" s="98"/>
      <c r="AH37" s="101">
        <v>135</v>
      </c>
      <c r="AI37" s="98"/>
    </row>
    <row r="38" spans="1:35" ht="18" x14ac:dyDescent="0.3">
      <c r="A38" s="112" t="s">
        <v>929</v>
      </c>
      <c r="B38" s="113">
        <v>45989</v>
      </c>
      <c r="C38" s="99" t="s">
        <v>276</v>
      </c>
      <c r="D38" s="114">
        <v>0.76041666666666663</v>
      </c>
      <c r="E38" s="99" t="s">
        <v>207</v>
      </c>
      <c r="F38" s="99" t="s">
        <v>134</v>
      </c>
      <c r="G38" s="115">
        <v>0.9889</v>
      </c>
      <c r="H38" s="101">
        <v>180</v>
      </c>
      <c r="I38" s="101">
        <v>178</v>
      </c>
      <c r="J38" s="101">
        <v>0</v>
      </c>
      <c r="K38" s="113">
        <v>45986</v>
      </c>
      <c r="L38" s="101">
        <v>0</v>
      </c>
      <c r="M38" s="101">
        <v>1</v>
      </c>
      <c r="N38" s="101">
        <v>9</v>
      </c>
      <c r="O38" s="99" t="s">
        <v>211</v>
      </c>
      <c r="P38" s="98"/>
      <c r="Q38" s="98"/>
      <c r="R38" s="98"/>
      <c r="S38" s="98"/>
      <c r="T38" s="101">
        <v>1</v>
      </c>
      <c r="U38" s="101">
        <v>25</v>
      </c>
      <c r="V38" s="101">
        <v>30</v>
      </c>
      <c r="W38" s="101">
        <v>26</v>
      </c>
      <c r="X38" s="101">
        <v>10</v>
      </c>
      <c r="Y38" s="101">
        <v>12</v>
      </c>
      <c r="Z38" s="101">
        <v>19</v>
      </c>
      <c r="AA38" s="101">
        <v>13</v>
      </c>
      <c r="AB38" s="101">
        <v>9</v>
      </c>
      <c r="AC38" s="101">
        <v>12</v>
      </c>
      <c r="AD38" s="101">
        <v>11</v>
      </c>
      <c r="AE38" s="101">
        <v>10</v>
      </c>
      <c r="AF38" s="98"/>
      <c r="AG38" s="98"/>
      <c r="AH38" s="98"/>
      <c r="AI38" s="98"/>
    </row>
    <row r="39" spans="1:35" ht="18" x14ac:dyDescent="0.3">
      <c r="A39" s="112" t="s">
        <v>156</v>
      </c>
      <c r="B39" s="113">
        <v>45991</v>
      </c>
      <c r="C39" s="99" t="s">
        <v>276</v>
      </c>
      <c r="D39" s="114">
        <v>0.33333333333333331</v>
      </c>
      <c r="E39" s="99" t="s">
        <v>207</v>
      </c>
      <c r="F39" s="99" t="s">
        <v>134</v>
      </c>
      <c r="G39" s="115">
        <v>1</v>
      </c>
      <c r="H39" s="101">
        <v>180</v>
      </c>
      <c r="I39" s="101">
        <v>180</v>
      </c>
      <c r="J39" s="101">
        <v>89</v>
      </c>
      <c r="K39" s="113">
        <v>45986</v>
      </c>
      <c r="L39" s="101">
        <v>0</v>
      </c>
      <c r="M39" s="101">
        <v>2</v>
      </c>
      <c r="N39" s="101">
        <v>4</v>
      </c>
      <c r="O39" s="99" t="s">
        <v>63</v>
      </c>
      <c r="P39" s="98"/>
      <c r="Q39" s="98"/>
      <c r="R39" s="98"/>
      <c r="S39" s="98"/>
      <c r="T39" s="98"/>
      <c r="U39" s="98"/>
      <c r="V39" s="98"/>
      <c r="W39" s="98"/>
      <c r="X39" s="101">
        <v>9</v>
      </c>
      <c r="Y39" s="101">
        <v>9</v>
      </c>
      <c r="Z39" s="101">
        <v>11</v>
      </c>
      <c r="AA39" s="101">
        <v>10</v>
      </c>
      <c r="AB39" s="101">
        <v>10</v>
      </c>
      <c r="AC39" s="101">
        <v>12</v>
      </c>
      <c r="AD39" s="101">
        <v>20</v>
      </c>
      <c r="AE39" s="101">
        <v>10</v>
      </c>
      <c r="AF39" s="98"/>
      <c r="AG39" s="98"/>
      <c r="AH39" s="101">
        <v>89</v>
      </c>
      <c r="AI39" s="98"/>
    </row>
    <row r="40" spans="1:35" ht="18" x14ac:dyDescent="0.3">
      <c r="A40" s="112" t="s">
        <v>154</v>
      </c>
      <c r="B40" s="113">
        <v>45988</v>
      </c>
      <c r="C40" s="99" t="s">
        <v>546</v>
      </c>
      <c r="D40" s="114">
        <v>0.41319444444444442</v>
      </c>
      <c r="E40" s="99" t="s">
        <v>539</v>
      </c>
      <c r="F40" s="99" t="s">
        <v>134</v>
      </c>
      <c r="G40" s="115">
        <v>0.80449999999999999</v>
      </c>
      <c r="H40" s="101">
        <v>179</v>
      </c>
      <c r="I40" s="101">
        <v>144</v>
      </c>
      <c r="J40" s="101">
        <v>0</v>
      </c>
      <c r="K40" s="113">
        <v>45987</v>
      </c>
      <c r="L40" s="101">
        <v>1</v>
      </c>
      <c r="M40" s="101">
        <v>9</v>
      </c>
      <c r="N40" s="101">
        <v>68</v>
      </c>
      <c r="O40" s="99" t="s">
        <v>211</v>
      </c>
      <c r="P40" s="98"/>
      <c r="Q40" s="98"/>
      <c r="R40" s="98"/>
      <c r="S40" s="98"/>
      <c r="T40" s="98"/>
      <c r="U40" s="98"/>
      <c r="V40" s="101">
        <v>36</v>
      </c>
      <c r="W40" s="101">
        <v>14</v>
      </c>
      <c r="X40" s="101">
        <v>30</v>
      </c>
      <c r="Y40" s="101">
        <v>18</v>
      </c>
      <c r="Z40" s="101">
        <v>9</v>
      </c>
      <c r="AA40" s="101">
        <v>7</v>
      </c>
      <c r="AB40" s="101">
        <v>11</v>
      </c>
      <c r="AC40" s="101">
        <v>10</v>
      </c>
      <c r="AD40" s="101">
        <v>6</v>
      </c>
      <c r="AE40" s="101">
        <v>3</v>
      </c>
      <c r="AF40" s="98"/>
      <c r="AG40" s="98"/>
      <c r="AH40" s="98"/>
      <c r="AI40" s="98"/>
    </row>
    <row r="41" spans="1:35" ht="18" x14ac:dyDescent="0.3">
      <c r="A41" s="112" t="s">
        <v>929</v>
      </c>
      <c r="B41" s="113">
        <v>45989</v>
      </c>
      <c r="C41" s="99" t="s">
        <v>546</v>
      </c>
      <c r="D41" s="114">
        <v>0.40625</v>
      </c>
      <c r="E41" s="99" t="s">
        <v>539</v>
      </c>
      <c r="F41" s="99" t="s">
        <v>134</v>
      </c>
      <c r="G41" s="115">
        <v>0.74860000000000004</v>
      </c>
      <c r="H41" s="101">
        <v>179</v>
      </c>
      <c r="I41" s="101">
        <v>134</v>
      </c>
      <c r="J41" s="101">
        <v>0</v>
      </c>
      <c r="K41" s="113">
        <v>45986</v>
      </c>
      <c r="L41" s="101">
        <v>0</v>
      </c>
      <c r="M41" s="101">
        <v>16</v>
      </c>
      <c r="N41" s="101">
        <v>32</v>
      </c>
      <c r="O41" s="99" t="s">
        <v>564</v>
      </c>
      <c r="P41" s="98"/>
      <c r="Q41" s="98"/>
      <c r="R41" s="98"/>
      <c r="S41" s="98"/>
      <c r="T41" s="101">
        <v>5</v>
      </c>
      <c r="U41" s="101">
        <v>49</v>
      </c>
      <c r="V41" s="101">
        <v>7</v>
      </c>
      <c r="W41" s="101">
        <v>9</v>
      </c>
      <c r="X41" s="101">
        <v>12</v>
      </c>
      <c r="Y41" s="101">
        <v>15</v>
      </c>
      <c r="Z41" s="101">
        <v>8</v>
      </c>
      <c r="AA41" s="101">
        <v>6</v>
      </c>
      <c r="AB41" s="101">
        <v>3</v>
      </c>
      <c r="AC41" s="101">
        <v>9</v>
      </c>
      <c r="AD41" s="101">
        <v>5</v>
      </c>
      <c r="AE41" s="101">
        <v>6</v>
      </c>
      <c r="AF41" s="98"/>
      <c r="AG41" s="98"/>
      <c r="AH41" s="98"/>
      <c r="AI41" s="98"/>
    </row>
    <row r="42" spans="1:35" ht="18" x14ac:dyDescent="0.3">
      <c r="A42" s="112" t="s">
        <v>155</v>
      </c>
      <c r="B42" s="113">
        <v>45990</v>
      </c>
      <c r="C42" s="99" t="s">
        <v>546</v>
      </c>
      <c r="D42" s="114">
        <v>0.41319444444444442</v>
      </c>
      <c r="E42" s="99" t="s">
        <v>539</v>
      </c>
      <c r="F42" s="99" t="s">
        <v>134</v>
      </c>
      <c r="G42" s="115">
        <v>0.76539999999999997</v>
      </c>
      <c r="H42" s="101">
        <v>179</v>
      </c>
      <c r="I42" s="101">
        <v>137</v>
      </c>
      <c r="J42" s="101">
        <v>0</v>
      </c>
      <c r="K42" s="113">
        <v>45986</v>
      </c>
      <c r="L42" s="101">
        <v>0</v>
      </c>
      <c r="M42" s="101">
        <v>11</v>
      </c>
      <c r="N42" s="101">
        <v>19</v>
      </c>
      <c r="O42" s="99" t="s">
        <v>580</v>
      </c>
      <c r="P42" s="98"/>
      <c r="Q42" s="98"/>
      <c r="R42" s="101">
        <v>10</v>
      </c>
      <c r="S42" s="101">
        <v>35</v>
      </c>
      <c r="T42" s="98"/>
      <c r="U42" s="101">
        <v>12</v>
      </c>
      <c r="V42" s="101">
        <v>14</v>
      </c>
      <c r="W42" s="101">
        <v>11</v>
      </c>
      <c r="X42" s="101">
        <v>12</v>
      </c>
      <c r="Y42" s="101">
        <v>6</v>
      </c>
      <c r="Z42" s="101">
        <v>10</v>
      </c>
      <c r="AA42" s="101">
        <v>3</v>
      </c>
      <c r="AB42" s="101">
        <v>4</v>
      </c>
      <c r="AC42" s="101">
        <v>8</v>
      </c>
      <c r="AD42" s="101">
        <v>9</v>
      </c>
      <c r="AE42" s="101">
        <v>3</v>
      </c>
      <c r="AF42" s="98"/>
      <c r="AG42" s="98"/>
      <c r="AH42" s="98"/>
      <c r="AI42" s="98"/>
    </row>
    <row r="43" spans="1:35" ht="18" x14ac:dyDescent="0.3">
      <c r="A43" s="112" t="s">
        <v>156</v>
      </c>
      <c r="B43" s="113">
        <v>45991</v>
      </c>
      <c r="C43" s="99" t="s">
        <v>546</v>
      </c>
      <c r="D43" s="114">
        <v>0.42708333333333331</v>
      </c>
      <c r="E43" s="99" t="s">
        <v>539</v>
      </c>
      <c r="F43" s="99" t="s">
        <v>134</v>
      </c>
      <c r="G43" s="115">
        <v>0.74299999999999999</v>
      </c>
      <c r="H43" s="101">
        <v>179</v>
      </c>
      <c r="I43" s="101">
        <v>133</v>
      </c>
      <c r="J43" s="101">
        <v>0</v>
      </c>
      <c r="K43" s="113">
        <v>45986</v>
      </c>
      <c r="L43" s="101">
        <v>0</v>
      </c>
      <c r="M43" s="101">
        <v>6</v>
      </c>
      <c r="N43" s="101">
        <v>42</v>
      </c>
      <c r="O43" s="99" t="s">
        <v>615</v>
      </c>
      <c r="P43" s="98"/>
      <c r="Q43" s="98"/>
      <c r="R43" s="98"/>
      <c r="S43" s="98"/>
      <c r="T43" s="101">
        <v>8</v>
      </c>
      <c r="U43" s="101">
        <v>14</v>
      </c>
      <c r="V43" s="101">
        <v>22</v>
      </c>
      <c r="W43" s="101">
        <v>31</v>
      </c>
      <c r="X43" s="101">
        <v>5</v>
      </c>
      <c r="Y43" s="101">
        <v>19</v>
      </c>
      <c r="Z43" s="101">
        <v>6</v>
      </c>
      <c r="AA43" s="101">
        <v>6</v>
      </c>
      <c r="AB43" s="101">
        <v>4</v>
      </c>
      <c r="AC43" s="101">
        <v>6</v>
      </c>
      <c r="AD43" s="101">
        <v>7</v>
      </c>
      <c r="AE43" s="101">
        <v>5</v>
      </c>
      <c r="AF43" s="98"/>
      <c r="AG43" s="98"/>
      <c r="AH43" s="98"/>
      <c r="AI43" s="98"/>
    </row>
    <row r="44" spans="1:35" ht="18" x14ac:dyDescent="0.3">
      <c r="A44" s="112" t="s">
        <v>156</v>
      </c>
      <c r="B44" s="113">
        <v>45991</v>
      </c>
      <c r="C44" s="99" t="s">
        <v>678</v>
      </c>
      <c r="D44" s="114">
        <v>0.42708333333333331</v>
      </c>
      <c r="E44" s="99" t="s">
        <v>662</v>
      </c>
      <c r="F44" s="99" t="s">
        <v>134</v>
      </c>
      <c r="G44" s="115">
        <v>0.65920000000000001</v>
      </c>
      <c r="H44" s="101">
        <v>179</v>
      </c>
      <c r="I44" s="101">
        <v>118</v>
      </c>
      <c r="J44" s="101">
        <v>0</v>
      </c>
      <c r="K44" s="113">
        <v>45986</v>
      </c>
      <c r="L44" s="101">
        <v>0</v>
      </c>
      <c r="M44" s="101">
        <v>4</v>
      </c>
      <c r="N44" s="101">
        <v>28</v>
      </c>
      <c r="O44" s="99" t="s">
        <v>657</v>
      </c>
      <c r="P44" s="98"/>
      <c r="Q44" s="98"/>
      <c r="R44" s="98"/>
      <c r="S44" s="101">
        <v>1</v>
      </c>
      <c r="T44" s="101">
        <v>30</v>
      </c>
      <c r="U44" s="101">
        <v>19</v>
      </c>
      <c r="V44" s="101">
        <v>7</v>
      </c>
      <c r="W44" s="101">
        <v>1</v>
      </c>
      <c r="X44" s="98"/>
      <c r="Y44" s="101">
        <v>1</v>
      </c>
      <c r="Z44" s="101">
        <v>12</v>
      </c>
      <c r="AA44" s="101">
        <v>15</v>
      </c>
      <c r="AB44" s="101">
        <v>12</v>
      </c>
      <c r="AC44" s="101">
        <v>13</v>
      </c>
      <c r="AD44" s="101">
        <v>6</v>
      </c>
      <c r="AE44" s="101">
        <v>1</v>
      </c>
      <c r="AF44" s="98"/>
      <c r="AG44" s="98"/>
      <c r="AH44" s="98"/>
      <c r="AI44" s="98"/>
    </row>
    <row r="45" spans="1:35" ht="18" x14ac:dyDescent="0.3">
      <c r="A45" s="112" t="s">
        <v>929</v>
      </c>
      <c r="B45" s="113">
        <v>45989</v>
      </c>
      <c r="C45" s="99" t="s">
        <v>566</v>
      </c>
      <c r="D45" s="114">
        <v>0.72569444444444453</v>
      </c>
      <c r="E45" s="99" t="s">
        <v>539</v>
      </c>
      <c r="F45" s="99" t="s">
        <v>134</v>
      </c>
      <c r="G45" s="115">
        <v>0.67600000000000005</v>
      </c>
      <c r="H45" s="101">
        <v>179</v>
      </c>
      <c r="I45" s="101">
        <v>121</v>
      </c>
      <c r="J45" s="101">
        <v>0</v>
      </c>
      <c r="K45" s="113">
        <v>45986</v>
      </c>
      <c r="L45" s="101">
        <v>0</v>
      </c>
      <c r="M45" s="101">
        <v>5</v>
      </c>
      <c r="N45" s="101">
        <v>28</v>
      </c>
      <c r="O45" s="99" t="s">
        <v>567</v>
      </c>
      <c r="P45" s="98"/>
      <c r="Q45" s="98"/>
      <c r="R45" s="98"/>
      <c r="S45" s="101">
        <v>6</v>
      </c>
      <c r="T45" s="101">
        <v>29</v>
      </c>
      <c r="U45" s="101">
        <v>9</v>
      </c>
      <c r="V45" s="101">
        <v>7</v>
      </c>
      <c r="W45" s="101">
        <v>16</v>
      </c>
      <c r="X45" s="101">
        <v>10</v>
      </c>
      <c r="Y45" s="101">
        <v>3</v>
      </c>
      <c r="Z45" s="101">
        <v>13</v>
      </c>
      <c r="AA45" s="101">
        <v>5</v>
      </c>
      <c r="AB45" s="101">
        <v>5</v>
      </c>
      <c r="AC45" s="101">
        <v>4</v>
      </c>
      <c r="AD45" s="101">
        <v>7</v>
      </c>
      <c r="AE45" s="101">
        <v>7</v>
      </c>
      <c r="AF45" s="98"/>
      <c r="AG45" s="98"/>
      <c r="AH45" s="98"/>
      <c r="AI45" s="98"/>
    </row>
    <row r="46" spans="1:35" ht="18" x14ac:dyDescent="0.3">
      <c r="A46" s="112" t="s">
        <v>929</v>
      </c>
      <c r="B46" s="113">
        <v>45989</v>
      </c>
      <c r="C46" s="99" t="s">
        <v>273</v>
      </c>
      <c r="D46" s="114">
        <v>0.55902777777777779</v>
      </c>
      <c r="E46" s="99" t="s">
        <v>207</v>
      </c>
      <c r="F46" s="99" t="s">
        <v>134</v>
      </c>
      <c r="G46" s="115">
        <v>0.9778</v>
      </c>
      <c r="H46" s="101">
        <v>180</v>
      </c>
      <c r="I46" s="101">
        <v>176</v>
      </c>
      <c r="J46" s="101">
        <v>0</v>
      </c>
      <c r="K46" s="113">
        <v>45986</v>
      </c>
      <c r="L46" s="101">
        <v>0</v>
      </c>
      <c r="M46" s="101">
        <v>5</v>
      </c>
      <c r="N46" s="101">
        <v>50</v>
      </c>
      <c r="O46" s="99" t="s">
        <v>135</v>
      </c>
      <c r="P46" s="98"/>
      <c r="Q46" s="98"/>
      <c r="R46" s="98"/>
      <c r="S46" s="98"/>
      <c r="T46" s="98"/>
      <c r="U46" s="101">
        <v>15</v>
      </c>
      <c r="V46" s="101">
        <v>28</v>
      </c>
      <c r="W46" s="101">
        <v>40</v>
      </c>
      <c r="X46" s="101">
        <v>11</v>
      </c>
      <c r="Y46" s="101">
        <v>11</v>
      </c>
      <c r="Z46" s="101">
        <v>11</v>
      </c>
      <c r="AA46" s="101">
        <v>10</v>
      </c>
      <c r="AB46" s="101">
        <v>18</v>
      </c>
      <c r="AC46" s="101">
        <v>11</v>
      </c>
      <c r="AD46" s="101">
        <v>11</v>
      </c>
      <c r="AE46" s="101">
        <v>10</v>
      </c>
      <c r="AF46" s="98"/>
      <c r="AG46" s="98"/>
      <c r="AH46" s="98"/>
      <c r="AI46" s="98"/>
    </row>
    <row r="47" spans="1:35" ht="18" x14ac:dyDescent="0.3">
      <c r="A47" s="112" t="s">
        <v>154</v>
      </c>
      <c r="B47" s="113">
        <v>45988</v>
      </c>
      <c r="C47" s="99" t="s">
        <v>215</v>
      </c>
      <c r="D47" s="114">
        <v>0.15625</v>
      </c>
      <c r="E47" s="99" t="s">
        <v>207</v>
      </c>
      <c r="F47" s="99" t="s">
        <v>134</v>
      </c>
      <c r="G47" s="115">
        <v>0.99439999999999995</v>
      </c>
      <c r="H47" s="101">
        <v>180</v>
      </c>
      <c r="I47" s="101">
        <v>179</v>
      </c>
      <c r="J47" s="101">
        <v>65</v>
      </c>
      <c r="K47" s="113">
        <v>45987</v>
      </c>
      <c r="L47" s="101">
        <v>1</v>
      </c>
      <c r="M47" s="101">
        <v>0</v>
      </c>
      <c r="N47" s="101">
        <v>74</v>
      </c>
      <c r="O47" s="99" t="s">
        <v>63</v>
      </c>
      <c r="P47" s="98"/>
      <c r="Q47" s="98"/>
      <c r="R47" s="98"/>
      <c r="S47" s="98"/>
      <c r="T47" s="98"/>
      <c r="U47" s="98"/>
      <c r="V47" s="98"/>
      <c r="W47" s="101">
        <v>3</v>
      </c>
      <c r="X47" s="101">
        <v>11</v>
      </c>
      <c r="Y47" s="101">
        <v>21</v>
      </c>
      <c r="Z47" s="101">
        <v>9</v>
      </c>
      <c r="AA47" s="101">
        <v>9</v>
      </c>
      <c r="AB47" s="101">
        <v>23</v>
      </c>
      <c r="AC47" s="101">
        <v>12</v>
      </c>
      <c r="AD47" s="101">
        <v>5</v>
      </c>
      <c r="AE47" s="101">
        <v>21</v>
      </c>
      <c r="AF47" s="98"/>
      <c r="AG47" s="98"/>
      <c r="AH47" s="101">
        <v>65</v>
      </c>
      <c r="AI47" s="98"/>
    </row>
    <row r="48" spans="1:35" ht="18" x14ac:dyDescent="0.3">
      <c r="A48" s="112" t="s">
        <v>929</v>
      </c>
      <c r="B48" s="113">
        <v>45989</v>
      </c>
      <c r="C48" s="99" t="s">
        <v>215</v>
      </c>
      <c r="D48" s="114">
        <v>0.1423611111111111</v>
      </c>
      <c r="E48" s="99" t="s">
        <v>207</v>
      </c>
      <c r="F48" s="99" t="s">
        <v>134</v>
      </c>
      <c r="G48" s="115">
        <v>1</v>
      </c>
      <c r="H48" s="101">
        <v>180</v>
      </c>
      <c r="I48" s="101">
        <v>180</v>
      </c>
      <c r="J48" s="101">
        <v>35</v>
      </c>
      <c r="K48" s="113">
        <v>45986</v>
      </c>
      <c r="L48" s="101">
        <v>0</v>
      </c>
      <c r="M48" s="101">
        <v>1</v>
      </c>
      <c r="N48" s="101">
        <v>12</v>
      </c>
      <c r="O48" s="99" t="s">
        <v>63</v>
      </c>
      <c r="P48" s="98"/>
      <c r="Q48" s="98"/>
      <c r="R48" s="98"/>
      <c r="S48" s="98"/>
      <c r="T48" s="98"/>
      <c r="U48" s="101">
        <v>9</v>
      </c>
      <c r="V48" s="101">
        <v>9</v>
      </c>
      <c r="W48" s="101">
        <v>24</v>
      </c>
      <c r="X48" s="101">
        <v>11</v>
      </c>
      <c r="Y48" s="101">
        <v>14</v>
      </c>
      <c r="Z48" s="101">
        <v>11</v>
      </c>
      <c r="AA48" s="101">
        <v>9</v>
      </c>
      <c r="AB48" s="101">
        <v>11</v>
      </c>
      <c r="AC48" s="101">
        <v>25</v>
      </c>
      <c r="AD48" s="101">
        <v>11</v>
      </c>
      <c r="AE48" s="101">
        <v>10</v>
      </c>
      <c r="AF48" s="98"/>
      <c r="AG48" s="98"/>
      <c r="AH48" s="101">
        <v>35</v>
      </c>
      <c r="AI48" s="101">
        <v>1</v>
      </c>
    </row>
    <row r="49" spans="1:35" ht="18" x14ac:dyDescent="0.3">
      <c r="A49" s="112" t="s">
        <v>155</v>
      </c>
      <c r="B49" s="113">
        <v>45990</v>
      </c>
      <c r="C49" s="99" t="s">
        <v>215</v>
      </c>
      <c r="D49" s="114">
        <v>0.15625</v>
      </c>
      <c r="E49" s="99" t="s">
        <v>207</v>
      </c>
      <c r="F49" s="99" t="s">
        <v>134</v>
      </c>
      <c r="G49" s="115">
        <v>1</v>
      </c>
      <c r="H49" s="101">
        <v>180</v>
      </c>
      <c r="I49" s="101">
        <v>180</v>
      </c>
      <c r="J49" s="101">
        <v>134</v>
      </c>
      <c r="K49" s="113">
        <v>45986</v>
      </c>
      <c r="L49" s="101">
        <v>0</v>
      </c>
      <c r="M49" s="101">
        <v>1</v>
      </c>
      <c r="N49" s="101">
        <v>6</v>
      </c>
      <c r="O49" s="99" t="s">
        <v>63</v>
      </c>
      <c r="P49" s="98"/>
      <c r="Q49" s="98"/>
      <c r="R49" s="98"/>
      <c r="S49" s="98"/>
      <c r="T49" s="98"/>
      <c r="U49" s="98"/>
      <c r="V49" s="98"/>
      <c r="W49" s="98"/>
      <c r="X49" s="101">
        <v>6</v>
      </c>
      <c r="Y49" s="98"/>
      <c r="Z49" s="98"/>
      <c r="AA49" s="98"/>
      <c r="AB49" s="101">
        <v>7</v>
      </c>
      <c r="AC49" s="101">
        <v>11</v>
      </c>
      <c r="AD49" s="101">
        <v>11</v>
      </c>
      <c r="AE49" s="101">
        <v>10</v>
      </c>
      <c r="AF49" s="98"/>
      <c r="AG49" s="98"/>
      <c r="AH49" s="101">
        <v>134</v>
      </c>
      <c r="AI49" s="101">
        <v>1</v>
      </c>
    </row>
    <row r="50" spans="1:35" ht="18" x14ac:dyDescent="0.3">
      <c r="A50" s="112" t="s">
        <v>156</v>
      </c>
      <c r="B50" s="113">
        <v>45991</v>
      </c>
      <c r="C50" s="99" t="s">
        <v>215</v>
      </c>
      <c r="D50" s="114">
        <v>0.1423611111111111</v>
      </c>
      <c r="E50" s="99" t="s">
        <v>207</v>
      </c>
      <c r="F50" s="99" t="s">
        <v>134</v>
      </c>
      <c r="G50" s="115">
        <v>1</v>
      </c>
      <c r="H50" s="101">
        <v>180</v>
      </c>
      <c r="I50" s="101">
        <v>180</v>
      </c>
      <c r="J50" s="101">
        <v>89</v>
      </c>
      <c r="K50" s="113">
        <v>45987</v>
      </c>
      <c r="L50" s="101">
        <v>2</v>
      </c>
      <c r="M50" s="101">
        <v>1</v>
      </c>
      <c r="N50" s="101">
        <v>3</v>
      </c>
      <c r="O50" s="99" t="s">
        <v>63</v>
      </c>
      <c r="P50" s="98"/>
      <c r="Q50" s="98"/>
      <c r="R50" s="98"/>
      <c r="S50" s="98"/>
      <c r="T50" s="98"/>
      <c r="U50" s="98"/>
      <c r="V50" s="98"/>
      <c r="W50" s="101">
        <v>3</v>
      </c>
      <c r="X50" s="101">
        <v>2</v>
      </c>
      <c r="Y50" s="101">
        <v>10</v>
      </c>
      <c r="Z50" s="101">
        <v>12</v>
      </c>
      <c r="AA50" s="101">
        <v>11</v>
      </c>
      <c r="AB50" s="101">
        <v>9</v>
      </c>
      <c r="AC50" s="101">
        <v>23</v>
      </c>
      <c r="AD50" s="101">
        <v>11</v>
      </c>
      <c r="AE50" s="101">
        <v>10</v>
      </c>
      <c r="AF50" s="98"/>
      <c r="AG50" s="98"/>
      <c r="AH50" s="101">
        <v>89</v>
      </c>
      <c r="AI50" s="98"/>
    </row>
    <row r="51" spans="1:35" ht="18" x14ac:dyDescent="0.3">
      <c r="A51" s="112" t="s">
        <v>154</v>
      </c>
      <c r="B51" s="113">
        <v>45988</v>
      </c>
      <c r="C51" s="99" t="s">
        <v>219</v>
      </c>
      <c r="D51" s="114">
        <v>0.40625</v>
      </c>
      <c r="E51" s="99" t="s">
        <v>207</v>
      </c>
      <c r="F51" s="99" t="s">
        <v>134</v>
      </c>
      <c r="G51" s="115">
        <v>1</v>
      </c>
      <c r="H51" s="101">
        <v>180</v>
      </c>
      <c r="I51" s="101">
        <v>180</v>
      </c>
      <c r="J51" s="101">
        <v>135</v>
      </c>
      <c r="K51" s="113">
        <v>45960</v>
      </c>
      <c r="L51" s="101">
        <v>0</v>
      </c>
      <c r="M51" s="101">
        <v>0</v>
      </c>
      <c r="N51" s="101">
        <v>0</v>
      </c>
      <c r="O51" s="99" t="s">
        <v>63</v>
      </c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101">
        <v>1</v>
      </c>
      <c r="AC51" s="101">
        <v>12</v>
      </c>
      <c r="AD51" s="101">
        <v>11</v>
      </c>
      <c r="AE51" s="101">
        <v>21</v>
      </c>
      <c r="AF51" s="98"/>
      <c r="AG51" s="98"/>
      <c r="AH51" s="101">
        <v>135</v>
      </c>
      <c r="AI51" s="98"/>
    </row>
    <row r="52" spans="1:35" ht="18" x14ac:dyDescent="0.3">
      <c r="A52" s="112" t="s">
        <v>929</v>
      </c>
      <c r="B52" s="113">
        <v>45989</v>
      </c>
      <c r="C52" s="99" t="s">
        <v>219</v>
      </c>
      <c r="D52" s="114">
        <v>0.28125</v>
      </c>
      <c r="E52" s="99" t="s">
        <v>207</v>
      </c>
      <c r="F52" s="99" t="s">
        <v>134</v>
      </c>
      <c r="G52" s="115">
        <v>0.99439999999999995</v>
      </c>
      <c r="H52" s="101">
        <v>180</v>
      </c>
      <c r="I52" s="101">
        <v>179</v>
      </c>
      <c r="J52" s="101">
        <v>0</v>
      </c>
      <c r="K52" s="113">
        <v>45986</v>
      </c>
      <c r="L52" s="101">
        <v>0</v>
      </c>
      <c r="M52" s="101">
        <v>2</v>
      </c>
      <c r="N52" s="101">
        <v>48</v>
      </c>
      <c r="O52" s="99" t="s">
        <v>63</v>
      </c>
      <c r="P52" s="98"/>
      <c r="Q52" s="98"/>
      <c r="R52" s="98"/>
      <c r="S52" s="98"/>
      <c r="T52" s="98"/>
      <c r="U52" s="101">
        <v>9</v>
      </c>
      <c r="V52" s="101">
        <v>10</v>
      </c>
      <c r="W52" s="101">
        <v>35</v>
      </c>
      <c r="X52" s="101">
        <v>38</v>
      </c>
      <c r="Y52" s="101">
        <v>10</v>
      </c>
      <c r="Z52" s="101">
        <v>11</v>
      </c>
      <c r="AA52" s="101">
        <v>11</v>
      </c>
      <c r="AB52" s="101">
        <v>11</v>
      </c>
      <c r="AC52" s="101">
        <v>12</v>
      </c>
      <c r="AD52" s="101">
        <v>22</v>
      </c>
      <c r="AE52" s="101">
        <v>10</v>
      </c>
      <c r="AF52" s="98"/>
      <c r="AG52" s="98"/>
      <c r="AH52" s="98"/>
      <c r="AI52" s="98"/>
    </row>
    <row r="53" spans="1:35" ht="18" x14ac:dyDescent="0.3">
      <c r="A53" s="112" t="s">
        <v>155</v>
      </c>
      <c r="B53" s="113">
        <v>45990</v>
      </c>
      <c r="C53" s="99" t="s">
        <v>219</v>
      </c>
      <c r="D53" s="114">
        <v>0.50347222222222221</v>
      </c>
      <c r="E53" s="99" t="s">
        <v>207</v>
      </c>
      <c r="F53" s="99" t="s">
        <v>134</v>
      </c>
      <c r="G53" s="115">
        <v>0.99439999999999995</v>
      </c>
      <c r="H53" s="101">
        <v>180</v>
      </c>
      <c r="I53" s="101">
        <v>179</v>
      </c>
      <c r="J53" s="101">
        <v>90</v>
      </c>
      <c r="K53" s="113">
        <v>45973</v>
      </c>
      <c r="L53" s="101">
        <v>0</v>
      </c>
      <c r="M53" s="101">
        <v>0</v>
      </c>
      <c r="N53" s="101">
        <v>0</v>
      </c>
      <c r="O53" s="99" t="s">
        <v>63</v>
      </c>
      <c r="P53" s="101">
        <v>3</v>
      </c>
      <c r="Q53" s="98"/>
      <c r="R53" s="98"/>
      <c r="S53" s="98"/>
      <c r="T53" s="98"/>
      <c r="U53" s="101">
        <v>8</v>
      </c>
      <c r="V53" s="101">
        <v>9</v>
      </c>
      <c r="W53" s="101">
        <v>15</v>
      </c>
      <c r="X53" s="101">
        <v>9</v>
      </c>
      <c r="Y53" s="101">
        <v>10</v>
      </c>
      <c r="Z53" s="101">
        <v>18</v>
      </c>
      <c r="AA53" s="101">
        <v>9</v>
      </c>
      <c r="AB53" s="101">
        <v>8</v>
      </c>
      <c r="AC53" s="98"/>
      <c r="AD53" s="98"/>
      <c r="AE53" s="98"/>
      <c r="AF53" s="98"/>
      <c r="AG53" s="98"/>
      <c r="AH53" s="101">
        <v>90</v>
      </c>
      <c r="AI53" s="98"/>
    </row>
    <row r="54" spans="1:35" ht="18" x14ac:dyDescent="0.3">
      <c r="A54" s="112" t="s">
        <v>156</v>
      </c>
      <c r="B54" s="113">
        <v>45991</v>
      </c>
      <c r="C54" s="99" t="s">
        <v>219</v>
      </c>
      <c r="D54" s="114">
        <v>0.4548611111111111</v>
      </c>
      <c r="E54" s="99" t="s">
        <v>207</v>
      </c>
      <c r="F54" s="99" t="s">
        <v>134</v>
      </c>
      <c r="G54" s="115">
        <v>0.99439999999999995</v>
      </c>
      <c r="H54" s="101">
        <v>180</v>
      </c>
      <c r="I54" s="101">
        <v>179</v>
      </c>
      <c r="J54" s="101">
        <v>90</v>
      </c>
      <c r="K54" s="113">
        <v>45984</v>
      </c>
      <c r="L54" s="101">
        <v>0</v>
      </c>
      <c r="M54" s="101">
        <v>0</v>
      </c>
      <c r="N54" s="101">
        <v>16</v>
      </c>
      <c r="O54" s="99" t="s">
        <v>63</v>
      </c>
      <c r="P54" s="98"/>
      <c r="Q54" s="98"/>
      <c r="R54" s="98"/>
      <c r="S54" s="98"/>
      <c r="T54" s="98"/>
      <c r="U54" s="98"/>
      <c r="V54" s="98"/>
      <c r="W54" s="101">
        <v>8</v>
      </c>
      <c r="X54" s="101">
        <v>21</v>
      </c>
      <c r="Y54" s="101">
        <v>22</v>
      </c>
      <c r="Z54" s="101">
        <v>10</v>
      </c>
      <c r="AA54" s="101">
        <v>8</v>
      </c>
      <c r="AB54" s="101">
        <v>20</v>
      </c>
      <c r="AC54" s="98"/>
      <c r="AD54" s="98"/>
      <c r="AE54" s="98"/>
      <c r="AF54" s="98"/>
      <c r="AG54" s="98"/>
      <c r="AH54" s="101">
        <v>90</v>
      </c>
      <c r="AI54" s="98"/>
    </row>
    <row r="55" spans="1:35" ht="18" x14ac:dyDescent="0.3">
      <c r="A55" s="112" t="s">
        <v>154</v>
      </c>
      <c r="B55" s="113">
        <v>45988</v>
      </c>
      <c r="C55" s="99" t="s">
        <v>221</v>
      </c>
      <c r="D55" s="114">
        <v>0.5625</v>
      </c>
      <c r="E55" s="99" t="s">
        <v>207</v>
      </c>
      <c r="F55" s="99" t="s">
        <v>134</v>
      </c>
      <c r="G55" s="115">
        <v>0.99439999999999995</v>
      </c>
      <c r="H55" s="101">
        <v>180</v>
      </c>
      <c r="I55" s="101">
        <v>179</v>
      </c>
      <c r="J55" s="101">
        <v>132</v>
      </c>
      <c r="K55" s="113">
        <v>45985</v>
      </c>
      <c r="L55" s="101">
        <v>0</v>
      </c>
      <c r="M55" s="101">
        <v>0</v>
      </c>
      <c r="N55" s="101">
        <v>3</v>
      </c>
      <c r="O55" s="99" t="s">
        <v>63</v>
      </c>
      <c r="P55" s="98"/>
      <c r="Q55" s="98"/>
      <c r="R55" s="98"/>
      <c r="S55" s="98"/>
      <c r="T55" s="98"/>
      <c r="U55" s="101">
        <v>6</v>
      </c>
      <c r="V55" s="98"/>
      <c r="W55" s="101">
        <v>5</v>
      </c>
      <c r="X55" s="98"/>
      <c r="Y55" s="101">
        <v>3</v>
      </c>
      <c r="Z55" s="101">
        <v>2</v>
      </c>
      <c r="AA55" s="101">
        <v>3</v>
      </c>
      <c r="AB55" s="101">
        <v>13</v>
      </c>
      <c r="AC55" s="101">
        <v>6</v>
      </c>
      <c r="AD55" s="101">
        <v>4</v>
      </c>
      <c r="AE55" s="101">
        <v>5</v>
      </c>
      <c r="AF55" s="98"/>
      <c r="AG55" s="98"/>
      <c r="AH55" s="101">
        <v>132</v>
      </c>
      <c r="AI55" s="98"/>
    </row>
    <row r="56" spans="1:35" ht="18" x14ac:dyDescent="0.3">
      <c r="A56" s="112" t="s">
        <v>929</v>
      </c>
      <c r="B56" s="113">
        <v>45989</v>
      </c>
      <c r="C56" s="99" t="s">
        <v>221</v>
      </c>
      <c r="D56" s="114">
        <v>0.4375</v>
      </c>
      <c r="E56" s="99" t="s">
        <v>207</v>
      </c>
      <c r="F56" s="99" t="s">
        <v>134</v>
      </c>
      <c r="G56" s="115">
        <v>1.0056</v>
      </c>
      <c r="H56" s="101">
        <v>180</v>
      </c>
      <c r="I56" s="101">
        <v>181</v>
      </c>
      <c r="J56" s="101">
        <v>45</v>
      </c>
      <c r="K56" s="113">
        <v>45986</v>
      </c>
      <c r="L56" s="101">
        <v>0</v>
      </c>
      <c r="M56" s="101">
        <v>6</v>
      </c>
      <c r="N56" s="101">
        <v>32</v>
      </c>
      <c r="O56" s="99" t="s">
        <v>63</v>
      </c>
      <c r="P56" s="98"/>
      <c r="Q56" s="98"/>
      <c r="R56" s="98"/>
      <c r="S56" s="98"/>
      <c r="T56" s="98"/>
      <c r="U56" s="101">
        <v>3</v>
      </c>
      <c r="V56" s="101">
        <v>23</v>
      </c>
      <c r="W56" s="101">
        <v>34</v>
      </c>
      <c r="X56" s="101">
        <v>8</v>
      </c>
      <c r="Y56" s="101">
        <v>9</v>
      </c>
      <c r="Z56" s="101">
        <v>9</v>
      </c>
      <c r="AA56" s="101">
        <v>9</v>
      </c>
      <c r="AB56" s="101">
        <v>9</v>
      </c>
      <c r="AC56" s="101">
        <v>8</v>
      </c>
      <c r="AD56" s="101">
        <v>8</v>
      </c>
      <c r="AE56" s="101">
        <v>14</v>
      </c>
      <c r="AF56" s="98"/>
      <c r="AG56" s="98"/>
      <c r="AH56" s="101">
        <v>45</v>
      </c>
      <c r="AI56" s="101">
        <v>2</v>
      </c>
    </row>
    <row r="57" spans="1:35" ht="18" x14ac:dyDescent="0.3">
      <c r="A57" s="112" t="s">
        <v>156</v>
      </c>
      <c r="B57" s="113">
        <v>45991</v>
      </c>
      <c r="C57" s="99" t="s">
        <v>221</v>
      </c>
      <c r="D57" s="114">
        <v>0.82986111111111116</v>
      </c>
      <c r="E57" s="99" t="s">
        <v>207</v>
      </c>
      <c r="F57" s="99" t="s">
        <v>134</v>
      </c>
      <c r="G57" s="115">
        <v>0.99439999999999995</v>
      </c>
      <c r="H57" s="101">
        <v>180</v>
      </c>
      <c r="I57" s="101">
        <v>179</v>
      </c>
      <c r="J57" s="101">
        <v>90</v>
      </c>
      <c r="K57" s="113">
        <v>45985</v>
      </c>
      <c r="L57" s="101">
        <v>0</v>
      </c>
      <c r="M57" s="101">
        <v>0</v>
      </c>
      <c r="N57" s="101">
        <v>15</v>
      </c>
      <c r="O57" s="99" t="s">
        <v>63</v>
      </c>
      <c r="P57" s="98"/>
      <c r="Q57" s="98"/>
      <c r="R57" s="98"/>
      <c r="S57" s="98"/>
      <c r="T57" s="98"/>
      <c r="U57" s="98"/>
      <c r="V57" s="101">
        <v>5</v>
      </c>
      <c r="W57" s="101">
        <v>10</v>
      </c>
      <c r="X57" s="101">
        <v>23</v>
      </c>
      <c r="Y57" s="101">
        <v>11</v>
      </c>
      <c r="Z57" s="101">
        <v>7</v>
      </c>
      <c r="AA57" s="101">
        <v>9</v>
      </c>
      <c r="AB57" s="101">
        <v>9</v>
      </c>
      <c r="AC57" s="101">
        <v>5</v>
      </c>
      <c r="AD57" s="101">
        <v>5</v>
      </c>
      <c r="AE57" s="101">
        <v>5</v>
      </c>
      <c r="AF57" s="98"/>
      <c r="AG57" s="98"/>
      <c r="AH57" s="101">
        <v>90</v>
      </c>
      <c r="AI57" s="98"/>
    </row>
    <row r="58" spans="1:35" ht="18" x14ac:dyDescent="0.3">
      <c r="A58" s="112" t="s">
        <v>154</v>
      </c>
      <c r="B58" s="113">
        <v>45988</v>
      </c>
      <c r="C58" s="99" t="s">
        <v>161</v>
      </c>
      <c r="D58" s="114">
        <v>0.47916666666666669</v>
      </c>
      <c r="E58" s="99" t="s">
        <v>157</v>
      </c>
      <c r="F58" s="99" t="s">
        <v>134</v>
      </c>
      <c r="G58" s="115">
        <v>1</v>
      </c>
      <c r="H58" s="101">
        <v>180</v>
      </c>
      <c r="I58" s="101">
        <v>180</v>
      </c>
      <c r="J58" s="101">
        <v>166</v>
      </c>
      <c r="K58" s="113">
        <v>45980</v>
      </c>
      <c r="L58" s="101">
        <v>0</v>
      </c>
      <c r="M58" s="101">
        <v>0</v>
      </c>
      <c r="N58" s="101">
        <v>2</v>
      </c>
      <c r="O58" s="99" t="s">
        <v>63</v>
      </c>
      <c r="P58" s="98"/>
      <c r="Q58" s="98"/>
      <c r="R58" s="98"/>
      <c r="S58" s="98"/>
      <c r="T58" s="98"/>
      <c r="U58" s="98"/>
      <c r="V58" s="98"/>
      <c r="W58" s="98"/>
      <c r="X58" s="101">
        <v>3</v>
      </c>
      <c r="Y58" s="98"/>
      <c r="Z58" s="98"/>
      <c r="AA58" s="98"/>
      <c r="AB58" s="101">
        <v>3</v>
      </c>
      <c r="AC58" s="98"/>
      <c r="AD58" s="98"/>
      <c r="AE58" s="101">
        <v>8</v>
      </c>
      <c r="AF58" s="98"/>
      <c r="AG58" s="98"/>
      <c r="AH58" s="101">
        <v>166</v>
      </c>
      <c r="AI58" s="98"/>
    </row>
    <row r="59" spans="1:35" ht="18" x14ac:dyDescent="0.3">
      <c r="A59" s="112" t="s">
        <v>156</v>
      </c>
      <c r="B59" s="113">
        <v>45991</v>
      </c>
      <c r="C59" s="99" t="s">
        <v>161</v>
      </c>
      <c r="D59" s="114">
        <v>0.2361111111111111</v>
      </c>
      <c r="E59" s="99" t="s">
        <v>157</v>
      </c>
      <c r="F59" s="99" t="s">
        <v>134</v>
      </c>
      <c r="G59" s="115">
        <v>1</v>
      </c>
      <c r="H59" s="101">
        <v>180</v>
      </c>
      <c r="I59" s="101">
        <v>180</v>
      </c>
      <c r="J59" s="101">
        <v>135</v>
      </c>
      <c r="K59" s="113">
        <v>45977</v>
      </c>
      <c r="L59" s="101">
        <v>0</v>
      </c>
      <c r="M59" s="101">
        <v>0</v>
      </c>
      <c r="N59" s="101">
        <v>0</v>
      </c>
      <c r="O59" s="99" t="s">
        <v>63</v>
      </c>
      <c r="P59" s="98"/>
      <c r="Q59" s="98"/>
      <c r="R59" s="98"/>
      <c r="S59" s="98"/>
      <c r="T59" s="98"/>
      <c r="U59" s="98"/>
      <c r="V59" s="98"/>
      <c r="W59" s="101">
        <v>3</v>
      </c>
      <c r="X59" s="98"/>
      <c r="Y59" s="98"/>
      <c r="Z59" s="98"/>
      <c r="AA59" s="98"/>
      <c r="AB59" s="101">
        <v>10</v>
      </c>
      <c r="AC59" s="101">
        <v>11</v>
      </c>
      <c r="AD59" s="101">
        <v>11</v>
      </c>
      <c r="AE59" s="101">
        <v>10</v>
      </c>
      <c r="AF59" s="98"/>
      <c r="AG59" s="98"/>
      <c r="AH59" s="101">
        <v>135</v>
      </c>
      <c r="AI59" s="98"/>
    </row>
    <row r="60" spans="1:35" ht="18" x14ac:dyDescent="0.3">
      <c r="A60" s="112" t="s">
        <v>155</v>
      </c>
      <c r="B60" s="113">
        <v>45990</v>
      </c>
      <c r="C60" s="99" t="s">
        <v>193</v>
      </c>
      <c r="D60" s="114">
        <v>0.80208333333333337</v>
      </c>
      <c r="E60" s="99" t="s">
        <v>189</v>
      </c>
      <c r="F60" s="99" t="s">
        <v>134</v>
      </c>
      <c r="G60" s="115">
        <v>0.97219999999999995</v>
      </c>
      <c r="H60" s="101">
        <v>180</v>
      </c>
      <c r="I60" s="101">
        <v>175</v>
      </c>
      <c r="J60" s="101">
        <v>97</v>
      </c>
      <c r="K60" s="113">
        <v>45986</v>
      </c>
      <c r="L60" s="101">
        <v>0</v>
      </c>
      <c r="M60" s="101">
        <v>6</v>
      </c>
      <c r="N60" s="101">
        <v>31</v>
      </c>
      <c r="O60" s="99" t="s">
        <v>194</v>
      </c>
      <c r="P60" s="101">
        <v>1</v>
      </c>
      <c r="Q60" s="98"/>
      <c r="R60" s="98"/>
      <c r="S60" s="98"/>
      <c r="T60" s="98"/>
      <c r="U60" s="98"/>
      <c r="V60" s="98"/>
      <c r="W60" s="98"/>
      <c r="X60" s="98"/>
      <c r="Y60" s="101">
        <v>8</v>
      </c>
      <c r="Z60" s="101">
        <v>9</v>
      </c>
      <c r="AA60" s="101">
        <v>23</v>
      </c>
      <c r="AB60" s="101">
        <v>19</v>
      </c>
      <c r="AC60" s="101">
        <v>5</v>
      </c>
      <c r="AD60" s="101">
        <v>4</v>
      </c>
      <c r="AE60" s="101">
        <v>9</v>
      </c>
      <c r="AF60" s="98"/>
      <c r="AG60" s="98"/>
      <c r="AH60" s="101">
        <v>97</v>
      </c>
      <c r="AI60" s="98"/>
    </row>
    <row r="61" spans="1:35" ht="18" x14ac:dyDescent="0.3">
      <c r="A61" s="112" t="s">
        <v>929</v>
      </c>
      <c r="B61" s="113">
        <v>45989</v>
      </c>
      <c r="C61" s="99" t="s">
        <v>494</v>
      </c>
      <c r="D61" s="114">
        <v>0.13541666666666671</v>
      </c>
      <c r="E61" s="99" t="s">
        <v>485</v>
      </c>
      <c r="F61" s="99" t="s">
        <v>134</v>
      </c>
      <c r="G61" s="115">
        <v>0.67220000000000002</v>
      </c>
      <c r="H61" s="101">
        <v>180</v>
      </c>
      <c r="I61" s="101">
        <v>121</v>
      </c>
      <c r="J61" s="101">
        <v>0</v>
      </c>
      <c r="K61" s="113">
        <v>45986</v>
      </c>
      <c r="L61" s="101">
        <v>0</v>
      </c>
      <c r="M61" s="101">
        <v>8</v>
      </c>
      <c r="N61" s="101">
        <v>59</v>
      </c>
      <c r="O61" s="99" t="s">
        <v>495</v>
      </c>
      <c r="P61" s="98"/>
      <c r="Q61" s="98"/>
      <c r="R61" s="98"/>
      <c r="S61" s="98"/>
      <c r="T61" s="98"/>
      <c r="U61" s="98"/>
      <c r="V61" s="98"/>
      <c r="W61" s="98"/>
      <c r="X61" s="101">
        <v>12</v>
      </c>
      <c r="Y61" s="101">
        <v>19</v>
      </c>
      <c r="Z61" s="101">
        <v>20</v>
      </c>
      <c r="AA61" s="101">
        <v>23</v>
      </c>
      <c r="AB61" s="101">
        <v>45</v>
      </c>
      <c r="AC61" s="101">
        <v>1</v>
      </c>
      <c r="AD61" s="101">
        <v>1</v>
      </c>
      <c r="AE61" s="98"/>
      <c r="AF61" s="98"/>
      <c r="AG61" s="98"/>
      <c r="AH61" s="98"/>
      <c r="AI61" s="98"/>
    </row>
    <row r="62" spans="1:35" ht="18" x14ac:dyDescent="0.3">
      <c r="A62" s="112" t="s">
        <v>155</v>
      </c>
      <c r="B62" s="113">
        <v>45990</v>
      </c>
      <c r="C62" s="99" t="s">
        <v>494</v>
      </c>
      <c r="D62" s="114">
        <v>0.1423611111111111</v>
      </c>
      <c r="E62" s="99" t="s">
        <v>485</v>
      </c>
      <c r="F62" s="99" t="s">
        <v>134</v>
      </c>
      <c r="G62" s="115">
        <v>0.77780000000000005</v>
      </c>
      <c r="H62" s="101">
        <v>180</v>
      </c>
      <c r="I62" s="101">
        <v>140</v>
      </c>
      <c r="J62" s="101">
        <v>85</v>
      </c>
      <c r="K62" s="113">
        <v>45987</v>
      </c>
      <c r="L62" s="101">
        <v>5</v>
      </c>
      <c r="M62" s="101">
        <v>6</v>
      </c>
      <c r="N62" s="101">
        <v>24</v>
      </c>
      <c r="O62" s="99" t="s">
        <v>312</v>
      </c>
      <c r="P62" s="98"/>
      <c r="Q62" s="98"/>
      <c r="R62" s="98"/>
      <c r="S62" s="98"/>
      <c r="T62" s="98"/>
      <c r="U62" s="98"/>
      <c r="V62" s="98"/>
      <c r="W62" s="98"/>
      <c r="X62" s="101">
        <v>15</v>
      </c>
      <c r="Y62" s="101">
        <v>20</v>
      </c>
      <c r="Z62" s="101">
        <v>11</v>
      </c>
      <c r="AA62" s="101">
        <v>5</v>
      </c>
      <c r="AB62" s="101">
        <v>4</v>
      </c>
      <c r="AC62" s="98"/>
      <c r="AD62" s="98"/>
      <c r="AE62" s="98"/>
      <c r="AF62" s="98"/>
      <c r="AG62" s="98"/>
      <c r="AH62" s="101">
        <v>85</v>
      </c>
      <c r="AI62" s="98"/>
    </row>
    <row r="63" spans="1:35" ht="18" x14ac:dyDescent="0.3">
      <c r="A63" s="112" t="s">
        <v>156</v>
      </c>
      <c r="B63" s="113">
        <v>45991</v>
      </c>
      <c r="C63" s="99" t="s">
        <v>494</v>
      </c>
      <c r="D63" s="114">
        <v>0.3298611111111111</v>
      </c>
      <c r="E63" s="99" t="s">
        <v>485</v>
      </c>
      <c r="F63" s="99" t="s">
        <v>134</v>
      </c>
      <c r="G63" s="115">
        <v>0.9778</v>
      </c>
      <c r="H63" s="101">
        <v>180</v>
      </c>
      <c r="I63" s="101">
        <v>176</v>
      </c>
      <c r="J63" s="101">
        <v>82</v>
      </c>
      <c r="K63" s="113">
        <v>45987</v>
      </c>
      <c r="L63" s="101">
        <v>2</v>
      </c>
      <c r="M63" s="101">
        <v>7</v>
      </c>
      <c r="N63" s="101">
        <v>36</v>
      </c>
      <c r="O63" s="99" t="s">
        <v>333</v>
      </c>
      <c r="P63" s="98"/>
      <c r="Q63" s="98"/>
      <c r="R63" s="98"/>
      <c r="S63" s="98"/>
      <c r="T63" s="98"/>
      <c r="U63" s="98"/>
      <c r="V63" s="98"/>
      <c r="W63" s="98"/>
      <c r="X63" s="98"/>
      <c r="Y63" s="101">
        <v>5</v>
      </c>
      <c r="Z63" s="101">
        <v>14</v>
      </c>
      <c r="AA63" s="101">
        <v>31</v>
      </c>
      <c r="AB63" s="101">
        <v>16</v>
      </c>
      <c r="AC63" s="101">
        <v>22</v>
      </c>
      <c r="AD63" s="101">
        <v>3</v>
      </c>
      <c r="AE63" s="101">
        <v>3</v>
      </c>
      <c r="AF63" s="101">
        <v>37</v>
      </c>
      <c r="AG63" s="98"/>
      <c r="AH63" s="101">
        <v>45</v>
      </c>
      <c r="AI63" s="98"/>
    </row>
    <row r="64" spans="1:35" ht="18" x14ac:dyDescent="0.3">
      <c r="A64" s="112" t="s">
        <v>154</v>
      </c>
      <c r="B64" s="113">
        <v>45988</v>
      </c>
      <c r="C64" s="99" t="s">
        <v>60</v>
      </c>
      <c r="D64" s="114">
        <v>0.38194444444444442</v>
      </c>
      <c r="E64" s="99" t="s">
        <v>1</v>
      </c>
      <c r="F64" s="99" t="s">
        <v>134</v>
      </c>
      <c r="G64" s="115">
        <v>1.0111000000000001</v>
      </c>
      <c r="H64" s="101">
        <v>180</v>
      </c>
      <c r="I64" s="101">
        <v>182</v>
      </c>
      <c r="J64" s="101">
        <v>170</v>
      </c>
      <c r="K64" s="113">
        <v>45985</v>
      </c>
      <c r="L64" s="101">
        <v>0</v>
      </c>
      <c r="M64" s="101">
        <v>0</v>
      </c>
      <c r="N64" s="101">
        <v>14</v>
      </c>
      <c r="O64" s="99" t="s">
        <v>63</v>
      </c>
      <c r="P64" s="98"/>
      <c r="Q64" s="98"/>
      <c r="R64" s="98"/>
      <c r="S64" s="98"/>
      <c r="T64" s="98"/>
      <c r="U64" s="98"/>
      <c r="V64" s="98"/>
      <c r="W64" s="101">
        <v>1</v>
      </c>
      <c r="X64" s="98"/>
      <c r="Y64" s="98"/>
      <c r="Z64" s="98"/>
      <c r="AA64" s="98"/>
      <c r="AB64" s="98"/>
      <c r="AC64" s="98"/>
      <c r="AD64" s="101">
        <v>3</v>
      </c>
      <c r="AE64" s="101">
        <v>8</v>
      </c>
      <c r="AF64" s="98"/>
      <c r="AG64" s="98"/>
      <c r="AH64" s="101">
        <v>168</v>
      </c>
      <c r="AI64" s="101">
        <v>2</v>
      </c>
    </row>
    <row r="65" spans="1:35" ht="18" x14ac:dyDescent="0.3">
      <c r="A65" s="112" t="s">
        <v>155</v>
      </c>
      <c r="B65" s="113">
        <v>45990</v>
      </c>
      <c r="C65" s="99" t="s">
        <v>60</v>
      </c>
      <c r="D65" s="114">
        <v>0.2361111111111111</v>
      </c>
      <c r="E65" s="99" t="s">
        <v>1</v>
      </c>
      <c r="F65" s="99" t="s">
        <v>134</v>
      </c>
      <c r="G65" s="115">
        <v>0.99439999999999995</v>
      </c>
      <c r="H65" s="101">
        <v>180</v>
      </c>
      <c r="I65" s="101">
        <v>179</v>
      </c>
      <c r="J65" s="101">
        <v>138</v>
      </c>
      <c r="K65" s="113">
        <v>45977</v>
      </c>
      <c r="L65" s="101">
        <v>0</v>
      </c>
      <c r="M65" s="101">
        <v>0</v>
      </c>
      <c r="N65" s="101">
        <v>0</v>
      </c>
      <c r="O65" s="99" t="s">
        <v>63</v>
      </c>
      <c r="P65" s="98"/>
      <c r="Q65" s="98"/>
      <c r="R65" s="98"/>
      <c r="S65" s="98"/>
      <c r="T65" s="98"/>
      <c r="U65" s="98"/>
      <c r="V65" s="98"/>
      <c r="W65" s="98"/>
      <c r="X65" s="101">
        <v>2</v>
      </c>
      <c r="Y65" s="98"/>
      <c r="Z65" s="98"/>
      <c r="AA65" s="98"/>
      <c r="AB65" s="101">
        <v>7</v>
      </c>
      <c r="AC65" s="101">
        <v>11</v>
      </c>
      <c r="AD65" s="101">
        <v>11</v>
      </c>
      <c r="AE65" s="101">
        <v>10</v>
      </c>
      <c r="AF65" s="98"/>
      <c r="AG65" s="98"/>
      <c r="AH65" s="101">
        <v>135</v>
      </c>
      <c r="AI65" s="101">
        <v>3</v>
      </c>
    </row>
    <row r="66" spans="1:35" ht="18" x14ac:dyDescent="0.3">
      <c r="A66" s="112" t="s">
        <v>156</v>
      </c>
      <c r="B66" s="113">
        <v>45991</v>
      </c>
      <c r="C66" s="99" t="s">
        <v>60</v>
      </c>
      <c r="D66" s="114">
        <v>0.74305555555555547</v>
      </c>
      <c r="E66" s="99" t="s">
        <v>1</v>
      </c>
      <c r="F66" s="99" t="s">
        <v>134</v>
      </c>
      <c r="G66" s="115">
        <v>1</v>
      </c>
      <c r="H66" s="101">
        <v>180</v>
      </c>
      <c r="I66" s="101">
        <v>180</v>
      </c>
      <c r="J66" s="101">
        <v>135</v>
      </c>
      <c r="K66" s="113">
        <v>45986</v>
      </c>
      <c r="L66" s="101">
        <v>0</v>
      </c>
      <c r="M66" s="101">
        <v>1</v>
      </c>
      <c r="N66" s="101">
        <v>1</v>
      </c>
      <c r="O66" s="99" t="s">
        <v>63</v>
      </c>
      <c r="P66" s="98"/>
      <c r="Q66" s="98"/>
      <c r="R66" s="98"/>
      <c r="S66" s="98"/>
      <c r="T66" s="98"/>
      <c r="U66" s="98"/>
      <c r="V66" s="98"/>
      <c r="W66" s="101">
        <v>5</v>
      </c>
      <c r="X66" s="98"/>
      <c r="Y66" s="98"/>
      <c r="Z66" s="98"/>
      <c r="AA66" s="98"/>
      <c r="AB66" s="101">
        <v>8</v>
      </c>
      <c r="AC66" s="101">
        <v>11</v>
      </c>
      <c r="AD66" s="101">
        <v>11</v>
      </c>
      <c r="AE66" s="101">
        <v>10</v>
      </c>
      <c r="AF66" s="98"/>
      <c r="AG66" s="98"/>
      <c r="AH66" s="101">
        <v>135</v>
      </c>
      <c r="AI66" s="98"/>
    </row>
    <row r="67" spans="1:35" ht="18" x14ac:dyDescent="0.3">
      <c r="A67" s="112" t="s">
        <v>154</v>
      </c>
      <c r="B67" s="113">
        <v>45988</v>
      </c>
      <c r="C67" s="99" t="s">
        <v>801</v>
      </c>
      <c r="D67" s="114">
        <v>0.76736111111111116</v>
      </c>
      <c r="E67" s="99" t="s">
        <v>800</v>
      </c>
      <c r="F67" s="99" t="s">
        <v>134</v>
      </c>
      <c r="G67" s="115">
        <v>0.96089999999999998</v>
      </c>
      <c r="H67" s="101">
        <v>179</v>
      </c>
      <c r="I67" s="101">
        <v>172</v>
      </c>
      <c r="J67" s="101">
        <v>0</v>
      </c>
      <c r="K67" s="113">
        <v>45986</v>
      </c>
      <c r="L67" s="101">
        <v>0</v>
      </c>
      <c r="M67" s="101">
        <v>7</v>
      </c>
      <c r="N67" s="101">
        <v>53</v>
      </c>
      <c r="O67" s="99" t="s">
        <v>802</v>
      </c>
      <c r="P67" s="98"/>
      <c r="Q67" s="98"/>
      <c r="R67" s="98"/>
      <c r="S67" s="98"/>
      <c r="T67" s="98"/>
      <c r="U67" s="101">
        <v>9</v>
      </c>
      <c r="V67" s="101">
        <v>35</v>
      </c>
      <c r="W67" s="101">
        <v>21</v>
      </c>
      <c r="X67" s="101">
        <v>11</v>
      </c>
      <c r="Y67" s="101">
        <v>25</v>
      </c>
      <c r="Z67" s="101">
        <v>3</v>
      </c>
      <c r="AA67" s="101">
        <v>15</v>
      </c>
      <c r="AB67" s="101">
        <v>24</v>
      </c>
      <c r="AC67" s="101">
        <v>8</v>
      </c>
      <c r="AD67" s="101">
        <v>4</v>
      </c>
      <c r="AE67" s="101">
        <v>17</v>
      </c>
      <c r="AF67" s="98"/>
      <c r="AG67" s="98"/>
      <c r="AH67" s="98"/>
      <c r="AI67" s="98"/>
    </row>
    <row r="68" spans="1:35" ht="18" x14ac:dyDescent="0.3">
      <c r="A68" s="112" t="s">
        <v>155</v>
      </c>
      <c r="B68" s="113">
        <v>45990</v>
      </c>
      <c r="C68" s="99" t="s">
        <v>801</v>
      </c>
      <c r="D68" s="114">
        <v>0.71875</v>
      </c>
      <c r="E68" s="99" t="s">
        <v>800</v>
      </c>
      <c r="F68" s="99" t="s">
        <v>134</v>
      </c>
      <c r="G68" s="115">
        <v>0.9385</v>
      </c>
      <c r="H68" s="101">
        <v>179</v>
      </c>
      <c r="I68" s="101">
        <v>168</v>
      </c>
      <c r="J68" s="101">
        <v>0</v>
      </c>
      <c r="K68" s="113">
        <v>45987</v>
      </c>
      <c r="L68" s="101">
        <v>2</v>
      </c>
      <c r="M68" s="101">
        <v>8</v>
      </c>
      <c r="N68" s="101">
        <v>40</v>
      </c>
      <c r="O68" s="99" t="s">
        <v>808</v>
      </c>
      <c r="P68" s="98"/>
      <c r="Q68" s="98"/>
      <c r="R68" s="101">
        <v>4</v>
      </c>
      <c r="S68" s="101">
        <v>7</v>
      </c>
      <c r="T68" s="101">
        <v>26</v>
      </c>
      <c r="U68" s="101">
        <v>14</v>
      </c>
      <c r="V68" s="101">
        <v>32</v>
      </c>
      <c r="W68" s="101">
        <v>13</v>
      </c>
      <c r="X68" s="101">
        <v>3</v>
      </c>
      <c r="Y68" s="101">
        <v>6</v>
      </c>
      <c r="Z68" s="101">
        <v>16</v>
      </c>
      <c r="AA68" s="101">
        <v>12</v>
      </c>
      <c r="AB68" s="101">
        <v>8</v>
      </c>
      <c r="AC68" s="101">
        <v>9</v>
      </c>
      <c r="AD68" s="101">
        <v>14</v>
      </c>
      <c r="AE68" s="101">
        <v>4</v>
      </c>
      <c r="AF68" s="98"/>
      <c r="AG68" s="98"/>
      <c r="AH68" s="98"/>
      <c r="AI68" s="98"/>
    </row>
    <row r="69" spans="1:35" ht="18" x14ac:dyDescent="0.3">
      <c r="A69" s="112" t="s">
        <v>929</v>
      </c>
      <c r="B69" s="113">
        <v>45989</v>
      </c>
      <c r="C69" s="99" t="s">
        <v>824</v>
      </c>
      <c r="D69" s="114">
        <v>0.47916666666666669</v>
      </c>
      <c r="E69" s="99" t="s">
        <v>821</v>
      </c>
      <c r="F69" s="99" t="s">
        <v>134</v>
      </c>
      <c r="G69" s="115">
        <v>0.86029999999999995</v>
      </c>
      <c r="H69" s="101">
        <v>179</v>
      </c>
      <c r="I69" s="101">
        <v>154</v>
      </c>
      <c r="J69" s="101">
        <v>0</v>
      </c>
      <c r="K69" s="113">
        <v>45986</v>
      </c>
      <c r="L69" s="101">
        <v>0</v>
      </c>
      <c r="M69" s="101">
        <v>9</v>
      </c>
      <c r="N69" s="101">
        <v>80</v>
      </c>
      <c r="O69" s="99" t="s">
        <v>335</v>
      </c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101">
        <v>8</v>
      </c>
      <c r="AA69" s="101">
        <v>7</v>
      </c>
      <c r="AB69" s="101">
        <v>62</v>
      </c>
      <c r="AC69" s="101">
        <v>14</v>
      </c>
      <c r="AD69" s="101">
        <v>19</v>
      </c>
      <c r="AE69" s="101">
        <v>44</v>
      </c>
      <c r="AF69" s="98"/>
      <c r="AG69" s="98"/>
      <c r="AH69" s="98"/>
      <c r="AI69" s="98"/>
    </row>
    <row r="70" spans="1:35" x14ac:dyDescent="0.3">
      <c r="A70" s="116" t="s">
        <v>151</v>
      </c>
      <c r="B70" s="117"/>
      <c r="C70" s="118">
        <f>COUNTA(C2:C69)</f>
        <v>68</v>
      </c>
      <c r="D70" s="117"/>
      <c r="E70" s="117"/>
      <c r="F70" s="117"/>
      <c r="G70" s="119">
        <f>AVERAGE(G2:G69)</f>
        <v>0.90998676470588225</v>
      </c>
      <c r="H70" s="120">
        <f>SUM(H2:H69)</f>
        <v>12215</v>
      </c>
      <c r="I70" s="120">
        <f>SUM(I2:I69)</f>
        <v>11118</v>
      </c>
      <c r="J70" s="120">
        <f>SUM(J2:J69)</f>
        <v>3563</v>
      </c>
      <c r="K70" s="117"/>
      <c r="L70" s="120">
        <f>SUM(L2:L69)</f>
        <v>20</v>
      </c>
      <c r="M70" s="120">
        <f>SUM(M2:M69)</f>
        <v>246</v>
      </c>
      <c r="N70" s="120">
        <f>SUM(N2:N69)</f>
        <v>1794</v>
      </c>
      <c r="O70" s="117"/>
      <c r="P70" s="120">
        <f t="shared" ref="P70:AI70" si="0">SUM(P2:P69)</f>
        <v>33</v>
      </c>
      <c r="Q70" s="120">
        <f t="shared" si="0"/>
        <v>24</v>
      </c>
      <c r="R70" s="120">
        <f t="shared" si="0"/>
        <v>114</v>
      </c>
      <c r="S70" s="120">
        <f t="shared" si="0"/>
        <v>237</v>
      </c>
      <c r="T70" s="120">
        <f t="shared" si="0"/>
        <v>292</v>
      </c>
      <c r="U70" s="120">
        <f t="shared" si="0"/>
        <v>403</v>
      </c>
      <c r="V70" s="120">
        <f t="shared" si="0"/>
        <v>579</v>
      </c>
      <c r="W70" s="120">
        <f t="shared" si="0"/>
        <v>622</v>
      </c>
      <c r="X70" s="120">
        <f t="shared" si="0"/>
        <v>703</v>
      </c>
      <c r="Y70" s="120">
        <f t="shared" si="0"/>
        <v>809</v>
      </c>
      <c r="Z70" s="120">
        <f t="shared" si="0"/>
        <v>691</v>
      </c>
      <c r="AA70" s="120">
        <f t="shared" si="0"/>
        <v>714</v>
      </c>
      <c r="AB70" s="120">
        <f t="shared" si="0"/>
        <v>768</v>
      </c>
      <c r="AC70" s="120">
        <f t="shared" si="0"/>
        <v>527</v>
      </c>
      <c r="AD70" s="120">
        <f t="shared" si="0"/>
        <v>509</v>
      </c>
      <c r="AE70" s="120">
        <f t="shared" si="0"/>
        <v>509</v>
      </c>
      <c r="AF70" s="120">
        <f t="shared" si="0"/>
        <v>77</v>
      </c>
      <c r="AG70" s="120">
        <f t="shared" si="0"/>
        <v>0</v>
      </c>
      <c r="AH70" s="120">
        <f t="shared" si="0"/>
        <v>3481</v>
      </c>
      <c r="AI70" s="120">
        <f t="shared" si="0"/>
        <v>26</v>
      </c>
    </row>
  </sheetData>
  <autoFilter ref="A1:AI69" xr:uid="{00000000-0009-0000-0000-00004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CAI-MED</vt:lpstr>
      <vt:lpstr>CAI-MED LF LEGACY</vt:lpstr>
      <vt:lpstr>CAI-MED — FOCUS MODE</vt:lpstr>
      <vt:lpstr>HBE-MED</vt:lpstr>
      <vt:lpstr>HBE-MED LF LEGACY</vt:lpstr>
      <vt:lpstr>HBE-MED — FOCUS MODE</vt:lpstr>
      <vt:lpstr>ATZ-MED</vt:lpstr>
      <vt:lpstr>ATZ-MED LF LEGACY</vt:lpstr>
      <vt:lpstr>ATZ-MED — FOCUS MODE</vt:lpstr>
      <vt:lpstr>CAI-JED</vt:lpstr>
      <vt:lpstr>CAI-JED LF LEGACY</vt:lpstr>
      <vt:lpstr>CAI-JED — FOCUS MODE</vt:lpstr>
      <vt:lpstr>HBE-JED</vt:lpstr>
      <vt:lpstr>HBE-JED LF LEGACY</vt:lpstr>
      <vt:lpstr>HBE-JED — FOCUS MODE</vt:lpstr>
      <vt:lpstr>ATZ-JED</vt:lpstr>
      <vt:lpstr>ATZ-JED LF LEGACY</vt:lpstr>
      <vt:lpstr>ATZ-JED — FOCUS MODE</vt:lpstr>
      <vt:lpstr>LXR-JED</vt:lpstr>
      <vt:lpstr>LXR-JED LF LEGACY</vt:lpstr>
      <vt:lpstr>LXR-JED — FOCUS MODE</vt:lpstr>
      <vt:lpstr>ASW-JED</vt:lpstr>
      <vt:lpstr>ASW-JED LF LEGACY</vt:lpstr>
      <vt:lpstr>ASW-JED — FOCUS MODE</vt:lpstr>
      <vt:lpstr>SSH-JED</vt:lpstr>
      <vt:lpstr>SSH-JED LF LEGACY</vt:lpstr>
      <vt:lpstr>SSH-JED — FOCUS MODE</vt:lpstr>
      <vt:lpstr>HRG-JED</vt:lpstr>
      <vt:lpstr>HRG-JED LF LEGACY</vt:lpstr>
      <vt:lpstr>HRG-JED — FOCUS MODE</vt:lpstr>
      <vt:lpstr>CAI-RUH</vt:lpstr>
      <vt:lpstr>CAI-RUH LF LEGACY</vt:lpstr>
      <vt:lpstr>CAI-RUH — FOCUS MODE</vt:lpstr>
      <vt:lpstr>ATZ-RUH</vt:lpstr>
      <vt:lpstr>ATZ-RUH LF LEGACY</vt:lpstr>
      <vt:lpstr>ATZ-RUH — FOCUS MODE</vt:lpstr>
      <vt:lpstr>CAI-DMM</vt:lpstr>
      <vt:lpstr>CAI-DMM LF LEGACY</vt:lpstr>
      <vt:lpstr>CAI-DMM — FOCUS MODE</vt:lpstr>
      <vt:lpstr>ATZ-DMM</vt:lpstr>
      <vt:lpstr>ATZ-DMM LF LEGACY</vt:lpstr>
      <vt:lpstr>ATZ-DMM — FOCUS MODE</vt:lpstr>
      <vt:lpstr>CAI-TUU</vt:lpstr>
      <vt:lpstr>CAI-TUU LF LEGACY</vt:lpstr>
      <vt:lpstr>CAI-TUU — FOCUS MODE</vt:lpstr>
      <vt:lpstr>ATZ-TUU</vt:lpstr>
      <vt:lpstr>ATZ-TUU LF LEGACY</vt:lpstr>
      <vt:lpstr>ATZ-TUU — FOCUS MODE</vt:lpstr>
      <vt:lpstr>CAI-AJF</vt:lpstr>
      <vt:lpstr>CAI-AJF LF LEGACY</vt:lpstr>
      <vt:lpstr>CAI-AJF — FOCUS MODE</vt:lpstr>
      <vt:lpstr>ATZ-AJF</vt:lpstr>
      <vt:lpstr>ATZ-AJF LF LEGACY</vt:lpstr>
      <vt:lpstr>ATZ-AJF — FOCUS MODE</vt:lpstr>
      <vt:lpstr>CAI-YNB</vt:lpstr>
      <vt:lpstr>CAI-YNB LF LEGACY</vt:lpstr>
      <vt:lpstr>CAI-YNB — FOCUS MODE</vt:lpstr>
      <vt:lpstr>CAI-AHB</vt:lpstr>
      <vt:lpstr>CAI-AHB LF LEGACY</vt:lpstr>
      <vt:lpstr>CAI-AHB — FOCUS MODE</vt:lpstr>
      <vt:lpstr>ATZ-AHB</vt:lpstr>
      <vt:lpstr>ATZ-AHB LF LEGACY</vt:lpstr>
      <vt:lpstr>ATZ-AHB — FOCUS MODE</vt:lpstr>
      <vt:lpstr>CAI-ELQ</vt:lpstr>
      <vt:lpstr>CAI-ELQ LF LEGACY</vt:lpstr>
      <vt:lpstr>CAI-ELQ — FOCUS MODE</vt:lpstr>
      <vt:lpstr>ATZ-ELQ</vt:lpstr>
      <vt:lpstr>ATZ-ELQ LF LEGACY</vt:lpstr>
      <vt:lpstr>ATZ-ELQ — FOCUS MODE</vt:lpstr>
      <vt:lpstr>CAI-GIZ</vt:lpstr>
      <vt:lpstr>CAI-GIZ LF LEGACY</vt:lpstr>
      <vt:lpstr>CAI-GIZ — FOCUS MODE</vt:lpstr>
      <vt:lpstr>LF_ALL_ROUTES1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2025-11-26T05:37:11Z</dcterms:created>
  <dcterms:modified xsi:type="dcterms:W3CDTF">2025-11-26T06:23:25Z</dcterms:modified>
</cp:coreProperties>
</file>